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6.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ctrlProps/ctrlProp3.xml" ContentType="application/vnd.ms-excel.controlproperties+xml"/>
  <Override PartName="/xl/ctrlProps/ctrlProp4.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bookViews>
    <workbookView xWindow="0" yWindow="0" windowWidth="28860" windowHeight="11085" activeTab="1"/>
  </bookViews>
  <sheets>
    <sheet name="DataEntry" sheetId="7" r:id="rId1"/>
    <sheet name="Input" sheetId="1" r:id="rId2"/>
    <sheet name="tj DAORU" sheetId="11" r:id="rId3"/>
    <sheet name="YC daoru" sheetId="16" r:id="rId4"/>
    <sheet name="GZ daoru" sheetId="18" r:id="rId5"/>
    <sheet name="scan" sheetId="14" r:id="rId6"/>
    <sheet name="QD EMS" sheetId="19" r:id="rId7"/>
    <sheet name="Sheet1" sheetId="20" r:id="rId8"/>
  </sheets>
  <definedNames>
    <definedName name="_xlnm._FilterDatabase" localSheetId="1" hidden="1">Input!$A$6:$S$643</definedName>
    <definedName name="_xlnm._FilterDatabase" localSheetId="2" hidden="1">'tj DAORU'!$A$1:$V$802</definedName>
  </definedNames>
  <calcPr calcId="124519"/>
</workbook>
</file>

<file path=xl/calcChain.xml><?xml version="1.0" encoding="utf-8"?>
<calcChain xmlns="http://schemas.openxmlformats.org/spreadsheetml/2006/main">
  <c r="E639" i="19"/>
  <c r="B639"/>
  <c r="A639"/>
  <c r="E638"/>
  <c r="B638"/>
  <c r="A638"/>
  <c r="E637"/>
  <c r="B637"/>
  <c r="A637"/>
  <c r="E636"/>
  <c r="B636"/>
  <c r="A636"/>
  <c r="E635"/>
  <c r="B635"/>
  <c r="A635"/>
  <c r="E634"/>
  <c r="B634"/>
  <c r="A634"/>
  <c r="E633"/>
  <c r="B633"/>
  <c r="A633"/>
  <c r="E632"/>
  <c r="B632"/>
  <c r="A632"/>
  <c r="E631"/>
  <c r="B631"/>
  <c r="A631"/>
  <c r="E630"/>
  <c r="B630"/>
  <c r="A630"/>
  <c r="E629"/>
  <c r="B629"/>
  <c r="A629"/>
  <c r="E628"/>
  <c r="B628"/>
  <c r="A628"/>
  <c r="E627"/>
  <c r="B627"/>
  <c r="A627"/>
  <c r="E626"/>
  <c r="B626"/>
  <c r="A626"/>
  <c r="E625"/>
  <c r="B625"/>
  <c r="A625"/>
  <c r="E624"/>
  <c r="B624"/>
  <c r="A624"/>
  <c r="E623"/>
  <c r="B623"/>
  <c r="A623"/>
  <c r="E622"/>
  <c r="B622"/>
  <c r="A622"/>
  <c r="E621"/>
  <c r="B621"/>
  <c r="A621"/>
  <c r="E620"/>
  <c r="B620"/>
  <c r="A620"/>
  <c r="E619"/>
  <c r="B619"/>
  <c r="A619"/>
  <c r="E618"/>
  <c r="B618"/>
  <c r="A618"/>
  <c r="E617"/>
  <c r="B617"/>
  <c r="A617"/>
  <c r="E616"/>
  <c r="B616"/>
  <c r="A616"/>
  <c r="E615"/>
  <c r="B615"/>
  <c r="A615"/>
  <c r="E614"/>
  <c r="B614"/>
  <c r="A614"/>
  <c r="E613"/>
  <c r="B613"/>
  <c r="A613"/>
  <c r="E612"/>
  <c r="B612"/>
  <c r="A612"/>
  <c r="E611"/>
  <c r="B611"/>
  <c r="A611"/>
  <c r="E610"/>
  <c r="B610"/>
  <c r="A610"/>
  <c r="E609"/>
  <c r="B609"/>
  <c r="A609"/>
  <c r="E608"/>
  <c r="B608"/>
  <c r="A608"/>
  <c r="E607"/>
  <c r="B607"/>
  <c r="A607"/>
  <c r="E606"/>
  <c r="B606"/>
  <c r="A606"/>
  <c r="E605"/>
  <c r="B605"/>
  <c r="A605"/>
  <c r="E604"/>
  <c r="B604"/>
  <c r="A604"/>
  <c r="E603"/>
  <c r="B603"/>
  <c r="A603"/>
  <c r="E602"/>
  <c r="B602"/>
  <c r="A602"/>
  <c r="E601"/>
  <c r="B601"/>
  <c r="A601"/>
  <c r="E600"/>
  <c r="B600"/>
  <c r="A600"/>
  <c r="E599"/>
  <c r="B599"/>
  <c r="A599"/>
  <c r="E598"/>
  <c r="B598"/>
  <c r="A598"/>
  <c r="E597"/>
  <c r="B597"/>
  <c r="A597"/>
  <c r="E596"/>
  <c r="B596"/>
  <c r="A596"/>
  <c r="E595"/>
  <c r="B595"/>
  <c r="A595"/>
  <c r="E594"/>
  <c r="B594"/>
  <c r="A594"/>
  <c r="E593"/>
  <c r="B593"/>
  <c r="A593"/>
  <c r="E592"/>
  <c r="B592"/>
  <c r="A592"/>
  <c r="E591"/>
  <c r="B591"/>
  <c r="A591"/>
  <c r="E590"/>
  <c r="B590"/>
  <c r="A590"/>
  <c r="E589"/>
  <c r="B589"/>
  <c r="A589"/>
  <c r="E588"/>
  <c r="B588"/>
  <c r="A588"/>
  <c r="E587"/>
  <c r="B587"/>
  <c r="A587"/>
  <c r="E586"/>
  <c r="B586"/>
  <c r="A586"/>
  <c r="E585"/>
  <c r="B585"/>
  <c r="A585"/>
  <c r="E584"/>
  <c r="B584"/>
  <c r="A584"/>
  <c r="E583"/>
  <c r="B583"/>
  <c r="A583"/>
  <c r="E582"/>
  <c r="B582"/>
  <c r="A582"/>
  <c r="E581"/>
  <c r="B581"/>
  <c r="A581"/>
  <c r="E580"/>
  <c r="B580"/>
  <c r="A580"/>
  <c r="E579"/>
  <c r="B579"/>
  <c r="A579"/>
  <c r="E578"/>
  <c r="B578"/>
  <c r="A578"/>
  <c r="E577"/>
  <c r="B577"/>
  <c r="A577"/>
  <c r="E576"/>
  <c r="B576"/>
  <c r="A576"/>
  <c r="E575"/>
  <c r="B575"/>
  <c r="A575"/>
  <c r="E574"/>
  <c r="B574"/>
  <c r="A574"/>
  <c r="E573"/>
  <c r="B573"/>
  <c r="A573"/>
  <c r="E572"/>
  <c r="B572"/>
  <c r="A572"/>
  <c r="E571"/>
  <c r="B571"/>
  <c r="A571"/>
  <c r="E570"/>
  <c r="B570"/>
  <c r="A570"/>
  <c r="E569"/>
  <c r="B569"/>
  <c r="A569"/>
  <c r="E568"/>
  <c r="B568"/>
  <c r="A568"/>
  <c r="E567"/>
  <c r="B567"/>
  <c r="A567"/>
  <c r="E566"/>
  <c r="B566"/>
  <c r="A566"/>
  <c r="E565"/>
  <c r="B565"/>
  <c r="A565"/>
  <c r="E564"/>
  <c r="B564"/>
  <c r="A564"/>
  <c r="E563"/>
  <c r="B563"/>
  <c r="A563"/>
  <c r="E562"/>
  <c r="B562"/>
  <c r="A562"/>
  <c r="E561"/>
  <c r="B561"/>
  <c r="A561"/>
  <c r="E560"/>
  <c r="B560"/>
  <c r="A560"/>
  <c r="E559"/>
  <c r="B559"/>
  <c r="A559"/>
  <c r="E558"/>
  <c r="B558"/>
  <c r="A558"/>
  <c r="E557"/>
  <c r="B557"/>
  <c r="A557"/>
  <c r="E556"/>
  <c r="B556"/>
  <c r="A556"/>
  <c r="E555"/>
  <c r="B555"/>
  <c r="A555"/>
  <c r="E554"/>
  <c r="B554"/>
  <c r="A554"/>
  <c r="E553"/>
  <c r="B553"/>
  <c r="A553"/>
  <c r="E552"/>
  <c r="B552"/>
  <c r="A552"/>
  <c r="E551"/>
  <c r="B551"/>
  <c r="A551"/>
  <c r="E550"/>
  <c r="B550"/>
  <c r="A550"/>
  <c r="E549"/>
  <c r="B549"/>
  <c r="A549"/>
  <c r="E548"/>
  <c r="B548"/>
  <c r="A548"/>
  <c r="E547"/>
  <c r="B547"/>
  <c r="A547"/>
  <c r="E546"/>
  <c r="B546"/>
  <c r="A546"/>
  <c r="E545"/>
  <c r="B545"/>
  <c r="A545"/>
  <c r="E544"/>
  <c r="B544"/>
  <c r="A544"/>
  <c r="E543"/>
  <c r="B543"/>
  <c r="A543"/>
  <c r="E542"/>
  <c r="B542"/>
  <c r="A542"/>
  <c r="E541"/>
  <c r="B541"/>
  <c r="A541"/>
  <c r="E540"/>
  <c r="B540"/>
  <c r="A540"/>
  <c r="E539"/>
  <c r="B539"/>
  <c r="A539"/>
  <c r="E538"/>
  <c r="B538"/>
  <c r="A538"/>
  <c r="E537"/>
  <c r="B537"/>
  <c r="A537"/>
  <c r="E536"/>
  <c r="B536"/>
  <c r="A536"/>
  <c r="E535"/>
  <c r="B535"/>
  <c r="A535"/>
  <c r="E534"/>
  <c r="B534"/>
  <c r="A534"/>
  <c r="E533"/>
  <c r="B533"/>
  <c r="A533"/>
  <c r="E532"/>
  <c r="B532"/>
  <c r="A532"/>
  <c r="E531"/>
  <c r="B531"/>
  <c r="A531"/>
  <c r="E530"/>
  <c r="B530"/>
  <c r="A530"/>
  <c r="E529"/>
  <c r="B529"/>
  <c r="A529"/>
  <c r="E528"/>
  <c r="B528"/>
  <c r="A528"/>
  <c r="E527"/>
  <c r="B527"/>
  <c r="A527"/>
  <c r="E526"/>
  <c r="B526"/>
  <c r="A526"/>
  <c r="E525"/>
  <c r="B525"/>
  <c r="A525"/>
  <c r="E524"/>
  <c r="B524"/>
  <c r="A524"/>
  <c r="E523"/>
  <c r="B523"/>
  <c r="A523"/>
  <c r="E522"/>
  <c r="B522"/>
  <c r="A522"/>
  <c r="E521"/>
  <c r="B521"/>
  <c r="A521"/>
  <c r="E520"/>
  <c r="B520"/>
  <c r="A520"/>
  <c r="E519"/>
  <c r="B519"/>
  <c r="A519"/>
  <c r="E518"/>
  <c r="B518"/>
  <c r="A518"/>
  <c r="E517"/>
  <c r="B517"/>
  <c r="A517"/>
  <c r="E516"/>
  <c r="B516"/>
  <c r="A516"/>
  <c r="E515"/>
  <c r="B515"/>
  <c r="A515"/>
  <c r="E514"/>
  <c r="B514"/>
  <c r="A514"/>
  <c r="E513"/>
  <c r="B513"/>
  <c r="A513"/>
  <c r="E512"/>
  <c r="B512"/>
  <c r="A512"/>
  <c r="E511"/>
  <c r="B511"/>
  <c r="A511"/>
  <c r="E510"/>
  <c r="B510"/>
  <c r="A510"/>
  <c r="E509"/>
  <c r="B509"/>
  <c r="A509"/>
  <c r="E508"/>
  <c r="B508"/>
  <c r="A508"/>
  <c r="E507"/>
  <c r="B507"/>
  <c r="A507"/>
  <c r="E506"/>
  <c r="B506"/>
  <c r="A506"/>
  <c r="E505"/>
  <c r="B505"/>
  <c r="A505"/>
  <c r="E504"/>
  <c r="B504"/>
  <c r="A504"/>
  <c r="E503"/>
  <c r="B503"/>
  <c r="A503"/>
  <c r="E502"/>
  <c r="B502"/>
  <c r="A502"/>
  <c r="E501"/>
  <c r="B501"/>
  <c r="A501"/>
  <c r="E500"/>
  <c r="B500"/>
  <c r="A500"/>
  <c r="E499"/>
  <c r="B499"/>
  <c r="A499"/>
  <c r="E498"/>
  <c r="B498"/>
  <c r="A498"/>
  <c r="E497"/>
  <c r="B497"/>
  <c r="A497"/>
  <c r="E496"/>
  <c r="B496"/>
  <c r="A496"/>
  <c r="E495"/>
  <c r="B495"/>
  <c r="A495"/>
  <c r="E494"/>
  <c r="B494"/>
  <c r="A494"/>
  <c r="E493"/>
  <c r="B493"/>
  <c r="A493"/>
  <c r="E492"/>
  <c r="B492"/>
  <c r="A492"/>
  <c r="E491"/>
  <c r="B491"/>
  <c r="A491"/>
  <c r="E490"/>
  <c r="B490"/>
  <c r="A490"/>
  <c r="E489"/>
  <c r="B489"/>
  <c r="A489"/>
  <c r="E488"/>
  <c r="B488"/>
  <c r="A488"/>
  <c r="E487"/>
  <c r="B487"/>
  <c r="A487"/>
  <c r="E486"/>
  <c r="B486"/>
  <c r="A486"/>
  <c r="E485"/>
  <c r="B485"/>
  <c r="A485"/>
  <c r="E484"/>
  <c r="B484"/>
  <c r="A484"/>
  <c r="E483"/>
  <c r="B483"/>
  <c r="A483"/>
  <c r="E482"/>
  <c r="B482"/>
  <c r="A482"/>
  <c r="E481"/>
  <c r="B481"/>
  <c r="A481"/>
  <c r="E480"/>
  <c r="B480"/>
  <c r="A480"/>
  <c r="E479"/>
  <c r="B479"/>
  <c r="A479"/>
  <c r="E478"/>
  <c r="B478"/>
  <c r="A478"/>
  <c r="E477"/>
  <c r="B477"/>
  <c r="A477"/>
  <c r="E476"/>
  <c r="B476"/>
  <c r="A476"/>
  <c r="E475"/>
  <c r="B475"/>
  <c r="A475"/>
  <c r="E474"/>
  <c r="B474"/>
  <c r="A474"/>
  <c r="E473"/>
  <c r="B473"/>
  <c r="A473"/>
  <c r="E472"/>
  <c r="B472"/>
  <c r="A472"/>
  <c r="E471"/>
  <c r="B471"/>
  <c r="A471"/>
  <c r="E470"/>
  <c r="B470"/>
  <c r="A470"/>
  <c r="E469"/>
  <c r="B469"/>
  <c r="A469"/>
  <c r="E468"/>
  <c r="B468"/>
  <c r="A468"/>
  <c r="E467"/>
  <c r="B467"/>
  <c r="A467"/>
  <c r="E466"/>
  <c r="B466"/>
  <c r="A466"/>
  <c r="E465"/>
  <c r="B465"/>
  <c r="A465"/>
  <c r="E464"/>
  <c r="B464"/>
  <c r="A464"/>
  <c r="E463"/>
  <c r="B463"/>
  <c r="A463"/>
  <c r="E462"/>
  <c r="B462"/>
  <c r="A462"/>
  <c r="E461"/>
  <c r="B461"/>
  <c r="A461"/>
  <c r="E460"/>
  <c r="B460"/>
  <c r="A460"/>
  <c r="E459"/>
  <c r="B459"/>
  <c r="A459"/>
  <c r="E458"/>
  <c r="B458"/>
  <c r="A458"/>
  <c r="E457"/>
  <c r="B457"/>
  <c r="A457"/>
  <c r="E456"/>
  <c r="B456"/>
  <c r="A456"/>
  <c r="E455"/>
  <c r="B455"/>
  <c r="A455"/>
  <c r="E454"/>
  <c r="B454"/>
  <c r="A454"/>
  <c r="E453"/>
  <c r="B453"/>
  <c r="A453"/>
  <c r="E452"/>
  <c r="B452"/>
  <c r="A452"/>
  <c r="E451"/>
  <c r="B451"/>
  <c r="A451"/>
  <c r="E450"/>
  <c r="B450"/>
  <c r="A450"/>
  <c r="E449"/>
  <c r="B449"/>
  <c r="A449"/>
  <c r="E448"/>
  <c r="B448"/>
  <c r="A448"/>
  <c r="E447"/>
  <c r="B447"/>
  <c r="A447"/>
  <c r="E446"/>
  <c r="B446"/>
  <c r="A446"/>
  <c r="E445"/>
  <c r="B445"/>
  <c r="A445"/>
  <c r="E444"/>
  <c r="B444"/>
  <c r="A444"/>
  <c r="E443"/>
  <c r="B443"/>
  <c r="A443"/>
  <c r="E442"/>
  <c r="B442"/>
  <c r="A442"/>
  <c r="E441"/>
  <c r="B441"/>
  <c r="A441"/>
  <c r="E440"/>
  <c r="B440"/>
  <c r="A440"/>
  <c r="E439"/>
  <c r="B439"/>
  <c r="A439"/>
  <c r="E438"/>
  <c r="B438"/>
  <c r="A438"/>
  <c r="E437"/>
  <c r="B437"/>
  <c r="A437"/>
  <c r="E436"/>
  <c r="B436"/>
  <c r="A436"/>
  <c r="E435"/>
  <c r="B435"/>
  <c r="A435"/>
  <c r="E434"/>
  <c r="B434"/>
  <c r="A434"/>
  <c r="E433"/>
  <c r="B433"/>
  <c r="A433"/>
  <c r="E432"/>
  <c r="B432"/>
  <c r="A432"/>
  <c r="E431"/>
  <c r="B431"/>
  <c r="A431"/>
  <c r="E430"/>
  <c r="B430"/>
  <c r="A430"/>
  <c r="E429"/>
  <c r="B429"/>
  <c r="A429"/>
  <c r="E428"/>
  <c r="B428"/>
  <c r="A428"/>
  <c r="E427"/>
  <c r="B427"/>
  <c r="A427"/>
  <c r="E426"/>
  <c r="B426"/>
  <c r="A426"/>
  <c r="E425"/>
  <c r="B425"/>
  <c r="A425"/>
  <c r="E424"/>
  <c r="B424"/>
  <c r="A424"/>
  <c r="E423"/>
  <c r="B423"/>
  <c r="A423"/>
  <c r="E422"/>
  <c r="B422"/>
  <c r="A422"/>
  <c r="E421"/>
  <c r="B421"/>
  <c r="A421"/>
  <c r="E420"/>
  <c r="B420"/>
  <c r="A420"/>
  <c r="E419"/>
  <c r="B419"/>
  <c r="A419"/>
  <c r="E418"/>
  <c r="B418"/>
  <c r="A418"/>
  <c r="E417"/>
  <c r="B417"/>
  <c r="A417"/>
  <c r="E416"/>
  <c r="B416"/>
  <c r="A416"/>
  <c r="E415"/>
  <c r="B415"/>
  <c r="A415"/>
  <c r="E414"/>
  <c r="B414"/>
  <c r="A414"/>
  <c r="E413"/>
  <c r="B413"/>
  <c r="A413"/>
  <c r="E412"/>
  <c r="B412"/>
  <c r="A412"/>
  <c r="E411"/>
  <c r="B411"/>
  <c r="A411"/>
  <c r="E410"/>
  <c r="B410"/>
  <c r="A410"/>
  <c r="E409"/>
  <c r="B409"/>
  <c r="A409"/>
  <c r="E408"/>
  <c r="B408"/>
  <c r="A408"/>
  <c r="E407"/>
  <c r="B407"/>
  <c r="A407"/>
  <c r="E406"/>
  <c r="B406"/>
  <c r="A406"/>
  <c r="E405"/>
  <c r="B405"/>
  <c r="A405"/>
  <c r="E404"/>
  <c r="B404"/>
  <c r="A404"/>
  <c r="E403"/>
  <c r="B403"/>
  <c r="A403"/>
  <c r="E402"/>
  <c r="B402"/>
  <c r="A402"/>
  <c r="E401"/>
  <c r="B401"/>
  <c r="A401"/>
  <c r="E400"/>
  <c r="B400"/>
  <c r="A400"/>
  <c r="E399"/>
  <c r="B399"/>
  <c r="A399"/>
  <c r="E398"/>
  <c r="B398"/>
  <c r="A398"/>
  <c r="E397"/>
  <c r="B397"/>
  <c r="A397"/>
  <c r="E396"/>
  <c r="B396"/>
  <c r="A396"/>
  <c r="E395"/>
  <c r="B395"/>
  <c r="A395"/>
  <c r="E394"/>
  <c r="B394"/>
  <c r="A394"/>
  <c r="E393"/>
  <c r="B393"/>
  <c r="A393"/>
  <c r="E392"/>
  <c r="B392"/>
  <c r="A392"/>
  <c r="E391"/>
  <c r="B391"/>
  <c r="A391"/>
  <c r="E390"/>
  <c r="B390"/>
  <c r="A390"/>
  <c r="E389"/>
  <c r="B389"/>
  <c r="A389"/>
  <c r="E388"/>
  <c r="B388"/>
  <c r="A388"/>
  <c r="E387"/>
  <c r="B387"/>
  <c r="A387"/>
  <c r="E386"/>
  <c r="B386"/>
  <c r="A386"/>
  <c r="E385"/>
  <c r="B385"/>
  <c r="A385"/>
  <c r="E384"/>
  <c r="B384"/>
  <c r="A384"/>
  <c r="E383"/>
  <c r="B383"/>
  <c r="A383"/>
  <c r="E382"/>
  <c r="B382"/>
  <c r="A382"/>
  <c r="E381"/>
  <c r="B381"/>
  <c r="A381"/>
  <c r="E380"/>
  <c r="B380"/>
  <c r="A380"/>
  <c r="E379"/>
  <c r="B379"/>
  <c r="A379"/>
  <c r="E378"/>
  <c r="B378"/>
  <c r="A378"/>
  <c r="E377"/>
  <c r="B377"/>
  <c r="A377"/>
  <c r="E376"/>
  <c r="B376"/>
  <c r="A376"/>
  <c r="E375"/>
  <c r="B375"/>
  <c r="A375"/>
  <c r="E374"/>
  <c r="B374"/>
  <c r="A374"/>
  <c r="E373"/>
  <c r="B373"/>
  <c r="A373"/>
  <c r="E372"/>
  <c r="B372"/>
  <c r="A372"/>
  <c r="E371"/>
  <c r="B371"/>
  <c r="A371"/>
  <c r="E370"/>
  <c r="B370"/>
  <c r="A370"/>
  <c r="E369"/>
  <c r="B369"/>
  <c r="A369"/>
  <c r="E368"/>
  <c r="B368"/>
  <c r="A368"/>
  <c r="E367"/>
  <c r="B367"/>
  <c r="A367"/>
  <c r="E366"/>
  <c r="B366"/>
  <c r="A366"/>
  <c r="E365"/>
  <c r="B365"/>
  <c r="A365"/>
  <c r="E364"/>
  <c r="B364"/>
  <c r="A364"/>
  <c r="E363"/>
  <c r="B363"/>
  <c r="A363"/>
  <c r="E362"/>
  <c r="B362"/>
  <c r="A362"/>
  <c r="E361"/>
  <c r="B361"/>
  <c r="A361"/>
  <c r="E360"/>
  <c r="B360"/>
  <c r="A360"/>
  <c r="E359"/>
  <c r="B359"/>
  <c r="A359"/>
  <c r="E358"/>
  <c r="B358"/>
  <c r="A358"/>
  <c r="E357"/>
  <c r="B357"/>
  <c r="A357"/>
  <c r="E356"/>
  <c r="B356"/>
  <c r="A356"/>
  <c r="E355"/>
  <c r="B355"/>
  <c r="A355"/>
  <c r="E354"/>
  <c r="B354"/>
  <c r="A354"/>
  <c r="E353"/>
  <c r="B353"/>
  <c r="A353"/>
  <c r="E352"/>
  <c r="B352"/>
  <c r="A352"/>
  <c r="E351"/>
  <c r="B351"/>
  <c r="A351"/>
  <c r="E350"/>
  <c r="B350"/>
  <c r="A350"/>
  <c r="E349"/>
  <c r="B349"/>
  <c r="A349"/>
  <c r="E348"/>
  <c r="B348"/>
  <c r="A348"/>
  <c r="E347"/>
  <c r="B347"/>
  <c r="A347"/>
  <c r="E346"/>
  <c r="B346"/>
  <c r="A346"/>
  <c r="E345"/>
  <c r="B345"/>
  <c r="A345"/>
  <c r="E344"/>
  <c r="B344"/>
  <c r="A344"/>
  <c r="E343"/>
  <c r="B343"/>
  <c r="A343"/>
  <c r="E342"/>
  <c r="B342"/>
  <c r="A342"/>
  <c r="E341"/>
  <c r="B341"/>
  <c r="A341"/>
  <c r="E340"/>
  <c r="B340"/>
  <c r="A340"/>
  <c r="E339"/>
  <c r="B339"/>
  <c r="A339"/>
  <c r="E338"/>
  <c r="B338"/>
  <c r="A338"/>
  <c r="E337"/>
  <c r="B337"/>
  <c r="A337"/>
  <c r="E336"/>
  <c r="B336"/>
  <c r="A336"/>
  <c r="E335"/>
  <c r="B335"/>
  <c r="A335"/>
  <c r="E334"/>
  <c r="B334"/>
  <c r="A334"/>
  <c r="E333"/>
  <c r="B333"/>
  <c r="A333"/>
  <c r="E332"/>
  <c r="B332"/>
  <c r="A332"/>
  <c r="E331"/>
  <c r="B331"/>
  <c r="A331"/>
  <c r="E330"/>
  <c r="B330"/>
  <c r="A330"/>
  <c r="E329"/>
  <c r="B329"/>
  <c r="A329"/>
  <c r="E328"/>
  <c r="B328"/>
  <c r="A328"/>
  <c r="E327"/>
  <c r="B327"/>
  <c r="A327"/>
  <c r="E326"/>
  <c r="B326"/>
  <c r="A326"/>
  <c r="E325"/>
  <c r="B325"/>
  <c r="A325"/>
  <c r="E324"/>
  <c r="B324"/>
  <c r="A324"/>
  <c r="E323"/>
  <c r="B323"/>
  <c r="A323"/>
  <c r="E322"/>
  <c r="B322"/>
  <c r="A322"/>
  <c r="E321"/>
  <c r="B321"/>
  <c r="A321"/>
  <c r="E320"/>
  <c r="B320"/>
  <c r="A320"/>
  <c r="E319"/>
  <c r="B319"/>
  <c r="A319"/>
  <c r="E318"/>
  <c r="B318"/>
  <c r="A318"/>
  <c r="E317"/>
  <c r="B317"/>
  <c r="A317"/>
  <c r="E316"/>
  <c r="B316"/>
  <c r="A316"/>
  <c r="E315"/>
  <c r="B315"/>
  <c r="A315"/>
  <c r="E314"/>
  <c r="B314"/>
  <c r="A314"/>
  <c r="E313"/>
  <c r="B313"/>
  <c r="A313"/>
  <c r="E312"/>
  <c r="B312"/>
  <c r="A312"/>
  <c r="E311"/>
  <c r="B311"/>
  <c r="A311"/>
  <c r="E310"/>
  <c r="B310"/>
  <c r="A310"/>
  <c r="E309"/>
  <c r="B309"/>
  <c r="A309"/>
  <c r="E308"/>
  <c r="B308"/>
  <c r="A308"/>
  <c r="E307"/>
  <c r="B307"/>
  <c r="A307"/>
  <c r="E306"/>
  <c r="B306"/>
  <c r="A306"/>
  <c r="E305"/>
  <c r="B305"/>
  <c r="A305"/>
  <c r="E304"/>
  <c r="B304"/>
  <c r="A304"/>
  <c r="E303"/>
  <c r="B303"/>
  <c r="A303"/>
  <c r="E302"/>
  <c r="B302"/>
  <c r="A302"/>
  <c r="E301"/>
  <c r="B301"/>
  <c r="A301"/>
  <c r="E300"/>
  <c r="B300"/>
  <c r="A300"/>
  <c r="E299"/>
  <c r="B299"/>
  <c r="A299"/>
  <c r="E298"/>
  <c r="B298"/>
  <c r="A298"/>
  <c r="E297"/>
  <c r="B297"/>
  <c r="A297"/>
  <c r="E296"/>
  <c r="B296"/>
  <c r="A296"/>
  <c r="E295"/>
  <c r="B295"/>
  <c r="A295"/>
  <c r="E294"/>
  <c r="B294"/>
  <c r="A294"/>
  <c r="E293"/>
  <c r="B293"/>
  <c r="A293"/>
  <c r="E292"/>
  <c r="B292"/>
  <c r="A292"/>
  <c r="E291"/>
  <c r="B291"/>
  <c r="A291"/>
  <c r="E290"/>
  <c r="B290"/>
  <c r="A290"/>
  <c r="E289"/>
  <c r="B289"/>
  <c r="A289"/>
  <c r="E288"/>
  <c r="B288"/>
  <c r="A288"/>
  <c r="E287"/>
  <c r="B287"/>
  <c r="A287"/>
  <c r="E286"/>
  <c r="B286"/>
  <c r="A286"/>
  <c r="E285"/>
  <c r="B285"/>
  <c r="A285"/>
  <c r="E284"/>
  <c r="B284"/>
  <c r="A284"/>
  <c r="E283"/>
  <c r="B283"/>
  <c r="A283"/>
  <c r="E282"/>
  <c r="B282"/>
  <c r="A282"/>
  <c r="E281"/>
  <c r="B281"/>
  <c r="A281"/>
  <c r="E280"/>
  <c r="B280"/>
  <c r="A280"/>
  <c r="E279"/>
  <c r="B279"/>
  <c r="A279"/>
  <c r="E278"/>
  <c r="B278"/>
  <c r="A278"/>
  <c r="E277"/>
  <c r="B277"/>
  <c r="A277"/>
  <c r="E276"/>
  <c r="B276"/>
  <c r="A276"/>
  <c r="E275"/>
  <c r="B275"/>
  <c r="A275"/>
  <c r="E274"/>
  <c r="B274"/>
  <c r="A274"/>
  <c r="E273"/>
  <c r="B273"/>
  <c r="A273"/>
  <c r="E272"/>
  <c r="B272"/>
  <c r="A272"/>
  <c r="E271"/>
  <c r="B271"/>
  <c r="A271"/>
  <c r="E270"/>
  <c r="B270"/>
  <c r="A270"/>
  <c r="E269"/>
  <c r="B269"/>
  <c r="A269"/>
  <c r="E268"/>
  <c r="B268"/>
  <c r="A268"/>
  <c r="E267"/>
  <c r="B267"/>
  <c r="A267"/>
  <c r="E266"/>
  <c r="B266"/>
  <c r="A266"/>
  <c r="E265"/>
  <c r="B265"/>
  <c r="A265"/>
  <c r="E264"/>
  <c r="B264"/>
  <c r="A264"/>
  <c r="E263"/>
  <c r="B263"/>
  <c r="A263"/>
  <c r="E262"/>
  <c r="B262"/>
  <c r="A262"/>
  <c r="E261"/>
  <c r="B261"/>
  <c r="A261"/>
  <c r="E260"/>
  <c r="B260"/>
  <c r="A260"/>
  <c r="E259"/>
  <c r="B259"/>
  <c r="A259"/>
  <c r="E258"/>
  <c r="B258"/>
  <c r="A258"/>
  <c r="E257"/>
  <c r="B257"/>
  <c r="A257"/>
  <c r="E256"/>
  <c r="B256"/>
  <c r="A256"/>
  <c r="E255"/>
  <c r="B255"/>
  <c r="A255"/>
  <c r="E254"/>
  <c r="B254"/>
  <c r="A254"/>
  <c r="E253"/>
  <c r="B253"/>
  <c r="A253"/>
  <c r="E252"/>
  <c r="B252"/>
  <c r="A252"/>
  <c r="E251"/>
  <c r="B251"/>
  <c r="A251"/>
  <c r="E250"/>
  <c r="B250"/>
  <c r="A250"/>
  <c r="E249"/>
  <c r="B249"/>
  <c r="A249"/>
  <c r="E248"/>
  <c r="B248"/>
  <c r="A248"/>
  <c r="E247"/>
  <c r="B247"/>
  <c r="A247"/>
  <c r="E246"/>
  <c r="B246"/>
  <c r="A246"/>
  <c r="E245"/>
  <c r="B245"/>
  <c r="A245"/>
  <c r="E244"/>
  <c r="B244"/>
  <c r="A244"/>
  <c r="E243"/>
  <c r="B243"/>
  <c r="A243"/>
  <c r="E242"/>
  <c r="B242"/>
  <c r="A242"/>
  <c r="E241"/>
  <c r="B241"/>
  <c r="A241"/>
  <c r="E240"/>
  <c r="B240"/>
  <c r="A240"/>
  <c r="E239"/>
  <c r="B239"/>
  <c r="A239"/>
  <c r="E238"/>
  <c r="B238"/>
  <c r="A238"/>
  <c r="E237"/>
  <c r="B237"/>
  <c r="A237"/>
  <c r="E236"/>
  <c r="B236"/>
  <c r="A236"/>
  <c r="E235"/>
  <c r="B235"/>
  <c r="A235"/>
  <c r="E234"/>
  <c r="B234"/>
  <c r="A234"/>
  <c r="E233"/>
  <c r="B233"/>
  <c r="A233"/>
  <c r="E232"/>
  <c r="B232"/>
  <c r="A232"/>
  <c r="E231"/>
  <c r="B231"/>
  <c r="A231"/>
  <c r="E230"/>
  <c r="B230"/>
  <c r="A230"/>
  <c r="E229"/>
  <c r="B229"/>
  <c r="A229"/>
  <c r="E228"/>
  <c r="B228"/>
  <c r="A228"/>
  <c r="E227"/>
  <c r="B227"/>
  <c r="A227"/>
  <c r="E226"/>
  <c r="B226"/>
  <c r="A226"/>
  <c r="E225"/>
  <c r="B225"/>
  <c r="A225"/>
  <c r="E224"/>
  <c r="B224"/>
  <c r="A224"/>
  <c r="E223"/>
  <c r="B223"/>
  <c r="A223"/>
  <c r="E222"/>
  <c r="B222"/>
  <c r="A222"/>
  <c r="E221"/>
  <c r="B221"/>
  <c r="A221"/>
  <c r="E220"/>
  <c r="B220"/>
  <c r="A220"/>
  <c r="E219"/>
  <c r="B219"/>
  <c r="A219"/>
  <c r="E218"/>
  <c r="B218"/>
  <c r="A218"/>
  <c r="E217"/>
  <c r="B217"/>
  <c r="A217"/>
  <c r="E216"/>
  <c r="B216"/>
  <c r="A216"/>
  <c r="E215"/>
  <c r="B215"/>
  <c r="A215"/>
  <c r="E214"/>
  <c r="B214"/>
  <c r="A214"/>
  <c r="E213"/>
  <c r="B213"/>
  <c r="A213"/>
  <c r="E212"/>
  <c r="B212"/>
  <c r="A212"/>
  <c r="E211"/>
  <c r="B211"/>
  <c r="A211"/>
  <c r="E210"/>
  <c r="B210"/>
  <c r="A210"/>
  <c r="E209"/>
  <c r="B209"/>
  <c r="A209"/>
  <c r="E208"/>
  <c r="B208"/>
  <c r="A208"/>
  <c r="E207"/>
  <c r="B207"/>
  <c r="A207"/>
  <c r="E206"/>
  <c r="B206"/>
  <c r="A206"/>
  <c r="E205"/>
  <c r="B205"/>
  <c r="A205"/>
  <c r="E204"/>
  <c r="B204"/>
  <c r="A204"/>
  <c r="E203"/>
  <c r="B203"/>
  <c r="A203"/>
  <c r="E202"/>
  <c r="B202"/>
  <c r="A202"/>
  <c r="E201"/>
  <c r="B201"/>
  <c r="A201"/>
  <c r="E200"/>
  <c r="B200"/>
  <c r="A200"/>
  <c r="E199"/>
  <c r="B199"/>
  <c r="A199"/>
  <c r="E198"/>
  <c r="B198"/>
  <c r="A198"/>
  <c r="E197"/>
  <c r="B197"/>
  <c r="A197"/>
  <c r="E196"/>
  <c r="B196"/>
  <c r="A196"/>
  <c r="E195"/>
  <c r="B195"/>
  <c r="A195"/>
  <c r="E194"/>
  <c r="B194"/>
  <c r="A194"/>
  <c r="E193"/>
  <c r="B193"/>
  <c r="A193"/>
  <c r="E192"/>
  <c r="B192"/>
  <c r="A192"/>
  <c r="E191"/>
  <c r="B191"/>
  <c r="A191"/>
  <c r="E190"/>
  <c r="B190"/>
  <c r="A190"/>
  <c r="E189"/>
  <c r="B189"/>
  <c r="A189"/>
  <c r="E188"/>
  <c r="B188"/>
  <c r="A188"/>
  <c r="E187"/>
  <c r="B187"/>
  <c r="A187"/>
  <c r="E186"/>
  <c r="B186"/>
  <c r="A186"/>
  <c r="E185"/>
  <c r="B185"/>
  <c r="A185"/>
  <c r="E184"/>
  <c r="B184"/>
  <c r="A184"/>
  <c r="E183"/>
  <c r="B183"/>
  <c r="A183"/>
  <c r="E182"/>
  <c r="B182"/>
  <c r="A182"/>
  <c r="E181"/>
  <c r="B181"/>
  <c r="A181"/>
  <c r="E180"/>
  <c r="B180"/>
  <c r="A180"/>
  <c r="E179"/>
  <c r="B179"/>
  <c r="A179"/>
  <c r="E178"/>
  <c r="B178"/>
  <c r="A178"/>
  <c r="E177"/>
  <c r="B177"/>
  <c r="A177"/>
  <c r="E176"/>
  <c r="B176"/>
  <c r="A176"/>
  <c r="E175"/>
  <c r="B175"/>
  <c r="A175"/>
  <c r="E174"/>
  <c r="B174"/>
  <c r="A174"/>
  <c r="E173"/>
  <c r="B173"/>
  <c r="A173"/>
  <c r="E172"/>
  <c r="B172"/>
  <c r="A172"/>
  <c r="E171"/>
  <c r="B171"/>
  <c r="A171"/>
  <c r="E170"/>
  <c r="B170"/>
  <c r="A170"/>
  <c r="E169"/>
  <c r="B169"/>
  <c r="A169"/>
  <c r="E168"/>
  <c r="B168"/>
  <c r="A168"/>
  <c r="E167"/>
  <c r="B167"/>
  <c r="A167"/>
  <c r="E166"/>
  <c r="B166"/>
  <c r="A166"/>
  <c r="E165"/>
  <c r="B165"/>
  <c r="A165"/>
  <c r="E164"/>
  <c r="B164"/>
  <c r="A164"/>
  <c r="E163"/>
  <c r="B163"/>
  <c r="A163"/>
  <c r="E162"/>
  <c r="B162"/>
  <c r="A162"/>
  <c r="E161"/>
  <c r="B161"/>
  <c r="A161"/>
  <c r="E160"/>
  <c r="B160"/>
  <c r="A160"/>
  <c r="E159"/>
  <c r="B159"/>
  <c r="A159"/>
  <c r="E158"/>
  <c r="B158"/>
  <c r="A158"/>
  <c r="E157"/>
  <c r="B157"/>
  <c r="A157"/>
  <c r="E156"/>
  <c r="B156"/>
  <c r="A156"/>
  <c r="E155"/>
  <c r="B155"/>
  <c r="A155"/>
  <c r="E154"/>
  <c r="B154"/>
  <c r="A154"/>
  <c r="E153"/>
  <c r="B153"/>
  <c r="A153"/>
  <c r="E152"/>
  <c r="B152"/>
  <c r="A152"/>
  <c r="E151"/>
  <c r="B151"/>
  <c r="A151"/>
  <c r="E150"/>
  <c r="B150"/>
  <c r="A150"/>
  <c r="E149"/>
  <c r="B149"/>
  <c r="A149"/>
  <c r="E148"/>
  <c r="B148"/>
  <c r="A148"/>
  <c r="E147"/>
  <c r="B147"/>
  <c r="A147"/>
  <c r="E146"/>
  <c r="B146"/>
  <c r="A146"/>
  <c r="E145"/>
  <c r="B145"/>
  <c r="A145"/>
  <c r="E144"/>
  <c r="B144"/>
  <c r="A144"/>
  <c r="E143"/>
  <c r="B143"/>
  <c r="A143"/>
  <c r="E142"/>
  <c r="B142"/>
  <c r="A142"/>
  <c r="E141"/>
  <c r="B141"/>
  <c r="A141"/>
  <c r="E140"/>
  <c r="B140"/>
  <c r="A140"/>
  <c r="E139"/>
  <c r="B139"/>
  <c r="A139"/>
  <c r="E138"/>
  <c r="B138"/>
  <c r="A138"/>
  <c r="E137"/>
  <c r="B137"/>
  <c r="A137"/>
  <c r="E136"/>
  <c r="B136"/>
  <c r="A136"/>
  <c r="E135"/>
  <c r="B135"/>
  <c r="A135"/>
  <c r="E134"/>
  <c r="B134"/>
  <c r="A134"/>
  <c r="E133"/>
  <c r="B133"/>
  <c r="A133"/>
  <c r="E132"/>
  <c r="B132"/>
  <c r="A132"/>
  <c r="E131"/>
  <c r="B131"/>
  <c r="A131"/>
  <c r="E130"/>
  <c r="B130"/>
  <c r="A130"/>
  <c r="E129"/>
  <c r="B129"/>
  <c r="A129"/>
  <c r="E128"/>
  <c r="B128"/>
  <c r="A128"/>
  <c r="E127"/>
  <c r="B127"/>
  <c r="A127"/>
  <c r="E126"/>
  <c r="B126"/>
  <c r="A126"/>
  <c r="E125"/>
  <c r="B125"/>
  <c r="A125"/>
  <c r="E124"/>
  <c r="B124"/>
  <c r="A124"/>
  <c r="E123"/>
  <c r="B123"/>
  <c r="A123"/>
  <c r="E122"/>
  <c r="B122"/>
  <c r="A122"/>
  <c r="E121"/>
  <c r="B121"/>
  <c r="A121"/>
  <c r="E120"/>
  <c r="B120"/>
  <c r="A120"/>
  <c r="E119"/>
  <c r="B119"/>
  <c r="A119"/>
  <c r="E118"/>
  <c r="B118"/>
  <c r="A118"/>
  <c r="E117"/>
  <c r="B117"/>
  <c r="A117"/>
  <c r="E116"/>
  <c r="B116"/>
  <c r="A116"/>
  <c r="E115"/>
  <c r="B115"/>
  <c r="A115"/>
  <c r="E114"/>
  <c r="B114"/>
  <c r="A114"/>
  <c r="E113"/>
  <c r="B113"/>
  <c r="A113"/>
  <c r="E112"/>
  <c r="B112"/>
  <c r="A112"/>
  <c r="E111"/>
  <c r="B111"/>
  <c r="A111"/>
  <c r="E110"/>
  <c r="B110"/>
  <c r="A110"/>
  <c r="E109"/>
  <c r="B109"/>
  <c r="A109"/>
  <c r="E108"/>
  <c r="B108"/>
  <c r="A108"/>
  <c r="E107"/>
  <c r="B107"/>
  <c r="A107"/>
  <c r="E106"/>
  <c r="B106"/>
  <c r="A106"/>
  <c r="E105"/>
  <c r="B105"/>
  <c r="A105"/>
  <c r="E104"/>
  <c r="B104"/>
  <c r="A104"/>
  <c r="E103"/>
  <c r="B103"/>
  <c r="A103"/>
  <c r="E102"/>
  <c r="B102"/>
  <c r="A102"/>
  <c r="E101"/>
  <c r="B101"/>
  <c r="A101"/>
  <c r="E100"/>
  <c r="B100"/>
  <c r="A100"/>
  <c r="E99"/>
  <c r="B99"/>
  <c r="A99"/>
  <c r="E98"/>
  <c r="B98"/>
  <c r="A98"/>
  <c r="E97"/>
  <c r="B97"/>
  <c r="A97"/>
  <c r="E96"/>
  <c r="B96"/>
  <c r="A96"/>
  <c r="E95"/>
  <c r="B95"/>
  <c r="A95"/>
  <c r="E94"/>
  <c r="B94"/>
  <c r="A94"/>
  <c r="E93"/>
  <c r="B93"/>
  <c r="A93"/>
  <c r="E92"/>
  <c r="B92"/>
  <c r="A92"/>
  <c r="E91"/>
  <c r="B91"/>
  <c r="A91"/>
  <c r="E90"/>
  <c r="B90"/>
  <c r="A90"/>
  <c r="E89"/>
  <c r="B89"/>
  <c r="A89"/>
  <c r="E88"/>
  <c r="B88"/>
  <c r="A88"/>
  <c r="E87"/>
  <c r="B87"/>
  <c r="A87"/>
  <c r="E86"/>
  <c r="B86"/>
  <c r="A86"/>
  <c r="E85"/>
  <c r="B85"/>
  <c r="A85"/>
  <c r="E84"/>
  <c r="B84"/>
  <c r="A84"/>
  <c r="E83"/>
  <c r="B83"/>
  <c r="A83"/>
  <c r="E82"/>
  <c r="B82"/>
  <c r="A82"/>
  <c r="E81"/>
  <c r="B81"/>
  <c r="A81"/>
  <c r="E80"/>
  <c r="B80"/>
  <c r="A80"/>
  <c r="E79"/>
  <c r="B79"/>
  <c r="A79"/>
  <c r="E78"/>
  <c r="B78"/>
  <c r="A78"/>
  <c r="E77"/>
  <c r="B77"/>
  <c r="A77"/>
  <c r="E76"/>
  <c r="B76"/>
  <c r="A76"/>
  <c r="E75"/>
  <c r="B75"/>
  <c r="A75"/>
  <c r="E74"/>
  <c r="B74"/>
  <c r="A74"/>
  <c r="E73"/>
  <c r="B73"/>
  <c r="A73"/>
  <c r="E72"/>
  <c r="B72"/>
  <c r="A72"/>
  <c r="E71"/>
  <c r="B71"/>
  <c r="A71"/>
  <c r="E70"/>
  <c r="B70"/>
  <c r="A70"/>
  <c r="E69"/>
  <c r="B69"/>
  <c r="A69"/>
  <c r="E68"/>
  <c r="B68"/>
  <c r="A68"/>
  <c r="E67"/>
  <c r="B67"/>
  <c r="A67"/>
  <c r="E66"/>
  <c r="B66"/>
  <c r="A66"/>
  <c r="E65"/>
  <c r="B65"/>
  <c r="A65"/>
  <c r="E64"/>
  <c r="B64"/>
  <c r="A64"/>
  <c r="E63"/>
  <c r="B63"/>
  <c r="A63"/>
  <c r="E62"/>
  <c r="B62"/>
  <c r="A62"/>
  <c r="E61"/>
  <c r="B61"/>
  <c r="A61"/>
  <c r="E60"/>
  <c r="B60"/>
  <c r="A60"/>
  <c r="E59"/>
  <c r="B59"/>
  <c r="A59"/>
  <c r="E58"/>
  <c r="B58"/>
  <c r="A58"/>
  <c r="E57"/>
  <c r="B57"/>
  <c r="A57"/>
  <c r="E56"/>
  <c r="B56"/>
  <c r="A56"/>
  <c r="E55"/>
  <c r="B55"/>
  <c r="A55"/>
  <c r="E54"/>
  <c r="B54"/>
  <c r="A54"/>
  <c r="E53"/>
  <c r="B53"/>
  <c r="A53"/>
  <c r="E52"/>
  <c r="B52"/>
  <c r="A52"/>
  <c r="E51"/>
  <c r="B51"/>
  <c r="A51"/>
  <c r="E50"/>
  <c r="B50"/>
  <c r="A50"/>
  <c r="E49"/>
  <c r="B49"/>
  <c r="A49"/>
  <c r="E48"/>
  <c r="B48"/>
  <c r="A48"/>
  <c r="E47"/>
  <c r="B47"/>
  <c r="A47"/>
  <c r="E46"/>
  <c r="B46"/>
  <c r="A46"/>
  <c r="E45"/>
  <c r="B45"/>
  <c r="A45"/>
  <c r="E44"/>
  <c r="B44"/>
  <c r="A44"/>
  <c r="E43"/>
  <c r="B43"/>
  <c r="A43"/>
  <c r="E42"/>
  <c r="B42"/>
  <c r="A42"/>
  <c r="E41"/>
  <c r="B41"/>
  <c r="A41"/>
  <c r="E40"/>
  <c r="B40"/>
  <c r="A40"/>
  <c r="E39"/>
  <c r="B39"/>
  <c r="A39"/>
  <c r="E38"/>
  <c r="B38"/>
  <c r="A38"/>
  <c r="E37"/>
  <c r="B37"/>
  <c r="A37"/>
  <c r="E36"/>
  <c r="B36"/>
  <c r="A36"/>
  <c r="E35"/>
  <c r="B35"/>
  <c r="A35"/>
  <c r="E34"/>
  <c r="B34"/>
  <c r="A34"/>
  <c r="E33"/>
  <c r="B33"/>
  <c r="A33"/>
  <c r="E32"/>
  <c r="B32"/>
  <c r="A32"/>
  <c r="E31"/>
  <c r="B31"/>
  <c r="A31"/>
  <c r="E30"/>
  <c r="B30"/>
  <c r="A30"/>
  <c r="E29"/>
  <c r="B29"/>
  <c r="A29"/>
  <c r="E28"/>
  <c r="B28"/>
  <c r="A28"/>
  <c r="E27"/>
  <c r="B27"/>
  <c r="A27"/>
  <c r="E26"/>
  <c r="B26"/>
  <c r="A26"/>
  <c r="E25"/>
  <c r="B25"/>
  <c r="A25"/>
  <c r="E24"/>
  <c r="B24"/>
  <c r="A24"/>
  <c r="E23"/>
  <c r="B23"/>
  <c r="A23"/>
  <c r="E22"/>
  <c r="B22"/>
  <c r="A22"/>
  <c r="E21"/>
  <c r="B21"/>
  <c r="A21"/>
  <c r="E20"/>
  <c r="B20"/>
  <c r="A20"/>
  <c r="E19"/>
  <c r="B19"/>
  <c r="A19"/>
  <c r="E18"/>
  <c r="B18"/>
  <c r="A18"/>
  <c r="E17"/>
  <c r="B17"/>
  <c r="A17"/>
  <c r="E16"/>
  <c r="B16"/>
  <c r="A16"/>
  <c r="E15"/>
  <c r="B15"/>
  <c r="A15"/>
  <c r="E14"/>
  <c r="B14"/>
  <c r="A14"/>
  <c r="E13"/>
  <c r="B13"/>
  <c r="A13"/>
  <c r="E12"/>
  <c r="B12"/>
  <c r="A12"/>
  <c r="E11"/>
  <c r="B11"/>
  <c r="A11"/>
  <c r="E10"/>
  <c r="B10"/>
  <c r="A10"/>
  <c r="E9"/>
  <c r="B9"/>
  <c r="A9"/>
  <c r="E8"/>
  <c r="B8"/>
  <c r="A8"/>
  <c r="E7"/>
  <c r="B7"/>
  <c r="A7"/>
  <c r="E6"/>
  <c r="B6"/>
  <c r="A6"/>
  <c r="E5"/>
  <c r="B5"/>
  <c r="A5"/>
  <c r="E4"/>
  <c r="B4"/>
  <c r="A4"/>
  <c r="E3"/>
  <c r="B3"/>
  <c r="A3"/>
  <c r="E2"/>
  <c r="B2"/>
  <c r="A2"/>
  <c r="C1125" i="14"/>
  <c r="C1124"/>
  <c r="C1123"/>
  <c r="C1122"/>
  <c r="C1121"/>
  <c r="C1120"/>
  <c r="C1119"/>
  <c r="C1118"/>
  <c r="C1117"/>
  <c r="C1116"/>
  <c r="C1115"/>
  <c r="C1114"/>
  <c r="C1113"/>
  <c r="C1112"/>
  <c r="C1111"/>
  <c r="C1110"/>
  <c r="C1109"/>
  <c r="C1108"/>
  <c r="C1107"/>
  <c r="C1106"/>
  <c r="C1105"/>
  <c r="C1104"/>
  <c r="C1103"/>
  <c r="C1102"/>
  <c r="C1101"/>
  <c r="C1100"/>
  <c r="C1099"/>
  <c r="C1098"/>
  <c r="C1097"/>
  <c r="C1096"/>
  <c r="C1095"/>
  <c r="C1094"/>
  <c r="C1093"/>
  <c r="C1092"/>
  <c r="C1091"/>
  <c r="C1090"/>
  <c r="C1089"/>
  <c r="C1088"/>
  <c r="C1087"/>
  <c r="C1086"/>
  <c r="C1085"/>
  <c r="C1084"/>
  <c r="C1083"/>
  <c r="C1082"/>
  <c r="C1081"/>
  <c r="C1080"/>
  <c r="C1079"/>
  <c r="C1078"/>
  <c r="C1077"/>
  <c r="C1076"/>
  <c r="C1075"/>
  <c r="C1074"/>
  <c r="C1073"/>
  <c r="C1072"/>
  <c r="C1071"/>
  <c r="C1070"/>
  <c r="C1069"/>
  <c r="C1068"/>
  <c r="C1067"/>
  <c r="C1066"/>
  <c r="C1065"/>
  <c r="C1064"/>
  <c r="C1063"/>
  <c r="C1062"/>
  <c r="C1061"/>
  <c r="C1060"/>
  <c r="C1059"/>
  <c r="C1058"/>
  <c r="C1057"/>
  <c r="C1056"/>
  <c r="C1055"/>
  <c r="C1054"/>
  <c r="C1053"/>
  <c r="C1052"/>
  <c r="C1051"/>
  <c r="C1050"/>
  <c r="C1049"/>
  <c r="C1048"/>
  <c r="C1047"/>
  <c r="C1046"/>
  <c r="C1045"/>
  <c r="C1044"/>
  <c r="C1043"/>
  <c r="C1042"/>
  <c r="C1041"/>
  <c r="C1040"/>
  <c r="C1039"/>
  <c r="C1038"/>
  <c r="C1037"/>
  <c r="C1036"/>
  <c r="C1035"/>
  <c r="C1034"/>
  <c r="C1033"/>
  <c r="C1032"/>
  <c r="C1031"/>
  <c r="C1030"/>
  <c r="C1029"/>
  <c r="C1028"/>
  <c r="C1027"/>
  <c r="C1026"/>
  <c r="C1025"/>
  <c r="C1024"/>
  <c r="C1023"/>
  <c r="C1022"/>
  <c r="C1021"/>
  <c r="C1020"/>
  <c r="C1019"/>
  <c r="C1018"/>
  <c r="C1017"/>
  <c r="C1016"/>
  <c r="C1015"/>
  <c r="C1014"/>
  <c r="C1013"/>
  <c r="C1012"/>
  <c r="C1011"/>
  <c r="C1010"/>
  <c r="C1009"/>
  <c r="C1008"/>
  <c r="C1007"/>
  <c r="C1006"/>
  <c r="C1005"/>
  <c r="C1004"/>
  <c r="C1003"/>
  <c r="C1002"/>
  <c r="C1001"/>
  <c r="C1000"/>
  <c r="C999"/>
  <c r="C998"/>
  <c r="C997"/>
  <c r="C996"/>
  <c r="C995"/>
  <c r="C994"/>
  <c r="C993"/>
  <c r="C992"/>
  <c r="C991"/>
  <c r="C990"/>
  <c r="C989"/>
  <c r="C988"/>
  <c r="C987"/>
  <c r="C986"/>
  <c r="C985"/>
  <c r="C984"/>
  <c r="C983"/>
  <c r="C982"/>
  <c r="C981"/>
  <c r="C980"/>
  <c r="C979"/>
  <c r="C978"/>
  <c r="C977"/>
  <c r="C976"/>
  <c r="C975"/>
  <c r="C974"/>
  <c r="C973"/>
  <c r="C972"/>
  <c r="C971"/>
  <c r="C970"/>
  <c r="C969"/>
  <c r="C968"/>
  <c r="C967"/>
  <c r="C966"/>
  <c r="C965"/>
  <c r="C964"/>
  <c r="C963"/>
  <c r="C962"/>
  <c r="C961"/>
  <c r="C960"/>
  <c r="C959"/>
  <c r="C958"/>
  <c r="C957"/>
  <c r="C956"/>
  <c r="C955"/>
  <c r="C954"/>
  <c r="C953"/>
  <c r="C952"/>
  <c r="C951"/>
  <c r="C950"/>
  <c r="C949"/>
  <c r="C948"/>
  <c r="C947"/>
  <c r="C946"/>
  <c r="C945"/>
  <c r="C944"/>
  <c r="C943"/>
  <c r="C942"/>
  <c r="C941"/>
  <c r="C940"/>
  <c r="C939"/>
  <c r="C938"/>
  <c r="C937"/>
  <c r="C936"/>
  <c r="C935"/>
  <c r="C934"/>
  <c r="C933"/>
  <c r="C932"/>
  <c r="C931"/>
  <c r="C930"/>
  <c r="C929"/>
  <c r="C928"/>
  <c r="C927"/>
  <c r="C926"/>
  <c r="C925"/>
  <c r="C924"/>
  <c r="C923"/>
  <c r="C922"/>
  <c r="C921"/>
  <c r="C920"/>
  <c r="C919"/>
  <c r="C918"/>
  <c r="C917"/>
  <c r="C916"/>
  <c r="C915"/>
  <c r="C914"/>
  <c r="C913"/>
  <c r="C912"/>
  <c r="C911"/>
  <c r="C910"/>
  <c r="C909"/>
  <c r="C908"/>
  <c r="C907"/>
  <c r="C906"/>
  <c r="C905"/>
  <c r="C904"/>
  <c r="C903"/>
  <c r="C902"/>
  <c r="C901"/>
  <c r="C900"/>
  <c r="C899"/>
  <c r="C898"/>
  <c r="C897"/>
  <c r="C896"/>
  <c r="C895"/>
  <c r="C894"/>
  <c r="C893"/>
  <c r="C892"/>
  <c r="C891"/>
  <c r="C890"/>
  <c r="C889"/>
  <c r="C888"/>
  <c r="C887"/>
  <c r="C886"/>
  <c r="C885"/>
  <c r="C884"/>
  <c r="C883"/>
  <c r="C882"/>
  <c r="C881"/>
  <c r="C880"/>
  <c r="C879"/>
  <c r="C878"/>
  <c r="C877"/>
  <c r="C876"/>
  <c r="C875"/>
  <c r="C874"/>
  <c r="C873"/>
  <c r="C872"/>
  <c r="C871"/>
  <c r="C870"/>
  <c r="C869"/>
  <c r="C868"/>
  <c r="C867"/>
  <c r="C866"/>
  <c r="C865"/>
  <c r="C864"/>
  <c r="C863"/>
  <c r="C862"/>
  <c r="C861"/>
  <c r="C860"/>
  <c r="C859"/>
  <c r="C858"/>
  <c r="C857"/>
  <c r="C856"/>
  <c r="C855"/>
  <c r="C854"/>
  <c r="C853"/>
  <c r="C852"/>
  <c r="C851"/>
  <c r="C850"/>
  <c r="C849"/>
  <c r="C848"/>
  <c r="C847"/>
  <c r="C846"/>
  <c r="C845"/>
  <c r="C844"/>
  <c r="C843"/>
  <c r="C842"/>
  <c r="C841"/>
  <c r="C840"/>
  <c r="C839"/>
  <c r="C838"/>
  <c r="C837"/>
  <c r="C836"/>
  <c r="C835"/>
  <c r="C834"/>
  <c r="C833"/>
  <c r="C832"/>
  <c r="C831"/>
  <c r="C830"/>
  <c r="C829"/>
  <c r="C828"/>
  <c r="C827"/>
  <c r="C826"/>
  <c r="C825"/>
  <c r="C824"/>
  <c r="C823"/>
  <c r="C822"/>
  <c r="C821"/>
  <c r="C820"/>
  <c r="C819"/>
  <c r="C818"/>
  <c r="C817"/>
  <c r="C816"/>
  <c r="C815"/>
  <c r="C814"/>
  <c r="C813"/>
  <c r="C812"/>
  <c r="C811"/>
  <c r="C810"/>
  <c r="C809"/>
  <c r="C808"/>
  <c r="C807"/>
  <c r="C806"/>
  <c r="C805"/>
  <c r="C804"/>
  <c r="C803"/>
  <c r="C802"/>
  <c r="C801"/>
  <c r="C800"/>
  <c r="C799"/>
  <c r="C798"/>
  <c r="C797"/>
  <c r="C796"/>
  <c r="C795"/>
  <c r="C794"/>
  <c r="C793"/>
  <c r="C792"/>
  <c r="C791"/>
  <c r="C790"/>
  <c r="C789"/>
  <c r="C788"/>
  <c r="C787"/>
  <c r="C786"/>
  <c r="C785"/>
  <c r="C784"/>
  <c r="C783"/>
  <c r="C782"/>
  <c r="C781"/>
  <c r="C780"/>
  <c r="C779"/>
  <c r="C778"/>
  <c r="C777"/>
  <c r="C776"/>
  <c r="C775"/>
  <c r="C774"/>
  <c r="C773"/>
  <c r="C772"/>
  <c r="C771"/>
  <c r="C770"/>
  <c r="C769"/>
  <c r="C768"/>
  <c r="C767"/>
  <c r="C766"/>
  <c r="C765"/>
  <c r="C764"/>
  <c r="C763"/>
  <c r="C762"/>
  <c r="C761"/>
  <c r="C760"/>
  <c r="C759"/>
  <c r="C758"/>
  <c r="C757"/>
  <c r="C756"/>
  <c r="C755"/>
  <c r="C754"/>
  <c r="C753"/>
  <c r="C752"/>
  <c r="C751"/>
  <c r="C750"/>
  <c r="C749"/>
  <c r="C748"/>
  <c r="C747"/>
  <c r="C746"/>
  <c r="C745"/>
  <c r="C744"/>
  <c r="C743"/>
  <c r="C742"/>
  <c r="C741"/>
  <c r="C740"/>
  <c r="C739"/>
  <c r="C738"/>
  <c r="C737"/>
  <c r="C736"/>
  <c r="C735"/>
  <c r="C734"/>
  <c r="C733"/>
  <c r="C732"/>
  <c r="C731"/>
  <c r="C730"/>
  <c r="C729"/>
  <c r="C728"/>
  <c r="C727"/>
  <c r="C726"/>
  <c r="C725"/>
  <c r="C724"/>
  <c r="C723"/>
  <c r="C722"/>
  <c r="C721"/>
  <c r="C720"/>
  <c r="C719"/>
  <c r="C718"/>
  <c r="C717"/>
  <c r="C716"/>
  <c r="C715"/>
  <c r="C714"/>
  <c r="C713"/>
  <c r="C712"/>
  <c r="C711"/>
  <c r="C710"/>
  <c r="C709"/>
  <c r="C708"/>
  <c r="C707"/>
  <c r="C706"/>
  <c r="C705"/>
  <c r="C704"/>
  <c r="C703"/>
  <c r="C702"/>
  <c r="C701"/>
  <c r="C700"/>
  <c r="C699"/>
  <c r="C698"/>
  <c r="C697"/>
  <c r="C696"/>
  <c r="C695"/>
  <c r="C694"/>
  <c r="C693"/>
  <c r="C692"/>
  <c r="C691"/>
  <c r="C690"/>
  <c r="C689"/>
  <c r="C688"/>
  <c r="C687"/>
  <c r="C686"/>
  <c r="C685"/>
  <c r="C684"/>
  <c r="C683"/>
  <c r="C682"/>
  <c r="C681"/>
  <c r="C680"/>
  <c r="C679"/>
  <c r="C678"/>
  <c r="C677"/>
  <c r="C676"/>
  <c r="C675"/>
  <c r="C674"/>
  <c r="C673"/>
  <c r="C672"/>
  <c r="C671"/>
  <c r="C670"/>
  <c r="C669"/>
  <c r="C668"/>
  <c r="C667"/>
  <c r="C666"/>
  <c r="C665"/>
  <c r="C664"/>
  <c r="C663"/>
  <c r="C662"/>
  <c r="C661"/>
  <c r="C660"/>
  <c r="C659"/>
  <c r="C658"/>
  <c r="C657"/>
  <c r="C656"/>
  <c r="C655"/>
  <c r="C654"/>
  <c r="C653"/>
  <c r="C652"/>
  <c r="C651"/>
  <c r="C650"/>
  <c r="C649"/>
  <c r="C648"/>
  <c r="C647"/>
  <c r="C646"/>
  <c r="C645"/>
  <c r="C644"/>
  <c r="C643"/>
  <c r="C642"/>
  <c r="C641"/>
  <c r="C640"/>
  <c r="C639"/>
  <c r="C638"/>
  <c r="C637"/>
  <c r="C636"/>
  <c r="C635"/>
  <c r="C634"/>
  <c r="C633"/>
  <c r="C632"/>
  <c r="C631"/>
  <c r="C630"/>
  <c r="C629"/>
  <c r="C628"/>
  <c r="C627"/>
  <c r="C626"/>
  <c r="C625"/>
  <c r="C624"/>
  <c r="C623"/>
  <c r="C622"/>
  <c r="C621"/>
  <c r="C620"/>
  <c r="C619"/>
  <c r="C618"/>
  <c r="C617"/>
  <c r="C616"/>
  <c r="C615"/>
  <c r="C614"/>
  <c r="C613"/>
  <c r="C612"/>
  <c r="C611"/>
  <c r="C610"/>
  <c r="C609"/>
  <c r="C608"/>
  <c r="C607"/>
  <c r="C606"/>
  <c r="C605"/>
  <c r="C604"/>
  <c r="C603"/>
  <c r="C602"/>
  <c r="C601"/>
  <c r="C600"/>
  <c r="C599"/>
  <c r="C598"/>
  <c r="C597"/>
  <c r="C596"/>
  <c r="C595"/>
  <c r="C594"/>
  <c r="C593"/>
  <c r="C592"/>
  <c r="C591"/>
  <c r="C590"/>
  <c r="C589"/>
  <c r="C588"/>
  <c r="C587"/>
  <c r="C586"/>
  <c r="C585"/>
  <c r="C584"/>
  <c r="C583"/>
  <c r="C582"/>
  <c r="C581"/>
  <c r="C580"/>
  <c r="C579"/>
  <c r="C578"/>
  <c r="C577"/>
  <c r="C576"/>
  <c r="C575"/>
  <c r="C574"/>
  <c r="C573"/>
  <c r="C572"/>
  <c r="C571"/>
  <c r="C570"/>
  <c r="C569"/>
  <c r="C568"/>
  <c r="C567"/>
  <c r="C566"/>
  <c r="C565"/>
  <c r="C564"/>
  <c r="C563"/>
  <c r="C562"/>
  <c r="C561"/>
  <c r="C560"/>
  <c r="C559"/>
  <c r="C558"/>
  <c r="C557"/>
  <c r="C556"/>
  <c r="C555"/>
  <c r="C554"/>
  <c r="C553"/>
  <c r="C552"/>
  <c r="C551"/>
  <c r="C550"/>
  <c r="C549"/>
  <c r="C548"/>
  <c r="C547"/>
  <c r="C546"/>
  <c r="C545"/>
  <c r="C544"/>
  <c r="C543"/>
  <c r="C542"/>
  <c r="C541"/>
  <c r="C540"/>
  <c r="C539"/>
  <c r="C538"/>
  <c r="C537"/>
  <c r="C536"/>
  <c r="C535"/>
  <c r="C534"/>
  <c r="C533"/>
  <c r="C532"/>
  <c r="C531"/>
  <c r="C530"/>
  <c r="C529"/>
  <c r="C528"/>
  <c r="C527"/>
  <c r="C526"/>
  <c r="C525"/>
  <c r="C524"/>
  <c r="C523"/>
  <c r="C522"/>
  <c r="C521"/>
  <c r="C520"/>
  <c r="C519"/>
  <c r="C518"/>
  <c r="C517"/>
  <c r="C516"/>
  <c r="C515"/>
  <c r="C514"/>
  <c r="C513"/>
  <c r="C512"/>
  <c r="C511"/>
  <c r="C510"/>
  <c r="C509"/>
  <c r="C508"/>
  <c r="C507"/>
  <c r="C506"/>
  <c r="C505"/>
  <c r="C504"/>
  <c r="C503"/>
  <c r="C502"/>
  <c r="C501"/>
  <c r="C500"/>
  <c r="C499"/>
  <c r="C498"/>
  <c r="C497"/>
  <c r="C496"/>
  <c r="C495"/>
  <c r="C494"/>
  <c r="C493"/>
  <c r="C492"/>
  <c r="C491"/>
  <c r="C490"/>
  <c r="C489"/>
  <c r="C488"/>
  <c r="C487"/>
  <c r="C486"/>
  <c r="C485"/>
  <c r="C484"/>
  <c r="C483"/>
  <c r="C482"/>
  <c r="C481"/>
  <c r="C480"/>
  <c r="C479"/>
  <c r="C478"/>
  <c r="C477"/>
  <c r="C476"/>
  <c r="C475"/>
  <c r="C474"/>
  <c r="C473"/>
  <c r="C472"/>
  <c r="C471"/>
  <c r="C470"/>
  <c r="C469"/>
  <c r="C468"/>
  <c r="C467"/>
  <c r="C466"/>
  <c r="C465"/>
  <c r="C464"/>
  <c r="C463"/>
  <c r="C462"/>
  <c r="C461"/>
  <c r="C460"/>
  <c r="C459"/>
  <c r="C458"/>
  <c r="C457"/>
  <c r="C456"/>
  <c r="C455"/>
  <c r="C454"/>
  <c r="C453"/>
  <c r="C452"/>
  <c r="C451"/>
  <c r="C450"/>
  <c r="C449"/>
  <c r="C448"/>
  <c r="C447"/>
  <c r="C446"/>
  <c r="C445"/>
  <c r="C444"/>
  <c r="C443"/>
  <c r="C442"/>
  <c r="C441"/>
  <c r="C440"/>
  <c r="C439"/>
  <c r="C438"/>
  <c r="C437"/>
  <c r="C436"/>
  <c r="C435"/>
  <c r="C434"/>
  <c r="C433"/>
  <c r="C432"/>
  <c r="C431"/>
  <c r="C430"/>
  <c r="C429"/>
  <c r="C428"/>
  <c r="C427"/>
  <c r="C426"/>
  <c r="C425"/>
  <c r="C424"/>
  <c r="C423"/>
  <c r="C422"/>
  <c r="C421"/>
  <c r="C420"/>
  <c r="C419"/>
  <c r="C418"/>
  <c r="C417"/>
  <c r="C416"/>
  <c r="C415"/>
  <c r="C414"/>
  <c r="C413"/>
  <c r="C412"/>
  <c r="C411"/>
  <c r="C410"/>
  <c r="C409"/>
  <c r="C408"/>
  <c r="C407"/>
  <c r="C406"/>
  <c r="C405"/>
  <c r="C404"/>
  <c r="C403"/>
  <c r="C402"/>
  <c r="C401"/>
  <c r="C400"/>
  <c r="C399"/>
  <c r="C398"/>
  <c r="C397"/>
  <c r="C396"/>
  <c r="C395"/>
  <c r="C394"/>
  <c r="C393"/>
  <c r="C392"/>
  <c r="C391"/>
  <c r="C390"/>
  <c r="C389"/>
  <c r="C388"/>
  <c r="C387"/>
  <c r="C386"/>
  <c r="C385"/>
  <c r="C384"/>
  <c r="C383"/>
  <c r="C382"/>
  <c r="C381"/>
  <c r="C380"/>
  <c r="C379"/>
  <c r="C378"/>
  <c r="C377"/>
  <c r="C376"/>
  <c r="C375"/>
  <c r="C374"/>
  <c r="C373"/>
  <c r="C372"/>
  <c r="C371"/>
  <c r="C370"/>
  <c r="C369"/>
  <c r="C368"/>
  <c r="C367"/>
  <c r="C366"/>
  <c r="C365"/>
  <c r="C364"/>
  <c r="C363"/>
  <c r="C362"/>
  <c r="C361"/>
  <c r="C360"/>
  <c r="C359"/>
  <c r="C358"/>
  <c r="C357"/>
  <c r="C356"/>
  <c r="C355"/>
  <c r="C354"/>
  <c r="C353"/>
  <c r="C352"/>
  <c r="C351"/>
  <c r="C350"/>
  <c r="C349"/>
  <c r="C348"/>
  <c r="C347"/>
  <c r="C346"/>
  <c r="C345"/>
  <c r="C344"/>
  <c r="C343"/>
  <c r="C342"/>
  <c r="C341"/>
  <c r="C340"/>
  <c r="C339"/>
  <c r="C338"/>
  <c r="C337"/>
  <c r="C336"/>
  <c r="C335"/>
  <c r="C334"/>
  <c r="C333"/>
  <c r="C332"/>
  <c r="C331"/>
  <c r="C330"/>
  <c r="C329"/>
  <c r="C328"/>
  <c r="C327"/>
  <c r="C326"/>
  <c r="C325"/>
  <c r="C324"/>
  <c r="C323"/>
  <c r="C322"/>
  <c r="C321"/>
  <c r="C320"/>
  <c r="C319"/>
  <c r="C318"/>
  <c r="C317"/>
  <c r="C316"/>
  <c r="C315"/>
  <c r="C314"/>
  <c r="C313"/>
  <c r="C312"/>
  <c r="C311"/>
  <c r="C310"/>
  <c r="C309"/>
  <c r="C308"/>
  <c r="C307"/>
  <c r="C306"/>
  <c r="C305"/>
  <c r="C304"/>
  <c r="C303"/>
  <c r="C302"/>
  <c r="C301"/>
  <c r="C300"/>
  <c r="C299"/>
  <c r="C298"/>
  <c r="C297"/>
  <c r="C296"/>
  <c r="C295"/>
  <c r="C294"/>
  <c r="C293"/>
  <c r="C292"/>
  <c r="C291"/>
  <c r="C290"/>
  <c r="C289"/>
  <c r="C288"/>
  <c r="C287"/>
  <c r="C286"/>
  <c r="C285"/>
  <c r="C284"/>
  <c r="C283"/>
  <c r="C282"/>
  <c r="C281"/>
  <c r="C280"/>
  <c r="C279"/>
  <c r="C278"/>
  <c r="C277"/>
  <c r="C276"/>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
  <c r="N800" i="18"/>
  <c r="M800"/>
  <c r="L800"/>
  <c r="K800"/>
  <c r="B800"/>
  <c r="A800"/>
  <c r="N799"/>
  <c r="M799"/>
  <c r="L799"/>
  <c r="K799"/>
  <c r="B799"/>
  <c r="A799"/>
  <c r="N798"/>
  <c r="M798"/>
  <c r="L798"/>
  <c r="K798"/>
  <c r="B798"/>
  <c r="A798"/>
  <c r="N797"/>
  <c r="M797"/>
  <c r="L797"/>
  <c r="K797"/>
  <c r="B797"/>
  <c r="A797"/>
  <c r="N796"/>
  <c r="M796"/>
  <c r="L796"/>
  <c r="K796"/>
  <c r="B796"/>
  <c r="A796"/>
  <c r="N795"/>
  <c r="M795"/>
  <c r="L795"/>
  <c r="K795"/>
  <c r="B795"/>
  <c r="A795"/>
  <c r="N794"/>
  <c r="M794"/>
  <c r="L794"/>
  <c r="K794"/>
  <c r="B794"/>
  <c r="A794"/>
  <c r="N793"/>
  <c r="M793"/>
  <c r="L793"/>
  <c r="K793"/>
  <c r="B793"/>
  <c r="A793"/>
  <c r="N792"/>
  <c r="M792"/>
  <c r="L792"/>
  <c r="K792"/>
  <c r="B792"/>
  <c r="A792"/>
  <c r="N791"/>
  <c r="M791"/>
  <c r="L791"/>
  <c r="K791"/>
  <c r="B791"/>
  <c r="A791"/>
  <c r="N790"/>
  <c r="M790"/>
  <c r="L790"/>
  <c r="K790"/>
  <c r="B790"/>
  <c r="A790"/>
  <c r="N789"/>
  <c r="M789"/>
  <c r="L789"/>
  <c r="K789"/>
  <c r="B789"/>
  <c r="A789"/>
  <c r="N788"/>
  <c r="M788"/>
  <c r="L788"/>
  <c r="K788"/>
  <c r="B788"/>
  <c r="A788"/>
  <c r="N787"/>
  <c r="M787"/>
  <c r="L787"/>
  <c r="K787"/>
  <c r="B787"/>
  <c r="A787"/>
  <c r="N786"/>
  <c r="M786"/>
  <c r="L786"/>
  <c r="K786"/>
  <c r="B786"/>
  <c r="A786"/>
  <c r="N785"/>
  <c r="M785"/>
  <c r="L785"/>
  <c r="K785"/>
  <c r="B785"/>
  <c r="A785"/>
  <c r="N784"/>
  <c r="M784"/>
  <c r="L784"/>
  <c r="K784"/>
  <c r="B784"/>
  <c r="A784"/>
  <c r="N783"/>
  <c r="M783"/>
  <c r="L783"/>
  <c r="K783"/>
  <c r="B783"/>
  <c r="A783"/>
  <c r="N782"/>
  <c r="M782"/>
  <c r="L782"/>
  <c r="K782"/>
  <c r="B782"/>
  <c r="A782"/>
  <c r="N781"/>
  <c r="M781"/>
  <c r="L781"/>
  <c r="K781"/>
  <c r="B781"/>
  <c r="A781"/>
  <c r="N780"/>
  <c r="M780"/>
  <c r="L780"/>
  <c r="K780"/>
  <c r="B780"/>
  <c r="A780"/>
  <c r="N779"/>
  <c r="M779"/>
  <c r="L779"/>
  <c r="K779"/>
  <c r="B779"/>
  <c r="A779"/>
  <c r="N778"/>
  <c r="M778"/>
  <c r="L778"/>
  <c r="K778"/>
  <c r="B778"/>
  <c r="A778"/>
  <c r="N777"/>
  <c r="M777"/>
  <c r="L777"/>
  <c r="K777"/>
  <c r="B777"/>
  <c r="A777"/>
  <c r="N776"/>
  <c r="M776"/>
  <c r="L776"/>
  <c r="K776"/>
  <c r="B776"/>
  <c r="A776"/>
  <c r="N775"/>
  <c r="M775"/>
  <c r="L775"/>
  <c r="K775"/>
  <c r="B775"/>
  <c r="A775"/>
  <c r="N774"/>
  <c r="M774"/>
  <c r="L774"/>
  <c r="K774"/>
  <c r="B774"/>
  <c r="A774"/>
  <c r="N773"/>
  <c r="M773"/>
  <c r="L773"/>
  <c r="K773"/>
  <c r="B773"/>
  <c r="A773"/>
  <c r="N772"/>
  <c r="M772"/>
  <c r="L772"/>
  <c r="K772"/>
  <c r="B772"/>
  <c r="A772"/>
  <c r="N771"/>
  <c r="M771"/>
  <c r="L771"/>
  <c r="K771"/>
  <c r="B771"/>
  <c r="A771"/>
  <c r="N770"/>
  <c r="M770"/>
  <c r="L770"/>
  <c r="K770"/>
  <c r="B770"/>
  <c r="A770"/>
  <c r="N769"/>
  <c r="M769"/>
  <c r="L769"/>
  <c r="K769"/>
  <c r="B769"/>
  <c r="A769"/>
  <c r="N768"/>
  <c r="M768"/>
  <c r="L768"/>
  <c r="K768"/>
  <c r="B768"/>
  <c r="A768"/>
  <c r="N767"/>
  <c r="M767"/>
  <c r="L767"/>
  <c r="K767"/>
  <c r="B767"/>
  <c r="A767"/>
  <c r="N766"/>
  <c r="M766"/>
  <c r="L766"/>
  <c r="K766"/>
  <c r="B766"/>
  <c r="A766"/>
  <c r="N765"/>
  <c r="M765"/>
  <c r="L765"/>
  <c r="K765"/>
  <c r="B765"/>
  <c r="A765"/>
  <c r="N764"/>
  <c r="M764"/>
  <c r="L764"/>
  <c r="K764"/>
  <c r="B764"/>
  <c r="A764"/>
  <c r="N763"/>
  <c r="M763"/>
  <c r="L763"/>
  <c r="K763"/>
  <c r="B763"/>
  <c r="A763"/>
  <c r="N762"/>
  <c r="M762"/>
  <c r="L762"/>
  <c r="K762"/>
  <c r="B762"/>
  <c r="A762"/>
  <c r="N761"/>
  <c r="M761"/>
  <c r="L761"/>
  <c r="K761"/>
  <c r="B761"/>
  <c r="A761"/>
  <c r="N760"/>
  <c r="M760"/>
  <c r="L760"/>
  <c r="K760"/>
  <c r="B760"/>
  <c r="A760"/>
  <c r="N759"/>
  <c r="M759"/>
  <c r="L759"/>
  <c r="K759"/>
  <c r="B759"/>
  <c r="A759"/>
  <c r="N758"/>
  <c r="M758"/>
  <c r="L758"/>
  <c r="K758"/>
  <c r="B758"/>
  <c r="A758"/>
  <c r="N757"/>
  <c r="M757"/>
  <c r="L757"/>
  <c r="K757"/>
  <c r="B757"/>
  <c r="A757"/>
  <c r="N756"/>
  <c r="M756"/>
  <c r="L756"/>
  <c r="K756"/>
  <c r="B756"/>
  <c r="A756"/>
  <c r="N755"/>
  <c r="M755"/>
  <c r="L755"/>
  <c r="K755"/>
  <c r="B755"/>
  <c r="A755"/>
  <c r="N754"/>
  <c r="M754"/>
  <c r="L754"/>
  <c r="K754"/>
  <c r="B754"/>
  <c r="A754"/>
  <c r="N753"/>
  <c r="M753"/>
  <c r="L753"/>
  <c r="K753"/>
  <c r="B753"/>
  <c r="A753"/>
  <c r="N752"/>
  <c r="M752"/>
  <c r="L752"/>
  <c r="K752"/>
  <c r="B752"/>
  <c r="A752"/>
  <c r="N751"/>
  <c r="M751"/>
  <c r="L751"/>
  <c r="K751"/>
  <c r="B751"/>
  <c r="A751"/>
  <c r="N750"/>
  <c r="M750"/>
  <c r="L750"/>
  <c r="K750"/>
  <c r="B750"/>
  <c r="A750"/>
  <c r="N749"/>
  <c r="M749"/>
  <c r="L749"/>
  <c r="K749"/>
  <c r="B749"/>
  <c r="A749"/>
  <c r="N748"/>
  <c r="M748"/>
  <c r="L748"/>
  <c r="K748"/>
  <c r="B748"/>
  <c r="A748"/>
  <c r="N747"/>
  <c r="M747"/>
  <c r="L747"/>
  <c r="K747"/>
  <c r="B747"/>
  <c r="A747"/>
  <c r="N746"/>
  <c r="M746"/>
  <c r="L746"/>
  <c r="K746"/>
  <c r="B746"/>
  <c r="A746"/>
  <c r="N745"/>
  <c r="M745"/>
  <c r="L745"/>
  <c r="K745"/>
  <c r="B745"/>
  <c r="A745"/>
  <c r="N744"/>
  <c r="M744"/>
  <c r="L744"/>
  <c r="K744"/>
  <c r="B744"/>
  <c r="A744"/>
  <c r="N743"/>
  <c r="M743"/>
  <c r="L743"/>
  <c r="K743"/>
  <c r="B743"/>
  <c r="A743"/>
  <c r="N742"/>
  <c r="M742"/>
  <c r="L742"/>
  <c r="K742"/>
  <c r="B742"/>
  <c r="A742"/>
  <c r="N741"/>
  <c r="M741"/>
  <c r="L741"/>
  <c r="K741"/>
  <c r="B741"/>
  <c r="A741"/>
  <c r="N740"/>
  <c r="M740"/>
  <c r="L740"/>
  <c r="K740"/>
  <c r="B740"/>
  <c r="A740"/>
  <c r="N739"/>
  <c r="M739"/>
  <c r="L739"/>
  <c r="K739"/>
  <c r="B739"/>
  <c r="A739"/>
  <c r="N738"/>
  <c r="M738"/>
  <c r="L738"/>
  <c r="K738"/>
  <c r="B738"/>
  <c r="A738"/>
  <c r="N737"/>
  <c r="M737"/>
  <c r="L737"/>
  <c r="K737"/>
  <c r="B737"/>
  <c r="A737"/>
  <c r="N736"/>
  <c r="M736"/>
  <c r="L736"/>
  <c r="K736"/>
  <c r="B736"/>
  <c r="A736"/>
  <c r="N735"/>
  <c r="M735"/>
  <c r="L735"/>
  <c r="K735"/>
  <c r="B735"/>
  <c r="A735"/>
  <c r="N734"/>
  <c r="M734"/>
  <c r="L734"/>
  <c r="K734"/>
  <c r="B734"/>
  <c r="A734"/>
  <c r="N733"/>
  <c r="M733"/>
  <c r="L733"/>
  <c r="K733"/>
  <c r="B733"/>
  <c r="A733"/>
  <c r="N732"/>
  <c r="M732"/>
  <c r="L732"/>
  <c r="K732"/>
  <c r="B732"/>
  <c r="A732"/>
  <c r="N731"/>
  <c r="M731"/>
  <c r="L731"/>
  <c r="K731"/>
  <c r="B731"/>
  <c r="A731"/>
  <c r="N730"/>
  <c r="M730"/>
  <c r="L730"/>
  <c r="K730"/>
  <c r="B730"/>
  <c r="A730"/>
  <c r="N729"/>
  <c r="M729"/>
  <c r="L729"/>
  <c r="K729"/>
  <c r="B729"/>
  <c r="A729"/>
  <c r="N728"/>
  <c r="M728"/>
  <c r="L728"/>
  <c r="K728"/>
  <c r="B728"/>
  <c r="A728"/>
  <c r="N727"/>
  <c r="M727"/>
  <c r="L727"/>
  <c r="K727"/>
  <c r="B727"/>
  <c r="A727"/>
  <c r="N726"/>
  <c r="M726"/>
  <c r="L726"/>
  <c r="K726"/>
  <c r="B726"/>
  <c r="A726"/>
  <c r="N725"/>
  <c r="M725"/>
  <c r="L725"/>
  <c r="K725"/>
  <c r="B725"/>
  <c r="A725"/>
  <c r="N724"/>
  <c r="M724"/>
  <c r="L724"/>
  <c r="K724"/>
  <c r="B724"/>
  <c r="A724"/>
  <c r="N723"/>
  <c r="M723"/>
  <c r="L723"/>
  <c r="K723"/>
  <c r="B723"/>
  <c r="A723"/>
  <c r="N722"/>
  <c r="M722"/>
  <c r="L722"/>
  <c r="K722"/>
  <c r="B722"/>
  <c r="A722"/>
  <c r="N721"/>
  <c r="M721"/>
  <c r="L721"/>
  <c r="K721"/>
  <c r="B721"/>
  <c r="A721"/>
  <c r="N720"/>
  <c r="M720"/>
  <c r="L720"/>
  <c r="K720"/>
  <c r="B720"/>
  <c r="A720"/>
  <c r="N719"/>
  <c r="M719"/>
  <c r="L719"/>
  <c r="K719"/>
  <c r="B719"/>
  <c r="A719"/>
  <c r="N718"/>
  <c r="M718"/>
  <c r="L718"/>
  <c r="K718"/>
  <c r="B718"/>
  <c r="A718"/>
  <c r="N717"/>
  <c r="M717"/>
  <c r="L717"/>
  <c r="K717"/>
  <c r="B717"/>
  <c r="A717"/>
  <c r="N716"/>
  <c r="M716"/>
  <c r="L716"/>
  <c r="K716"/>
  <c r="B716"/>
  <c r="A716"/>
  <c r="N715"/>
  <c r="M715"/>
  <c r="L715"/>
  <c r="K715"/>
  <c r="B715"/>
  <c r="A715"/>
  <c r="N714"/>
  <c r="M714"/>
  <c r="L714"/>
  <c r="K714"/>
  <c r="B714"/>
  <c r="A714"/>
  <c r="N713"/>
  <c r="M713"/>
  <c r="L713"/>
  <c r="K713"/>
  <c r="B713"/>
  <c r="A713"/>
  <c r="N712"/>
  <c r="M712"/>
  <c r="L712"/>
  <c r="K712"/>
  <c r="B712"/>
  <c r="A712"/>
  <c r="N711"/>
  <c r="M711"/>
  <c r="L711"/>
  <c r="K711"/>
  <c r="B711"/>
  <c r="A711"/>
  <c r="N710"/>
  <c r="M710"/>
  <c r="L710"/>
  <c r="K710"/>
  <c r="B710"/>
  <c r="A710"/>
  <c r="N709"/>
  <c r="M709"/>
  <c r="L709"/>
  <c r="K709"/>
  <c r="B709"/>
  <c r="A709"/>
  <c r="N708"/>
  <c r="M708"/>
  <c r="L708"/>
  <c r="K708"/>
  <c r="B708"/>
  <c r="A708"/>
  <c r="N707"/>
  <c r="M707"/>
  <c r="L707"/>
  <c r="K707"/>
  <c r="B707"/>
  <c r="A707"/>
  <c r="N706"/>
  <c r="M706"/>
  <c r="L706"/>
  <c r="K706"/>
  <c r="B706"/>
  <c r="A706"/>
  <c r="N705"/>
  <c r="M705"/>
  <c r="L705"/>
  <c r="K705"/>
  <c r="B705"/>
  <c r="A705"/>
  <c r="N704"/>
  <c r="M704"/>
  <c r="L704"/>
  <c r="K704"/>
  <c r="B704"/>
  <c r="A704"/>
  <c r="N703"/>
  <c r="M703"/>
  <c r="L703"/>
  <c r="K703"/>
  <c r="B703"/>
  <c r="A703"/>
  <c r="N702"/>
  <c r="M702"/>
  <c r="L702"/>
  <c r="K702"/>
  <c r="B702"/>
  <c r="A702"/>
  <c r="N701"/>
  <c r="M701"/>
  <c r="L701"/>
  <c r="K701"/>
  <c r="B701"/>
  <c r="A701"/>
  <c r="N700"/>
  <c r="M700"/>
  <c r="L700"/>
  <c r="K700"/>
  <c r="B700"/>
  <c r="A700"/>
  <c r="N699"/>
  <c r="M699"/>
  <c r="L699"/>
  <c r="K699"/>
  <c r="B699"/>
  <c r="A699"/>
  <c r="N698"/>
  <c r="M698"/>
  <c r="L698"/>
  <c r="K698"/>
  <c r="B698"/>
  <c r="A698"/>
  <c r="N697"/>
  <c r="M697"/>
  <c r="L697"/>
  <c r="K697"/>
  <c r="B697"/>
  <c r="A697"/>
  <c r="N696"/>
  <c r="M696"/>
  <c r="L696"/>
  <c r="K696"/>
  <c r="B696"/>
  <c r="A696"/>
  <c r="N695"/>
  <c r="M695"/>
  <c r="L695"/>
  <c r="K695"/>
  <c r="B695"/>
  <c r="A695"/>
  <c r="N694"/>
  <c r="M694"/>
  <c r="L694"/>
  <c r="K694"/>
  <c r="B694"/>
  <c r="A694"/>
  <c r="N693"/>
  <c r="M693"/>
  <c r="L693"/>
  <c r="K693"/>
  <c r="B693"/>
  <c r="A693"/>
  <c r="N692"/>
  <c r="M692"/>
  <c r="L692"/>
  <c r="K692"/>
  <c r="B692"/>
  <c r="A692"/>
  <c r="N691"/>
  <c r="M691"/>
  <c r="L691"/>
  <c r="K691"/>
  <c r="B691"/>
  <c r="A691"/>
  <c r="N690"/>
  <c r="M690"/>
  <c r="L690"/>
  <c r="K690"/>
  <c r="B690"/>
  <c r="A690"/>
  <c r="N689"/>
  <c r="M689"/>
  <c r="L689"/>
  <c r="K689"/>
  <c r="B689"/>
  <c r="A689"/>
  <c r="N688"/>
  <c r="M688"/>
  <c r="L688"/>
  <c r="K688"/>
  <c r="B688"/>
  <c r="A688"/>
  <c r="N687"/>
  <c r="M687"/>
  <c r="L687"/>
  <c r="K687"/>
  <c r="B687"/>
  <c r="A687"/>
  <c r="N686"/>
  <c r="M686"/>
  <c r="L686"/>
  <c r="K686"/>
  <c r="B686"/>
  <c r="A686"/>
  <c r="N685"/>
  <c r="M685"/>
  <c r="L685"/>
  <c r="K685"/>
  <c r="B685"/>
  <c r="A685"/>
  <c r="N684"/>
  <c r="M684"/>
  <c r="L684"/>
  <c r="K684"/>
  <c r="B684"/>
  <c r="A684"/>
  <c r="N683"/>
  <c r="M683"/>
  <c r="L683"/>
  <c r="K683"/>
  <c r="B683"/>
  <c r="A683"/>
  <c r="N682"/>
  <c r="M682"/>
  <c r="L682"/>
  <c r="K682"/>
  <c r="B682"/>
  <c r="A682"/>
  <c r="N681"/>
  <c r="M681"/>
  <c r="L681"/>
  <c r="K681"/>
  <c r="B681"/>
  <c r="A681"/>
  <c r="N680"/>
  <c r="M680"/>
  <c r="L680"/>
  <c r="K680"/>
  <c r="B680"/>
  <c r="A680"/>
  <c r="N679"/>
  <c r="M679"/>
  <c r="L679"/>
  <c r="K679"/>
  <c r="B679"/>
  <c r="A679"/>
  <c r="N678"/>
  <c r="M678"/>
  <c r="L678"/>
  <c r="K678"/>
  <c r="B678"/>
  <c r="A678"/>
  <c r="N677"/>
  <c r="M677"/>
  <c r="L677"/>
  <c r="K677"/>
  <c r="B677"/>
  <c r="A677"/>
  <c r="N676"/>
  <c r="M676"/>
  <c r="L676"/>
  <c r="K676"/>
  <c r="B676"/>
  <c r="A676"/>
  <c r="N675"/>
  <c r="M675"/>
  <c r="L675"/>
  <c r="K675"/>
  <c r="B675"/>
  <c r="A675"/>
  <c r="N674"/>
  <c r="M674"/>
  <c r="L674"/>
  <c r="K674"/>
  <c r="B674"/>
  <c r="A674"/>
  <c r="N673"/>
  <c r="M673"/>
  <c r="L673"/>
  <c r="K673"/>
  <c r="B673"/>
  <c r="A673"/>
  <c r="N672"/>
  <c r="M672"/>
  <c r="L672"/>
  <c r="K672"/>
  <c r="B672"/>
  <c r="A672"/>
  <c r="N671"/>
  <c r="M671"/>
  <c r="L671"/>
  <c r="K671"/>
  <c r="B671"/>
  <c r="A671"/>
  <c r="N670"/>
  <c r="M670"/>
  <c r="L670"/>
  <c r="K670"/>
  <c r="B670"/>
  <c r="A670"/>
  <c r="N669"/>
  <c r="M669"/>
  <c r="L669"/>
  <c r="K669"/>
  <c r="B669"/>
  <c r="A669"/>
  <c r="N668"/>
  <c r="M668"/>
  <c r="L668"/>
  <c r="K668"/>
  <c r="B668"/>
  <c r="A668"/>
  <c r="N667"/>
  <c r="M667"/>
  <c r="L667"/>
  <c r="K667"/>
  <c r="B667"/>
  <c r="A667"/>
  <c r="N666"/>
  <c r="M666"/>
  <c r="L666"/>
  <c r="K666"/>
  <c r="B666"/>
  <c r="A666"/>
  <c r="N665"/>
  <c r="M665"/>
  <c r="L665"/>
  <c r="K665"/>
  <c r="B665"/>
  <c r="A665"/>
  <c r="N664"/>
  <c r="M664"/>
  <c r="L664"/>
  <c r="K664"/>
  <c r="B664"/>
  <c r="A664"/>
  <c r="N663"/>
  <c r="M663"/>
  <c r="L663"/>
  <c r="K663"/>
  <c r="B663"/>
  <c r="A663"/>
  <c r="N662"/>
  <c r="M662"/>
  <c r="L662"/>
  <c r="K662"/>
  <c r="B662"/>
  <c r="A662"/>
  <c r="N661"/>
  <c r="M661"/>
  <c r="L661"/>
  <c r="K661"/>
  <c r="B661"/>
  <c r="A661"/>
  <c r="N660"/>
  <c r="M660"/>
  <c r="L660"/>
  <c r="K660"/>
  <c r="B660"/>
  <c r="A660"/>
  <c r="N659"/>
  <c r="M659"/>
  <c r="L659"/>
  <c r="K659"/>
  <c r="B659"/>
  <c r="A659"/>
  <c r="N658"/>
  <c r="M658"/>
  <c r="L658"/>
  <c r="K658"/>
  <c r="B658"/>
  <c r="A658"/>
  <c r="N657"/>
  <c r="M657"/>
  <c r="L657"/>
  <c r="K657"/>
  <c r="B657"/>
  <c r="A657"/>
  <c r="N656"/>
  <c r="M656"/>
  <c r="L656"/>
  <c r="K656"/>
  <c r="B656"/>
  <c r="A656"/>
  <c r="N655"/>
  <c r="M655"/>
  <c r="L655"/>
  <c r="K655"/>
  <c r="B655"/>
  <c r="A655"/>
  <c r="N654"/>
  <c r="M654"/>
  <c r="L654"/>
  <c r="K654"/>
  <c r="B654"/>
  <c r="A654"/>
  <c r="N653"/>
  <c r="M653"/>
  <c r="L653"/>
  <c r="K653"/>
  <c r="B653"/>
  <c r="A653"/>
  <c r="N652"/>
  <c r="M652"/>
  <c r="L652"/>
  <c r="K652"/>
  <c r="B652"/>
  <c r="A652"/>
  <c r="N651"/>
  <c r="M651"/>
  <c r="L651"/>
  <c r="K651"/>
  <c r="B651"/>
  <c r="A651"/>
  <c r="N650"/>
  <c r="M650"/>
  <c r="L650"/>
  <c r="K650"/>
  <c r="B650"/>
  <c r="A650"/>
  <c r="N649"/>
  <c r="M649"/>
  <c r="L649"/>
  <c r="K649"/>
  <c r="B649"/>
  <c r="A649"/>
  <c r="N648"/>
  <c r="M648"/>
  <c r="L648"/>
  <c r="K648"/>
  <c r="B648"/>
  <c r="A648"/>
  <c r="N647"/>
  <c r="M647"/>
  <c r="L647"/>
  <c r="K647"/>
  <c r="B647"/>
  <c r="A647"/>
  <c r="N646"/>
  <c r="M646"/>
  <c r="L646"/>
  <c r="K646"/>
  <c r="B646"/>
  <c r="A646"/>
  <c r="N645"/>
  <c r="M645"/>
  <c r="L645"/>
  <c r="K645"/>
  <c r="B645"/>
  <c r="A645"/>
  <c r="N644"/>
  <c r="M644"/>
  <c r="L644"/>
  <c r="K644"/>
  <c r="B644"/>
  <c r="A644"/>
  <c r="N643"/>
  <c r="M643"/>
  <c r="L643"/>
  <c r="K643"/>
  <c r="B643"/>
  <c r="A643"/>
  <c r="N642"/>
  <c r="M642"/>
  <c r="L642"/>
  <c r="K642"/>
  <c r="B642"/>
  <c r="A642"/>
  <c r="N641"/>
  <c r="M641"/>
  <c r="L641"/>
  <c r="K641"/>
  <c r="B641"/>
  <c r="A641"/>
  <c r="N640"/>
  <c r="M640"/>
  <c r="L640"/>
  <c r="K640"/>
  <c r="B640"/>
  <c r="A640"/>
  <c r="N639"/>
  <c r="M639"/>
  <c r="L639"/>
  <c r="K639"/>
  <c r="B639"/>
  <c r="A639"/>
  <c r="N638"/>
  <c r="M638"/>
  <c r="L638"/>
  <c r="K638"/>
  <c r="B638"/>
  <c r="A638"/>
  <c r="N637"/>
  <c r="M637"/>
  <c r="L637"/>
  <c r="K637"/>
  <c r="B637"/>
  <c r="A637"/>
  <c r="N636"/>
  <c r="M636"/>
  <c r="L636"/>
  <c r="K636"/>
  <c r="B636"/>
  <c r="A636"/>
  <c r="N635"/>
  <c r="M635"/>
  <c r="L635"/>
  <c r="K635"/>
  <c r="B635"/>
  <c r="A635"/>
  <c r="N634"/>
  <c r="M634"/>
  <c r="L634"/>
  <c r="K634"/>
  <c r="B634"/>
  <c r="A634"/>
  <c r="N633"/>
  <c r="M633"/>
  <c r="L633"/>
  <c r="K633"/>
  <c r="B633"/>
  <c r="A633"/>
  <c r="N632"/>
  <c r="M632"/>
  <c r="L632"/>
  <c r="K632"/>
  <c r="B632"/>
  <c r="A632"/>
  <c r="N631"/>
  <c r="M631"/>
  <c r="L631"/>
  <c r="K631"/>
  <c r="B631"/>
  <c r="A631"/>
  <c r="N630"/>
  <c r="M630"/>
  <c r="L630"/>
  <c r="K630"/>
  <c r="B630"/>
  <c r="A630"/>
  <c r="N629"/>
  <c r="M629"/>
  <c r="L629"/>
  <c r="K629"/>
  <c r="B629"/>
  <c r="A629"/>
  <c r="N628"/>
  <c r="M628"/>
  <c r="L628"/>
  <c r="K628"/>
  <c r="B628"/>
  <c r="A628"/>
  <c r="N627"/>
  <c r="M627"/>
  <c r="L627"/>
  <c r="K627"/>
  <c r="B627"/>
  <c r="A627"/>
  <c r="N626"/>
  <c r="M626"/>
  <c r="L626"/>
  <c r="K626"/>
  <c r="B626"/>
  <c r="A626"/>
  <c r="N625"/>
  <c r="M625"/>
  <c r="L625"/>
  <c r="K625"/>
  <c r="B625"/>
  <c r="A625"/>
  <c r="N624"/>
  <c r="M624"/>
  <c r="L624"/>
  <c r="K624"/>
  <c r="B624"/>
  <c r="A624"/>
  <c r="N623"/>
  <c r="M623"/>
  <c r="L623"/>
  <c r="K623"/>
  <c r="B623"/>
  <c r="A623"/>
  <c r="N622"/>
  <c r="M622"/>
  <c r="L622"/>
  <c r="K622"/>
  <c r="B622"/>
  <c r="A622"/>
  <c r="N621"/>
  <c r="M621"/>
  <c r="L621"/>
  <c r="K621"/>
  <c r="B621"/>
  <c r="A621"/>
  <c r="N620"/>
  <c r="M620"/>
  <c r="L620"/>
  <c r="K620"/>
  <c r="B620"/>
  <c r="A620"/>
  <c r="N619"/>
  <c r="M619"/>
  <c r="L619"/>
  <c r="K619"/>
  <c r="B619"/>
  <c r="A619"/>
  <c r="N618"/>
  <c r="M618"/>
  <c r="L618"/>
  <c r="K618"/>
  <c r="B618"/>
  <c r="A618"/>
  <c r="N617"/>
  <c r="M617"/>
  <c r="L617"/>
  <c r="K617"/>
  <c r="B617"/>
  <c r="A617"/>
  <c r="N616"/>
  <c r="M616"/>
  <c r="L616"/>
  <c r="K616"/>
  <c r="B616"/>
  <c r="A616"/>
  <c r="N615"/>
  <c r="M615"/>
  <c r="L615"/>
  <c r="K615"/>
  <c r="B615"/>
  <c r="A615"/>
  <c r="N614"/>
  <c r="M614"/>
  <c r="L614"/>
  <c r="K614"/>
  <c r="B614"/>
  <c r="A614"/>
  <c r="N613"/>
  <c r="M613"/>
  <c r="L613"/>
  <c r="K613"/>
  <c r="B613"/>
  <c r="A613"/>
  <c r="N612"/>
  <c r="M612"/>
  <c r="L612"/>
  <c r="K612"/>
  <c r="B612"/>
  <c r="A612"/>
  <c r="N611"/>
  <c r="M611"/>
  <c r="L611"/>
  <c r="K611"/>
  <c r="B611"/>
  <c r="A611"/>
  <c r="N610"/>
  <c r="M610"/>
  <c r="L610"/>
  <c r="K610"/>
  <c r="B610"/>
  <c r="A610"/>
  <c r="N609"/>
  <c r="M609"/>
  <c r="L609"/>
  <c r="K609"/>
  <c r="B609"/>
  <c r="A609"/>
  <c r="N608"/>
  <c r="M608"/>
  <c r="L608"/>
  <c r="K608"/>
  <c r="B608"/>
  <c r="A608"/>
  <c r="N607"/>
  <c r="M607"/>
  <c r="L607"/>
  <c r="K607"/>
  <c r="B607"/>
  <c r="A607"/>
  <c r="N606"/>
  <c r="M606"/>
  <c r="L606"/>
  <c r="K606"/>
  <c r="B606"/>
  <c r="A606"/>
  <c r="N605"/>
  <c r="M605"/>
  <c r="L605"/>
  <c r="K605"/>
  <c r="B605"/>
  <c r="A605"/>
  <c r="N604"/>
  <c r="M604"/>
  <c r="L604"/>
  <c r="K604"/>
  <c r="B604"/>
  <c r="A604"/>
  <c r="N603"/>
  <c r="M603"/>
  <c r="L603"/>
  <c r="K603"/>
  <c r="B603"/>
  <c r="A603"/>
  <c r="N602"/>
  <c r="M602"/>
  <c r="L602"/>
  <c r="K602"/>
  <c r="B602"/>
  <c r="A602"/>
  <c r="N601"/>
  <c r="M601"/>
  <c r="L601"/>
  <c r="K601"/>
  <c r="B601"/>
  <c r="A601"/>
  <c r="N600"/>
  <c r="M600"/>
  <c r="L600"/>
  <c r="K600"/>
  <c r="B600"/>
  <c r="A600"/>
  <c r="N599"/>
  <c r="M599"/>
  <c r="L599"/>
  <c r="K599"/>
  <c r="B599"/>
  <c r="A599"/>
  <c r="N598"/>
  <c r="M598"/>
  <c r="L598"/>
  <c r="K598"/>
  <c r="B598"/>
  <c r="A598"/>
  <c r="N597"/>
  <c r="M597"/>
  <c r="L597"/>
  <c r="K597"/>
  <c r="B597"/>
  <c r="A597"/>
  <c r="N596"/>
  <c r="M596"/>
  <c r="L596"/>
  <c r="K596"/>
  <c r="B596"/>
  <c r="A596"/>
  <c r="N595"/>
  <c r="M595"/>
  <c r="L595"/>
  <c r="K595"/>
  <c r="B595"/>
  <c r="A595"/>
  <c r="N594"/>
  <c r="M594"/>
  <c r="L594"/>
  <c r="K594"/>
  <c r="B594"/>
  <c r="A594"/>
  <c r="N593"/>
  <c r="M593"/>
  <c r="L593"/>
  <c r="K593"/>
  <c r="B593"/>
  <c r="A593"/>
  <c r="N592"/>
  <c r="M592"/>
  <c r="L592"/>
  <c r="K592"/>
  <c r="B592"/>
  <c r="A592"/>
  <c r="N591"/>
  <c r="M591"/>
  <c r="L591"/>
  <c r="K591"/>
  <c r="B591"/>
  <c r="A591"/>
  <c r="N590"/>
  <c r="M590"/>
  <c r="L590"/>
  <c r="K590"/>
  <c r="B590"/>
  <c r="A590"/>
  <c r="N589"/>
  <c r="M589"/>
  <c r="L589"/>
  <c r="K589"/>
  <c r="B589"/>
  <c r="A589"/>
  <c r="N588"/>
  <c r="M588"/>
  <c r="L588"/>
  <c r="K588"/>
  <c r="B588"/>
  <c r="A588"/>
  <c r="N587"/>
  <c r="M587"/>
  <c r="L587"/>
  <c r="K587"/>
  <c r="B587"/>
  <c r="A587"/>
  <c r="N586"/>
  <c r="M586"/>
  <c r="L586"/>
  <c r="K586"/>
  <c r="B586"/>
  <c r="A586"/>
  <c r="N585"/>
  <c r="M585"/>
  <c r="L585"/>
  <c r="K585"/>
  <c r="B585"/>
  <c r="A585"/>
  <c r="N584"/>
  <c r="M584"/>
  <c r="L584"/>
  <c r="K584"/>
  <c r="B584"/>
  <c r="A584"/>
  <c r="N583"/>
  <c r="M583"/>
  <c r="L583"/>
  <c r="K583"/>
  <c r="B583"/>
  <c r="A583"/>
  <c r="N582"/>
  <c r="M582"/>
  <c r="L582"/>
  <c r="K582"/>
  <c r="B582"/>
  <c r="A582"/>
  <c r="N581"/>
  <c r="M581"/>
  <c r="L581"/>
  <c r="K581"/>
  <c r="B581"/>
  <c r="A581"/>
  <c r="N580"/>
  <c r="M580"/>
  <c r="L580"/>
  <c r="K580"/>
  <c r="B580"/>
  <c r="A580"/>
  <c r="N579"/>
  <c r="M579"/>
  <c r="L579"/>
  <c r="K579"/>
  <c r="B579"/>
  <c r="A579"/>
  <c r="N578"/>
  <c r="M578"/>
  <c r="L578"/>
  <c r="K578"/>
  <c r="B578"/>
  <c r="A578"/>
  <c r="N577"/>
  <c r="M577"/>
  <c r="L577"/>
  <c r="K577"/>
  <c r="B577"/>
  <c r="A577"/>
  <c r="N576"/>
  <c r="M576"/>
  <c r="L576"/>
  <c r="K576"/>
  <c r="B576"/>
  <c r="A576"/>
  <c r="N575"/>
  <c r="M575"/>
  <c r="L575"/>
  <c r="K575"/>
  <c r="B575"/>
  <c r="A575"/>
  <c r="N574"/>
  <c r="M574"/>
  <c r="L574"/>
  <c r="K574"/>
  <c r="B574"/>
  <c r="A574"/>
  <c r="N573"/>
  <c r="M573"/>
  <c r="L573"/>
  <c r="K573"/>
  <c r="B573"/>
  <c r="A573"/>
  <c r="N572"/>
  <c r="M572"/>
  <c r="L572"/>
  <c r="K572"/>
  <c r="B572"/>
  <c r="A572"/>
  <c r="N571"/>
  <c r="M571"/>
  <c r="L571"/>
  <c r="K571"/>
  <c r="B571"/>
  <c r="A571"/>
  <c r="N570"/>
  <c r="M570"/>
  <c r="L570"/>
  <c r="K570"/>
  <c r="B570"/>
  <c r="A570"/>
  <c r="N569"/>
  <c r="M569"/>
  <c r="L569"/>
  <c r="K569"/>
  <c r="B569"/>
  <c r="A569"/>
  <c r="N568"/>
  <c r="M568"/>
  <c r="L568"/>
  <c r="K568"/>
  <c r="B568"/>
  <c r="A568"/>
  <c r="N567"/>
  <c r="M567"/>
  <c r="L567"/>
  <c r="K567"/>
  <c r="B567"/>
  <c r="A567"/>
  <c r="N566"/>
  <c r="M566"/>
  <c r="L566"/>
  <c r="K566"/>
  <c r="B566"/>
  <c r="A566"/>
  <c r="N565"/>
  <c r="M565"/>
  <c r="L565"/>
  <c r="K565"/>
  <c r="B565"/>
  <c r="A565"/>
  <c r="N564"/>
  <c r="M564"/>
  <c r="L564"/>
  <c r="K564"/>
  <c r="B564"/>
  <c r="A564"/>
  <c r="N563"/>
  <c r="M563"/>
  <c r="L563"/>
  <c r="K563"/>
  <c r="B563"/>
  <c r="A563"/>
  <c r="N562"/>
  <c r="M562"/>
  <c r="L562"/>
  <c r="K562"/>
  <c r="B562"/>
  <c r="A562"/>
  <c r="N561"/>
  <c r="M561"/>
  <c r="L561"/>
  <c r="K561"/>
  <c r="B561"/>
  <c r="A561"/>
  <c r="N560"/>
  <c r="M560"/>
  <c r="L560"/>
  <c r="K560"/>
  <c r="B560"/>
  <c r="A560"/>
  <c r="N559"/>
  <c r="M559"/>
  <c r="L559"/>
  <c r="K559"/>
  <c r="B559"/>
  <c r="A559"/>
  <c r="N558"/>
  <c r="M558"/>
  <c r="L558"/>
  <c r="K558"/>
  <c r="B558"/>
  <c r="A558"/>
  <c r="N557"/>
  <c r="M557"/>
  <c r="L557"/>
  <c r="K557"/>
  <c r="B557"/>
  <c r="A557"/>
  <c r="N556"/>
  <c r="M556"/>
  <c r="L556"/>
  <c r="K556"/>
  <c r="B556"/>
  <c r="A556"/>
  <c r="N555"/>
  <c r="M555"/>
  <c r="L555"/>
  <c r="K555"/>
  <c r="B555"/>
  <c r="A555"/>
  <c r="N554"/>
  <c r="M554"/>
  <c r="L554"/>
  <c r="K554"/>
  <c r="B554"/>
  <c r="A554"/>
  <c r="N553"/>
  <c r="M553"/>
  <c r="L553"/>
  <c r="K553"/>
  <c r="B553"/>
  <c r="A553"/>
  <c r="N552"/>
  <c r="M552"/>
  <c r="L552"/>
  <c r="K552"/>
  <c r="B552"/>
  <c r="A552"/>
  <c r="N551"/>
  <c r="M551"/>
  <c r="L551"/>
  <c r="K551"/>
  <c r="B551"/>
  <c r="A551"/>
  <c r="N550"/>
  <c r="M550"/>
  <c r="L550"/>
  <c r="K550"/>
  <c r="B550"/>
  <c r="A550"/>
  <c r="N549"/>
  <c r="M549"/>
  <c r="L549"/>
  <c r="K549"/>
  <c r="B549"/>
  <c r="A549"/>
  <c r="N548"/>
  <c r="M548"/>
  <c r="L548"/>
  <c r="K548"/>
  <c r="B548"/>
  <c r="A548"/>
  <c r="N547"/>
  <c r="M547"/>
  <c r="L547"/>
  <c r="K547"/>
  <c r="B547"/>
  <c r="A547"/>
  <c r="N546"/>
  <c r="M546"/>
  <c r="L546"/>
  <c r="K546"/>
  <c r="B546"/>
  <c r="A546"/>
  <c r="N545"/>
  <c r="M545"/>
  <c r="L545"/>
  <c r="K545"/>
  <c r="B545"/>
  <c r="A545"/>
  <c r="N544"/>
  <c r="M544"/>
  <c r="L544"/>
  <c r="K544"/>
  <c r="B544"/>
  <c r="A544"/>
  <c r="N543"/>
  <c r="M543"/>
  <c r="L543"/>
  <c r="K543"/>
  <c r="B543"/>
  <c r="A543"/>
  <c r="N542"/>
  <c r="M542"/>
  <c r="L542"/>
  <c r="K542"/>
  <c r="B542"/>
  <c r="A542"/>
  <c r="N541"/>
  <c r="M541"/>
  <c r="L541"/>
  <c r="K541"/>
  <c r="B541"/>
  <c r="A541"/>
  <c r="N540"/>
  <c r="M540"/>
  <c r="L540"/>
  <c r="K540"/>
  <c r="B540"/>
  <c r="A540"/>
  <c r="N539"/>
  <c r="M539"/>
  <c r="L539"/>
  <c r="K539"/>
  <c r="B539"/>
  <c r="A539"/>
  <c r="N538"/>
  <c r="M538"/>
  <c r="L538"/>
  <c r="K538"/>
  <c r="B538"/>
  <c r="A538"/>
  <c r="N537"/>
  <c r="M537"/>
  <c r="L537"/>
  <c r="K537"/>
  <c r="B537"/>
  <c r="A537"/>
  <c r="N536"/>
  <c r="M536"/>
  <c r="L536"/>
  <c r="K536"/>
  <c r="B536"/>
  <c r="A536"/>
  <c r="N535"/>
  <c r="M535"/>
  <c r="L535"/>
  <c r="K535"/>
  <c r="B535"/>
  <c r="A535"/>
  <c r="N534"/>
  <c r="M534"/>
  <c r="L534"/>
  <c r="K534"/>
  <c r="B534"/>
  <c r="A534"/>
  <c r="N533"/>
  <c r="M533"/>
  <c r="L533"/>
  <c r="K533"/>
  <c r="B533"/>
  <c r="A533"/>
  <c r="N532"/>
  <c r="M532"/>
  <c r="L532"/>
  <c r="K532"/>
  <c r="B532"/>
  <c r="A532"/>
  <c r="N531"/>
  <c r="M531"/>
  <c r="L531"/>
  <c r="K531"/>
  <c r="B531"/>
  <c r="A531"/>
  <c r="N530"/>
  <c r="M530"/>
  <c r="L530"/>
  <c r="K530"/>
  <c r="B530"/>
  <c r="A530"/>
  <c r="N529"/>
  <c r="M529"/>
  <c r="L529"/>
  <c r="K529"/>
  <c r="B529"/>
  <c r="A529"/>
  <c r="N528"/>
  <c r="M528"/>
  <c r="L528"/>
  <c r="K528"/>
  <c r="B528"/>
  <c r="A528"/>
  <c r="N527"/>
  <c r="M527"/>
  <c r="L527"/>
  <c r="K527"/>
  <c r="B527"/>
  <c r="A527"/>
  <c r="N526"/>
  <c r="M526"/>
  <c r="L526"/>
  <c r="K526"/>
  <c r="B526"/>
  <c r="A526"/>
  <c r="N525"/>
  <c r="M525"/>
  <c r="L525"/>
  <c r="K525"/>
  <c r="B525"/>
  <c r="A525"/>
  <c r="N524"/>
  <c r="M524"/>
  <c r="L524"/>
  <c r="K524"/>
  <c r="B524"/>
  <c r="A524"/>
  <c r="N523"/>
  <c r="M523"/>
  <c r="L523"/>
  <c r="K523"/>
  <c r="B523"/>
  <c r="A523"/>
  <c r="N522"/>
  <c r="M522"/>
  <c r="L522"/>
  <c r="K522"/>
  <c r="B522"/>
  <c r="A522"/>
  <c r="N521"/>
  <c r="M521"/>
  <c r="L521"/>
  <c r="K521"/>
  <c r="B521"/>
  <c r="A521"/>
  <c r="N520"/>
  <c r="M520"/>
  <c r="L520"/>
  <c r="K520"/>
  <c r="B520"/>
  <c r="A520"/>
  <c r="N519"/>
  <c r="M519"/>
  <c r="L519"/>
  <c r="K519"/>
  <c r="B519"/>
  <c r="A519"/>
  <c r="N518"/>
  <c r="M518"/>
  <c r="L518"/>
  <c r="K518"/>
  <c r="B518"/>
  <c r="A518"/>
  <c r="N517"/>
  <c r="M517"/>
  <c r="L517"/>
  <c r="K517"/>
  <c r="B517"/>
  <c r="A517"/>
  <c r="N516"/>
  <c r="M516"/>
  <c r="L516"/>
  <c r="K516"/>
  <c r="B516"/>
  <c r="A516"/>
  <c r="N515"/>
  <c r="M515"/>
  <c r="L515"/>
  <c r="K515"/>
  <c r="B515"/>
  <c r="A515"/>
  <c r="N514"/>
  <c r="M514"/>
  <c r="L514"/>
  <c r="K514"/>
  <c r="B514"/>
  <c r="A514"/>
  <c r="N513"/>
  <c r="M513"/>
  <c r="L513"/>
  <c r="K513"/>
  <c r="B513"/>
  <c r="A513"/>
  <c r="N512"/>
  <c r="M512"/>
  <c r="L512"/>
  <c r="K512"/>
  <c r="B512"/>
  <c r="A512"/>
  <c r="N511"/>
  <c r="M511"/>
  <c r="L511"/>
  <c r="K511"/>
  <c r="B511"/>
  <c r="A511"/>
  <c r="N510"/>
  <c r="M510"/>
  <c r="L510"/>
  <c r="K510"/>
  <c r="B510"/>
  <c r="A510"/>
  <c r="N509"/>
  <c r="M509"/>
  <c r="L509"/>
  <c r="K509"/>
  <c r="B509"/>
  <c r="A509"/>
  <c r="N508"/>
  <c r="M508"/>
  <c r="L508"/>
  <c r="K508"/>
  <c r="B508"/>
  <c r="A508"/>
  <c r="N507"/>
  <c r="M507"/>
  <c r="L507"/>
  <c r="K507"/>
  <c r="B507"/>
  <c r="A507"/>
  <c r="N506"/>
  <c r="M506"/>
  <c r="L506"/>
  <c r="K506"/>
  <c r="B506"/>
  <c r="A506"/>
  <c r="N505"/>
  <c r="M505"/>
  <c r="L505"/>
  <c r="K505"/>
  <c r="B505"/>
  <c r="A505"/>
  <c r="N504"/>
  <c r="M504"/>
  <c r="L504"/>
  <c r="K504"/>
  <c r="B504"/>
  <c r="A504"/>
  <c r="N503"/>
  <c r="M503"/>
  <c r="L503"/>
  <c r="K503"/>
  <c r="B503"/>
  <c r="A503"/>
  <c r="N502"/>
  <c r="M502"/>
  <c r="L502"/>
  <c r="K502"/>
  <c r="B502"/>
  <c r="A502"/>
  <c r="N501"/>
  <c r="M501"/>
  <c r="L501"/>
  <c r="K501"/>
  <c r="B501"/>
  <c r="A501"/>
  <c r="N500"/>
  <c r="M500"/>
  <c r="L500"/>
  <c r="K500"/>
  <c r="B500"/>
  <c r="A500"/>
  <c r="N499"/>
  <c r="M499"/>
  <c r="L499"/>
  <c r="K499"/>
  <c r="B499"/>
  <c r="A499"/>
  <c r="N498"/>
  <c r="M498"/>
  <c r="L498"/>
  <c r="K498"/>
  <c r="B498"/>
  <c r="A498"/>
  <c r="N497"/>
  <c r="M497"/>
  <c r="L497"/>
  <c r="K497"/>
  <c r="B497"/>
  <c r="A497"/>
  <c r="N496"/>
  <c r="M496"/>
  <c r="L496"/>
  <c r="K496"/>
  <c r="B496"/>
  <c r="A496"/>
  <c r="N495"/>
  <c r="M495"/>
  <c r="L495"/>
  <c r="K495"/>
  <c r="B495"/>
  <c r="A495"/>
  <c r="N494"/>
  <c r="M494"/>
  <c r="L494"/>
  <c r="K494"/>
  <c r="B494"/>
  <c r="A494"/>
  <c r="N493"/>
  <c r="M493"/>
  <c r="L493"/>
  <c r="K493"/>
  <c r="B493"/>
  <c r="A493"/>
  <c r="N492"/>
  <c r="M492"/>
  <c r="L492"/>
  <c r="K492"/>
  <c r="B492"/>
  <c r="A492"/>
  <c r="N491"/>
  <c r="M491"/>
  <c r="L491"/>
  <c r="K491"/>
  <c r="B491"/>
  <c r="A491"/>
  <c r="N490"/>
  <c r="M490"/>
  <c r="L490"/>
  <c r="K490"/>
  <c r="B490"/>
  <c r="A490"/>
  <c r="N489"/>
  <c r="M489"/>
  <c r="L489"/>
  <c r="K489"/>
  <c r="B489"/>
  <c r="A489"/>
  <c r="N488"/>
  <c r="M488"/>
  <c r="L488"/>
  <c r="K488"/>
  <c r="B488"/>
  <c r="A488"/>
  <c r="N487"/>
  <c r="M487"/>
  <c r="L487"/>
  <c r="K487"/>
  <c r="B487"/>
  <c r="A487"/>
  <c r="N486"/>
  <c r="M486"/>
  <c r="L486"/>
  <c r="K486"/>
  <c r="B486"/>
  <c r="A486"/>
  <c r="N485"/>
  <c r="M485"/>
  <c r="L485"/>
  <c r="K485"/>
  <c r="B485"/>
  <c r="A485"/>
  <c r="N484"/>
  <c r="M484"/>
  <c r="L484"/>
  <c r="K484"/>
  <c r="B484"/>
  <c r="A484"/>
  <c r="N483"/>
  <c r="M483"/>
  <c r="L483"/>
  <c r="K483"/>
  <c r="B483"/>
  <c r="A483"/>
  <c r="N482"/>
  <c r="M482"/>
  <c r="L482"/>
  <c r="K482"/>
  <c r="B482"/>
  <c r="A482"/>
  <c r="N481"/>
  <c r="M481"/>
  <c r="L481"/>
  <c r="K481"/>
  <c r="B481"/>
  <c r="A481"/>
  <c r="N480"/>
  <c r="M480"/>
  <c r="L480"/>
  <c r="K480"/>
  <c r="B480"/>
  <c r="A480"/>
  <c r="N479"/>
  <c r="M479"/>
  <c r="L479"/>
  <c r="K479"/>
  <c r="B479"/>
  <c r="A479"/>
  <c r="N478"/>
  <c r="M478"/>
  <c r="L478"/>
  <c r="K478"/>
  <c r="B478"/>
  <c r="A478"/>
  <c r="N477"/>
  <c r="M477"/>
  <c r="L477"/>
  <c r="K477"/>
  <c r="B477"/>
  <c r="A477"/>
  <c r="N476"/>
  <c r="M476"/>
  <c r="L476"/>
  <c r="K476"/>
  <c r="B476"/>
  <c r="A476"/>
  <c r="N475"/>
  <c r="M475"/>
  <c r="L475"/>
  <c r="K475"/>
  <c r="B475"/>
  <c r="A475"/>
  <c r="N474"/>
  <c r="M474"/>
  <c r="L474"/>
  <c r="K474"/>
  <c r="B474"/>
  <c r="A474"/>
  <c r="N473"/>
  <c r="M473"/>
  <c r="L473"/>
  <c r="K473"/>
  <c r="B473"/>
  <c r="A473"/>
  <c r="N472"/>
  <c r="M472"/>
  <c r="L472"/>
  <c r="K472"/>
  <c r="B472"/>
  <c r="A472"/>
  <c r="N471"/>
  <c r="M471"/>
  <c r="L471"/>
  <c r="K471"/>
  <c r="B471"/>
  <c r="A471"/>
  <c r="N470"/>
  <c r="M470"/>
  <c r="L470"/>
  <c r="K470"/>
  <c r="B470"/>
  <c r="A470"/>
  <c r="N469"/>
  <c r="M469"/>
  <c r="L469"/>
  <c r="K469"/>
  <c r="B469"/>
  <c r="A469"/>
  <c r="N468"/>
  <c r="M468"/>
  <c r="L468"/>
  <c r="K468"/>
  <c r="B468"/>
  <c r="A468"/>
  <c r="N467"/>
  <c r="M467"/>
  <c r="L467"/>
  <c r="K467"/>
  <c r="B467"/>
  <c r="A467"/>
  <c r="N466"/>
  <c r="M466"/>
  <c r="L466"/>
  <c r="K466"/>
  <c r="B466"/>
  <c r="A466"/>
  <c r="N465"/>
  <c r="M465"/>
  <c r="L465"/>
  <c r="K465"/>
  <c r="B465"/>
  <c r="A465"/>
  <c r="N464"/>
  <c r="M464"/>
  <c r="L464"/>
  <c r="K464"/>
  <c r="B464"/>
  <c r="A464"/>
  <c r="N463"/>
  <c r="M463"/>
  <c r="L463"/>
  <c r="K463"/>
  <c r="B463"/>
  <c r="A463"/>
  <c r="N462"/>
  <c r="M462"/>
  <c r="L462"/>
  <c r="K462"/>
  <c r="B462"/>
  <c r="A462"/>
  <c r="N461"/>
  <c r="M461"/>
  <c r="L461"/>
  <c r="K461"/>
  <c r="B461"/>
  <c r="A461"/>
  <c r="N460"/>
  <c r="M460"/>
  <c r="L460"/>
  <c r="K460"/>
  <c r="B460"/>
  <c r="A460"/>
  <c r="N459"/>
  <c r="M459"/>
  <c r="L459"/>
  <c r="K459"/>
  <c r="B459"/>
  <c r="A459"/>
  <c r="N458"/>
  <c r="M458"/>
  <c r="L458"/>
  <c r="K458"/>
  <c r="B458"/>
  <c r="A458"/>
  <c r="N457"/>
  <c r="M457"/>
  <c r="L457"/>
  <c r="K457"/>
  <c r="B457"/>
  <c r="A457"/>
  <c r="N456"/>
  <c r="M456"/>
  <c r="L456"/>
  <c r="K456"/>
  <c r="B456"/>
  <c r="A456"/>
  <c r="N455"/>
  <c r="M455"/>
  <c r="L455"/>
  <c r="K455"/>
  <c r="B455"/>
  <c r="A455"/>
  <c r="N454"/>
  <c r="M454"/>
  <c r="L454"/>
  <c r="K454"/>
  <c r="B454"/>
  <c r="A454"/>
  <c r="N453"/>
  <c r="M453"/>
  <c r="L453"/>
  <c r="K453"/>
  <c r="B453"/>
  <c r="A453"/>
  <c r="N452"/>
  <c r="M452"/>
  <c r="L452"/>
  <c r="K452"/>
  <c r="B452"/>
  <c r="A452"/>
  <c r="N451"/>
  <c r="M451"/>
  <c r="L451"/>
  <c r="K451"/>
  <c r="B451"/>
  <c r="A451"/>
  <c r="N450"/>
  <c r="M450"/>
  <c r="L450"/>
  <c r="K450"/>
  <c r="B450"/>
  <c r="A450"/>
  <c r="N449"/>
  <c r="M449"/>
  <c r="L449"/>
  <c r="K449"/>
  <c r="B449"/>
  <c r="A449"/>
  <c r="N448"/>
  <c r="M448"/>
  <c r="L448"/>
  <c r="K448"/>
  <c r="B448"/>
  <c r="A448"/>
  <c r="N447"/>
  <c r="M447"/>
  <c r="L447"/>
  <c r="K447"/>
  <c r="B447"/>
  <c r="A447"/>
  <c r="N446"/>
  <c r="M446"/>
  <c r="L446"/>
  <c r="K446"/>
  <c r="B446"/>
  <c r="A446"/>
  <c r="N445"/>
  <c r="M445"/>
  <c r="L445"/>
  <c r="K445"/>
  <c r="B445"/>
  <c r="A445"/>
  <c r="N444"/>
  <c r="M444"/>
  <c r="L444"/>
  <c r="K444"/>
  <c r="B444"/>
  <c r="A444"/>
  <c r="N443"/>
  <c r="M443"/>
  <c r="L443"/>
  <c r="K443"/>
  <c r="B443"/>
  <c r="A443"/>
  <c r="N442"/>
  <c r="M442"/>
  <c r="L442"/>
  <c r="K442"/>
  <c r="B442"/>
  <c r="A442"/>
  <c r="N441"/>
  <c r="M441"/>
  <c r="L441"/>
  <c r="K441"/>
  <c r="B441"/>
  <c r="A441"/>
  <c r="N440"/>
  <c r="M440"/>
  <c r="L440"/>
  <c r="K440"/>
  <c r="B440"/>
  <c r="A440"/>
  <c r="N439"/>
  <c r="M439"/>
  <c r="L439"/>
  <c r="K439"/>
  <c r="B439"/>
  <c r="A439"/>
  <c r="N438"/>
  <c r="M438"/>
  <c r="L438"/>
  <c r="K438"/>
  <c r="B438"/>
  <c r="A438"/>
  <c r="N437"/>
  <c r="M437"/>
  <c r="L437"/>
  <c r="K437"/>
  <c r="B437"/>
  <c r="A437"/>
  <c r="N436"/>
  <c r="M436"/>
  <c r="L436"/>
  <c r="K436"/>
  <c r="B436"/>
  <c r="A436"/>
  <c r="N435"/>
  <c r="M435"/>
  <c r="L435"/>
  <c r="K435"/>
  <c r="B435"/>
  <c r="A435"/>
  <c r="N434"/>
  <c r="M434"/>
  <c r="L434"/>
  <c r="K434"/>
  <c r="B434"/>
  <c r="A434"/>
  <c r="N433"/>
  <c r="M433"/>
  <c r="L433"/>
  <c r="K433"/>
  <c r="B433"/>
  <c r="A433"/>
  <c r="N432"/>
  <c r="M432"/>
  <c r="L432"/>
  <c r="K432"/>
  <c r="B432"/>
  <c r="A432"/>
  <c r="N431"/>
  <c r="M431"/>
  <c r="L431"/>
  <c r="K431"/>
  <c r="B431"/>
  <c r="A431"/>
  <c r="N430"/>
  <c r="M430"/>
  <c r="L430"/>
  <c r="K430"/>
  <c r="B430"/>
  <c r="A430"/>
  <c r="N429"/>
  <c r="M429"/>
  <c r="L429"/>
  <c r="K429"/>
  <c r="B429"/>
  <c r="A429"/>
  <c r="N428"/>
  <c r="M428"/>
  <c r="L428"/>
  <c r="K428"/>
  <c r="B428"/>
  <c r="A428"/>
  <c r="N427"/>
  <c r="M427"/>
  <c r="L427"/>
  <c r="K427"/>
  <c r="B427"/>
  <c r="A427"/>
  <c r="N426"/>
  <c r="M426"/>
  <c r="L426"/>
  <c r="K426"/>
  <c r="B426"/>
  <c r="A426"/>
  <c r="N425"/>
  <c r="M425"/>
  <c r="L425"/>
  <c r="K425"/>
  <c r="B425"/>
  <c r="A425"/>
  <c r="N424"/>
  <c r="M424"/>
  <c r="L424"/>
  <c r="K424"/>
  <c r="B424"/>
  <c r="A424"/>
  <c r="N423"/>
  <c r="M423"/>
  <c r="L423"/>
  <c r="K423"/>
  <c r="B423"/>
  <c r="A423"/>
  <c r="N422"/>
  <c r="M422"/>
  <c r="L422"/>
  <c r="K422"/>
  <c r="B422"/>
  <c r="A422"/>
  <c r="N421"/>
  <c r="M421"/>
  <c r="L421"/>
  <c r="K421"/>
  <c r="B421"/>
  <c r="A421"/>
  <c r="N420"/>
  <c r="M420"/>
  <c r="L420"/>
  <c r="K420"/>
  <c r="B420"/>
  <c r="A420"/>
  <c r="N419"/>
  <c r="M419"/>
  <c r="L419"/>
  <c r="K419"/>
  <c r="B419"/>
  <c r="A419"/>
  <c r="N418"/>
  <c r="M418"/>
  <c r="L418"/>
  <c r="K418"/>
  <c r="B418"/>
  <c r="A418"/>
  <c r="N417"/>
  <c r="M417"/>
  <c r="L417"/>
  <c r="K417"/>
  <c r="B417"/>
  <c r="A417"/>
  <c r="N416"/>
  <c r="M416"/>
  <c r="L416"/>
  <c r="K416"/>
  <c r="B416"/>
  <c r="A416"/>
  <c r="N415"/>
  <c r="M415"/>
  <c r="L415"/>
  <c r="K415"/>
  <c r="B415"/>
  <c r="A415"/>
  <c r="N414"/>
  <c r="M414"/>
  <c r="L414"/>
  <c r="K414"/>
  <c r="B414"/>
  <c r="A414"/>
  <c r="N413"/>
  <c r="M413"/>
  <c r="L413"/>
  <c r="K413"/>
  <c r="B413"/>
  <c r="A413"/>
  <c r="N412"/>
  <c r="M412"/>
  <c r="L412"/>
  <c r="K412"/>
  <c r="B412"/>
  <c r="A412"/>
  <c r="N411"/>
  <c r="M411"/>
  <c r="L411"/>
  <c r="K411"/>
  <c r="B411"/>
  <c r="A411"/>
  <c r="N410"/>
  <c r="M410"/>
  <c r="L410"/>
  <c r="K410"/>
  <c r="B410"/>
  <c r="A410"/>
  <c r="N409"/>
  <c r="M409"/>
  <c r="L409"/>
  <c r="K409"/>
  <c r="B409"/>
  <c r="A409"/>
  <c r="N408"/>
  <c r="M408"/>
  <c r="L408"/>
  <c r="K408"/>
  <c r="B408"/>
  <c r="A408"/>
  <c r="N407"/>
  <c r="M407"/>
  <c r="L407"/>
  <c r="K407"/>
  <c r="B407"/>
  <c r="A407"/>
  <c r="N406"/>
  <c r="M406"/>
  <c r="L406"/>
  <c r="K406"/>
  <c r="B406"/>
  <c r="A406"/>
  <c r="N405"/>
  <c r="M405"/>
  <c r="L405"/>
  <c r="K405"/>
  <c r="B405"/>
  <c r="A405"/>
  <c r="N404"/>
  <c r="M404"/>
  <c r="L404"/>
  <c r="K404"/>
  <c r="B404"/>
  <c r="A404"/>
  <c r="N403"/>
  <c r="M403"/>
  <c r="L403"/>
  <c r="K403"/>
  <c r="B403"/>
  <c r="A403"/>
  <c r="N402"/>
  <c r="M402"/>
  <c r="L402"/>
  <c r="K402"/>
  <c r="B402"/>
  <c r="A402"/>
  <c r="N401"/>
  <c r="M401"/>
  <c r="L401"/>
  <c r="K401"/>
  <c r="B401"/>
  <c r="A401"/>
  <c r="N400"/>
  <c r="M400"/>
  <c r="L400"/>
  <c r="K400"/>
  <c r="B400"/>
  <c r="A400"/>
  <c r="N399"/>
  <c r="M399"/>
  <c r="L399"/>
  <c r="K399"/>
  <c r="B399"/>
  <c r="A399"/>
  <c r="N398"/>
  <c r="M398"/>
  <c r="L398"/>
  <c r="K398"/>
  <c r="B398"/>
  <c r="A398"/>
  <c r="N397"/>
  <c r="M397"/>
  <c r="L397"/>
  <c r="K397"/>
  <c r="B397"/>
  <c r="A397"/>
  <c r="N396"/>
  <c r="M396"/>
  <c r="L396"/>
  <c r="K396"/>
  <c r="B396"/>
  <c r="A396"/>
  <c r="N395"/>
  <c r="M395"/>
  <c r="L395"/>
  <c r="K395"/>
  <c r="B395"/>
  <c r="A395"/>
  <c r="N394"/>
  <c r="M394"/>
  <c r="L394"/>
  <c r="K394"/>
  <c r="B394"/>
  <c r="A394"/>
  <c r="N393"/>
  <c r="M393"/>
  <c r="L393"/>
  <c r="K393"/>
  <c r="B393"/>
  <c r="A393"/>
  <c r="N392"/>
  <c r="M392"/>
  <c r="L392"/>
  <c r="K392"/>
  <c r="B392"/>
  <c r="A392"/>
  <c r="N391"/>
  <c r="M391"/>
  <c r="L391"/>
  <c r="K391"/>
  <c r="B391"/>
  <c r="A391"/>
  <c r="N390"/>
  <c r="M390"/>
  <c r="L390"/>
  <c r="K390"/>
  <c r="B390"/>
  <c r="A390"/>
  <c r="N389"/>
  <c r="M389"/>
  <c r="L389"/>
  <c r="K389"/>
  <c r="B389"/>
  <c r="A389"/>
  <c r="N388"/>
  <c r="M388"/>
  <c r="L388"/>
  <c r="K388"/>
  <c r="B388"/>
  <c r="A388"/>
  <c r="N387"/>
  <c r="M387"/>
  <c r="L387"/>
  <c r="K387"/>
  <c r="B387"/>
  <c r="A387"/>
  <c r="N386"/>
  <c r="M386"/>
  <c r="L386"/>
  <c r="K386"/>
  <c r="B386"/>
  <c r="A386"/>
  <c r="N385"/>
  <c r="M385"/>
  <c r="L385"/>
  <c r="K385"/>
  <c r="B385"/>
  <c r="A385"/>
  <c r="N384"/>
  <c r="M384"/>
  <c r="L384"/>
  <c r="K384"/>
  <c r="B384"/>
  <c r="A384"/>
  <c r="N383"/>
  <c r="M383"/>
  <c r="L383"/>
  <c r="K383"/>
  <c r="B383"/>
  <c r="A383"/>
  <c r="N382"/>
  <c r="M382"/>
  <c r="L382"/>
  <c r="K382"/>
  <c r="B382"/>
  <c r="A382"/>
  <c r="N381"/>
  <c r="M381"/>
  <c r="L381"/>
  <c r="K381"/>
  <c r="B381"/>
  <c r="A381"/>
  <c r="N380"/>
  <c r="M380"/>
  <c r="L380"/>
  <c r="K380"/>
  <c r="B380"/>
  <c r="A380"/>
  <c r="N379"/>
  <c r="M379"/>
  <c r="L379"/>
  <c r="K379"/>
  <c r="B379"/>
  <c r="A379"/>
  <c r="N378"/>
  <c r="M378"/>
  <c r="L378"/>
  <c r="K378"/>
  <c r="B378"/>
  <c r="A378"/>
  <c r="N377"/>
  <c r="M377"/>
  <c r="L377"/>
  <c r="K377"/>
  <c r="B377"/>
  <c r="A377"/>
  <c r="N376"/>
  <c r="M376"/>
  <c r="L376"/>
  <c r="K376"/>
  <c r="B376"/>
  <c r="A376"/>
  <c r="N375"/>
  <c r="M375"/>
  <c r="L375"/>
  <c r="K375"/>
  <c r="B375"/>
  <c r="A375"/>
  <c r="N374"/>
  <c r="M374"/>
  <c r="L374"/>
  <c r="K374"/>
  <c r="B374"/>
  <c r="A374"/>
  <c r="N373"/>
  <c r="M373"/>
  <c r="L373"/>
  <c r="K373"/>
  <c r="B373"/>
  <c r="A373"/>
  <c r="N372"/>
  <c r="M372"/>
  <c r="L372"/>
  <c r="K372"/>
  <c r="B372"/>
  <c r="A372"/>
  <c r="N371"/>
  <c r="M371"/>
  <c r="L371"/>
  <c r="K371"/>
  <c r="B371"/>
  <c r="A371"/>
  <c r="N370"/>
  <c r="M370"/>
  <c r="L370"/>
  <c r="K370"/>
  <c r="B370"/>
  <c r="A370"/>
  <c r="N369"/>
  <c r="M369"/>
  <c r="L369"/>
  <c r="K369"/>
  <c r="B369"/>
  <c r="A369"/>
  <c r="N368"/>
  <c r="M368"/>
  <c r="L368"/>
  <c r="K368"/>
  <c r="B368"/>
  <c r="A368"/>
  <c r="N367"/>
  <c r="M367"/>
  <c r="L367"/>
  <c r="K367"/>
  <c r="B367"/>
  <c r="A367"/>
  <c r="N366"/>
  <c r="M366"/>
  <c r="L366"/>
  <c r="K366"/>
  <c r="B366"/>
  <c r="A366"/>
  <c r="N365"/>
  <c r="M365"/>
  <c r="L365"/>
  <c r="K365"/>
  <c r="B365"/>
  <c r="A365"/>
  <c r="N364"/>
  <c r="M364"/>
  <c r="L364"/>
  <c r="K364"/>
  <c r="B364"/>
  <c r="A364"/>
  <c r="N363"/>
  <c r="M363"/>
  <c r="L363"/>
  <c r="K363"/>
  <c r="B363"/>
  <c r="A363"/>
  <c r="N362"/>
  <c r="M362"/>
  <c r="L362"/>
  <c r="K362"/>
  <c r="B362"/>
  <c r="A362"/>
  <c r="N361"/>
  <c r="M361"/>
  <c r="L361"/>
  <c r="K361"/>
  <c r="B361"/>
  <c r="A361"/>
  <c r="N360"/>
  <c r="M360"/>
  <c r="L360"/>
  <c r="K360"/>
  <c r="B360"/>
  <c r="A360"/>
  <c r="N359"/>
  <c r="M359"/>
  <c r="L359"/>
  <c r="K359"/>
  <c r="B359"/>
  <c r="A359"/>
  <c r="N358"/>
  <c r="M358"/>
  <c r="L358"/>
  <c r="K358"/>
  <c r="B358"/>
  <c r="A358"/>
  <c r="N357"/>
  <c r="M357"/>
  <c r="L357"/>
  <c r="K357"/>
  <c r="B357"/>
  <c r="A357"/>
  <c r="N356"/>
  <c r="M356"/>
  <c r="L356"/>
  <c r="K356"/>
  <c r="B356"/>
  <c r="A356"/>
  <c r="N355"/>
  <c r="M355"/>
  <c r="L355"/>
  <c r="K355"/>
  <c r="B355"/>
  <c r="A355"/>
  <c r="N354"/>
  <c r="M354"/>
  <c r="L354"/>
  <c r="K354"/>
  <c r="B354"/>
  <c r="A354"/>
  <c r="N353"/>
  <c r="M353"/>
  <c r="L353"/>
  <c r="K353"/>
  <c r="B353"/>
  <c r="A353"/>
  <c r="N352"/>
  <c r="M352"/>
  <c r="L352"/>
  <c r="K352"/>
  <c r="B352"/>
  <c r="A352"/>
  <c r="N351"/>
  <c r="M351"/>
  <c r="L351"/>
  <c r="K351"/>
  <c r="B351"/>
  <c r="A351"/>
  <c r="N350"/>
  <c r="M350"/>
  <c r="L350"/>
  <c r="K350"/>
  <c r="B350"/>
  <c r="A350"/>
  <c r="N349"/>
  <c r="M349"/>
  <c r="L349"/>
  <c r="K349"/>
  <c r="B349"/>
  <c r="A349"/>
  <c r="N348"/>
  <c r="M348"/>
  <c r="L348"/>
  <c r="K348"/>
  <c r="B348"/>
  <c r="A348"/>
  <c r="N347"/>
  <c r="M347"/>
  <c r="L347"/>
  <c r="K347"/>
  <c r="B347"/>
  <c r="A347"/>
  <c r="N346"/>
  <c r="M346"/>
  <c r="L346"/>
  <c r="K346"/>
  <c r="B346"/>
  <c r="A346"/>
  <c r="N345"/>
  <c r="M345"/>
  <c r="L345"/>
  <c r="K345"/>
  <c r="B345"/>
  <c r="A345"/>
  <c r="N344"/>
  <c r="M344"/>
  <c r="L344"/>
  <c r="K344"/>
  <c r="B344"/>
  <c r="A344"/>
  <c r="N343"/>
  <c r="M343"/>
  <c r="L343"/>
  <c r="K343"/>
  <c r="B343"/>
  <c r="A343"/>
  <c r="N342"/>
  <c r="M342"/>
  <c r="L342"/>
  <c r="K342"/>
  <c r="B342"/>
  <c r="A342"/>
  <c r="N341"/>
  <c r="M341"/>
  <c r="L341"/>
  <c r="K341"/>
  <c r="B341"/>
  <c r="A341"/>
  <c r="N340"/>
  <c r="M340"/>
  <c r="L340"/>
  <c r="K340"/>
  <c r="B340"/>
  <c r="A340"/>
  <c r="N339"/>
  <c r="M339"/>
  <c r="L339"/>
  <c r="K339"/>
  <c r="B339"/>
  <c r="A339"/>
  <c r="N338"/>
  <c r="M338"/>
  <c r="L338"/>
  <c r="K338"/>
  <c r="B338"/>
  <c r="A338"/>
  <c r="N337"/>
  <c r="M337"/>
  <c r="L337"/>
  <c r="K337"/>
  <c r="B337"/>
  <c r="A337"/>
  <c r="N336"/>
  <c r="M336"/>
  <c r="L336"/>
  <c r="K336"/>
  <c r="B336"/>
  <c r="A336"/>
  <c r="N335"/>
  <c r="M335"/>
  <c r="L335"/>
  <c r="K335"/>
  <c r="B335"/>
  <c r="A335"/>
  <c r="N334"/>
  <c r="M334"/>
  <c r="L334"/>
  <c r="K334"/>
  <c r="B334"/>
  <c r="A334"/>
  <c r="N333"/>
  <c r="M333"/>
  <c r="L333"/>
  <c r="K333"/>
  <c r="B333"/>
  <c r="A333"/>
  <c r="N332"/>
  <c r="M332"/>
  <c r="L332"/>
  <c r="K332"/>
  <c r="B332"/>
  <c r="A332"/>
  <c r="N331"/>
  <c r="M331"/>
  <c r="L331"/>
  <c r="K331"/>
  <c r="B331"/>
  <c r="A331"/>
  <c r="N330"/>
  <c r="M330"/>
  <c r="L330"/>
  <c r="K330"/>
  <c r="B330"/>
  <c r="A330"/>
  <c r="N329"/>
  <c r="M329"/>
  <c r="L329"/>
  <c r="K329"/>
  <c r="B329"/>
  <c r="A329"/>
  <c r="N328"/>
  <c r="M328"/>
  <c r="L328"/>
  <c r="K328"/>
  <c r="B328"/>
  <c r="A328"/>
  <c r="N327"/>
  <c r="M327"/>
  <c r="L327"/>
  <c r="K327"/>
  <c r="B327"/>
  <c r="A327"/>
  <c r="N326"/>
  <c r="M326"/>
  <c r="L326"/>
  <c r="K326"/>
  <c r="B326"/>
  <c r="A326"/>
  <c r="N325"/>
  <c r="M325"/>
  <c r="L325"/>
  <c r="K325"/>
  <c r="B325"/>
  <c r="A325"/>
  <c r="N324"/>
  <c r="M324"/>
  <c r="L324"/>
  <c r="K324"/>
  <c r="B324"/>
  <c r="A324"/>
  <c r="N323"/>
  <c r="M323"/>
  <c r="L323"/>
  <c r="K323"/>
  <c r="B323"/>
  <c r="A323"/>
  <c r="N322"/>
  <c r="M322"/>
  <c r="L322"/>
  <c r="K322"/>
  <c r="B322"/>
  <c r="A322"/>
  <c r="N321"/>
  <c r="M321"/>
  <c r="L321"/>
  <c r="K321"/>
  <c r="B321"/>
  <c r="A321"/>
  <c r="N320"/>
  <c r="M320"/>
  <c r="L320"/>
  <c r="K320"/>
  <c r="B320"/>
  <c r="A320"/>
  <c r="N319"/>
  <c r="M319"/>
  <c r="L319"/>
  <c r="K319"/>
  <c r="B319"/>
  <c r="A319"/>
  <c r="N318"/>
  <c r="M318"/>
  <c r="L318"/>
  <c r="K318"/>
  <c r="B318"/>
  <c r="A318"/>
  <c r="N317"/>
  <c r="M317"/>
  <c r="L317"/>
  <c r="K317"/>
  <c r="B317"/>
  <c r="A317"/>
  <c r="N316"/>
  <c r="M316"/>
  <c r="L316"/>
  <c r="K316"/>
  <c r="B316"/>
  <c r="A316"/>
  <c r="N315"/>
  <c r="M315"/>
  <c r="L315"/>
  <c r="K315"/>
  <c r="B315"/>
  <c r="A315"/>
  <c r="N314"/>
  <c r="M314"/>
  <c r="L314"/>
  <c r="K314"/>
  <c r="B314"/>
  <c r="A314"/>
  <c r="N313"/>
  <c r="M313"/>
  <c r="L313"/>
  <c r="K313"/>
  <c r="B313"/>
  <c r="A313"/>
  <c r="N312"/>
  <c r="M312"/>
  <c r="L312"/>
  <c r="K312"/>
  <c r="B312"/>
  <c r="A312"/>
  <c r="N311"/>
  <c r="M311"/>
  <c r="L311"/>
  <c r="K311"/>
  <c r="B311"/>
  <c r="A311"/>
  <c r="N310"/>
  <c r="M310"/>
  <c r="L310"/>
  <c r="K310"/>
  <c r="B310"/>
  <c r="A310"/>
  <c r="N309"/>
  <c r="M309"/>
  <c r="L309"/>
  <c r="K309"/>
  <c r="B309"/>
  <c r="A309"/>
  <c r="N308"/>
  <c r="M308"/>
  <c r="L308"/>
  <c r="K308"/>
  <c r="B308"/>
  <c r="A308"/>
  <c r="N307"/>
  <c r="M307"/>
  <c r="L307"/>
  <c r="K307"/>
  <c r="B307"/>
  <c r="A307"/>
  <c r="N306"/>
  <c r="M306"/>
  <c r="L306"/>
  <c r="K306"/>
  <c r="B306"/>
  <c r="A306"/>
  <c r="N305"/>
  <c r="M305"/>
  <c r="L305"/>
  <c r="K305"/>
  <c r="B305"/>
  <c r="A305"/>
  <c r="N304"/>
  <c r="M304"/>
  <c r="L304"/>
  <c r="K304"/>
  <c r="B304"/>
  <c r="A304"/>
  <c r="N303"/>
  <c r="M303"/>
  <c r="L303"/>
  <c r="K303"/>
  <c r="B303"/>
  <c r="A303"/>
  <c r="N302"/>
  <c r="M302"/>
  <c r="L302"/>
  <c r="K302"/>
  <c r="B302"/>
  <c r="A302"/>
  <c r="N301"/>
  <c r="M301"/>
  <c r="L301"/>
  <c r="K301"/>
  <c r="B301"/>
  <c r="A301"/>
  <c r="N300"/>
  <c r="M300"/>
  <c r="L300"/>
  <c r="K300"/>
  <c r="B300"/>
  <c r="A300"/>
  <c r="N299"/>
  <c r="M299"/>
  <c r="L299"/>
  <c r="K299"/>
  <c r="B299"/>
  <c r="A299"/>
  <c r="N298"/>
  <c r="M298"/>
  <c r="L298"/>
  <c r="K298"/>
  <c r="B298"/>
  <c r="A298"/>
  <c r="N297"/>
  <c r="M297"/>
  <c r="L297"/>
  <c r="K297"/>
  <c r="B297"/>
  <c r="A297"/>
  <c r="N296"/>
  <c r="M296"/>
  <c r="L296"/>
  <c r="K296"/>
  <c r="B296"/>
  <c r="A296"/>
  <c r="N295"/>
  <c r="M295"/>
  <c r="L295"/>
  <c r="K295"/>
  <c r="B295"/>
  <c r="A295"/>
  <c r="N294"/>
  <c r="M294"/>
  <c r="L294"/>
  <c r="K294"/>
  <c r="B294"/>
  <c r="A294"/>
  <c r="N293"/>
  <c r="M293"/>
  <c r="L293"/>
  <c r="K293"/>
  <c r="B293"/>
  <c r="A293"/>
  <c r="N292"/>
  <c r="M292"/>
  <c r="L292"/>
  <c r="K292"/>
  <c r="B292"/>
  <c r="A292"/>
  <c r="N291"/>
  <c r="M291"/>
  <c r="L291"/>
  <c r="K291"/>
  <c r="B291"/>
  <c r="A291"/>
  <c r="N290"/>
  <c r="M290"/>
  <c r="L290"/>
  <c r="K290"/>
  <c r="B290"/>
  <c r="A290"/>
  <c r="N289"/>
  <c r="M289"/>
  <c r="L289"/>
  <c r="K289"/>
  <c r="B289"/>
  <c r="A289"/>
  <c r="N288"/>
  <c r="M288"/>
  <c r="L288"/>
  <c r="K288"/>
  <c r="B288"/>
  <c r="A288"/>
  <c r="N287"/>
  <c r="M287"/>
  <c r="L287"/>
  <c r="K287"/>
  <c r="B287"/>
  <c r="A287"/>
  <c r="N286"/>
  <c r="M286"/>
  <c r="L286"/>
  <c r="K286"/>
  <c r="B286"/>
  <c r="A286"/>
  <c r="N285"/>
  <c r="M285"/>
  <c r="L285"/>
  <c r="K285"/>
  <c r="B285"/>
  <c r="A285"/>
  <c r="N284"/>
  <c r="M284"/>
  <c r="L284"/>
  <c r="K284"/>
  <c r="B284"/>
  <c r="A284"/>
  <c r="N283"/>
  <c r="M283"/>
  <c r="L283"/>
  <c r="K283"/>
  <c r="B283"/>
  <c r="A283"/>
  <c r="N282"/>
  <c r="M282"/>
  <c r="L282"/>
  <c r="K282"/>
  <c r="B282"/>
  <c r="A282"/>
  <c r="N281"/>
  <c r="M281"/>
  <c r="L281"/>
  <c r="K281"/>
  <c r="B281"/>
  <c r="A281"/>
  <c r="N280"/>
  <c r="M280"/>
  <c r="L280"/>
  <c r="K280"/>
  <c r="B280"/>
  <c r="A280"/>
  <c r="N279"/>
  <c r="M279"/>
  <c r="L279"/>
  <c r="K279"/>
  <c r="B279"/>
  <c r="A279"/>
  <c r="N278"/>
  <c r="M278"/>
  <c r="L278"/>
  <c r="K278"/>
  <c r="B278"/>
  <c r="A278"/>
  <c r="N277"/>
  <c r="M277"/>
  <c r="L277"/>
  <c r="K277"/>
  <c r="B277"/>
  <c r="A277"/>
  <c r="N276"/>
  <c r="M276"/>
  <c r="L276"/>
  <c r="K276"/>
  <c r="B276"/>
  <c r="A276"/>
  <c r="N275"/>
  <c r="M275"/>
  <c r="L275"/>
  <c r="K275"/>
  <c r="B275"/>
  <c r="A275"/>
  <c r="N274"/>
  <c r="M274"/>
  <c r="L274"/>
  <c r="K274"/>
  <c r="B274"/>
  <c r="A274"/>
  <c r="N273"/>
  <c r="M273"/>
  <c r="L273"/>
  <c r="K273"/>
  <c r="B273"/>
  <c r="A273"/>
  <c r="N272"/>
  <c r="M272"/>
  <c r="L272"/>
  <c r="K272"/>
  <c r="B272"/>
  <c r="A272"/>
  <c r="N271"/>
  <c r="M271"/>
  <c r="L271"/>
  <c r="K271"/>
  <c r="B271"/>
  <c r="A271"/>
  <c r="N270"/>
  <c r="M270"/>
  <c r="L270"/>
  <c r="K270"/>
  <c r="B270"/>
  <c r="A270"/>
  <c r="N269"/>
  <c r="M269"/>
  <c r="L269"/>
  <c r="K269"/>
  <c r="B269"/>
  <c r="A269"/>
  <c r="N268"/>
  <c r="M268"/>
  <c r="L268"/>
  <c r="K268"/>
  <c r="B268"/>
  <c r="A268"/>
  <c r="N267"/>
  <c r="M267"/>
  <c r="L267"/>
  <c r="K267"/>
  <c r="B267"/>
  <c r="A267"/>
  <c r="N266"/>
  <c r="M266"/>
  <c r="L266"/>
  <c r="K266"/>
  <c r="B266"/>
  <c r="A266"/>
  <c r="N265"/>
  <c r="M265"/>
  <c r="L265"/>
  <c r="K265"/>
  <c r="B265"/>
  <c r="A265"/>
  <c r="N264"/>
  <c r="M264"/>
  <c r="L264"/>
  <c r="K264"/>
  <c r="B264"/>
  <c r="A264"/>
  <c r="N263"/>
  <c r="M263"/>
  <c r="L263"/>
  <c r="K263"/>
  <c r="B263"/>
  <c r="A263"/>
  <c r="N262"/>
  <c r="M262"/>
  <c r="L262"/>
  <c r="K262"/>
  <c r="B262"/>
  <c r="A262"/>
  <c r="N261"/>
  <c r="M261"/>
  <c r="L261"/>
  <c r="K261"/>
  <c r="B261"/>
  <c r="A261"/>
  <c r="N260"/>
  <c r="M260"/>
  <c r="L260"/>
  <c r="K260"/>
  <c r="B260"/>
  <c r="A260"/>
  <c r="N259"/>
  <c r="M259"/>
  <c r="L259"/>
  <c r="K259"/>
  <c r="B259"/>
  <c r="A259"/>
  <c r="N258"/>
  <c r="M258"/>
  <c r="L258"/>
  <c r="K258"/>
  <c r="B258"/>
  <c r="A258"/>
  <c r="N257"/>
  <c r="M257"/>
  <c r="L257"/>
  <c r="K257"/>
  <c r="B257"/>
  <c r="A257"/>
  <c r="N256"/>
  <c r="M256"/>
  <c r="L256"/>
  <c r="K256"/>
  <c r="B256"/>
  <c r="A256"/>
  <c r="N255"/>
  <c r="M255"/>
  <c r="L255"/>
  <c r="K255"/>
  <c r="B255"/>
  <c r="A255"/>
  <c r="N254"/>
  <c r="M254"/>
  <c r="L254"/>
  <c r="K254"/>
  <c r="B254"/>
  <c r="A254"/>
  <c r="N253"/>
  <c r="M253"/>
  <c r="L253"/>
  <c r="K253"/>
  <c r="B253"/>
  <c r="A253"/>
  <c r="N252"/>
  <c r="M252"/>
  <c r="L252"/>
  <c r="K252"/>
  <c r="B252"/>
  <c r="A252"/>
  <c r="N251"/>
  <c r="M251"/>
  <c r="L251"/>
  <c r="K251"/>
  <c r="B251"/>
  <c r="A251"/>
  <c r="N250"/>
  <c r="M250"/>
  <c r="L250"/>
  <c r="K250"/>
  <c r="B250"/>
  <c r="A250"/>
  <c r="N249"/>
  <c r="M249"/>
  <c r="L249"/>
  <c r="K249"/>
  <c r="B249"/>
  <c r="A249"/>
  <c r="N248"/>
  <c r="M248"/>
  <c r="L248"/>
  <c r="K248"/>
  <c r="B248"/>
  <c r="A248"/>
  <c r="N247"/>
  <c r="M247"/>
  <c r="L247"/>
  <c r="K247"/>
  <c r="B247"/>
  <c r="A247"/>
  <c r="N246"/>
  <c r="M246"/>
  <c r="L246"/>
  <c r="K246"/>
  <c r="B246"/>
  <c r="A246"/>
  <c r="N245"/>
  <c r="M245"/>
  <c r="L245"/>
  <c r="K245"/>
  <c r="B245"/>
  <c r="A245"/>
  <c r="N244"/>
  <c r="M244"/>
  <c r="L244"/>
  <c r="K244"/>
  <c r="B244"/>
  <c r="A244"/>
  <c r="N243"/>
  <c r="M243"/>
  <c r="L243"/>
  <c r="K243"/>
  <c r="B243"/>
  <c r="A243"/>
  <c r="N242"/>
  <c r="M242"/>
  <c r="L242"/>
  <c r="K242"/>
  <c r="B242"/>
  <c r="A242"/>
  <c r="N241"/>
  <c r="M241"/>
  <c r="L241"/>
  <c r="K241"/>
  <c r="B241"/>
  <c r="A241"/>
  <c r="N240"/>
  <c r="M240"/>
  <c r="L240"/>
  <c r="K240"/>
  <c r="B240"/>
  <c r="A240"/>
  <c r="N239"/>
  <c r="M239"/>
  <c r="L239"/>
  <c r="K239"/>
  <c r="B239"/>
  <c r="A239"/>
  <c r="N238"/>
  <c r="M238"/>
  <c r="L238"/>
  <c r="K238"/>
  <c r="B238"/>
  <c r="A238"/>
  <c r="N237"/>
  <c r="M237"/>
  <c r="L237"/>
  <c r="K237"/>
  <c r="B237"/>
  <c r="A237"/>
  <c r="N236"/>
  <c r="M236"/>
  <c r="L236"/>
  <c r="K236"/>
  <c r="B236"/>
  <c r="A236"/>
  <c r="N235"/>
  <c r="M235"/>
  <c r="L235"/>
  <c r="K235"/>
  <c r="B235"/>
  <c r="A235"/>
  <c r="N234"/>
  <c r="M234"/>
  <c r="L234"/>
  <c r="K234"/>
  <c r="B234"/>
  <c r="A234"/>
  <c r="N233"/>
  <c r="M233"/>
  <c r="L233"/>
  <c r="K233"/>
  <c r="B233"/>
  <c r="A233"/>
  <c r="N232"/>
  <c r="M232"/>
  <c r="L232"/>
  <c r="K232"/>
  <c r="B232"/>
  <c r="A232"/>
  <c r="N231"/>
  <c r="M231"/>
  <c r="L231"/>
  <c r="K231"/>
  <c r="B231"/>
  <c r="A231"/>
  <c r="N230"/>
  <c r="M230"/>
  <c r="L230"/>
  <c r="K230"/>
  <c r="B230"/>
  <c r="A230"/>
  <c r="N229"/>
  <c r="M229"/>
  <c r="L229"/>
  <c r="K229"/>
  <c r="B229"/>
  <c r="A229"/>
  <c r="N228"/>
  <c r="M228"/>
  <c r="L228"/>
  <c r="K228"/>
  <c r="B228"/>
  <c r="A228"/>
  <c r="N227"/>
  <c r="M227"/>
  <c r="L227"/>
  <c r="K227"/>
  <c r="B227"/>
  <c r="A227"/>
  <c r="N226"/>
  <c r="M226"/>
  <c r="L226"/>
  <c r="K226"/>
  <c r="B226"/>
  <c r="A226"/>
  <c r="N225"/>
  <c r="M225"/>
  <c r="L225"/>
  <c r="K225"/>
  <c r="B225"/>
  <c r="A225"/>
  <c r="N224"/>
  <c r="M224"/>
  <c r="L224"/>
  <c r="K224"/>
  <c r="B224"/>
  <c r="A224"/>
  <c r="N223"/>
  <c r="M223"/>
  <c r="L223"/>
  <c r="K223"/>
  <c r="B223"/>
  <c r="A223"/>
  <c r="N222"/>
  <c r="M222"/>
  <c r="L222"/>
  <c r="K222"/>
  <c r="B222"/>
  <c r="A222"/>
  <c r="N221"/>
  <c r="M221"/>
  <c r="L221"/>
  <c r="K221"/>
  <c r="B221"/>
  <c r="A221"/>
  <c r="N220"/>
  <c r="M220"/>
  <c r="L220"/>
  <c r="K220"/>
  <c r="B220"/>
  <c r="A220"/>
  <c r="N219"/>
  <c r="M219"/>
  <c r="L219"/>
  <c r="K219"/>
  <c r="B219"/>
  <c r="A219"/>
  <c r="N218"/>
  <c r="M218"/>
  <c r="L218"/>
  <c r="K218"/>
  <c r="B218"/>
  <c r="A218"/>
  <c r="N217"/>
  <c r="M217"/>
  <c r="L217"/>
  <c r="K217"/>
  <c r="B217"/>
  <c r="A217"/>
  <c r="N216"/>
  <c r="M216"/>
  <c r="L216"/>
  <c r="K216"/>
  <c r="B216"/>
  <c r="A216"/>
  <c r="N215"/>
  <c r="M215"/>
  <c r="L215"/>
  <c r="K215"/>
  <c r="B215"/>
  <c r="A215"/>
  <c r="N214"/>
  <c r="M214"/>
  <c r="L214"/>
  <c r="K214"/>
  <c r="B214"/>
  <c r="A214"/>
  <c r="N213"/>
  <c r="M213"/>
  <c r="L213"/>
  <c r="K213"/>
  <c r="B213"/>
  <c r="A213"/>
  <c r="N212"/>
  <c r="M212"/>
  <c r="L212"/>
  <c r="K212"/>
  <c r="B212"/>
  <c r="A212"/>
  <c r="N211"/>
  <c r="M211"/>
  <c r="L211"/>
  <c r="K211"/>
  <c r="B211"/>
  <c r="A211"/>
  <c r="N210"/>
  <c r="M210"/>
  <c r="L210"/>
  <c r="K210"/>
  <c r="B210"/>
  <c r="A210"/>
  <c r="N209"/>
  <c r="M209"/>
  <c r="L209"/>
  <c r="K209"/>
  <c r="B209"/>
  <c r="A209"/>
  <c r="N208"/>
  <c r="M208"/>
  <c r="L208"/>
  <c r="K208"/>
  <c r="B208"/>
  <c r="A208"/>
  <c r="N207"/>
  <c r="M207"/>
  <c r="L207"/>
  <c r="K207"/>
  <c r="B207"/>
  <c r="A207"/>
  <c r="N206"/>
  <c r="M206"/>
  <c r="L206"/>
  <c r="K206"/>
  <c r="B206"/>
  <c r="A206"/>
  <c r="N205"/>
  <c r="M205"/>
  <c r="L205"/>
  <c r="K205"/>
  <c r="B205"/>
  <c r="A205"/>
  <c r="N204"/>
  <c r="M204"/>
  <c r="L204"/>
  <c r="K204"/>
  <c r="B204"/>
  <c r="A204"/>
  <c r="N203"/>
  <c r="M203"/>
  <c r="L203"/>
  <c r="K203"/>
  <c r="B203"/>
  <c r="A203"/>
  <c r="N202"/>
  <c r="M202"/>
  <c r="L202"/>
  <c r="K202"/>
  <c r="B202"/>
  <c r="A202"/>
  <c r="N201"/>
  <c r="M201"/>
  <c r="L201"/>
  <c r="K201"/>
  <c r="B201"/>
  <c r="A201"/>
  <c r="N200"/>
  <c r="M200"/>
  <c r="L200"/>
  <c r="K200"/>
  <c r="B200"/>
  <c r="A200"/>
  <c r="N199"/>
  <c r="M199"/>
  <c r="L199"/>
  <c r="K199"/>
  <c r="B199"/>
  <c r="A199"/>
  <c r="N198"/>
  <c r="M198"/>
  <c r="L198"/>
  <c r="K198"/>
  <c r="B198"/>
  <c r="A198"/>
  <c r="N197"/>
  <c r="M197"/>
  <c r="L197"/>
  <c r="K197"/>
  <c r="B197"/>
  <c r="A197"/>
  <c r="N196"/>
  <c r="M196"/>
  <c r="L196"/>
  <c r="K196"/>
  <c r="B196"/>
  <c r="A196"/>
  <c r="N195"/>
  <c r="M195"/>
  <c r="L195"/>
  <c r="K195"/>
  <c r="B195"/>
  <c r="A195"/>
  <c r="N194"/>
  <c r="M194"/>
  <c r="L194"/>
  <c r="K194"/>
  <c r="B194"/>
  <c r="A194"/>
  <c r="N193"/>
  <c r="M193"/>
  <c r="L193"/>
  <c r="K193"/>
  <c r="B193"/>
  <c r="A193"/>
  <c r="N192"/>
  <c r="M192"/>
  <c r="L192"/>
  <c r="K192"/>
  <c r="B192"/>
  <c r="A192"/>
  <c r="N191"/>
  <c r="M191"/>
  <c r="L191"/>
  <c r="K191"/>
  <c r="B191"/>
  <c r="A191"/>
  <c r="N190"/>
  <c r="M190"/>
  <c r="L190"/>
  <c r="K190"/>
  <c r="B190"/>
  <c r="A190"/>
  <c r="N189"/>
  <c r="M189"/>
  <c r="L189"/>
  <c r="K189"/>
  <c r="B189"/>
  <c r="A189"/>
  <c r="N188"/>
  <c r="M188"/>
  <c r="L188"/>
  <c r="K188"/>
  <c r="B188"/>
  <c r="A188"/>
  <c r="N187"/>
  <c r="M187"/>
  <c r="L187"/>
  <c r="K187"/>
  <c r="B187"/>
  <c r="A187"/>
  <c r="N186"/>
  <c r="M186"/>
  <c r="L186"/>
  <c r="K186"/>
  <c r="B186"/>
  <c r="A186"/>
  <c r="N185"/>
  <c r="M185"/>
  <c r="L185"/>
  <c r="K185"/>
  <c r="B185"/>
  <c r="A185"/>
  <c r="N184"/>
  <c r="M184"/>
  <c r="L184"/>
  <c r="K184"/>
  <c r="B184"/>
  <c r="A184"/>
  <c r="N183"/>
  <c r="M183"/>
  <c r="L183"/>
  <c r="K183"/>
  <c r="B183"/>
  <c r="A183"/>
  <c r="N182"/>
  <c r="M182"/>
  <c r="L182"/>
  <c r="K182"/>
  <c r="B182"/>
  <c r="A182"/>
  <c r="N181"/>
  <c r="M181"/>
  <c r="L181"/>
  <c r="K181"/>
  <c r="B181"/>
  <c r="A181"/>
  <c r="N180"/>
  <c r="M180"/>
  <c r="L180"/>
  <c r="K180"/>
  <c r="B180"/>
  <c r="A180"/>
  <c r="N179"/>
  <c r="M179"/>
  <c r="L179"/>
  <c r="K179"/>
  <c r="B179"/>
  <c r="A179"/>
  <c r="N178"/>
  <c r="M178"/>
  <c r="L178"/>
  <c r="K178"/>
  <c r="B178"/>
  <c r="A178"/>
  <c r="N177"/>
  <c r="M177"/>
  <c r="L177"/>
  <c r="K177"/>
  <c r="B177"/>
  <c r="A177"/>
  <c r="N176"/>
  <c r="M176"/>
  <c r="L176"/>
  <c r="K176"/>
  <c r="B176"/>
  <c r="A176"/>
  <c r="N175"/>
  <c r="M175"/>
  <c r="L175"/>
  <c r="K175"/>
  <c r="B175"/>
  <c r="A175"/>
  <c r="N174"/>
  <c r="M174"/>
  <c r="L174"/>
  <c r="K174"/>
  <c r="B174"/>
  <c r="A174"/>
  <c r="N173"/>
  <c r="M173"/>
  <c r="L173"/>
  <c r="K173"/>
  <c r="B173"/>
  <c r="A173"/>
  <c r="N172"/>
  <c r="M172"/>
  <c r="L172"/>
  <c r="K172"/>
  <c r="B172"/>
  <c r="A172"/>
  <c r="N171"/>
  <c r="M171"/>
  <c r="L171"/>
  <c r="K171"/>
  <c r="B171"/>
  <c r="A171"/>
  <c r="N170"/>
  <c r="M170"/>
  <c r="L170"/>
  <c r="K170"/>
  <c r="B170"/>
  <c r="A170"/>
  <c r="N169"/>
  <c r="M169"/>
  <c r="L169"/>
  <c r="K169"/>
  <c r="B169"/>
  <c r="A169"/>
  <c r="N168"/>
  <c r="M168"/>
  <c r="L168"/>
  <c r="K168"/>
  <c r="B168"/>
  <c r="A168"/>
  <c r="N167"/>
  <c r="M167"/>
  <c r="L167"/>
  <c r="K167"/>
  <c r="B167"/>
  <c r="A167"/>
  <c r="N166"/>
  <c r="M166"/>
  <c r="L166"/>
  <c r="K166"/>
  <c r="B166"/>
  <c r="A166"/>
  <c r="N165"/>
  <c r="M165"/>
  <c r="L165"/>
  <c r="K165"/>
  <c r="B165"/>
  <c r="A165"/>
  <c r="N164"/>
  <c r="M164"/>
  <c r="L164"/>
  <c r="K164"/>
  <c r="B164"/>
  <c r="A164"/>
  <c r="N163"/>
  <c r="M163"/>
  <c r="L163"/>
  <c r="K163"/>
  <c r="B163"/>
  <c r="A163"/>
  <c r="N162"/>
  <c r="M162"/>
  <c r="L162"/>
  <c r="K162"/>
  <c r="B162"/>
  <c r="A162"/>
  <c r="N161"/>
  <c r="M161"/>
  <c r="L161"/>
  <c r="K161"/>
  <c r="B161"/>
  <c r="A161"/>
  <c r="N160"/>
  <c r="M160"/>
  <c r="L160"/>
  <c r="K160"/>
  <c r="B160"/>
  <c r="A160"/>
  <c r="N159"/>
  <c r="M159"/>
  <c r="L159"/>
  <c r="K159"/>
  <c r="B159"/>
  <c r="A159"/>
  <c r="N158"/>
  <c r="M158"/>
  <c r="L158"/>
  <c r="K158"/>
  <c r="B158"/>
  <c r="A158"/>
  <c r="N157"/>
  <c r="M157"/>
  <c r="L157"/>
  <c r="K157"/>
  <c r="B157"/>
  <c r="A157"/>
  <c r="N156"/>
  <c r="M156"/>
  <c r="L156"/>
  <c r="K156"/>
  <c r="B156"/>
  <c r="A156"/>
  <c r="N155"/>
  <c r="M155"/>
  <c r="L155"/>
  <c r="K155"/>
  <c r="B155"/>
  <c r="A155"/>
  <c r="N154"/>
  <c r="M154"/>
  <c r="L154"/>
  <c r="K154"/>
  <c r="B154"/>
  <c r="A154"/>
  <c r="N153"/>
  <c r="M153"/>
  <c r="L153"/>
  <c r="K153"/>
  <c r="B153"/>
  <c r="A153"/>
  <c r="N152"/>
  <c r="M152"/>
  <c r="L152"/>
  <c r="K152"/>
  <c r="B152"/>
  <c r="A152"/>
  <c r="N151"/>
  <c r="M151"/>
  <c r="L151"/>
  <c r="K151"/>
  <c r="B151"/>
  <c r="A151"/>
  <c r="N150"/>
  <c r="M150"/>
  <c r="L150"/>
  <c r="K150"/>
  <c r="B150"/>
  <c r="A150"/>
  <c r="N149"/>
  <c r="M149"/>
  <c r="L149"/>
  <c r="K149"/>
  <c r="B149"/>
  <c r="A149"/>
  <c r="N148"/>
  <c r="M148"/>
  <c r="L148"/>
  <c r="K148"/>
  <c r="B148"/>
  <c r="A148"/>
  <c r="N147"/>
  <c r="M147"/>
  <c r="L147"/>
  <c r="K147"/>
  <c r="B147"/>
  <c r="A147"/>
  <c r="N146"/>
  <c r="M146"/>
  <c r="L146"/>
  <c r="K146"/>
  <c r="B146"/>
  <c r="A146"/>
  <c r="N145"/>
  <c r="M145"/>
  <c r="L145"/>
  <c r="K145"/>
  <c r="B145"/>
  <c r="A145"/>
  <c r="N144"/>
  <c r="M144"/>
  <c r="L144"/>
  <c r="K144"/>
  <c r="B144"/>
  <c r="A144"/>
  <c r="N143"/>
  <c r="M143"/>
  <c r="L143"/>
  <c r="K143"/>
  <c r="B143"/>
  <c r="A143"/>
  <c r="N142"/>
  <c r="M142"/>
  <c r="L142"/>
  <c r="K142"/>
  <c r="B142"/>
  <c r="A142"/>
  <c r="N141"/>
  <c r="M141"/>
  <c r="L141"/>
  <c r="K141"/>
  <c r="B141"/>
  <c r="A141"/>
  <c r="N140"/>
  <c r="M140"/>
  <c r="L140"/>
  <c r="K140"/>
  <c r="B140"/>
  <c r="A140"/>
  <c r="N139"/>
  <c r="M139"/>
  <c r="L139"/>
  <c r="K139"/>
  <c r="B139"/>
  <c r="A139"/>
  <c r="N138"/>
  <c r="M138"/>
  <c r="L138"/>
  <c r="K138"/>
  <c r="B138"/>
  <c r="A138"/>
  <c r="N137"/>
  <c r="M137"/>
  <c r="L137"/>
  <c r="K137"/>
  <c r="B137"/>
  <c r="A137"/>
  <c r="N136"/>
  <c r="M136"/>
  <c r="L136"/>
  <c r="K136"/>
  <c r="B136"/>
  <c r="A136"/>
  <c r="N135"/>
  <c r="M135"/>
  <c r="L135"/>
  <c r="K135"/>
  <c r="B135"/>
  <c r="A135"/>
  <c r="N134"/>
  <c r="M134"/>
  <c r="L134"/>
  <c r="K134"/>
  <c r="B134"/>
  <c r="A134"/>
  <c r="N133"/>
  <c r="M133"/>
  <c r="L133"/>
  <c r="K133"/>
  <c r="B133"/>
  <c r="A133"/>
  <c r="N132"/>
  <c r="M132"/>
  <c r="L132"/>
  <c r="K132"/>
  <c r="B132"/>
  <c r="A132"/>
  <c r="N131"/>
  <c r="M131"/>
  <c r="L131"/>
  <c r="K131"/>
  <c r="B131"/>
  <c r="A131"/>
  <c r="N130"/>
  <c r="M130"/>
  <c r="L130"/>
  <c r="K130"/>
  <c r="B130"/>
  <c r="A130"/>
  <c r="N129"/>
  <c r="M129"/>
  <c r="L129"/>
  <c r="K129"/>
  <c r="B129"/>
  <c r="A129"/>
  <c r="N128"/>
  <c r="M128"/>
  <c r="L128"/>
  <c r="K128"/>
  <c r="B128"/>
  <c r="A128"/>
  <c r="N127"/>
  <c r="M127"/>
  <c r="L127"/>
  <c r="K127"/>
  <c r="B127"/>
  <c r="A127"/>
  <c r="N126"/>
  <c r="M126"/>
  <c r="L126"/>
  <c r="K126"/>
  <c r="B126"/>
  <c r="A126"/>
  <c r="N125"/>
  <c r="M125"/>
  <c r="L125"/>
  <c r="K125"/>
  <c r="B125"/>
  <c r="A125"/>
  <c r="N124"/>
  <c r="M124"/>
  <c r="L124"/>
  <c r="K124"/>
  <c r="B124"/>
  <c r="A124"/>
  <c r="N123"/>
  <c r="M123"/>
  <c r="L123"/>
  <c r="K123"/>
  <c r="B123"/>
  <c r="A123"/>
  <c r="N122"/>
  <c r="M122"/>
  <c r="L122"/>
  <c r="K122"/>
  <c r="B122"/>
  <c r="A122"/>
  <c r="N121"/>
  <c r="M121"/>
  <c r="L121"/>
  <c r="K121"/>
  <c r="B121"/>
  <c r="A121"/>
  <c r="N120"/>
  <c r="M120"/>
  <c r="L120"/>
  <c r="K120"/>
  <c r="B120"/>
  <c r="A120"/>
  <c r="N119"/>
  <c r="M119"/>
  <c r="L119"/>
  <c r="K119"/>
  <c r="B119"/>
  <c r="A119"/>
  <c r="N118"/>
  <c r="M118"/>
  <c r="L118"/>
  <c r="K118"/>
  <c r="B118"/>
  <c r="A118"/>
  <c r="N117"/>
  <c r="M117"/>
  <c r="L117"/>
  <c r="K117"/>
  <c r="B117"/>
  <c r="A117"/>
  <c r="N116"/>
  <c r="M116"/>
  <c r="L116"/>
  <c r="K116"/>
  <c r="B116"/>
  <c r="A116"/>
  <c r="N115"/>
  <c r="M115"/>
  <c r="L115"/>
  <c r="K115"/>
  <c r="B115"/>
  <c r="A115"/>
  <c r="N114"/>
  <c r="M114"/>
  <c r="L114"/>
  <c r="K114"/>
  <c r="B114"/>
  <c r="A114"/>
  <c r="N113"/>
  <c r="M113"/>
  <c r="L113"/>
  <c r="K113"/>
  <c r="B113"/>
  <c r="A113"/>
  <c r="N112"/>
  <c r="M112"/>
  <c r="L112"/>
  <c r="K112"/>
  <c r="B112"/>
  <c r="A112"/>
  <c r="N111"/>
  <c r="M111"/>
  <c r="L111"/>
  <c r="K111"/>
  <c r="B111"/>
  <c r="A111"/>
  <c r="N110"/>
  <c r="M110"/>
  <c r="L110"/>
  <c r="K110"/>
  <c r="B110"/>
  <c r="A110"/>
  <c r="N109"/>
  <c r="M109"/>
  <c r="L109"/>
  <c r="K109"/>
  <c r="B109"/>
  <c r="A109"/>
  <c r="N108"/>
  <c r="M108"/>
  <c r="L108"/>
  <c r="K108"/>
  <c r="B108"/>
  <c r="A108"/>
  <c r="N107"/>
  <c r="M107"/>
  <c r="L107"/>
  <c r="K107"/>
  <c r="B107"/>
  <c r="A107"/>
  <c r="N106"/>
  <c r="M106"/>
  <c r="L106"/>
  <c r="K106"/>
  <c r="B106"/>
  <c r="A106"/>
  <c r="N105"/>
  <c r="M105"/>
  <c r="L105"/>
  <c r="K105"/>
  <c r="B105"/>
  <c r="A105"/>
  <c r="N104"/>
  <c r="M104"/>
  <c r="L104"/>
  <c r="K104"/>
  <c r="B104"/>
  <c r="A104"/>
  <c r="N103"/>
  <c r="M103"/>
  <c r="L103"/>
  <c r="K103"/>
  <c r="B103"/>
  <c r="A103"/>
  <c r="N102"/>
  <c r="M102"/>
  <c r="L102"/>
  <c r="K102"/>
  <c r="B102"/>
  <c r="A102"/>
  <c r="N101"/>
  <c r="M101"/>
  <c r="L101"/>
  <c r="K101"/>
  <c r="B101"/>
  <c r="A101"/>
  <c r="N100"/>
  <c r="M100"/>
  <c r="L100"/>
  <c r="K100"/>
  <c r="B100"/>
  <c r="A100"/>
  <c r="N99"/>
  <c r="M99"/>
  <c r="L99"/>
  <c r="K99"/>
  <c r="B99"/>
  <c r="A99"/>
  <c r="N98"/>
  <c r="M98"/>
  <c r="L98"/>
  <c r="K98"/>
  <c r="B98"/>
  <c r="A98"/>
  <c r="N97"/>
  <c r="M97"/>
  <c r="L97"/>
  <c r="K97"/>
  <c r="B97"/>
  <c r="A97"/>
  <c r="N96"/>
  <c r="M96"/>
  <c r="L96"/>
  <c r="K96"/>
  <c r="B96"/>
  <c r="A96"/>
  <c r="N95"/>
  <c r="M95"/>
  <c r="L95"/>
  <c r="K95"/>
  <c r="B95"/>
  <c r="A95"/>
  <c r="N94"/>
  <c r="M94"/>
  <c r="L94"/>
  <c r="K94"/>
  <c r="B94"/>
  <c r="A94"/>
  <c r="N93"/>
  <c r="M93"/>
  <c r="L93"/>
  <c r="K93"/>
  <c r="B93"/>
  <c r="A93"/>
  <c r="N92"/>
  <c r="M92"/>
  <c r="L92"/>
  <c r="K92"/>
  <c r="B92"/>
  <c r="A92"/>
  <c r="N91"/>
  <c r="M91"/>
  <c r="L91"/>
  <c r="K91"/>
  <c r="B91"/>
  <c r="A91"/>
  <c r="N90"/>
  <c r="M90"/>
  <c r="L90"/>
  <c r="K90"/>
  <c r="B90"/>
  <c r="A90"/>
  <c r="N89"/>
  <c r="M89"/>
  <c r="L89"/>
  <c r="K89"/>
  <c r="B89"/>
  <c r="A89"/>
  <c r="N88"/>
  <c r="M88"/>
  <c r="L88"/>
  <c r="K88"/>
  <c r="B88"/>
  <c r="A88"/>
  <c r="N87"/>
  <c r="M87"/>
  <c r="L87"/>
  <c r="K87"/>
  <c r="B87"/>
  <c r="A87"/>
  <c r="N86"/>
  <c r="M86"/>
  <c r="L86"/>
  <c r="K86"/>
  <c r="B86"/>
  <c r="A86"/>
  <c r="N85"/>
  <c r="M85"/>
  <c r="L85"/>
  <c r="K85"/>
  <c r="B85"/>
  <c r="A85"/>
  <c r="N84"/>
  <c r="M84"/>
  <c r="L84"/>
  <c r="K84"/>
  <c r="B84"/>
  <c r="A84"/>
  <c r="N83"/>
  <c r="M83"/>
  <c r="L83"/>
  <c r="K83"/>
  <c r="B83"/>
  <c r="A83"/>
  <c r="N82"/>
  <c r="M82"/>
  <c r="L82"/>
  <c r="K82"/>
  <c r="B82"/>
  <c r="A82"/>
  <c r="N81"/>
  <c r="M81"/>
  <c r="L81"/>
  <c r="K81"/>
  <c r="B81"/>
  <c r="A81"/>
  <c r="N80"/>
  <c r="M80"/>
  <c r="L80"/>
  <c r="K80"/>
  <c r="B80"/>
  <c r="A80"/>
  <c r="N79"/>
  <c r="M79"/>
  <c r="L79"/>
  <c r="K79"/>
  <c r="B79"/>
  <c r="A79"/>
  <c r="N78"/>
  <c r="M78"/>
  <c r="L78"/>
  <c r="K78"/>
  <c r="B78"/>
  <c r="A78"/>
  <c r="N77"/>
  <c r="M77"/>
  <c r="L77"/>
  <c r="K77"/>
  <c r="B77"/>
  <c r="A77"/>
  <c r="N76"/>
  <c r="M76"/>
  <c r="L76"/>
  <c r="K76"/>
  <c r="B76"/>
  <c r="A76"/>
  <c r="N75"/>
  <c r="M75"/>
  <c r="L75"/>
  <c r="K75"/>
  <c r="B75"/>
  <c r="A75"/>
  <c r="N74"/>
  <c r="M74"/>
  <c r="L74"/>
  <c r="K74"/>
  <c r="B74"/>
  <c r="A74"/>
  <c r="N73"/>
  <c r="M73"/>
  <c r="L73"/>
  <c r="K73"/>
  <c r="B73"/>
  <c r="A73"/>
  <c r="N72"/>
  <c r="M72"/>
  <c r="L72"/>
  <c r="K72"/>
  <c r="B72"/>
  <c r="A72"/>
  <c r="N71"/>
  <c r="M71"/>
  <c r="L71"/>
  <c r="K71"/>
  <c r="B71"/>
  <c r="A71"/>
  <c r="N70"/>
  <c r="M70"/>
  <c r="L70"/>
  <c r="K70"/>
  <c r="B70"/>
  <c r="A70"/>
  <c r="N69"/>
  <c r="M69"/>
  <c r="L69"/>
  <c r="K69"/>
  <c r="B69"/>
  <c r="A69"/>
  <c r="N68"/>
  <c r="M68"/>
  <c r="L68"/>
  <c r="K68"/>
  <c r="B68"/>
  <c r="A68"/>
  <c r="N67"/>
  <c r="M67"/>
  <c r="L67"/>
  <c r="K67"/>
  <c r="B67"/>
  <c r="A67"/>
  <c r="N66"/>
  <c r="M66"/>
  <c r="L66"/>
  <c r="K66"/>
  <c r="B66"/>
  <c r="A66"/>
  <c r="N65"/>
  <c r="M65"/>
  <c r="L65"/>
  <c r="K65"/>
  <c r="B65"/>
  <c r="A65"/>
  <c r="N64"/>
  <c r="M64"/>
  <c r="L64"/>
  <c r="K64"/>
  <c r="B64"/>
  <c r="A64"/>
  <c r="N63"/>
  <c r="M63"/>
  <c r="L63"/>
  <c r="K63"/>
  <c r="B63"/>
  <c r="A63"/>
  <c r="N62"/>
  <c r="M62"/>
  <c r="L62"/>
  <c r="K62"/>
  <c r="B62"/>
  <c r="A62"/>
  <c r="N61"/>
  <c r="M61"/>
  <c r="L61"/>
  <c r="K61"/>
  <c r="B61"/>
  <c r="A61"/>
  <c r="N60"/>
  <c r="M60"/>
  <c r="L60"/>
  <c r="K60"/>
  <c r="B60"/>
  <c r="A60"/>
  <c r="N59"/>
  <c r="M59"/>
  <c r="L59"/>
  <c r="K59"/>
  <c r="B59"/>
  <c r="A59"/>
  <c r="N58"/>
  <c r="M58"/>
  <c r="L58"/>
  <c r="K58"/>
  <c r="B58"/>
  <c r="A58"/>
  <c r="N57"/>
  <c r="M57"/>
  <c r="L57"/>
  <c r="K57"/>
  <c r="B57"/>
  <c r="A57"/>
  <c r="N56"/>
  <c r="M56"/>
  <c r="L56"/>
  <c r="K56"/>
  <c r="B56"/>
  <c r="A56"/>
  <c r="N55"/>
  <c r="M55"/>
  <c r="L55"/>
  <c r="K55"/>
  <c r="B55"/>
  <c r="A55"/>
  <c r="N54"/>
  <c r="M54"/>
  <c r="L54"/>
  <c r="K54"/>
  <c r="B54"/>
  <c r="A54"/>
  <c r="N53"/>
  <c r="M53"/>
  <c r="L53"/>
  <c r="K53"/>
  <c r="B53"/>
  <c r="A53"/>
  <c r="N52"/>
  <c r="M52"/>
  <c r="L52"/>
  <c r="K52"/>
  <c r="B52"/>
  <c r="A52"/>
  <c r="N51"/>
  <c r="M51"/>
  <c r="L51"/>
  <c r="K51"/>
  <c r="B51"/>
  <c r="A51"/>
  <c r="N50"/>
  <c r="M50"/>
  <c r="L50"/>
  <c r="K50"/>
  <c r="B50"/>
  <c r="A50"/>
  <c r="N49"/>
  <c r="M49"/>
  <c r="L49"/>
  <c r="K49"/>
  <c r="B49"/>
  <c r="A49"/>
  <c r="N48"/>
  <c r="M48"/>
  <c r="L48"/>
  <c r="K48"/>
  <c r="B48"/>
  <c r="A48"/>
  <c r="N47"/>
  <c r="M47"/>
  <c r="L47"/>
  <c r="K47"/>
  <c r="B47"/>
  <c r="A47"/>
  <c r="N46"/>
  <c r="M46"/>
  <c r="L46"/>
  <c r="K46"/>
  <c r="B46"/>
  <c r="A46"/>
  <c r="N45"/>
  <c r="M45"/>
  <c r="L45"/>
  <c r="K45"/>
  <c r="B45"/>
  <c r="A45"/>
  <c r="N44"/>
  <c r="M44"/>
  <c r="L44"/>
  <c r="K44"/>
  <c r="B44"/>
  <c r="A44"/>
  <c r="N43"/>
  <c r="M43"/>
  <c r="L43"/>
  <c r="K43"/>
  <c r="B43"/>
  <c r="A43"/>
  <c r="N42"/>
  <c r="M42"/>
  <c r="L42"/>
  <c r="K42"/>
  <c r="B42"/>
  <c r="A42"/>
  <c r="N41"/>
  <c r="M41"/>
  <c r="L41"/>
  <c r="K41"/>
  <c r="B41"/>
  <c r="A41"/>
  <c r="N40"/>
  <c r="M40"/>
  <c r="L40"/>
  <c r="K40"/>
  <c r="B40"/>
  <c r="A40"/>
  <c r="N39"/>
  <c r="M39"/>
  <c r="L39"/>
  <c r="K39"/>
  <c r="B39"/>
  <c r="A39"/>
  <c r="N38"/>
  <c r="M38"/>
  <c r="L38"/>
  <c r="K38"/>
  <c r="B38"/>
  <c r="A38"/>
  <c r="N37"/>
  <c r="M37"/>
  <c r="L37"/>
  <c r="K37"/>
  <c r="B37"/>
  <c r="A37"/>
  <c r="N36"/>
  <c r="M36"/>
  <c r="L36"/>
  <c r="K36"/>
  <c r="B36"/>
  <c r="A36"/>
  <c r="N35"/>
  <c r="M35"/>
  <c r="L35"/>
  <c r="K35"/>
  <c r="B35"/>
  <c r="A35"/>
  <c r="N34"/>
  <c r="M34"/>
  <c r="L34"/>
  <c r="K34"/>
  <c r="B34"/>
  <c r="A34"/>
  <c r="N33"/>
  <c r="M33"/>
  <c r="L33"/>
  <c r="K33"/>
  <c r="B33"/>
  <c r="A33"/>
  <c r="N32"/>
  <c r="M32"/>
  <c r="L32"/>
  <c r="K32"/>
  <c r="B32"/>
  <c r="A32"/>
  <c r="N31"/>
  <c r="M31"/>
  <c r="L31"/>
  <c r="K31"/>
  <c r="B31"/>
  <c r="A31"/>
  <c r="N30"/>
  <c r="M30"/>
  <c r="L30"/>
  <c r="K30"/>
  <c r="B30"/>
  <c r="A30"/>
  <c r="N29"/>
  <c r="M29"/>
  <c r="L29"/>
  <c r="K29"/>
  <c r="B29"/>
  <c r="A29"/>
  <c r="N28"/>
  <c r="M28"/>
  <c r="L28"/>
  <c r="K28"/>
  <c r="B28"/>
  <c r="A28"/>
  <c r="N27"/>
  <c r="M27"/>
  <c r="L27"/>
  <c r="K27"/>
  <c r="B27"/>
  <c r="A27"/>
  <c r="N26"/>
  <c r="M26"/>
  <c r="L26"/>
  <c r="K26"/>
  <c r="B26"/>
  <c r="A26"/>
  <c r="N25"/>
  <c r="M25"/>
  <c r="L25"/>
  <c r="K25"/>
  <c r="B25"/>
  <c r="A25"/>
  <c r="N24"/>
  <c r="M24"/>
  <c r="L24"/>
  <c r="K24"/>
  <c r="B24"/>
  <c r="A24"/>
  <c r="N23"/>
  <c r="M23"/>
  <c r="L23"/>
  <c r="K23"/>
  <c r="B23"/>
  <c r="A23"/>
  <c r="N22"/>
  <c r="M22"/>
  <c r="L22"/>
  <c r="K22"/>
  <c r="B22"/>
  <c r="A22"/>
  <c r="N21"/>
  <c r="M21"/>
  <c r="L21"/>
  <c r="K21"/>
  <c r="B21"/>
  <c r="A21"/>
  <c r="N20"/>
  <c r="M20"/>
  <c r="L20"/>
  <c r="K20"/>
  <c r="B20"/>
  <c r="A20"/>
  <c r="N19"/>
  <c r="M19"/>
  <c r="L19"/>
  <c r="K19"/>
  <c r="B19"/>
  <c r="A19"/>
  <c r="N18"/>
  <c r="M18"/>
  <c r="L18"/>
  <c r="K18"/>
  <c r="B18"/>
  <c r="A18"/>
  <c r="N17"/>
  <c r="M17"/>
  <c r="L17"/>
  <c r="K17"/>
  <c r="B17"/>
  <c r="A17"/>
  <c r="N16"/>
  <c r="M16"/>
  <c r="L16"/>
  <c r="K16"/>
  <c r="B16"/>
  <c r="A16"/>
  <c r="N15"/>
  <c r="M15"/>
  <c r="L15"/>
  <c r="K15"/>
  <c r="B15"/>
  <c r="A15"/>
  <c r="N14"/>
  <c r="M14"/>
  <c r="L14"/>
  <c r="K14"/>
  <c r="B14"/>
  <c r="A14"/>
  <c r="N13"/>
  <c r="M13"/>
  <c r="L13"/>
  <c r="K13"/>
  <c r="B13"/>
  <c r="A13"/>
  <c r="N12"/>
  <c r="M12"/>
  <c r="L12"/>
  <c r="K12"/>
  <c r="B12"/>
  <c r="A12"/>
  <c r="N11"/>
  <c r="M11"/>
  <c r="L11"/>
  <c r="K11"/>
  <c r="B11"/>
  <c r="A11"/>
  <c r="N10"/>
  <c r="M10"/>
  <c r="L10"/>
  <c r="K10"/>
  <c r="B10"/>
  <c r="A10"/>
  <c r="N9"/>
  <c r="M9"/>
  <c r="L9"/>
  <c r="K9"/>
  <c r="B9"/>
  <c r="A9"/>
  <c r="N8"/>
  <c r="M8"/>
  <c r="L8"/>
  <c r="K8"/>
  <c r="B8"/>
  <c r="A8"/>
  <c r="N7"/>
  <c r="M7"/>
  <c r="L7"/>
  <c r="K7"/>
  <c r="B7"/>
  <c r="A7"/>
  <c r="N6"/>
  <c r="M6"/>
  <c r="L6"/>
  <c r="K6"/>
  <c r="B6"/>
  <c r="A6"/>
  <c r="N5"/>
  <c r="M5"/>
  <c r="L5"/>
  <c r="K5"/>
  <c r="B5"/>
  <c r="A5"/>
  <c r="N4"/>
  <c r="M4"/>
  <c r="L4"/>
  <c r="K4"/>
  <c r="B4"/>
  <c r="A4"/>
  <c r="N3"/>
  <c r="M3"/>
  <c r="L3"/>
  <c r="K3"/>
  <c r="B3"/>
  <c r="A3"/>
  <c r="N2"/>
  <c r="M2"/>
  <c r="L2"/>
  <c r="K2"/>
  <c r="B2"/>
  <c r="A2"/>
  <c r="U848" i="16"/>
  <c r="R848"/>
  <c r="N848"/>
  <c r="M848"/>
  <c r="L848"/>
  <c r="B848"/>
  <c r="A848"/>
  <c r="U847"/>
  <c r="R847"/>
  <c r="N847"/>
  <c r="M847"/>
  <c r="L847"/>
  <c r="B847"/>
  <c r="A847"/>
  <c r="U846"/>
  <c r="R846"/>
  <c r="N846"/>
  <c r="M846"/>
  <c r="L846"/>
  <c r="B846"/>
  <c r="A846"/>
  <c r="U845"/>
  <c r="R845"/>
  <c r="N845"/>
  <c r="M845"/>
  <c r="L845"/>
  <c r="B845"/>
  <c r="A845"/>
  <c r="U844"/>
  <c r="R844"/>
  <c r="N844"/>
  <c r="M844"/>
  <c r="L844"/>
  <c r="B844"/>
  <c r="A844"/>
  <c r="U843"/>
  <c r="R843"/>
  <c r="N843"/>
  <c r="M843"/>
  <c r="L843"/>
  <c r="B843"/>
  <c r="A843"/>
  <c r="U842"/>
  <c r="R842"/>
  <c r="N842"/>
  <c r="M842"/>
  <c r="L842"/>
  <c r="B842"/>
  <c r="A842"/>
  <c r="U841"/>
  <c r="R841"/>
  <c r="N841"/>
  <c r="M841"/>
  <c r="L841"/>
  <c r="B841"/>
  <c r="A841"/>
  <c r="U840"/>
  <c r="R840"/>
  <c r="N840"/>
  <c r="M840"/>
  <c r="L840"/>
  <c r="B840"/>
  <c r="A840"/>
  <c r="U839"/>
  <c r="R839"/>
  <c r="N839"/>
  <c r="M839"/>
  <c r="L839"/>
  <c r="B839"/>
  <c r="A839"/>
  <c r="U838"/>
  <c r="R838"/>
  <c r="N838"/>
  <c r="M838"/>
  <c r="L838"/>
  <c r="B838"/>
  <c r="A838"/>
  <c r="U837"/>
  <c r="R837"/>
  <c r="N837"/>
  <c r="M837"/>
  <c r="L837"/>
  <c r="B837"/>
  <c r="A837"/>
  <c r="U836"/>
  <c r="R836"/>
  <c r="N836"/>
  <c r="M836"/>
  <c r="L836"/>
  <c r="B836"/>
  <c r="A836"/>
  <c r="U835"/>
  <c r="R835"/>
  <c r="N835"/>
  <c r="M835"/>
  <c r="L835"/>
  <c r="B835"/>
  <c r="A835"/>
  <c r="U834"/>
  <c r="R834"/>
  <c r="N834"/>
  <c r="M834"/>
  <c r="L834"/>
  <c r="B834"/>
  <c r="A834"/>
  <c r="U833"/>
  <c r="R833"/>
  <c r="N833"/>
  <c r="M833"/>
  <c r="L833"/>
  <c r="B833"/>
  <c r="A833"/>
  <c r="U832"/>
  <c r="R832"/>
  <c r="N832"/>
  <c r="M832"/>
  <c r="L832"/>
  <c r="B832"/>
  <c r="A832"/>
  <c r="U831"/>
  <c r="R831"/>
  <c r="N831"/>
  <c r="M831"/>
  <c r="L831"/>
  <c r="B831"/>
  <c r="A831"/>
  <c r="U830"/>
  <c r="R830"/>
  <c r="N830"/>
  <c r="M830"/>
  <c r="L830"/>
  <c r="B830"/>
  <c r="A830"/>
  <c r="U829"/>
  <c r="R829"/>
  <c r="N829"/>
  <c r="M829"/>
  <c r="L829"/>
  <c r="B829"/>
  <c r="A829"/>
  <c r="U828"/>
  <c r="R828"/>
  <c r="N828"/>
  <c r="M828"/>
  <c r="L828"/>
  <c r="B828"/>
  <c r="A828"/>
  <c r="U827"/>
  <c r="R827"/>
  <c r="N827"/>
  <c r="M827"/>
  <c r="L827"/>
  <c r="B827"/>
  <c r="A827"/>
  <c r="U826"/>
  <c r="R826"/>
  <c r="N826"/>
  <c r="M826"/>
  <c r="L826"/>
  <c r="B826"/>
  <c r="A826"/>
  <c r="U825"/>
  <c r="R825"/>
  <c r="N825"/>
  <c r="M825"/>
  <c r="L825"/>
  <c r="B825"/>
  <c r="A825"/>
  <c r="U824"/>
  <c r="R824"/>
  <c r="N824"/>
  <c r="M824"/>
  <c r="L824"/>
  <c r="B824"/>
  <c r="A824"/>
  <c r="U823"/>
  <c r="R823"/>
  <c r="N823"/>
  <c r="M823"/>
  <c r="L823"/>
  <c r="B823"/>
  <c r="A823"/>
  <c r="U822"/>
  <c r="R822"/>
  <c r="N822"/>
  <c r="M822"/>
  <c r="L822"/>
  <c r="B822"/>
  <c r="A822"/>
  <c r="U821"/>
  <c r="R821"/>
  <c r="N821"/>
  <c r="M821"/>
  <c r="L821"/>
  <c r="B821"/>
  <c r="A821"/>
  <c r="U820"/>
  <c r="R820"/>
  <c r="N820"/>
  <c r="M820"/>
  <c r="L820"/>
  <c r="B820"/>
  <c r="A820"/>
  <c r="U819"/>
  <c r="R819"/>
  <c r="N819"/>
  <c r="M819"/>
  <c r="L819"/>
  <c r="B819"/>
  <c r="A819"/>
  <c r="U818"/>
  <c r="R818"/>
  <c r="N818"/>
  <c r="M818"/>
  <c r="L818"/>
  <c r="B818"/>
  <c r="A818"/>
  <c r="U817"/>
  <c r="R817"/>
  <c r="N817"/>
  <c r="M817"/>
  <c r="L817"/>
  <c r="B817"/>
  <c r="A817"/>
  <c r="U816"/>
  <c r="R816"/>
  <c r="N816"/>
  <c r="M816"/>
  <c r="L816"/>
  <c r="B816"/>
  <c r="A816"/>
  <c r="U815"/>
  <c r="R815"/>
  <c r="N815"/>
  <c r="M815"/>
  <c r="L815"/>
  <c r="B815"/>
  <c r="A815"/>
  <c r="U814"/>
  <c r="R814"/>
  <c r="N814"/>
  <c r="M814"/>
  <c r="L814"/>
  <c r="B814"/>
  <c r="A814"/>
  <c r="U813"/>
  <c r="R813"/>
  <c r="N813"/>
  <c r="M813"/>
  <c r="L813"/>
  <c r="B813"/>
  <c r="A813"/>
  <c r="U812"/>
  <c r="R812"/>
  <c r="N812"/>
  <c r="M812"/>
  <c r="L812"/>
  <c r="B812"/>
  <c r="A812"/>
  <c r="U811"/>
  <c r="R811"/>
  <c r="N811"/>
  <c r="M811"/>
  <c r="L811"/>
  <c r="B811"/>
  <c r="A811"/>
  <c r="U810"/>
  <c r="R810"/>
  <c r="N810"/>
  <c r="M810"/>
  <c r="L810"/>
  <c r="B810"/>
  <c r="A810"/>
  <c r="U809"/>
  <c r="R809"/>
  <c r="N809"/>
  <c r="M809"/>
  <c r="L809"/>
  <c r="B809"/>
  <c r="A809"/>
  <c r="U808"/>
  <c r="R808"/>
  <c r="N808"/>
  <c r="M808"/>
  <c r="L808"/>
  <c r="B808"/>
  <c r="A808"/>
  <c r="U807"/>
  <c r="R807"/>
  <c r="N807"/>
  <c r="M807"/>
  <c r="L807"/>
  <c r="B807"/>
  <c r="A807"/>
  <c r="U806"/>
  <c r="R806"/>
  <c r="N806"/>
  <c r="M806"/>
  <c r="L806"/>
  <c r="B806"/>
  <c r="A806"/>
  <c r="U805"/>
  <c r="R805"/>
  <c r="N805"/>
  <c r="M805"/>
  <c r="L805"/>
  <c r="B805"/>
  <c r="A805"/>
  <c r="U804"/>
  <c r="R804"/>
  <c r="N804"/>
  <c r="M804"/>
  <c r="L804"/>
  <c r="B804"/>
  <c r="A804"/>
  <c r="U803"/>
  <c r="R803"/>
  <c r="N803"/>
  <c r="M803"/>
  <c r="L803"/>
  <c r="B803"/>
  <c r="A803"/>
  <c r="U802"/>
  <c r="R802"/>
  <c r="N802"/>
  <c r="M802"/>
  <c r="L802"/>
  <c r="B802"/>
  <c r="A802"/>
  <c r="U801"/>
  <c r="R801"/>
  <c r="N801"/>
  <c r="M801"/>
  <c r="L801"/>
  <c r="B801"/>
  <c r="A801"/>
  <c r="U800"/>
  <c r="R800"/>
  <c r="N800"/>
  <c r="M800"/>
  <c r="L800"/>
  <c r="B800"/>
  <c r="A800"/>
  <c r="U799"/>
  <c r="R799"/>
  <c r="N799"/>
  <c r="M799"/>
  <c r="L799"/>
  <c r="B799"/>
  <c r="A799"/>
  <c r="U798"/>
  <c r="R798"/>
  <c r="N798"/>
  <c r="M798"/>
  <c r="L798"/>
  <c r="B798"/>
  <c r="A798"/>
  <c r="U797"/>
  <c r="R797"/>
  <c r="N797"/>
  <c r="M797"/>
  <c r="L797"/>
  <c r="B797"/>
  <c r="A797"/>
  <c r="U796"/>
  <c r="R796"/>
  <c r="N796"/>
  <c r="M796"/>
  <c r="L796"/>
  <c r="B796"/>
  <c r="A796"/>
  <c r="U795"/>
  <c r="R795"/>
  <c r="N795"/>
  <c r="M795"/>
  <c r="L795"/>
  <c r="B795"/>
  <c r="A795"/>
  <c r="U794"/>
  <c r="R794"/>
  <c r="N794"/>
  <c r="M794"/>
  <c r="L794"/>
  <c r="B794"/>
  <c r="A794"/>
  <c r="U793"/>
  <c r="R793"/>
  <c r="N793"/>
  <c r="M793"/>
  <c r="L793"/>
  <c r="B793"/>
  <c r="A793"/>
  <c r="U792"/>
  <c r="R792"/>
  <c r="N792"/>
  <c r="M792"/>
  <c r="L792"/>
  <c r="B792"/>
  <c r="A792"/>
  <c r="U791"/>
  <c r="R791"/>
  <c r="N791"/>
  <c r="M791"/>
  <c r="L791"/>
  <c r="B791"/>
  <c r="A791"/>
  <c r="U790"/>
  <c r="R790"/>
  <c r="N790"/>
  <c r="M790"/>
  <c r="L790"/>
  <c r="B790"/>
  <c r="A790"/>
  <c r="U789"/>
  <c r="R789"/>
  <c r="N789"/>
  <c r="M789"/>
  <c r="L789"/>
  <c r="B789"/>
  <c r="A789"/>
  <c r="U788"/>
  <c r="R788"/>
  <c r="N788"/>
  <c r="M788"/>
  <c r="L788"/>
  <c r="B788"/>
  <c r="A788"/>
  <c r="U787"/>
  <c r="R787"/>
  <c r="N787"/>
  <c r="M787"/>
  <c r="L787"/>
  <c r="B787"/>
  <c r="A787"/>
  <c r="U786"/>
  <c r="R786"/>
  <c r="N786"/>
  <c r="M786"/>
  <c r="L786"/>
  <c r="B786"/>
  <c r="A786"/>
  <c r="U785"/>
  <c r="R785"/>
  <c r="N785"/>
  <c r="M785"/>
  <c r="L785"/>
  <c r="B785"/>
  <c r="A785"/>
  <c r="U784"/>
  <c r="R784"/>
  <c r="N784"/>
  <c r="M784"/>
  <c r="L784"/>
  <c r="B784"/>
  <c r="A784"/>
  <c r="U783"/>
  <c r="R783"/>
  <c r="N783"/>
  <c r="M783"/>
  <c r="L783"/>
  <c r="B783"/>
  <c r="A783"/>
  <c r="U782"/>
  <c r="R782"/>
  <c r="N782"/>
  <c r="M782"/>
  <c r="L782"/>
  <c r="B782"/>
  <c r="A782"/>
  <c r="U781"/>
  <c r="R781"/>
  <c r="N781"/>
  <c r="M781"/>
  <c r="L781"/>
  <c r="B781"/>
  <c r="A781"/>
  <c r="U780"/>
  <c r="R780"/>
  <c r="N780"/>
  <c r="M780"/>
  <c r="L780"/>
  <c r="B780"/>
  <c r="A780"/>
  <c r="U779"/>
  <c r="R779"/>
  <c r="N779"/>
  <c r="M779"/>
  <c r="L779"/>
  <c r="B779"/>
  <c r="A779"/>
  <c r="U778"/>
  <c r="R778"/>
  <c r="N778"/>
  <c r="M778"/>
  <c r="L778"/>
  <c r="B778"/>
  <c r="A778"/>
  <c r="U777"/>
  <c r="R777"/>
  <c r="N777"/>
  <c r="M777"/>
  <c r="L777"/>
  <c r="B777"/>
  <c r="A777"/>
  <c r="U776"/>
  <c r="R776"/>
  <c r="N776"/>
  <c r="M776"/>
  <c r="L776"/>
  <c r="B776"/>
  <c r="A776"/>
  <c r="U775"/>
  <c r="R775"/>
  <c r="N775"/>
  <c r="M775"/>
  <c r="L775"/>
  <c r="B775"/>
  <c r="A775"/>
  <c r="U774"/>
  <c r="R774"/>
  <c r="N774"/>
  <c r="M774"/>
  <c r="L774"/>
  <c r="B774"/>
  <c r="A774"/>
  <c r="U773"/>
  <c r="R773"/>
  <c r="N773"/>
  <c r="M773"/>
  <c r="L773"/>
  <c r="B773"/>
  <c r="A773"/>
  <c r="U772"/>
  <c r="R772"/>
  <c r="N772"/>
  <c r="M772"/>
  <c r="L772"/>
  <c r="B772"/>
  <c r="A772"/>
  <c r="U771"/>
  <c r="R771"/>
  <c r="N771"/>
  <c r="M771"/>
  <c r="L771"/>
  <c r="B771"/>
  <c r="A771"/>
  <c r="U770"/>
  <c r="R770"/>
  <c r="N770"/>
  <c r="M770"/>
  <c r="L770"/>
  <c r="B770"/>
  <c r="A770"/>
  <c r="U769"/>
  <c r="R769"/>
  <c r="N769"/>
  <c r="M769"/>
  <c r="L769"/>
  <c r="B769"/>
  <c r="A769"/>
  <c r="U768"/>
  <c r="R768"/>
  <c r="N768"/>
  <c r="M768"/>
  <c r="L768"/>
  <c r="B768"/>
  <c r="A768"/>
  <c r="U767"/>
  <c r="R767"/>
  <c r="N767"/>
  <c r="M767"/>
  <c r="L767"/>
  <c r="B767"/>
  <c r="A767"/>
  <c r="U766"/>
  <c r="R766"/>
  <c r="N766"/>
  <c r="M766"/>
  <c r="L766"/>
  <c r="B766"/>
  <c r="A766"/>
  <c r="U765"/>
  <c r="R765"/>
  <c r="N765"/>
  <c r="M765"/>
  <c r="L765"/>
  <c r="B765"/>
  <c r="A765"/>
  <c r="U764"/>
  <c r="R764"/>
  <c r="N764"/>
  <c r="M764"/>
  <c r="L764"/>
  <c r="B764"/>
  <c r="A764"/>
  <c r="U763"/>
  <c r="R763"/>
  <c r="N763"/>
  <c r="M763"/>
  <c r="L763"/>
  <c r="B763"/>
  <c r="A763"/>
  <c r="U762"/>
  <c r="R762"/>
  <c r="N762"/>
  <c r="M762"/>
  <c r="L762"/>
  <c r="B762"/>
  <c r="A762"/>
  <c r="U761"/>
  <c r="R761"/>
  <c r="N761"/>
  <c r="M761"/>
  <c r="L761"/>
  <c r="B761"/>
  <c r="A761"/>
  <c r="U760"/>
  <c r="R760"/>
  <c r="N760"/>
  <c r="M760"/>
  <c r="L760"/>
  <c r="B760"/>
  <c r="A760"/>
  <c r="U759"/>
  <c r="R759"/>
  <c r="N759"/>
  <c r="M759"/>
  <c r="L759"/>
  <c r="B759"/>
  <c r="A759"/>
  <c r="U758"/>
  <c r="R758"/>
  <c r="N758"/>
  <c r="M758"/>
  <c r="L758"/>
  <c r="B758"/>
  <c r="A758"/>
  <c r="U757"/>
  <c r="R757"/>
  <c r="N757"/>
  <c r="M757"/>
  <c r="L757"/>
  <c r="B757"/>
  <c r="A757"/>
  <c r="U756"/>
  <c r="R756"/>
  <c r="N756"/>
  <c r="M756"/>
  <c r="L756"/>
  <c r="B756"/>
  <c r="A756"/>
  <c r="U755"/>
  <c r="R755"/>
  <c r="N755"/>
  <c r="M755"/>
  <c r="L755"/>
  <c r="B755"/>
  <c r="A755"/>
  <c r="U754"/>
  <c r="R754"/>
  <c r="N754"/>
  <c r="M754"/>
  <c r="L754"/>
  <c r="B754"/>
  <c r="A754"/>
  <c r="U753"/>
  <c r="R753"/>
  <c r="N753"/>
  <c r="M753"/>
  <c r="L753"/>
  <c r="B753"/>
  <c r="A753"/>
  <c r="U752"/>
  <c r="R752"/>
  <c r="N752"/>
  <c r="M752"/>
  <c r="L752"/>
  <c r="B752"/>
  <c r="A752"/>
  <c r="U751"/>
  <c r="R751"/>
  <c r="N751"/>
  <c r="M751"/>
  <c r="L751"/>
  <c r="B751"/>
  <c r="A751"/>
  <c r="U750"/>
  <c r="R750"/>
  <c r="N750"/>
  <c r="M750"/>
  <c r="L750"/>
  <c r="B750"/>
  <c r="A750"/>
  <c r="U749"/>
  <c r="R749"/>
  <c r="N749"/>
  <c r="M749"/>
  <c r="L749"/>
  <c r="B749"/>
  <c r="A749"/>
  <c r="U748"/>
  <c r="R748"/>
  <c r="N748"/>
  <c r="M748"/>
  <c r="L748"/>
  <c r="B748"/>
  <c r="A748"/>
  <c r="U747"/>
  <c r="R747"/>
  <c r="N747"/>
  <c r="M747"/>
  <c r="L747"/>
  <c r="B747"/>
  <c r="A747"/>
  <c r="U746"/>
  <c r="R746"/>
  <c r="N746"/>
  <c r="M746"/>
  <c r="L746"/>
  <c r="B746"/>
  <c r="A746"/>
  <c r="U745"/>
  <c r="R745"/>
  <c r="N745"/>
  <c r="M745"/>
  <c r="L745"/>
  <c r="B745"/>
  <c r="A745"/>
  <c r="U744"/>
  <c r="R744"/>
  <c r="N744"/>
  <c r="M744"/>
  <c r="L744"/>
  <c r="B744"/>
  <c r="A744"/>
  <c r="U743"/>
  <c r="R743"/>
  <c r="N743"/>
  <c r="M743"/>
  <c r="L743"/>
  <c r="B743"/>
  <c r="A743"/>
  <c r="U742"/>
  <c r="R742"/>
  <c r="N742"/>
  <c r="M742"/>
  <c r="L742"/>
  <c r="B742"/>
  <c r="A742"/>
  <c r="U741"/>
  <c r="R741"/>
  <c r="N741"/>
  <c r="M741"/>
  <c r="L741"/>
  <c r="B741"/>
  <c r="A741"/>
  <c r="U740"/>
  <c r="R740"/>
  <c r="N740"/>
  <c r="M740"/>
  <c r="L740"/>
  <c r="B740"/>
  <c r="A740"/>
  <c r="U739"/>
  <c r="R739"/>
  <c r="N739"/>
  <c r="M739"/>
  <c r="L739"/>
  <c r="B739"/>
  <c r="A739"/>
  <c r="U738"/>
  <c r="R738"/>
  <c r="N738"/>
  <c r="M738"/>
  <c r="L738"/>
  <c r="B738"/>
  <c r="A738"/>
  <c r="U737"/>
  <c r="R737"/>
  <c r="N737"/>
  <c r="M737"/>
  <c r="L737"/>
  <c r="B737"/>
  <c r="A737"/>
  <c r="U736"/>
  <c r="R736"/>
  <c r="N736"/>
  <c r="M736"/>
  <c r="L736"/>
  <c r="B736"/>
  <c r="A736"/>
  <c r="U735"/>
  <c r="R735"/>
  <c r="N735"/>
  <c r="M735"/>
  <c r="L735"/>
  <c r="B735"/>
  <c r="A735"/>
  <c r="U734"/>
  <c r="R734"/>
  <c r="N734"/>
  <c r="M734"/>
  <c r="L734"/>
  <c r="B734"/>
  <c r="A734"/>
  <c r="U733"/>
  <c r="R733"/>
  <c r="N733"/>
  <c r="M733"/>
  <c r="L733"/>
  <c r="B733"/>
  <c r="A733"/>
  <c r="U732"/>
  <c r="R732"/>
  <c r="N732"/>
  <c r="M732"/>
  <c r="L732"/>
  <c r="B732"/>
  <c r="A732"/>
  <c r="U731"/>
  <c r="R731"/>
  <c r="N731"/>
  <c r="M731"/>
  <c r="L731"/>
  <c r="B731"/>
  <c r="A731"/>
  <c r="U730"/>
  <c r="R730"/>
  <c r="N730"/>
  <c r="M730"/>
  <c r="L730"/>
  <c r="B730"/>
  <c r="A730"/>
  <c r="U729"/>
  <c r="R729"/>
  <c r="N729"/>
  <c r="M729"/>
  <c r="L729"/>
  <c r="B729"/>
  <c r="A729"/>
  <c r="U728"/>
  <c r="R728"/>
  <c r="N728"/>
  <c r="M728"/>
  <c r="L728"/>
  <c r="B728"/>
  <c r="A728"/>
  <c r="U727"/>
  <c r="R727"/>
  <c r="N727"/>
  <c r="M727"/>
  <c r="L727"/>
  <c r="B727"/>
  <c r="A727"/>
  <c r="U726"/>
  <c r="R726"/>
  <c r="N726"/>
  <c r="M726"/>
  <c r="L726"/>
  <c r="B726"/>
  <c r="A726"/>
  <c r="U725"/>
  <c r="R725"/>
  <c r="N725"/>
  <c r="M725"/>
  <c r="L725"/>
  <c r="B725"/>
  <c r="A725"/>
  <c r="U724"/>
  <c r="R724"/>
  <c r="N724"/>
  <c r="M724"/>
  <c r="L724"/>
  <c r="B724"/>
  <c r="A724"/>
  <c r="U723"/>
  <c r="R723"/>
  <c r="N723"/>
  <c r="M723"/>
  <c r="L723"/>
  <c r="B723"/>
  <c r="A723"/>
  <c r="U722"/>
  <c r="R722"/>
  <c r="N722"/>
  <c r="M722"/>
  <c r="L722"/>
  <c r="B722"/>
  <c r="A722"/>
  <c r="U721"/>
  <c r="R721"/>
  <c r="N721"/>
  <c r="M721"/>
  <c r="L721"/>
  <c r="B721"/>
  <c r="A721"/>
  <c r="U720"/>
  <c r="R720"/>
  <c r="N720"/>
  <c r="M720"/>
  <c r="L720"/>
  <c r="B720"/>
  <c r="A720"/>
  <c r="U719"/>
  <c r="R719"/>
  <c r="N719"/>
  <c r="M719"/>
  <c r="L719"/>
  <c r="B719"/>
  <c r="A719"/>
  <c r="U718"/>
  <c r="R718"/>
  <c r="N718"/>
  <c r="M718"/>
  <c r="L718"/>
  <c r="B718"/>
  <c r="A718"/>
  <c r="U717"/>
  <c r="R717"/>
  <c r="N717"/>
  <c r="M717"/>
  <c r="L717"/>
  <c r="B717"/>
  <c r="A717"/>
  <c r="U716"/>
  <c r="R716"/>
  <c r="N716"/>
  <c r="M716"/>
  <c r="L716"/>
  <c r="B716"/>
  <c r="A716"/>
  <c r="U715"/>
  <c r="R715"/>
  <c r="N715"/>
  <c r="M715"/>
  <c r="L715"/>
  <c r="B715"/>
  <c r="A715"/>
  <c r="U714"/>
  <c r="R714"/>
  <c r="N714"/>
  <c r="M714"/>
  <c r="L714"/>
  <c r="B714"/>
  <c r="A714"/>
  <c r="U713"/>
  <c r="R713"/>
  <c r="N713"/>
  <c r="M713"/>
  <c r="L713"/>
  <c r="B713"/>
  <c r="A713"/>
  <c r="U712"/>
  <c r="R712"/>
  <c r="N712"/>
  <c r="M712"/>
  <c r="L712"/>
  <c r="B712"/>
  <c r="A712"/>
  <c r="U711"/>
  <c r="R711"/>
  <c r="N711"/>
  <c r="M711"/>
  <c r="L711"/>
  <c r="B711"/>
  <c r="A711"/>
  <c r="U710"/>
  <c r="R710"/>
  <c r="N710"/>
  <c r="M710"/>
  <c r="L710"/>
  <c r="B710"/>
  <c r="A710"/>
  <c r="U709"/>
  <c r="R709"/>
  <c r="N709"/>
  <c r="M709"/>
  <c r="L709"/>
  <c r="B709"/>
  <c r="A709"/>
  <c r="U708"/>
  <c r="R708"/>
  <c r="N708"/>
  <c r="M708"/>
  <c r="L708"/>
  <c r="B708"/>
  <c r="A708"/>
  <c r="U707"/>
  <c r="R707"/>
  <c r="N707"/>
  <c r="M707"/>
  <c r="L707"/>
  <c r="B707"/>
  <c r="A707"/>
  <c r="U706"/>
  <c r="R706"/>
  <c r="N706"/>
  <c r="M706"/>
  <c r="L706"/>
  <c r="B706"/>
  <c r="A706"/>
  <c r="U705"/>
  <c r="R705"/>
  <c r="N705"/>
  <c r="M705"/>
  <c r="L705"/>
  <c r="B705"/>
  <c r="A705"/>
  <c r="U704"/>
  <c r="R704"/>
  <c r="N704"/>
  <c r="M704"/>
  <c r="L704"/>
  <c r="B704"/>
  <c r="A704"/>
  <c r="U703"/>
  <c r="R703"/>
  <c r="N703"/>
  <c r="M703"/>
  <c r="L703"/>
  <c r="B703"/>
  <c r="A703"/>
  <c r="U702"/>
  <c r="R702"/>
  <c r="N702"/>
  <c r="M702"/>
  <c r="L702"/>
  <c r="B702"/>
  <c r="A702"/>
  <c r="U701"/>
  <c r="R701"/>
  <c r="N701"/>
  <c r="M701"/>
  <c r="L701"/>
  <c r="B701"/>
  <c r="A701"/>
  <c r="U700"/>
  <c r="R700"/>
  <c r="N700"/>
  <c r="M700"/>
  <c r="L700"/>
  <c r="B700"/>
  <c r="A700"/>
  <c r="U699"/>
  <c r="R699"/>
  <c r="N699"/>
  <c r="M699"/>
  <c r="L699"/>
  <c r="B699"/>
  <c r="A699"/>
  <c r="U698"/>
  <c r="R698"/>
  <c r="N698"/>
  <c r="M698"/>
  <c r="L698"/>
  <c r="B698"/>
  <c r="A698"/>
  <c r="U697"/>
  <c r="R697"/>
  <c r="N697"/>
  <c r="M697"/>
  <c r="L697"/>
  <c r="B697"/>
  <c r="A697"/>
  <c r="U696"/>
  <c r="R696"/>
  <c r="N696"/>
  <c r="M696"/>
  <c r="L696"/>
  <c r="B696"/>
  <c r="A696"/>
  <c r="U695"/>
  <c r="R695"/>
  <c r="N695"/>
  <c r="M695"/>
  <c r="L695"/>
  <c r="B695"/>
  <c r="A695"/>
  <c r="U694"/>
  <c r="R694"/>
  <c r="N694"/>
  <c r="M694"/>
  <c r="L694"/>
  <c r="B694"/>
  <c r="A694"/>
  <c r="U693"/>
  <c r="R693"/>
  <c r="N693"/>
  <c r="M693"/>
  <c r="L693"/>
  <c r="B693"/>
  <c r="A693"/>
  <c r="U692"/>
  <c r="R692"/>
  <c r="N692"/>
  <c r="M692"/>
  <c r="L692"/>
  <c r="B692"/>
  <c r="A692"/>
  <c r="U691"/>
  <c r="R691"/>
  <c r="N691"/>
  <c r="M691"/>
  <c r="L691"/>
  <c r="B691"/>
  <c r="A691"/>
  <c r="U690"/>
  <c r="R690"/>
  <c r="N690"/>
  <c r="M690"/>
  <c r="L690"/>
  <c r="B690"/>
  <c r="A690"/>
  <c r="U689"/>
  <c r="R689"/>
  <c r="N689"/>
  <c r="M689"/>
  <c r="L689"/>
  <c r="B689"/>
  <c r="A689"/>
  <c r="U688"/>
  <c r="R688"/>
  <c r="N688"/>
  <c r="M688"/>
  <c r="L688"/>
  <c r="B688"/>
  <c r="A688"/>
  <c r="U687"/>
  <c r="R687"/>
  <c r="N687"/>
  <c r="M687"/>
  <c r="L687"/>
  <c r="B687"/>
  <c r="A687"/>
  <c r="U686"/>
  <c r="R686"/>
  <c r="N686"/>
  <c r="M686"/>
  <c r="L686"/>
  <c r="B686"/>
  <c r="A686"/>
  <c r="U685"/>
  <c r="R685"/>
  <c r="N685"/>
  <c r="M685"/>
  <c r="L685"/>
  <c r="B685"/>
  <c r="A685"/>
  <c r="U684"/>
  <c r="R684"/>
  <c r="N684"/>
  <c r="M684"/>
  <c r="L684"/>
  <c r="B684"/>
  <c r="A684"/>
  <c r="U683"/>
  <c r="R683"/>
  <c r="N683"/>
  <c r="M683"/>
  <c r="L683"/>
  <c r="B683"/>
  <c r="A683"/>
  <c r="U682"/>
  <c r="R682"/>
  <c r="N682"/>
  <c r="M682"/>
  <c r="L682"/>
  <c r="B682"/>
  <c r="A682"/>
  <c r="U681"/>
  <c r="R681"/>
  <c r="N681"/>
  <c r="M681"/>
  <c r="L681"/>
  <c r="B681"/>
  <c r="A681"/>
  <c r="U680"/>
  <c r="R680"/>
  <c r="N680"/>
  <c r="M680"/>
  <c r="L680"/>
  <c r="B680"/>
  <c r="A680"/>
  <c r="U679"/>
  <c r="R679"/>
  <c r="N679"/>
  <c r="M679"/>
  <c r="L679"/>
  <c r="B679"/>
  <c r="A679"/>
  <c r="U678"/>
  <c r="R678"/>
  <c r="N678"/>
  <c r="M678"/>
  <c r="L678"/>
  <c r="B678"/>
  <c r="A678"/>
  <c r="U677"/>
  <c r="R677"/>
  <c r="N677"/>
  <c r="M677"/>
  <c r="L677"/>
  <c r="B677"/>
  <c r="A677"/>
  <c r="U676"/>
  <c r="R676"/>
  <c r="N676"/>
  <c r="M676"/>
  <c r="L676"/>
  <c r="B676"/>
  <c r="A676"/>
  <c r="U675"/>
  <c r="R675"/>
  <c r="N675"/>
  <c r="M675"/>
  <c r="L675"/>
  <c r="B675"/>
  <c r="A675"/>
  <c r="U674"/>
  <c r="R674"/>
  <c r="N674"/>
  <c r="M674"/>
  <c r="L674"/>
  <c r="B674"/>
  <c r="A674"/>
  <c r="U673"/>
  <c r="R673"/>
  <c r="N673"/>
  <c r="M673"/>
  <c r="L673"/>
  <c r="B673"/>
  <c r="A673"/>
  <c r="U672"/>
  <c r="R672"/>
  <c r="N672"/>
  <c r="M672"/>
  <c r="L672"/>
  <c r="B672"/>
  <c r="A672"/>
  <c r="U671"/>
  <c r="R671"/>
  <c r="N671"/>
  <c r="M671"/>
  <c r="L671"/>
  <c r="B671"/>
  <c r="A671"/>
  <c r="U670"/>
  <c r="R670"/>
  <c r="N670"/>
  <c r="M670"/>
  <c r="L670"/>
  <c r="B670"/>
  <c r="A670"/>
  <c r="U669"/>
  <c r="R669"/>
  <c r="N669"/>
  <c r="M669"/>
  <c r="L669"/>
  <c r="B669"/>
  <c r="A669"/>
  <c r="U668"/>
  <c r="R668"/>
  <c r="N668"/>
  <c r="M668"/>
  <c r="L668"/>
  <c r="B668"/>
  <c r="A668"/>
  <c r="U667"/>
  <c r="R667"/>
  <c r="N667"/>
  <c r="M667"/>
  <c r="L667"/>
  <c r="B667"/>
  <c r="A667"/>
  <c r="U666"/>
  <c r="R666"/>
  <c r="N666"/>
  <c r="M666"/>
  <c r="L666"/>
  <c r="B666"/>
  <c r="A666"/>
  <c r="U665"/>
  <c r="R665"/>
  <c r="N665"/>
  <c r="M665"/>
  <c r="L665"/>
  <c r="B665"/>
  <c r="A665"/>
  <c r="U664"/>
  <c r="R664"/>
  <c r="N664"/>
  <c r="M664"/>
  <c r="L664"/>
  <c r="B664"/>
  <c r="A664"/>
  <c r="U663"/>
  <c r="R663"/>
  <c r="N663"/>
  <c r="M663"/>
  <c r="L663"/>
  <c r="B663"/>
  <c r="A663"/>
  <c r="U662"/>
  <c r="R662"/>
  <c r="N662"/>
  <c r="M662"/>
  <c r="L662"/>
  <c r="B662"/>
  <c r="A662"/>
  <c r="U661"/>
  <c r="R661"/>
  <c r="N661"/>
  <c r="M661"/>
  <c r="L661"/>
  <c r="B661"/>
  <c r="A661"/>
  <c r="U660"/>
  <c r="R660"/>
  <c r="N660"/>
  <c r="M660"/>
  <c r="L660"/>
  <c r="B660"/>
  <c r="A660"/>
  <c r="U659"/>
  <c r="R659"/>
  <c r="N659"/>
  <c r="M659"/>
  <c r="L659"/>
  <c r="B659"/>
  <c r="A659"/>
  <c r="U658"/>
  <c r="R658"/>
  <c r="N658"/>
  <c r="M658"/>
  <c r="L658"/>
  <c r="B658"/>
  <c r="A658"/>
  <c r="U657"/>
  <c r="R657"/>
  <c r="N657"/>
  <c r="M657"/>
  <c r="L657"/>
  <c r="B657"/>
  <c r="A657"/>
  <c r="U656"/>
  <c r="R656"/>
  <c r="N656"/>
  <c r="M656"/>
  <c r="L656"/>
  <c r="B656"/>
  <c r="A656"/>
  <c r="U655"/>
  <c r="R655"/>
  <c r="N655"/>
  <c r="M655"/>
  <c r="L655"/>
  <c r="B655"/>
  <c r="A655"/>
  <c r="U654"/>
  <c r="R654"/>
  <c r="N654"/>
  <c r="M654"/>
  <c r="L654"/>
  <c r="B654"/>
  <c r="A654"/>
  <c r="U653"/>
  <c r="R653"/>
  <c r="N653"/>
  <c r="M653"/>
  <c r="L653"/>
  <c r="B653"/>
  <c r="A653"/>
  <c r="U652"/>
  <c r="R652"/>
  <c r="N652"/>
  <c r="M652"/>
  <c r="L652"/>
  <c r="B652"/>
  <c r="A652"/>
  <c r="U651"/>
  <c r="R651"/>
  <c r="N651"/>
  <c r="M651"/>
  <c r="L651"/>
  <c r="B651"/>
  <c r="A651"/>
  <c r="U650"/>
  <c r="R650"/>
  <c r="N650"/>
  <c r="M650"/>
  <c r="L650"/>
  <c r="B650"/>
  <c r="A650"/>
  <c r="U649"/>
  <c r="R649"/>
  <c r="N649"/>
  <c r="M649"/>
  <c r="L649"/>
  <c r="B649"/>
  <c r="A649"/>
  <c r="U648"/>
  <c r="R648"/>
  <c r="N648"/>
  <c r="M648"/>
  <c r="L648"/>
  <c r="B648"/>
  <c r="A648"/>
  <c r="U647"/>
  <c r="R647"/>
  <c r="N647"/>
  <c r="M647"/>
  <c r="L647"/>
  <c r="B647"/>
  <c r="A647"/>
  <c r="U646"/>
  <c r="R646"/>
  <c r="N646"/>
  <c r="M646"/>
  <c r="L646"/>
  <c r="B646"/>
  <c r="A646"/>
  <c r="U645"/>
  <c r="R645"/>
  <c r="N645"/>
  <c r="M645"/>
  <c r="L645"/>
  <c r="B645"/>
  <c r="A645"/>
  <c r="U644"/>
  <c r="R644"/>
  <c r="N644"/>
  <c r="M644"/>
  <c r="L644"/>
  <c r="B644"/>
  <c r="A644"/>
  <c r="U643"/>
  <c r="R643"/>
  <c r="N643"/>
  <c r="M643"/>
  <c r="L643"/>
  <c r="B643"/>
  <c r="A643"/>
  <c r="U642"/>
  <c r="R642"/>
  <c r="N642"/>
  <c r="M642"/>
  <c r="L642"/>
  <c r="B642"/>
  <c r="A642"/>
  <c r="U641"/>
  <c r="R641"/>
  <c r="N641"/>
  <c r="M641"/>
  <c r="L641"/>
  <c r="B641"/>
  <c r="A641"/>
  <c r="U640"/>
  <c r="R640"/>
  <c r="N640"/>
  <c r="M640"/>
  <c r="L640"/>
  <c r="B640"/>
  <c r="A640"/>
  <c r="U639"/>
  <c r="R639"/>
  <c r="N639"/>
  <c r="M639"/>
  <c r="L639"/>
  <c r="B639"/>
  <c r="A639"/>
  <c r="U638"/>
  <c r="R638"/>
  <c r="N638"/>
  <c r="M638"/>
  <c r="L638"/>
  <c r="B638"/>
  <c r="A638"/>
  <c r="U637"/>
  <c r="R637"/>
  <c r="N637"/>
  <c r="M637"/>
  <c r="L637"/>
  <c r="B637"/>
  <c r="A637"/>
  <c r="U636"/>
  <c r="R636"/>
  <c r="N636"/>
  <c r="M636"/>
  <c r="L636"/>
  <c r="B636"/>
  <c r="A636"/>
  <c r="U635"/>
  <c r="R635"/>
  <c r="N635"/>
  <c r="M635"/>
  <c r="L635"/>
  <c r="B635"/>
  <c r="A635"/>
  <c r="U634"/>
  <c r="R634"/>
  <c r="N634"/>
  <c r="M634"/>
  <c r="L634"/>
  <c r="B634"/>
  <c r="A634"/>
  <c r="U633"/>
  <c r="R633"/>
  <c r="N633"/>
  <c r="M633"/>
  <c r="L633"/>
  <c r="B633"/>
  <c r="A633"/>
  <c r="U632"/>
  <c r="R632"/>
  <c r="N632"/>
  <c r="M632"/>
  <c r="L632"/>
  <c r="B632"/>
  <c r="A632"/>
  <c r="U631"/>
  <c r="R631"/>
  <c r="N631"/>
  <c r="M631"/>
  <c r="L631"/>
  <c r="B631"/>
  <c r="A631"/>
  <c r="U630"/>
  <c r="R630"/>
  <c r="N630"/>
  <c r="M630"/>
  <c r="L630"/>
  <c r="B630"/>
  <c r="A630"/>
  <c r="U629"/>
  <c r="R629"/>
  <c r="N629"/>
  <c r="M629"/>
  <c r="L629"/>
  <c r="B629"/>
  <c r="A629"/>
  <c r="U628"/>
  <c r="R628"/>
  <c r="N628"/>
  <c r="M628"/>
  <c r="L628"/>
  <c r="B628"/>
  <c r="A628"/>
  <c r="U627"/>
  <c r="R627"/>
  <c r="N627"/>
  <c r="M627"/>
  <c r="L627"/>
  <c r="B627"/>
  <c r="A627"/>
  <c r="U626"/>
  <c r="R626"/>
  <c r="N626"/>
  <c r="M626"/>
  <c r="L626"/>
  <c r="B626"/>
  <c r="A626"/>
  <c r="U625"/>
  <c r="R625"/>
  <c r="N625"/>
  <c r="M625"/>
  <c r="L625"/>
  <c r="B625"/>
  <c r="A625"/>
  <c r="U624"/>
  <c r="R624"/>
  <c r="N624"/>
  <c r="M624"/>
  <c r="L624"/>
  <c r="B624"/>
  <c r="A624"/>
  <c r="U623"/>
  <c r="R623"/>
  <c r="N623"/>
  <c r="M623"/>
  <c r="L623"/>
  <c r="B623"/>
  <c r="A623"/>
  <c r="U622"/>
  <c r="R622"/>
  <c r="N622"/>
  <c r="M622"/>
  <c r="L622"/>
  <c r="B622"/>
  <c r="A622"/>
  <c r="U621"/>
  <c r="R621"/>
  <c r="N621"/>
  <c r="M621"/>
  <c r="L621"/>
  <c r="B621"/>
  <c r="A621"/>
  <c r="U620"/>
  <c r="R620"/>
  <c r="N620"/>
  <c r="M620"/>
  <c r="L620"/>
  <c r="B620"/>
  <c r="A620"/>
  <c r="U619"/>
  <c r="R619"/>
  <c r="N619"/>
  <c r="M619"/>
  <c r="L619"/>
  <c r="B619"/>
  <c r="A619"/>
  <c r="U618"/>
  <c r="R618"/>
  <c r="N618"/>
  <c r="M618"/>
  <c r="L618"/>
  <c r="B618"/>
  <c r="A618"/>
  <c r="U617"/>
  <c r="R617"/>
  <c r="N617"/>
  <c r="M617"/>
  <c r="L617"/>
  <c r="B617"/>
  <c r="A617"/>
  <c r="U616"/>
  <c r="R616"/>
  <c r="N616"/>
  <c r="M616"/>
  <c r="L616"/>
  <c r="B616"/>
  <c r="A616"/>
  <c r="U615"/>
  <c r="R615"/>
  <c r="N615"/>
  <c r="M615"/>
  <c r="L615"/>
  <c r="B615"/>
  <c r="A615"/>
  <c r="U614"/>
  <c r="R614"/>
  <c r="N614"/>
  <c r="M614"/>
  <c r="L614"/>
  <c r="B614"/>
  <c r="A614"/>
  <c r="U613"/>
  <c r="R613"/>
  <c r="N613"/>
  <c r="M613"/>
  <c r="L613"/>
  <c r="B613"/>
  <c r="A613"/>
  <c r="U612"/>
  <c r="R612"/>
  <c r="N612"/>
  <c r="M612"/>
  <c r="L612"/>
  <c r="B612"/>
  <c r="A612"/>
  <c r="U611"/>
  <c r="R611"/>
  <c r="N611"/>
  <c r="M611"/>
  <c r="L611"/>
  <c r="B611"/>
  <c r="A611"/>
  <c r="U610"/>
  <c r="R610"/>
  <c r="N610"/>
  <c r="M610"/>
  <c r="L610"/>
  <c r="B610"/>
  <c r="A610"/>
  <c r="U609"/>
  <c r="R609"/>
  <c r="N609"/>
  <c r="M609"/>
  <c r="L609"/>
  <c r="B609"/>
  <c r="A609"/>
  <c r="U608"/>
  <c r="R608"/>
  <c r="N608"/>
  <c r="M608"/>
  <c r="L608"/>
  <c r="B608"/>
  <c r="A608"/>
  <c r="U607"/>
  <c r="R607"/>
  <c r="N607"/>
  <c r="M607"/>
  <c r="L607"/>
  <c r="B607"/>
  <c r="A607"/>
  <c r="U606"/>
  <c r="R606"/>
  <c r="N606"/>
  <c r="M606"/>
  <c r="L606"/>
  <c r="B606"/>
  <c r="A606"/>
  <c r="U605"/>
  <c r="R605"/>
  <c r="N605"/>
  <c r="M605"/>
  <c r="L605"/>
  <c r="B605"/>
  <c r="A605"/>
  <c r="U604"/>
  <c r="R604"/>
  <c r="N604"/>
  <c r="M604"/>
  <c r="L604"/>
  <c r="B604"/>
  <c r="A604"/>
  <c r="U603"/>
  <c r="R603"/>
  <c r="N603"/>
  <c r="M603"/>
  <c r="L603"/>
  <c r="B603"/>
  <c r="A603"/>
  <c r="U602"/>
  <c r="R602"/>
  <c r="N602"/>
  <c r="M602"/>
  <c r="L602"/>
  <c r="B602"/>
  <c r="A602"/>
  <c r="U601"/>
  <c r="R601"/>
  <c r="N601"/>
  <c r="M601"/>
  <c r="L601"/>
  <c r="B601"/>
  <c r="A601"/>
  <c r="U600"/>
  <c r="R600"/>
  <c r="N600"/>
  <c r="M600"/>
  <c r="L600"/>
  <c r="B600"/>
  <c r="A600"/>
  <c r="U599"/>
  <c r="R599"/>
  <c r="N599"/>
  <c r="M599"/>
  <c r="L599"/>
  <c r="B599"/>
  <c r="A599"/>
  <c r="U598"/>
  <c r="R598"/>
  <c r="N598"/>
  <c r="M598"/>
  <c r="L598"/>
  <c r="B598"/>
  <c r="A598"/>
  <c r="U597"/>
  <c r="R597"/>
  <c r="N597"/>
  <c r="M597"/>
  <c r="L597"/>
  <c r="B597"/>
  <c r="A597"/>
  <c r="U596"/>
  <c r="R596"/>
  <c r="N596"/>
  <c r="M596"/>
  <c r="L596"/>
  <c r="B596"/>
  <c r="A596"/>
  <c r="U595"/>
  <c r="R595"/>
  <c r="N595"/>
  <c r="M595"/>
  <c r="L595"/>
  <c r="B595"/>
  <c r="A595"/>
  <c r="U594"/>
  <c r="R594"/>
  <c r="N594"/>
  <c r="M594"/>
  <c r="L594"/>
  <c r="B594"/>
  <c r="A594"/>
  <c r="U593"/>
  <c r="R593"/>
  <c r="N593"/>
  <c r="M593"/>
  <c r="L593"/>
  <c r="B593"/>
  <c r="A593"/>
  <c r="U592"/>
  <c r="R592"/>
  <c r="N592"/>
  <c r="M592"/>
  <c r="L592"/>
  <c r="B592"/>
  <c r="A592"/>
  <c r="U591"/>
  <c r="R591"/>
  <c r="N591"/>
  <c r="M591"/>
  <c r="L591"/>
  <c r="B591"/>
  <c r="A591"/>
  <c r="U590"/>
  <c r="R590"/>
  <c r="N590"/>
  <c r="M590"/>
  <c r="L590"/>
  <c r="B590"/>
  <c r="A590"/>
  <c r="U589"/>
  <c r="R589"/>
  <c r="N589"/>
  <c r="M589"/>
  <c r="L589"/>
  <c r="B589"/>
  <c r="A589"/>
  <c r="U588"/>
  <c r="R588"/>
  <c r="N588"/>
  <c r="M588"/>
  <c r="L588"/>
  <c r="B588"/>
  <c r="A588"/>
  <c r="U587"/>
  <c r="R587"/>
  <c r="N587"/>
  <c r="M587"/>
  <c r="L587"/>
  <c r="B587"/>
  <c r="A587"/>
  <c r="U586"/>
  <c r="R586"/>
  <c r="N586"/>
  <c r="M586"/>
  <c r="L586"/>
  <c r="B586"/>
  <c r="A586"/>
  <c r="U585"/>
  <c r="R585"/>
  <c r="N585"/>
  <c r="M585"/>
  <c r="L585"/>
  <c r="B585"/>
  <c r="A585"/>
  <c r="U584"/>
  <c r="R584"/>
  <c r="N584"/>
  <c r="M584"/>
  <c r="L584"/>
  <c r="B584"/>
  <c r="A584"/>
  <c r="U583"/>
  <c r="R583"/>
  <c r="N583"/>
  <c r="M583"/>
  <c r="L583"/>
  <c r="B583"/>
  <c r="A583"/>
  <c r="U582"/>
  <c r="R582"/>
  <c r="N582"/>
  <c r="M582"/>
  <c r="L582"/>
  <c r="B582"/>
  <c r="A582"/>
  <c r="U581"/>
  <c r="R581"/>
  <c r="N581"/>
  <c r="M581"/>
  <c r="L581"/>
  <c r="B581"/>
  <c r="A581"/>
  <c r="U580"/>
  <c r="R580"/>
  <c r="N580"/>
  <c r="M580"/>
  <c r="L580"/>
  <c r="B580"/>
  <c r="A580"/>
  <c r="U579"/>
  <c r="R579"/>
  <c r="N579"/>
  <c r="M579"/>
  <c r="L579"/>
  <c r="B579"/>
  <c r="A579"/>
  <c r="U578"/>
  <c r="R578"/>
  <c r="N578"/>
  <c r="M578"/>
  <c r="L578"/>
  <c r="B578"/>
  <c r="A578"/>
  <c r="U577"/>
  <c r="R577"/>
  <c r="N577"/>
  <c r="M577"/>
  <c r="L577"/>
  <c r="B577"/>
  <c r="A577"/>
  <c r="U576"/>
  <c r="R576"/>
  <c r="N576"/>
  <c r="M576"/>
  <c r="L576"/>
  <c r="B576"/>
  <c r="A576"/>
  <c r="U575"/>
  <c r="R575"/>
  <c r="N575"/>
  <c r="M575"/>
  <c r="L575"/>
  <c r="B575"/>
  <c r="A575"/>
  <c r="U574"/>
  <c r="R574"/>
  <c r="N574"/>
  <c r="M574"/>
  <c r="L574"/>
  <c r="B574"/>
  <c r="A574"/>
  <c r="U573"/>
  <c r="R573"/>
  <c r="N573"/>
  <c r="M573"/>
  <c r="L573"/>
  <c r="B573"/>
  <c r="A573"/>
  <c r="U572"/>
  <c r="R572"/>
  <c r="N572"/>
  <c r="M572"/>
  <c r="L572"/>
  <c r="B572"/>
  <c r="A572"/>
  <c r="U571"/>
  <c r="R571"/>
  <c r="N571"/>
  <c r="M571"/>
  <c r="L571"/>
  <c r="B571"/>
  <c r="A571"/>
  <c r="U570"/>
  <c r="R570"/>
  <c r="N570"/>
  <c r="M570"/>
  <c r="L570"/>
  <c r="B570"/>
  <c r="A570"/>
  <c r="U569"/>
  <c r="R569"/>
  <c r="N569"/>
  <c r="M569"/>
  <c r="L569"/>
  <c r="B569"/>
  <c r="A569"/>
  <c r="U568"/>
  <c r="R568"/>
  <c r="N568"/>
  <c r="M568"/>
  <c r="L568"/>
  <c r="B568"/>
  <c r="A568"/>
  <c r="U567"/>
  <c r="R567"/>
  <c r="N567"/>
  <c r="M567"/>
  <c r="L567"/>
  <c r="B567"/>
  <c r="A567"/>
  <c r="U566"/>
  <c r="R566"/>
  <c r="N566"/>
  <c r="M566"/>
  <c r="L566"/>
  <c r="B566"/>
  <c r="A566"/>
  <c r="U565"/>
  <c r="R565"/>
  <c r="N565"/>
  <c r="M565"/>
  <c r="L565"/>
  <c r="B565"/>
  <c r="A565"/>
  <c r="U564"/>
  <c r="R564"/>
  <c r="N564"/>
  <c r="M564"/>
  <c r="L564"/>
  <c r="B564"/>
  <c r="A564"/>
  <c r="U563"/>
  <c r="R563"/>
  <c r="N563"/>
  <c r="M563"/>
  <c r="L563"/>
  <c r="B563"/>
  <c r="A563"/>
  <c r="U562"/>
  <c r="R562"/>
  <c r="N562"/>
  <c r="M562"/>
  <c r="L562"/>
  <c r="B562"/>
  <c r="A562"/>
  <c r="U561"/>
  <c r="R561"/>
  <c r="N561"/>
  <c r="M561"/>
  <c r="L561"/>
  <c r="B561"/>
  <c r="A561"/>
  <c r="U560"/>
  <c r="R560"/>
  <c r="N560"/>
  <c r="M560"/>
  <c r="L560"/>
  <c r="B560"/>
  <c r="A560"/>
  <c r="U559"/>
  <c r="R559"/>
  <c r="N559"/>
  <c r="M559"/>
  <c r="L559"/>
  <c r="B559"/>
  <c r="A559"/>
  <c r="U558"/>
  <c r="R558"/>
  <c r="N558"/>
  <c r="M558"/>
  <c r="L558"/>
  <c r="B558"/>
  <c r="A558"/>
  <c r="U557"/>
  <c r="R557"/>
  <c r="N557"/>
  <c r="M557"/>
  <c r="L557"/>
  <c r="B557"/>
  <c r="A557"/>
  <c r="U556"/>
  <c r="R556"/>
  <c r="N556"/>
  <c r="M556"/>
  <c r="L556"/>
  <c r="B556"/>
  <c r="A556"/>
  <c r="U555"/>
  <c r="R555"/>
  <c r="N555"/>
  <c r="M555"/>
  <c r="L555"/>
  <c r="B555"/>
  <c r="A555"/>
  <c r="U554"/>
  <c r="R554"/>
  <c r="N554"/>
  <c r="M554"/>
  <c r="L554"/>
  <c r="B554"/>
  <c r="A554"/>
  <c r="U553"/>
  <c r="R553"/>
  <c r="N553"/>
  <c r="M553"/>
  <c r="L553"/>
  <c r="B553"/>
  <c r="A553"/>
  <c r="U552"/>
  <c r="R552"/>
  <c r="N552"/>
  <c r="M552"/>
  <c r="L552"/>
  <c r="B552"/>
  <c r="A552"/>
  <c r="U551"/>
  <c r="R551"/>
  <c r="N551"/>
  <c r="M551"/>
  <c r="L551"/>
  <c r="B551"/>
  <c r="A551"/>
  <c r="U550"/>
  <c r="R550"/>
  <c r="N550"/>
  <c r="M550"/>
  <c r="L550"/>
  <c r="B550"/>
  <c r="A550"/>
  <c r="U549"/>
  <c r="R549"/>
  <c r="N549"/>
  <c r="M549"/>
  <c r="L549"/>
  <c r="B549"/>
  <c r="A549"/>
  <c r="U548"/>
  <c r="R548"/>
  <c r="N548"/>
  <c r="M548"/>
  <c r="L548"/>
  <c r="B548"/>
  <c r="A548"/>
  <c r="U547"/>
  <c r="R547"/>
  <c r="N547"/>
  <c r="M547"/>
  <c r="L547"/>
  <c r="B547"/>
  <c r="A547"/>
  <c r="U546"/>
  <c r="R546"/>
  <c r="N546"/>
  <c r="M546"/>
  <c r="L546"/>
  <c r="B546"/>
  <c r="A546"/>
  <c r="U545"/>
  <c r="R545"/>
  <c r="N545"/>
  <c r="M545"/>
  <c r="L545"/>
  <c r="B545"/>
  <c r="A545"/>
  <c r="U544"/>
  <c r="R544"/>
  <c r="N544"/>
  <c r="M544"/>
  <c r="L544"/>
  <c r="B544"/>
  <c r="A544"/>
  <c r="U543"/>
  <c r="R543"/>
  <c r="N543"/>
  <c r="M543"/>
  <c r="L543"/>
  <c r="B543"/>
  <c r="A543"/>
  <c r="U542"/>
  <c r="R542"/>
  <c r="N542"/>
  <c r="M542"/>
  <c r="L542"/>
  <c r="B542"/>
  <c r="A542"/>
  <c r="U541"/>
  <c r="R541"/>
  <c r="N541"/>
  <c r="M541"/>
  <c r="L541"/>
  <c r="B541"/>
  <c r="A541"/>
  <c r="U540"/>
  <c r="R540"/>
  <c r="N540"/>
  <c r="M540"/>
  <c r="L540"/>
  <c r="B540"/>
  <c r="A540"/>
  <c r="U539"/>
  <c r="R539"/>
  <c r="N539"/>
  <c r="M539"/>
  <c r="L539"/>
  <c r="B539"/>
  <c r="A539"/>
  <c r="U538"/>
  <c r="R538"/>
  <c r="N538"/>
  <c r="M538"/>
  <c r="L538"/>
  <c r="B538"/>
  <c r="A538"/>
  <c r="U537"/>
  <c r="R537"/>
  <c r="N537"/>
  <c r="M537"/>
  <c r="L537"/>
  <c r="B537"/>
  <c r="A537"/>
  <c r="U536"/>
  <c r="R536"/>
  <c r="N536"/>
  <c r="M536"/>
  <c r="L536"/>
  <c r="B536"/>
  <c r="A536"/>
  <c r="U535"/>
  <c r="R535"/>
  <c r="N535"/>
  <c r="M535"/>
  <c r="L535"/>
  <c r="B535"/>
  <c r="A535"/>
  <c r="U534"/>
  <c r="R534"/>
  <c r="N534"/>
  <c r="M534"/>
  <c r="L534"/>
  <c r="B534"/>
  <c r="A534"/>
  <c r="U533"/>
  <c r="R533"/>
  <c r="N533"/>
  <c r="M533"/>
  <c r="L533"/>
  <c r="B533"/>
  <c r="A533"/>
  <c r="U532"/>
  <c r="R532"/>
  <c r="N532"/>
  <c r="M532"/>
  <c r="L532"/>
  <c r="B532"/>
  <c r="A532"/>
  <c r="U531"/>
  <c r="R531"/>
  <c r="N531"/>
  <c r="M531"/>
  <c r="L531"/>
  <c r="B531"/>
  <c r="A531"/>
  <c r="U530"/>
  <c r="R530"/>
  <c r="N530"/>
  <c r="M530"/>
  <c r="L530"/>
  <c r="B530"/>
  <c r="A530"/>
  <c r="U529"/>
  <c r="R529"/>
  <c r="N529"/>
  <c r="M529"/>
  <c r="L529"/>
  <c r="B529"/>
  <c r="A529"/>
  <c r="U528"/>
  <c r="R528"/>
  <c r="N528"/>
  <c r="M528"/>
  <c r="L528"/>
  <c r="B528"/>
  <c r="A528"/>
  <c r="U527"/>
  <c r="R527"/>
  <c r="N527"/>
  <c r="M527"/>
  <c r="L527"/>
  <c r="B527"/>
  <c r="A527"/>
  <c r="U526"/>
  <c r="R526"/>
  <c r="N526"/>
  <c r="M526"/>
  <c r="L526"/>
  <c r="B526"/>
  <c r="A526"/>
  <c r="U525"/>
  <c r="R525"/>
  <c r="N525"/>
  <c r="M525"/>
  <c r="L525"/>
  <c r="B525"/>
  <c r="A525"/>
  <c r="U524"/>
  <c r="R524"/>
  <c r="N524"/>
  <c r="M524"/>
  <c r="L524"/>
  <c r="B524"/>
  <c r="A524"/>
  <c r="U523"/>
  <c r="R523"/>
  <c r="N523"/>
  <c r="M523"/>
  <c r="L523"/>
  <c r="B523"/>
  <c r="A523"/>
  <c r="U522"/>
  <c r="R522"/>
  <c r="N522"/>
  <c r="M522"/>
  <c r="L522"/>
  <c r="B522"/>
  <c r="A522"/>
  <c r="U521"/>
  <c r="R521"/>
  <c r="N521"/>
  <c r="M521"/>
  <c r="L521"/>
  <c r="B521"/>
  <c r="A521"/>
  <c r="U520"/>
  <c r="R520"/>
  <c r="N520"/>
  <c r="M520"/>
  <c r="L520"/>
  <c r="B520"/>
  <c r="A520"/>
  <c r="U519"/>
  <c r="R519"/>
  <c r="N519"/>
  <c r="M519"/>
  <c r="L519"/>
  <c r="B519"/>
  <c r="A519"/>
  <c r="U518"/>
  <c r="R518"/>
  <c r="N518"/>
  <c r="M518"/>
  <c r="L518"/>
  <c r="B518"/>
  <c r="A518"/>
  <c r="U517"/>
  <c r="R517"/>
  <c r="N517"/>
  <c r="M517"/>
  <c r="L517"/>
  <c r="B517"/>
  <c r="A517"/>
  <c r="U516"/>
  <c r="R516"/>
  <c r="N516"/>
  <c r="M516"/>
  <c r="L516"/>
  <c r="B516"/>
  <c r="A516"/>
  <c r="U515"/>
  <c r="R515"/>
  <c r="N515"/>
  <c r="M515"/>
  <c r="L515"/>
  <c r="B515"/>
  <c r="A515"/>
  <c r="U514"/>
  <c r="R514"/>
  <c r="N514"/>
  <c r="M514"/>
  <c r="L514"/>
  <c r="B514"/>
  <c r="A514"/>
  <c r="U513"/>
  <c r="R513"/>
  <c r="N513"/>
  <c r="M513"/>
  <c r="L513"/>
  <c r="B513"/>
  <c r="A513"/>
  <c r="U512"/>
  <c r="R512"/>
  <c r="N512"/>
  <c r="M512"/>
  <c r="L512"/>
  <c r="B512"/>
  <c r="A512"/>
  <c r="U511"/>
  <c r="R511"/>
  <c r="N511"/>
  <c r="M511"/>
  <c r="L511"/>
  <c r="B511"/>
  <c r="A511"/>
  <c r="U510"/>
  <c r="R510"/>
  <c r="N510"/>
  <c r="M510"/>
  <c r="L510"/>
  <c r="B510"/>
  <c r="A510"/>
  <c r="U509"/>
  <c r="R509"/>
  <c r="N509"/>
  <c r="M509"/>
  <c r="L509"/>
  <c r="B509"/>
  <c r="A509"/>
  <c r="U508"/>
  <c r="R508"/>
  <c r="N508"/>
  <c r="M508"/>
  <c r="L508"/>
  <c r="B508"/>
  <c r="A508"/>
  <c r="U507"/>
  <c r="R507"/>
  <c r="N507"/>
  <c r="M507"/>
  <c r="L507"/>
  <c r="B507"/>
  <c r="A507"/>
  <c r="U506"/>
  <c r="R506"/>
  <c r="N506"/>
  <c r="M506"/>
  <c r="L506"/>
  <c r="B506"/>
  <c r="A506"/>
  <c r="U505"/>
  <c r="R505"/>
  <c r="N505"/>
  <c r="M505"/>
  <c r="L505"/>
  <c r="B505"/>
  <c r="A505"/>
  <c r="U504"/>
  <c r="R504"/>
  <c r="N504"/>
  <c r="M504"/>
  <c r="L504"/>
  <c r="B504"/>
  <c r="A504"/>
  <c r="U503"/>
  <c r="R503"/>
  <c r="N503"/>
  <c r="M503"/>
  <c r="L503"/>
  <c r="B503"/>
  <c r="A503"/>
  <c r="U502"/>
  <c r="R502"/>
  <c r="N502"/>
  <c r="M502"/>
  <c r="L502"/>
  <c r="B502"/>
  <c r="A502"/>
  <c r="U501"/>
  <c r="R501"/>
  <c r="N501"/>
  <c r="M501"/>
  <c r="L501"/>
  <c r="B501"/>
  <c r="A501"/>
  <c r="U500"/>
  <c r="R500"/>
  <c r="N500"/>
  <c r="M500"/>
  <c r="L500"/>
  <c r="B500"/>
  <c r="A500"/>
  <c r="U499"/>
  <c r="R499"/>
  <c r="N499"/>
  <c r="M499"/>
  <c r="L499"/>
  <c r="B499"/>
  <c r="A499"/>
  <c r="U498"/>
  <c r="R498"/>
  <c r="N498"/>
  <c r="M498"/>
  <c r="L498"/>
  <c r="B498"/>
  <c r="A498"/>
  <c r="U497"/>
  <c r="R497"/>
  <c r="N497"/>
  <c r="M497"/>
  <c r="L497"/>
  <c r="B497"/>
  <c r="A497"/>
  <c r="U496"/>
  <c r="R496"/>
  <c r="N496"/>
  <c r="M496"/>
  <c r="L496"/>
  <c r="B496"/>
  <c r="A496"/>
  <c r="U495"/>
  <c r="R495"/>
  <c r="N495"/>
  <c r="M495"/>
  <c r="L495"/>
  <c r="B495"/>
  <c r="A495"/>
  <c r="U494"/>
  <c r="R494"/>
  <c r="N494"/>
  <c r="M494"/>
  <c r="L494"/>
  <c r="B494"/>
  <c r="A494"/>
  <c r="U493"/>
  <c r="R493"/>
  <c r="N493"/>
  <c r="M493"/>
  <c r="L493"/>
  <c r="B493"/>
  <c r="A493"/>
  <c r="U492"/>
  <c r="R492"/>
  <c r="N492"/>
  <c r="M492"/>
  <c r="L492"/>
  <c r="B492"/>
  <c r="A492"/>
  <c r="U491"/>
  <c r="R491"/>
  <c r="N491"/>
  <c r="M491"/>
  <c r="L491"/>
  <c r="B491"/>
  <c r="A491"/>
  <c r="U490"/>
  <c r="R490"/>
  <c r="N490"/>
  <c r="M490"/>
  <c r="L490"/>
  <c r="B490"/>
  <c r="A490"/>
  <c r="U489"/>
  <c r="R489"/>
  <c r="N489"/>
  <c r="M489"/>
  <c r="L489"/>
  <c r="B489"/>
  <c r="A489"/>
  <c r="U488"/>
  <c r="R488"/>
  <c r="N488"/>
  <c r="M488"/>
  <c r="L488"/>
  <c r="B488"/>
  <c r="A488"/>
  <c r="U487"/>
  <c r="R487"/>
  <c r="N487"/>
  <c r="M487"/>
  <c r="L487"/>
  <c r="B487"/>
  <c r="A487"/>
  <c r="U486"/>
  <c r="R486"/>
  <c r="N486"/>
  <c r="M486"/>
  <c r="L486"/>
  <c r="B486"/>
  <c r="A486"/>
  <c r="U485"/>
  <c r="R485"/>
  <c r="N485"/>
  <c r="M485"/>
  <c r="L485"/>
  <c r="B485"/>
  <c r="A485"/>
  <c r="U484"/>
  <c r="R484"/>
  <c r="N484"/>
  <c r="M484"/>
  <c r="L484"/>
  <c r="B484"/>
  <c r="A484"/>
  <c r="U483"/>
  <c r="R483"/>
  <c r="N483"/>
  <c r="M483"/>
  <c r="L483"/>
  <c r="B483"/>
  <c r="A483"/>
  <c r="U482"/>
  <c r="R482"/>
  <c r="N482"/>
  <c r="M482"/>
  <c r="L482"/>
  <c r="B482"/>
  <c r="A482"/>
  <c r="U481"/>
  <c r="R481"/>
  <c r="N481"/>
  <c r="M481"/>
  <c r="L481"/>
  <c r="B481"/>
  <c r="A481"/>
  <c r="U480"/>
  <c r="R480"/>
  <c r="N480"/>
  <c r="M480"/>
  <c r="L480"/>
  <c r="B480"/>
  <c r="A480"/>
  <c r="U479"/>
  <c r="R479"/>
  <c r="N479"/>
  <c r="M479"/>
  <c r="L479"/>
  <c r="B479"/>
  <c r="A479"/>
  <c r="U478"/>
  <c r="R478"/>
  <c r="N478"/>
  <c r="M478"/>
  <c r="L478"/>
  <c r="B478"/>
  <c r="A478"/>
  <c r="U477"/>
  <c r="R477"/>
  <c r="N477"/>
  <c r="M477"/>
  <c r="L477"/>
  <c r="B477"/>
  <c r="A477"/>
  <c r="U476"/>
  <c r="R476"/>
  <c r="N476"/>
  <c r="M476"/>
  <c r="L476"/>
  <c r="B476"/>
  <c r="A476"/>
  <c r="U475"/>
  <c r="R475"/>
  <c r="N475"/>
  <c r="M475"/>
  <c r="L475"/>
  <c r="B475"/>
  <c r="A475"/>
  <c r="U474"/>
  <c r="R474"/>
  <c r="N474"/>
  <c r="M474"/>
  <c r="L474"/>
  <c r="B474"/>
  <c r="A474"/>
  <c r="U473"/>
  <c r="R473"/>
  <c r="N473"/>
  <c r="M473"/>
  <c r="L473"/>
  <c r="B473"/>
  <c r="A473"/>
  <c r="U472"/>
  <c r="R472"/>
  <c r="N472"/>
  <c r="M472"/>
  <c r="L472"/>
  <c r="B472"/>
  <c r="A472"/>
  <c r="U471"/>
  <c r="R471"/>
  <c r="N471"/>
  <c r="M471"/>
  <c r="L471"/>
  <c r="B471"/>
  <c r="A471"/>
  <c r="U470"/>
  <c r="R470"/>
  <c r="N470"/>
  <c r="M470"/>
  <c r="L470"/>
  <c r="B470"/>
  <c r="A470"/>
  <c r="U469"/>
  <c r="R469"/>
  <c r="N469"/>
  <c r="M469"/>
  <c r="L469"/>
  <c r="B469"/>
  <c r="A469"/>
  <c r="U468"/>
  <c r="R468"/>
  <c r="N468"/>
  <c r="M468"/>
  <c r="L468"/>
  <c r="B468"/>
  <c r="A468"/>
  <c r="U467"/>
  <c r="R467"/>
  <c r="N467"/>
  <c r="M467"/>
  <c r="L467"/>
  <c r="B467"/>
  <c r="A467"/>
  <c r="U466"/>
  <c r="R466"/>
  <c r="N466"/>
  <c r="M466"/>
  <c r="L466"/>
  <c r="B466"/>
  <c r="A466"/>
  <c r="U465"/>
  <c r="R465"/>
  <c r="N465"/>
  <c r="M465"/>
  <c r="L465"/>
  <c r="B465"/>
  <c r="A465"/>
  <c r="U464"/>
  <c r="R464"/>
  <c r="N464"/>
  <c r="M464"/>
  <c r="L464"/>
  <c r="B464"/>
  <c r="A464"/>
  <c r="U463"/>
  <c r="R463"/>
  <c r="N463"/>
  <c r="M463"/>
  <c r="L463"/>
  <c r="B463"/>
  <c r="A463"/>
  <c r="U462"/>
  <c r="R462"/>
  <c r="N462"/>
  <c r="M462"/>
  <c r="L462"/>
  <c r="B462"/>
  <c r="A462"/>
  <c r="U461"/>
  <c r="R461"/>
  <c r="N461"/>
  <c r="M461"/>
  <c r="L461"/>
  <c r="B461"/>
  <c r="A461"/>
  <c r="U460"/>
  <c r="R460"/>
  <c r="N460"/>
  <c r="M460"/>
  <c r="L460"/>
  <c r="B460"/>
  <c r="A460"/>
  <c r="U459"/>
  <c r="R459"/>
  <c r="N459"/>
  <c r="M459"/>
  <c r="L459"/>
  <c r="B459"/>
  <c r="A459"/>
  <c r="U458"/>
  <c r="R458"/>
  <c r="N458"/>
  <c r="M458"/>
  <c r="L458"/>
  <c r="B458"/>
  <c r="A458"/>
  <c r="U457"/>
  <c r="R457"/>
  <c r="N457"/>
  <c r="M457"/>
  <c r="L457"/>
  <c r="B457"/>
  <c r="A457"/>
  <c r="U456"/>
  <c r="R456"/>
  <c r="N456"/>
  <c r="M456"/>
  <c r="L456"/>
  <c r="B456"/>
  <c r="A456"/>
  <c r="U455"/>
  <c r="R455"/>
  <c r="N455"/>
  <c r="M455"/>
  <c r="L455"/>
  <c r="B455"/>
  <c r="A455"/>
  <c r="U454"/>
  <c r="R454"/>
  <c r="N454"/>
  <c r="M454"/>
  <c r="L454"/>
  <c r="B454"/>
  <c r="A454"/>
  <c r="U453"/>
  <c r="R453"/>
  <c r="N453"/>
  <c r="M453"/>
  <c r="L453"/>
  <c r="B453"/>
  <c r="A453"/>
  <c r="U452"/>
  <c r="R452"/>
  <c r="N452"/>
  <c r="M452"/>
  <c r="L452"/>
  <c r="B452"/>
  <c r="A452"/>
  <c r="U451"/>
  <c r="R451"/>
  <c r="N451"/>
  <c r="M451"/>
  <c r="L451"/>
  <c r="B451"/>
  <c r="A451"/>
  <c r="U450"/>
  <c r="R450"/>
  <c r="N450"/>
  <c r="M450"/>
  <c r="L450"/>
  <c r="B450"/>
  <c r="A450"/>
  <c r="U449"/>
  <c r="R449"/>
  <c r="N449"/>
  <c r="M449"/>
  <c r="L449"/>
  <c r="B449"/>
  <c r="A449"/>
  <c r="U448"/>
  <c r="R448"/>
  <c r="N448"/>
  <c r="M448"/>
  <c r="L448"/>
  <c r="B448"/>
  <c r="A448"/>
  <c r="U447"/>
  <c r="R447"/>
  <c r="N447"/>
  <c r="M447"/>
  <c r="L447"/>
  <c r="B447"/>
  <c r="A447"/>
  <c r="U446"/>
  <c r="R446"/>
  <c r="N446"/>
  <c r="M446"/>
  <c r="L446"/>
  <c r="B446"/>
  <c r="A446"/>
  <c r="U445"/>
  <c r="R445"/>
  <c r="N445"/>
  <c r="M445"/>
  <c r="L445"/>
  <c r="B445"/>
  <c r="A445"/>
  <c r="U444"/>
  <c r="R444"/>
  <c r="N444"/>
  <c r="M444"/>
  <c r="L444"/>
  <c r="B444"/>
  <c r="A444"/>
  <c r="U443"/>
  <c r="R443"/>
  <c r="N443"/>
  <c r="M443"/>
  <c r="L443"/>
  <c r="B443"/>
  <c r="A443"/>
  <c r="U442"/>
  <c r="R442"/>
  <c r="N442"/>
  <c r="M442"/>
  <c r="L442"/>
  <c r="B442"/>
  <c r="A442"/>
  <c r="U441"/>
  <c r="R441"/>
  <c r="N441"/>
  <c r="M441"/>
  <c r="L441"/>
  <c r="B441"/>
  <c r="A441"/>
  <c r="U440"/>
  <c r="R440"/>
  <c r="N440"/>
  <c r="M440"/>
  <c r="L440"/>
  <c r="B440"/>
  <c r="A440"/>
  <c r="U439"/>
  <c r="R439"/>
  <c r="N439"/>
  <c r="M439"/>
  <c r="L439"/>
  <c r="B439"/>
  <c r="A439"/>
  <c r="U438"/>
  <c r="R438"/>
  <c r="N438"/>
  <c r="M438"/>
  <c r="L438"/>
  <c r="B438"/>
  <c r="A438"/>
  <c r="U437"/>
  <c r="R437"/>
  <c r="N437"/>
  <c r="M437"/>
  <c r="L437"/>
  <c r="B437"/>
  <c r="A437"/>
  <c r="U436"/>
  <c r="R436"/>
  <c r="N436"/>
  <c r="M436"/>
  <c r="L436"/>
  <c r="B436"/>
  <c r="A436"/>
  <c r="U435"/>
  <c r="R435"/>
  <c r="N435"/>
  <c r="M435"/>
  <c r="L435"/>
  <c r="B435"/>
  <c r="A435"/>
  <c r="U434"/>
  <c r="R434"/>
  <c r="N434"/>
  <c r="M434"/>
  <c r="L434"/>
  <c r="B434"/>
  <c r="A434"/>
  <c r="U433"/>
  <c r="R433"/>
  <c r="N433"/>
  <c r="M433"/>
  <c r="L433"/>
  <c r="B433"/>
  <c r="A433"/>
  <c r="U432"/>
  <c r="R432"/>
  <c r="N432"/>
  <c r="M432"/>
  <c r="L432"/>
  <c r="B432"/>
  <c r="A432"/>
  <c r="U431"/>
  <c r="R431"/>
  <c r="N431"/>
  <c r="M431"/>
  <c r="L431"/>
  <c r="B431"/>
  <c r="A431"/>
  <c r="U430"/>
  <c r="R430"/>
  <c r="N430"/>
  <c r="M430"/>
  <c r="L430"/>
  <c r="B430"/>
  <c r="A430"/>
  <c r="U429"/>
  <c r="R429"/>
  <c r="N429"/>
  <c r="M429"/>
  <c r="L429"/>
  <c r="B429"/>
  <c r="A429"/>
  <c r="U428"/>
  <c r="R428"/>
  <c r="N428"/>
  <c r="M428"/>
  <c r="L428"/>
  <c r="B428"/>
  <c r="A428"/>
  <c r="U427"/>
  <c r="R427"/>
  <c r="N427"/>
  <c r="M427"/>
  <c r="L427"/>
  <c r="B427"/>
  <c r="A427"/>
  <c r="U426"/>
  <c r="R426"/>
  <c r="N426"/>
  <c r="M426"/>
  <c r="L426"/>
  <c r="B426"/>
  <c r="A426"/>
  <c r="U425"/>
  <c r="R425"/>
  <c r="N425"/>
  <c r="M425"/>
  <c r="L425"/>
  <c r="B425"/>
  <c r="A425"/>
  <c r="U424"/>
  <c r="R424"/>
  <c r="N424"/>
  <c r="M424"/>
  <c r="L424"/>
  <c r="B424"/>
  <c r="A424"/>
  <c r="U423"/>
  <c r="R423"/>
  <c r="N423"/>
  <c r="M423"/>
  <c r="L423"/>
  <c r="B423"/>
  <c r="A423"/>
  <c r="U422"/>
  <c r="R422"/>
  <c r="N422"/>
  <c r="M422"/>
  <c r="L422"/>
  <c r="B422"/>
  <c r="A422"/>
  <c r="U421"/>
  <c r="R421"/>
  <c r="N421"/>
  <c r="M421"/>
  <c r="L421"/>
  <c r="B421"/>
  <c r="A421"/>
  <c r="U420"/>
  <c r="R420"/>
  <c r="N420"/>
  <c r="M420"/>
  <c r="L420"/>
  <c r="B420"/>
  <c r="A420"/>
  <c r="U419"/>
  <c r="R419"/>
  <c r="N419"/>
  <c r="M419"/>
  <c r="L419"/>
  <c r="B419"/>
  <c r="A419"/>
  <c r="U418"/>
  <c r="R418"/>
  <c r="N418"/>
  <c r="M418"/>
  <c r="L418"/>
  <c r="B418"/>
  <c r="A418"/>
  <c r="U417"/>
  <c r="R417"/>
  <c r="N417"/>
  <c r="M417"/>
  <c r="L417"/>
  <c r="B417"/>
  <c r="A417"/>
  <c r="U416"/>
  <c r="R416"/>
  <c r="N416"/>
  <c r="M416"/>
  <c r="L416"/>
  <c r="B416"/>
  <c r="A416"/>
  <c r="U415"/>
  <c r="R415"/>
  <c r="N415"/>
  <c r="M415"/>
  <c r="L415"/>
  <c r="B415"/>
  <c r="A415"/>
  <c r="U414"/>
  <c r="R414"/>
  <c r="N414"/>
  <c r="M414"/>
  <c r="L414"/>
  <c r="B414"/>
  <c r="A414"/>
  <c r="U413"/>
  <c r="R413"/>
  <c r="N413"/>
  <c r="M413"/>
  <c r="L413"/>
  <c r="B413"/>
  <c r="A413"/>
  <c r="U412"/>
  <c r="R412"/>
  <c r="N412"/>
  <c r="M412"/>
  <c r="L412"/>
  <c r="B412"/>
  <c r="A412"/>
  <c r="U411"/>
  <c r="R411"/>
  <c r="N411"/>
  <c r="M411"/>
  <c r="L411"/>
  <c r="B411"/>
  <c r="A411"/>
  <c r="U410"/>
  <c r="R410"/>
  <c r="N410"/>
  <c r="M410"/>
  <c r="L410"/>
  <c r="B410"/>
  <c r="A410"/>
  <c r="U409"/>
  <c r="R409"/>
  <c r="N409"/>
  <c r="M409"/>
  <c r="L409"/>
  <c r="B409"/>
  <c r="A409"/>
  <c r="U408"/>
  <c r="R408"/>
  <c r="N408"/>
  <c r="M408"/>
  <c r="L408"/>
  <c r="B408"/>
  <c r="A408"/>
  <c r="U407"/>
  <c r="R407"/>
  <c r="N407"/>
  <c r="M407"/>
  <c r="L407"/>
  <c r="B407"/>
  <c r="A407"/>
  <c r="U406"/>
  <c r="R406"/>
  <c r="N406"/>
  <c r="M406"/>
  <c r="L406"/>
  <c r="B406"/>
  <c r="A406"/>
  <c r="U405"/>
  <c r="R405"/>
  <c r="N405"/>
  <c r="M405"/>
  <c r="L405"/>
  <c r="B405"/>
  <c r="A405"/>
  <c r="U404"/>
  <c r="R404"/>
  <c r="N404"/>
  <c r="M404"/>
  <c r="L404"/>
  <c r="B404"/>
  <c r="A404"/>
  <c r="U403"/>
  <c r="R403"/>
  <c r="N403"/>
  <c r="M403"/>
  <c r="L403"/>
  <c r="B403"/>
  <c r="A403"/>
  <c r="U402"/>
  <c r="R402"/>
  <c r="N402"/>
  <c r="M402"/>
  <c r="L402"/>
  <c r="B402"/>
  <c r="A402"/>
  <c r="U401"/>
  <c r="R401"/>
  <c r="N401"/>
  <c r="M401"/>
  <c r="L401"/>
  <c r="B401"/>
  <c r="A401"/>
  <c r="U400"/>
  <c r="R400"/>
  <c r="N400"/>
  <c r="M400"/>
  <c r="L400"/>
  <c r="B400"/>
  <c r="A400"/>
  <c r="U399"/>
  <c r="R399"/>
  <c r="N399"/>
  <c r="M399"/>
  <c r="L399"/>
  <c r="B399"/>
  <c r="A399"/>
  <c r="U398"/>
  <c r="R398"/>
  <c r="N398"/>
  <c r="M398"/>
  <c r="L398"/>
  <c r="B398"/>
  <c r="A398"/>
  <c r="U397"/>
  <c r="R397"/>
  <c r="N397"/>
  <c r="M397"/>
  <c r="L397"/>
  <c r="B397"/>
  <c r="A397"/>
  <c r="U396"/>
  <c r="R396"/>
  <c r="N396"/>
  <c r="M396"/>
  <c r="L396"/>
  <c r="B396"/>
  <c r="A396"/>
  <c r="U395"/>
  <c r="R395"/>
  <c r="N395"/>
  <c r="M395"/>
  <c r="L395"/>
  <c r="B395"/>
  <c r="A395"/>
  <c r="U394"/>
  <c r="R394"/>
  <c r="N394"/>
  <c r="M394"/>
  <c r="L394"/>
  <c r="B394"/>
  <c r="A394"/>
  <c r="U393"/>
  <c r="R393"/>
  <c r="N393"/>
  <c r="M393"/>
  <c r="L393"/>
  <c r="B393"/>
  <c r="A393"/>
  <c r="U392"/>
  <c r="R392"/>
  <c r="N392"/>
  <c r="M392"/>
  <c r="L392"/>
  <c r="B392"/>
  <c r="A392"/>
  <c r="U391"/>
  <c r="R391"/>
  <c r="N391"/>
  <c r="M391"/>
  <c r="L391"/>
  <c r="B391"/>
  <c r="A391"/>
  <c r="U390"/>
  <c r="R390"/>
  <c r="N390"/>
  <c r="M390"/>
  <c r="L390"/>
  <c r="B390"/>
  <c r="A390"/>
  <c r="U389"/>
  <c r="R389"/>
  <c r="N389"/>
  <c r="M389"/>
  <c r="L389"/>
  <c r="B389"/>
  <c r="A389"/>
  <c r="U388"/>
  <c r="R388"/>
  <c r="N388"/>
  <c r="M388"/>
  <c r="L388"/>
  <c r="B388"/>
  <c r="A388"/>
  <c r="U387"/>
  <c r="R387"/>
  <c r="N387"/>
  <c r="M387"/>
  <c r="L387"/>
  <c r="B387"/>
  <c r="A387"/>
  <c r="U386"/>
  <c r="R386"/>
  <c r="N386"/>
  <c r="M386"/>
  <c r="L386"/>
  <c r="B386"/>
  <c r="A386"/>
  <c r="U385"/>
  <c r="R385"/>
  <c r="N385"/>
  <c r="M385"/>
  <c r="L385"/>
  <c r="B385"/>
  <c r="A385"/>
  <c r="U384"/>
  <c r="R384"/>
  <c r="N384"/>
  <c r="M384"/>
  <c r="L384"/>
  <c r="B384"/>
  <c r="A384"/>
  <c r="U383"/>
  <c r="R383"/>
  <c r="N383"/>
  <c r="M383"/>
  <c r="L383"/>
  <c r="B383"/>
  <c r="A383"/>
  <c r="U382"/>
  <c r="R382"/>
  <c r="N382"/>
  <c r="M382"/>
  <c r="L382"/>
  <c r="B382"/>
  <c r="A382"/>
  <c r="U381"/>
  <c r="R381"/>
  <c r="N381"/>
  <c r="M381"/>
  <c r="L381"/>
  <c r="B381"/>
  <c r="A381"/>
  <c r="U380"/>
  <c r="R380"/>
  <c r="N380"/>
  <c r="M380"/>
  <c r="L380"/>
  <c r="B380"/>
  <c r="A380"/>
  <c r="U379"/>
  <c r="R379"/>
  <c r="N379"/>
  <c r="M379"/>
  <c r="L379"/>
  <c r="B379"/>
  <c r="A379"/>
  <c r="U378"/>
  <c r="R378"/>
  <c r="N378"/>
  <c r="M378"/>
  <c r="L378"/>
  <c r="B378"/>
  <c r="A378"/>
  <c r="U377"/>
  <c r="R377"/>
  <c r="N377"/>
  <c r="M377"/>
  <c r="L377"/>
  <c r="B377"/>
  <c r="A377"/>
  <c r="U376"/>
  <c r="R376"/>
  <c r="N376"/>
  <c r="M376"/>
  <c r="L376"/>
  <c r="B376"/>
  <c r="A376"/>
  <c r="U375"/>
  <c r="R375"/>
  <c r="N375"/>
  <c r="M375"/>
  <c r="L375"/>
  <c r="B375"/>
  <c r="A375"/>
  <c r="U374"/>
  <c r="R374"/>
  <c r="N374"/>
  <c r="M374"/>
  <c r="L374"/>
  <c r="B374"/>
  <c r="A374"/>
  <c r="U373"/>
  <c r="R373"/>
  <c r="N373"/>
  <c r="M373"/>
  <c r="L373"/>
  <c r="B373"/>
  <c r="A373"/>
  <c r="U372"/>
  <c r="R372"/>
  <c r="N372"/>
  <c r="M372"/>
  <c r="L372"/>
  <c r="B372"/>
  <c r="A372"/>
  <c r="U371"/>
  <c r="R371"/>
  <c r="N371"/>
  <c r="M371"/>
  <c r="L371"/>
  <c r="B371"/>
  <c r="A371"/>
  <c r="U370"/>
  <c r="R370"/>
  <c r="N370"/>
  <c r="M370"/>
  <c r="L370"/>
  <c r="B370"/>
  <c r="A370"/>
  <c r="U369"/>
  <c r="R369"/>
  <c r="N369"/>
  <c r="M369"/>
  <c r="L369"/>
  <c r="B369"/>
  <c r="A369"/>
  <c r="U368"/>
  <c r="R368"/>
  <c r="N368"/>
  <c r="M368"/>
  <c r="L368"/>
  <c r="B368"/>
  <c r="A368"/>
  <c r="U367"/>
  <c r="R367"/>
  <c r="N367"/>
  <c r="M367"/>
  <c r="L367"/>
  <c r="B367"/>
  <c r="A367"/>
  <c r="U366"/>
  <c r="R366"/>
  <c r="N366"/>
  <c r="M366"/>
  <c r="L366"/>
  <c r="B366"/>
  <c r="A366"/>
  <c r="U365"/>
  <c r="R365"/>
  <c r="N365"/>
  <c r="M365"/>
  <c r="L365"/>
  <c r="B365"/>
  <c r="A365"/>
  <c r="U364"/>
  <c r="R364"/>
  <c r="N364"/>
  <c r="M364"/>
  <c r="L364"/>
  <c r="B364"/>
  <c r="A364"/>
  <c r="U363"/>
  <c r="R363"/>
  <c r="N363"/>
  <c r="M363"/>
  <c r="L363"/>
  <c r="B363"/>
  <c r="A363"/>
  <c r="U362"/>
  <c r="R362"/>
  <c r="N362"/>
  <c r="M362"/>
  <c r="L362"/>
  <c r="B362"/>
  <c r="A362"/>
  <c r="U361"/>
  <c r="R361"/>
  <c r="N361"/>
  <c r="M361"/>
  <c r="L361"/>
  <c r="B361"/>
  <c r="A361"/>
  <c r="U360"/>
  <c r="R360"/>
  <c r="N360"/>
  <c r="M360"/>
  <c r="L360"/>
  <c r="B360"/>
  <c r="A360"/>
  <c r="U359"/>
  <c r="R359"/>
  <c r="N359"/>
  <c r="M359"/>
  <c r="L359"/>
  <c r="B359"/>
  <c r="A359"/>
  <c r="U358"/>
  <c r="R358"/>
  <c r="N358"/>
  <c r="M358"/>
  <c r="L358"/>
  <c r="B358"/>
  <c r="A358"/>
  <c r="U357"/>
  <c r="R357"/>
  <c r="N357"/>
  <c r="M357"/>
  <c r="L357"/>
  <c r="B357"/>
  <c r="A357"/>
  <c r="U356"/>
  <c r="R356"/>
  <c r="N356"/>
  <c r="M356"/>
  <c r="L356"/>
  <c r="B356"/>
  <c r="A356"/>
  <c r="U355"/>
  <c r="R355"/>
  <c r="N355"/>
  <c r="M355"/>
  <c r="L355"/>
  <c r="B355"/>
  <c r="A355"/>
  <c r="U354"/>
  <c r="R354"/>
  <c r="N354"/>
  <c r="M354"/>
  <c r="L354"/>
  <c r="B354"/>
  <c r="A354"/>
  <c r="U353"/>
  <c r="R353"/>
  <c r="N353"/>
  <c r="M353"/>
  <c r="L353"/>
  <c r="B353"/>
  <c r="A353"/>
  <c r="U352"/>
  <c r="R352"/>
  <c r="N352"/>
  <c r="M352"/>
  <c r="L352"/>
  <c r="B352"/>
  <c r="A352"/>
  <c r="U351"/>
  <c r="R351"/>
  <c r="N351"/>
  <c r="M351"/>
  <c r="L351"/>
  <c r="B351"/>
  <c r="A351"/>
  <c r="U350"/>
  <c r="R350"/>
  <c r="N350"/>
  <c r="M350"/>
  <c r="L350"/>
  <c r="B350"/>
  <c r="A350"/>
  <c r="U349"/>
  <c r="R349"/>
  <c r="N349"/>
  <c r="M349"/>
  <c r="L349"/>
  <c r="B349"/>
  <c r="A349"/>
  <c r="U348"/>
  <c r="R348"/>
  <c r="N348"/>
  <c r="M348"/>
  <c r="L348"/>
  <c r="B348"/>
  <c r="A348"/>
  <c r="U347"/>
  <c r="R347"/>
  <c r="N347"/>
  <c r="M347"/>
  <c r="L347"/>
  <c r="B347"/>
  <c r="A347"/>
  <c r="U346"/>
  <c r="R346"/>
  <c r="N346"/>
  <c r="M346"/>
  <c r="L346"/>
  <c r="B346"/>
  <c r="A346"/>
  <c r="U345"/>
  <c r="R345"/>
  <c r="N345"/>
  <c r="M345"/>
  <c r="L345"/>
  <c r="B345"/>
  <c r="A345"/>
  <c r="U344"/>
  <c r="R344"/>
  <c r="N344"/>
  <c r="M344"/>
  <c r="L344"/>
  <c r="B344"/>
  <c r="A344"/>
  <c r="U343"/>
  <c r="R343"/>
  <c r="N343"/>
  <c r="M343"/>
  <c r="L343"/>
  <c r="B343"/>
  <c r="A343"/>
  <c r="U342"/>
  <c r="R342"/>
  <c r="N342"/>
  <c r="M342"/>
  <c r="L342"/>
  <c r="B342"/>
  <c r="A342"/>
  <c r="U341"/>
  <c r="R341"/>
  <c r="N341"/>
  <c r="M341"/>
  <c r="L341"/>
  <c r="B341"/>
  <c r="A341"/>
  <c r="U340"/>
  <c r="R340"/>
  <c r="N340"/>
  <c r="M340"/>
  <c r="L340"/>
  <c r="B340"/>
  <c r="A340"/>
  <c r="U339"/>
  <c r="R339"/>
  <c r="N339"/>
  <c r="M339"/>
  <c r="L339"/>
  <c r="B339"/>
  <c r="A339"/>
  <c r="U338"/>
  <c r="R338"/>
  <c r="N338"/>
  <c r="M338"/>
  <c r="L338"/>
  <c r="B338"/>
  <c r="A338"/>
  <c r="U337"/>
  <c r="R337"/>
  <c r="N337"/>
  <c r="M337"/>
  <c r="L337"/>
  <c r="B337"/>
  <c r="A337"/>
  <c r="U336"/>
  <c r="R336"/>
  <c r="N336"/>
  <c r="M336"/>
  <c r="L336"/>
  <c r="B336"/>
  <c r="A336"/>
  <c r="U335"/>
  <c r="R335"/>
  <c r="N335"/>
  <c r="M335"/>
  <c r="L335"/>
  <c r="B335"/>
  <c r="A335"/>
  <c r="U334"/>
  <c r="R334"/>
  <c r="N334"/>
  <c r="M334"/>
  <c r="L334"/>
  <c r="B334"/>
  <c r="A334"/>
  <c r="U333"/>
  <c r="R333"/>
  <c r="N333"/>
  <c r="M333"/>
  <c r="L333"/>
  <c r="B333"/>
  <c r="A333"/>
  <c r="U332"/>
  <c r="R332"/>
  <c r="N332"/>
  <c r="M332"/>
  <c r="L332"/>
  <c r="B332"/>
  <c r="A332"/>
  <c r="U331"/>
  <c r="R331"/>
  <c r="N331"/>
  <c r="M331"/>
  <c r="L331"/>
  <c r="B331"/>
  <c r="A331"/>
  <c r="U330"/>
  <c r="R330"/>
  <c r="N330"/>
  <c r="M330"/>
  <c r="L330"/>
  <c r="B330"/>
  <c r="A330"/>
  <c r="U329"/>
  <c r="R329"/>
  <c r="N329"/>
  <c r="M329"/>
  <c r="L329"/>
  <c r="B329"/>
  <c r="A329"/>
  <c r="U328"/>
  <c r="R328"/>
  <c r="N328"/>
  <c r="M328"/>
  <c r="L328"/>
  <c r="B328"/>
  <c r="A328"/>
  <c r="U327"/>
  <c r="R327"/>
  <c r="N327"/>
  <c r="M327"/>
  <c r="L327"/>
  <c r="B327"/>
  <c r="A327"/>
  <c r="U326"/>
  <c r="R326"/>
  <c r="N326"/>
  <c r="M326"/>
  <c r="L326"/>
  <c r="B326"/>
  <c r="A326"/>
  <c r="U325"/>
  <c r="R325"/>
  <c r="N325"/>
  <c r="M325"/>
  <c r="L325"/>
  <c r="B325"/>
  <c r="A325"/>
  <c r="U324"/>
  <c r="R324"/>
  <c r="N324"/>
  <c r="M324"/>
  <c r="L324"/>
  <c r="B324"/>
  <c r="A324"/>
  <c r="U323"/>
  <c r="R323"/>
  <c r="N323"/>
  <c r="M323"/>
  <c r="L323"/>
  <c r="B323"/>
  <c r="A323"/>
  <c r="U322"/>
  <c r="R322"/>
  <c r="N322"/>
  <c r="M322"/>
  <c r="L322"/>
  <c r="B322"/>
  <c r="A322"/>
  <c r="U321"/>
  <c r="R321"/>
  <c r="N321"/>
  <c r="M321"/>
  <c r="L321"/>
  <c r="B321"/>
  <c r="A321"/>
  <c r="U320"/>
  <c r="R320"/>
  <c r="N320"/>
  <c r="M320"/>
  <c r="L320"/>
  <c r="B320"/>
  <c r="A320"/>
  <c r="U319"/>
  <c r="R319"/>
  <c r="N319"/>
  <c r="M319"/>
  <c r="L319"/>
  <c r="B319"/>
  <c r="A319"/>
  <c r="U318"/>
  <c r="R318"/>
  <c r="N318"/>
  <c r="M318"/>
  <c r="L318"/>
  <c r="B318"/>
  <c r="A318"/>
  <c r="U317"/>
  <c r="R317"/>
  <c r="N317"/>
  <c r="M317"/>
  <c r="L317"/>
  <c r="B317"/>
  <c r="A317"/>
  <c r="U316"/>
  <c r="R316"/>
  <c r="N316"/>
  <c r="M316"/>
  <c r="L316"/>
  <c r="B316"/>
  <c r="A316"/>
  <c r="U315"/>
  <c r="R315"/>
  <c r="N315"/>
  <c r="M315"/>
  <c r="L315"/>
  <c r="B315"/>
  <c r="A315"/>
  <c r="U314"/>
  <c r="R314"/>
  <c r="N314"/>
  <c r="M314"/>
  <c r="L314"/>
  <c r="B314"/>
  <c r="A314"/>
  <c r="U313"/>
  <c r="R313"/>
  <c r="N313"/>
  <c r="M313"/>
  <c r="L313"/>
  <c r="B313"/>
  <c r="A313"/>
  <c r="U312"/>
  <c r="R312"/>
  <c r="N312"/>
  <c r="M312"/>
  <c r="L312"/>
  <c r="B312"/>
  <c r="A312"/>
  <c r="U311"/>
  <c r="R311"/>
  <c r="N311"/>
  <c r="M311"/>
  <c r="L311"/>
  <c r="B311"/>
  <c r="A311"/>
  <c r="U310"/>
  <c r="R310"/>
  <c r="N310"/>
  <c r="M310"/>
  <c r="L310"/>
  <c r="B310"/>
  <c r="A310"/>
  <c r="U309"/>
  <c r="R309"/>
  <c r="N309"/>
  <c r="M309"/>
  <c r="L309"/>
  <c r="B309"/>
  <c r="A309"/>
  <c r="U308"/>
  <c r="R308"/>
  <c r="N308"/>
  <c r="M308"/>
  <c r="L308"/>
  <c r="B308"/>
  <c r="A308"/>
  <c r="U307"/>
  <c r="R307"/>
  <c r="N307"/>
  <c r="M307"/>
  <c r="L307"/>
  <c r="B307"/>
  <c r="A307"/>
  <c r="U306"/>
  <c r="R306"/>
  <c r="N306"/>
  <c r="M306"/>
  <c r="L306"/>
  <c r="B306"/>
  <c r="A306"/>
  <c r="U305"/>
  <c r="R305"/>
  <c r="N305"/>
  <c r="M305"/>
  <c r="L305"/>
  <c r="B305"/>
  <c r="A305"/>
  <c r="U304"/>
  <c r="R304"/>
  <c r="N304"/>
  <c r="M304"/>
  <c r="L304"/>
  <c r="B304"/>
  <c r="A304"/>
  <c r="U303"/>
  <c r="R303"/>
  <c r="N303"/>
  <c r="M303"/>
  <c r="L303"/>
  <c r="B303"/>
  <c r="A303"/>
  <c r="U302"/>
  <c r="R302"/>
  <c r="N302"/>
  <c r="M302"/>
  <c r="L302"/>
  <c r="B302"/>
  <c r="A302"/>
  <c r="U301"/>
  <c r="R301"/>
  <c r="N301"/>
  <c r="M301"/>
  <c r="L301"/>
  <c r="B301"/>
  <c r="A301"/>
  <c r="U300"/>
  <c r="R300"/>
  <c r="N300"/>
  <c r="M300"/>
  <c r="L300"/>
  <c r="B300"/>
  <c r="A300"/>
  <c r="U299"/>
  <c r="R299"/>
  <c r="N299"/>
  <c r="M299"/>
  <c r="L299"/>
  <c r="B299"/>
  <c r="A299"/>
  <c r="U298"/>
  <c r="R298"/>
  <c r="N298"/>
  <c r="M298"/>
  <c r="L298"/>
  <c r="B298"/>
  <c r="A298"/>
  <c r="U297"/>
  <c r="R297"/>
  <c r="N297"/>
  <c r="M297"/>
  <c r="L297"/>
  <c r="B297"/>
  <c r="A297"/>
  <c r="U296"/>
  <c r="R296"/>
  <c r="N296"/>
  <c r="M296"/>
  <c r="L296"/>
  <c r="B296"/>
  <c r="A296"/>
  <c r="U295"/>
  <c r="R295"/>
  <c r="N295"/>
  <c r="M295"/>
  <c r="L295"/>
  <c r="B295"/>
  <c r="A295"/>
  <c r="U294"/>
  <c r="R294"/>
  <c r="N294"/>
  <c r="M294"/>
  <c r="L294"/>
  <c r="B294"/>
  <c r="A294"/>
  <c r="U293"/>
  <c r="R293"/>
  <c r="N293"/>
  <c r="M293"/>
  <c r="L293"/>
  <c r="B293"/>
  <c r="A293"/>
  <c r="U292"/>
  <c r="R292"/>
  <c r="N292"/>
  <c r="M292"/>
  <c r="L292"/>
  <c r="B292"/>
  <c r="A292"/>
  <c r="U291"/>
  <c r="R291"/>
  <c r="N291"/>
  <c r="M291"/>
  <c r="L291"/>
  <c r="B291"/>
  <c r="A291"/>
  <c r="U290"/>
  <c r="R290"/>
  <c r="N290"/>
  <c r="M290"/>
  <c r="L290"/>
  <c r="B290"/>
  <c r="A290"/>
  <c r="U289"/>
  <c r="R289"/>
  <c r="N289"/>
  <c r="M289"/>
  <c r="L289"/>
  <c r="B289"/>
  <c r="A289"/>
  <c r="U288"/>
  <c r="R288"/>
  <c r="N288"/>
  <c r="M288"/>
  <c r="L288"/>
  <c r="B288"/>
  <c r="A288"/>
  <c r="U287"/>
  <c r="R287"/>
  <c r="N287"/>
  <c r="M287"/>
  <c r="L287"/>
  <c r="B287"/>
  <c r="A287"/>
  <c r="U286"/>
  <c r="R286"/>
  <c r="N286"/>
  <c r="M286"/>
  <c r="L286"/>
  <c r="B286"/>
  <c r="A286"/>
  <c r="U285"/>
  <c r="R285"/>
  <c r="N285"/>
  <c r="M285"/>
  <c r="L285"/>
  <c r="B285"/>
  <c r="A285"/>
  <c r="U284"/>
  <c r="R284"/>
  <c r="N284"/>
  <c r="M284"/>
  <c r="L284"/>
  <c r="B284"/>
  <c r="A284"/>
  <c r="U283"/>
  <c r="R283"/>
  <c r="N283"/>
  <c r="M283"/>
  <c r="L283"/>
  <c r="B283"/>
  <c r="A283"/>
  <c r="U282"/>
  <c r="R282"/>
  <c r="N282"/>
  <c r="M282"/>
  <c r="L282"/>
  <c r="B282"/>
  <c r="A282"/>
  <c r="U281"/>
  <c r="R281"/>
  <c r="N281"/>
  <c r="M281"/>
  <c r="L281"/>
  <c r="B281"/>
  <c r="A281"/>
  <c r="U280"/>
  <c r="R280"/>
  <c r="N280"/>
  <c r="M280"/>
  <c r="L280"/>
  <c r="B280"/>
  <c r="A280"/>
  <c r="U279"/>
  <c r="R279"/>
  <c r="N279"/>
  <c r="M279"/>
  <c r="L279"/>
  <c r="B279"/>
  <c r="A279"/>
  <c r="U278"/>
  <c r="R278"/>
  <c r="N278"/>
  <c r="M278"/>
  <c r="L278"/>
  <c r="B278"/>
  <c r="A278"/>
  <c r="U277"/>
  <c r="R277"/>
  <c r="N277"/>
  <c r="M277"/>
  <c r="L277"/>
  <c r="B277"/>
  <c r="A277"/>
  <c r="U276"/>
  <c r="R276"/>
  <c r="N276"/>
  <c r="M276"/>
  <c r="L276"/>
  <c r="B276"/>
  <c r="A276"/>
  <c r="U275"/>
  <c r="R275"/>
  <c r="N275"/>
  <c r="M275"/>
  <c r="L275"/>
  <c r="B275"/>
  <c r="A275"/>
  <c r="U274"/>
  <c r="R274"/>
  <c r="N274"/>
  <c r="M274"/>
  <c r="L274"/>
  <c r="B274"/>
  <c r="A274"/>
  <c r="U273"/>
  <c r="R273"/>
  <c r="N273"/>
  <c r="M273"/>
  <c r="L273"/>
  <c r="B273"/>
  <c r="A273"/>
  <c r="U272"/>
  <c r="R272"/>
  <c r="N272"/>
  <c r="M272"/>
  <c r="L272"/>
  <c r="B272"/>
  <c r="A272"/>
  <c r="U271"/>
  <c r="R271"/>
  <c r="N271"/>
  <c r="M271"/>
  <c r="L271"/>
  <c r="B271"/>
  <c r="A271"/>
  <c r="U270"/>
  <c r="R270"/>
  <c r="N270"/>
  <c r="M270"/>
  <c r="L270"/>
  <c r="B270"/>
  <c r="A270"/>
  <c r="U269"/>
  <c r="R269"/>
  <c r="N269"/>
  <c r="M269"/>
  <c r="L269"/>
  <c r="B269"/>
  <c r="A269"/>
  <c r="U268"/>
  <c r="R268"/>
  <c r="N268"/>
  <c r="M268"/>
  <c r="L268"/>
  <c r="B268"/>
  <c r="A268"/>
  <c r="U267"/>
  <c r="R267"/>
  <c r="N267"/>
  <c r="M267"/>
  <c r="L267"/>
  <c r="B267"/>
  <c r="A267"/>
  <c r="U266"/>
  <c r="R266"/>
  <c r="N266"/>
  <c r="M266"/>
  <c r="L266"/>
  <c r="B266"/>
  <c r="A266"/>
  <c r="U265"/>
  <c r="R265"/>
  <c r="N265"/>
  <c r="M265"/>
  <c r="L265"/>
  <c r="B265"/>
  <c r="A265"/>
  <c r="U264"/>
  <c r="R264"/>
  <c r="N264"/>
  <c r="M264"/>
  <c r="L264"/>
  <c r="B264"/>
  <c r="A264"/>
  <c r="U263"/>
  <c r="R263"/>
  <c r="N263"/>
  <c r="M263"/>
  <c r="L263"/>
  <c r="B263"/>
  <c r="A263"/>
  <c r="U262"/>
  <c r="R262"/>
  <c r="N262"/>
  <c r="M262"/>
  <c r="L262"/>
  <c r="B262"/>
  <c r="A262"/>
  <c r="U261"/>
  <c r="R261"/>
  <c r="N261"/>
  <c r="M261"/>
  <c r="L261"/>
  <c r="B261"/>
  <c r="A261"/>
  <c r="U260"/>
  <c r="R260"/>
  <c r="N260"/>
  <c r="M260"/>
  <c r="L260"/>
  <c r="B260"/>
  <c r="A260"/>
  <c r="U259"/>
  <c r="R259"/>
  <c r="N259"/>
  <c r="M259"/>
  <c r="L259"/>
  <c r="B259"/>
  <c r="A259"/>
  <c r="U258"/>
  <c r="R258"/>
  <c r="N258"/>
  <c r="M258"/>
  <c r="L258"/>
  <c r="B258"/>
  <c r="A258"/>
  <c r="U257"/>
  <c r="R257"/>
  <c r="N257"/>
  <c r="M257"/>
  <c r="L257"/>
  <c r="B257"/>
  <c r="A257"/>
  <c r="U256"/>
  <c r="R256"/>
  <c r="N256"/>
  <c r="M256"/>
  <c r="L256"/>
  <c r="B256"/>
  <c r="A256"/>
  <c r="U255"/>
  <c r="R255"/>
  <c r="N255"/>
  <c r="M255"/>
  <c r="L255"/>
  <c r="B255"/>
  <c r="A255"/>
  <c r="U254"/>
  <c r="R254"/>
  <c r="N254"/>
  <c r="M254"/>
  <c r="L254"/>
  <c r="B254"/>
  <c r="A254"/>
  <c r="U253"/>
  <c r="R253"/>
  <c r="N253"/>
  <c r="M253"/>
  <c r="L253"/>
  <c r="B253"/>
  <c r="A253"/>
  <c r="U252"/>
  <c r="R252"/>
  <c r="N252"/>
  <c r="M252"/>
  <c r="L252"/>
  <c r="B252"/>
  <c r="A252"/>
  <c r="U251"/>
  <c r="R251"/>
  <c r="N251"/>
  <c r="M251"/>
  <c r="L251"/>
  <c r="B251"/>
  <c r="A251"/>
  <c r="U250"/>
  <c r="R250"/>
  <c r="N250"/>
  <c r="M250"/>
  <c r="L250"/>
  <c r="B250"/>
  <c r="A250"/>
  <c r="U249"/>
  <c r="R249"/>
  <c r="N249"/>
  <c r="M249"/>
  <c r="L249"/>
  <c r="B249"/>
  <c r="A249"/>
  <c r="U248"/>
  <c r="R248"/>
  <c r="N248"/>
  <c r="M248"/>
  <c r="L248"/>
  <c r="B248"/>
  <c r="A248"/>
  <c r="U247"/>
  <c r="R247"/>
  <c r="N247"/>
  <c r="M247"/>
  <c r="L247"/>
  <c r="B247"/>
  <c r="A247"/>
  <c r="U246"/>
  <c r="R246"/>
  <c r="N246"/>
  <c r="M246"/>
  <c r="L246"/>
  <c r="B246"/>
  <c r="A246"/>
  <c r="U245"/>
  <c r="R245"/>
  <c r="N245"/>
  <c r="M245"/>
  <c r="L245"/>
  <c r="B245"/>
  <c r="A245"/>
  <c r="U244"/>
  <c r="R244"/>
  <c r="N244"/>
  <c r="M244"/>
  <c r="L244"/>
  <c r="B244"/>
  <c r="A244"/>
  <c r="U243"/>
  <c r="R243"/>
  <c r="N243"/>
  <c r="M243"/>
  <c r="L243"/>
  <c r="B243"/>
  <c r="A243"/>
  <c r="U242"/>
  <c r="R242"/>
  <c r="N242"/>
  <c r="M242"/>
  <c r="L242"/>
  <c r="B242"/>
  <c r="A242"/>
  <c r="U241"/>
  <c r="R241"/>
  <c r="N241"/>
  <c r="M241"/>
  <c r="L241"/>
  <c r="B241"/>
  <c r="A241"/>
  <c r="U240"/>
  <c r="R240"/>
  <c r="N240"/>
  <c r="M240"/>
  <c r="L240"/>
  <c r="B240"/>
  <c r="A240"/>
  <c r="U239"/>
  <c r="R239"/>
  <c r="N239"/>
  <c r="M239"/>
  <c r="L239"/>
  <c r="B239"/>
  <c r="A239"/>
  <c r="U238"/>
  <c r="R238"/>
  <c r="N238"/>
  <c r="M238"/>
  <c r="L238"/>
  <c r="B238"/>
  <c r="A238"/>
  <c r="U237"/>
  <c r="R237"/>
  <c r="N237"/>
  <c r="M237"/>
  <c r="L237"/>
  <c r="B237"/>
  <c r="A237"/>
  <c r="U236"/>
  <c r="R236"/>
  <c r="N236"/>
  <c r="M236"/>
  <c r="L236"/>
  <c r="B236"/>
  <c r="A236"/>
  <c r="U235"/>
  <c r="R235"/>
  <c r="N235"/>
  <c r="M235"/>
  <c r="L235"/>
  <c r="B235"/>
  <c r="A235"/>
  <c r="U234"/>
  <c r="R234"/>
  <c r="N234"/>
  <c r="M234"/>
  <c r="L234"/>
  <c r="B234"/>
  <c r="A234"/>
  <c r="U233"/>
  <c r="R233"/>
  <c r="N233"/>
  <c r="M233"/>
  <c r="L233"/>
  <c r="B233"/>
  <c r="A233"/>
  <c r="U232"/>
  <c r="R232"/>
  <c r="N232"/>
  <c r="M232"/>
  <c r="L232"/>
  <c r="B232"/>
  <c r="A232"/>
  <c r="U231"/>
  <c r="R231"/>
  <c r="N231"/>
  <c r="M231"/>
  <c r="L231"/>
  <c r="B231"/>
  <c r="A231"/>
  <c r="U230"/>
  <c r="R230"/>
  <c r="N230"/>
  <c r="M230"/>
  <c r="L230"/>
  <c r="B230"/>
  <c r="A230"/>
  <c r="U229"/>
  <c r="R229"/>
  <c r="N229"/>
  <c r="M229"/>
  <c r="L229"/>
  <c r="B229"/>
  <c r="A229"/>
  <c r="U228"/>
  <c r="R228"/>
  <c r="N228"/>
  <c r="M228"/>
  <c r="L228"/>
  <c r="B228"/>
  <c r="A228"/>
  <c r="U227"/>
  <c r="R227"/>
  <c r="N227"/>
  <c r="M227"/>
  <c r="L227"/>
  <c r="B227"/>
  <c r="A227"/>
  <c r="U226"/>
  <c r="R226"/>
  <c r="N226"/>
  <c r="M226"/>
  <c r="L226"/>
  <c r="B226"/>
  <c r="A226"/>
  <c r="U225"/>
  <c r="R225"/>
  <c r="N225"/>
  <c r="M225"/>
  <c r="L225"/>
  <c r="B225"/>
  <c r="A225"/>
  <c r="U224"/>
  <c r="R224"/>
  <c r="N224"/>
  <c r="M224"/>
  <c r="L224"/>
  <c r="B224"/>
  <c r="A224"/>
  <c r="U223"/>
  <c r="R223"/>
  <c r="N223"/>
  <c r="M223"/>
  <c r="L223"/>
  <c r="B223"/>
  <c r="A223"/>
  <c r="U222"/>
  <c r="R222"/>
  <c r="N222"/>
  <c r="M222"/>
  <c r="L222"/>
  <c r="B222"/>
  <c r="A222"/>
  <c r="U221"/>
  <c r="R221"/>
  <c r="N221"/>
  <c r="M221"/>
  <c r="L221"/>
  <c r="B221"/>
  <c r="A221"/>
  <c r="U220"/>
  <c r="R220"/>
  <c r="N220"/>
  <c r="M220"/>
  <c r="L220"/>
  <c r="B220"/>
  <c r="A220"/>
  <c r="U219"/>
  <c r="R219"/>
  <c r="N219"/>
  <c r="M219"/>
  <c r="L219"/>
  <c r="B219"/>
  <c r="A219"/>
  <c r="U218"/>
  <c r="R218"/>
  <c r="N218"/>
  <c r="M218"/>
  <c r="L218"/>
  <c r="B218"/>
  <c r="A218"/>
  <c r="U217"/>
  <c r="R217"/>
  <c r="N217"/>
  <c r="M217"/>
  <c r="L217"/>
  <c r="B217"/>
  <c r="A217"/>
  <c r="U216"/>
  <c r="R216"/>
  <c r="N216"/>
  <c r="M216"/>
  <c r="L216"/>
  <c r="B216"/>
  <c r="A216"/>
  <c r="U215"/>
  <c r="R215"/>
  <c r="N215"/>
  <c r="M215"/>
  <c r="L215"/>
  <c r="B215"/>
  <c r="A215"/>
  <c r="U214"/>
  <c r="R214"/>
  <c r="N214"/>
  <c r="M214"/>
  <c r="L214"/>
  <c r="B214"/>
  <c r="A214"/>
  <c r="U213"/>
  <c r="R213"/>
  <c r="N213"/>
  <c r="M213"/>
  <c r="L213"/>
  <c r="B213"/>
  <c r="A213"/>
  <c r="U212"/>
  <c r="R212"/>
  <c r="N212"/>
  <c r="M212"/>
  <c r="L212"/>
  <c r="B212"/>
  <c r="A212"/>
  <c r="U211"/>
  <c r="R211"/>
  <c r="N211"/>
  <c r="M211"/>
  <c r="L211"/>
  <c r="B211"/>
  <c r="A211"/>
  <c r="U210"/>
  <c r="R210"/>
  <c r="N210"/>
  <c r="M210"/>
  <c r="L210"/>
  <c r="B210"/>
  <c r="A210"/>
  <c r="U209"/>
  <c r="R209"/>
  <c r="N209"/>
  <c r="M209"/>
  <c r="L209"/>
  <c r="B209"/>
  <c r="A209"/>
  <c r="U208"/>
  <c r="R208"/>
  <c r="N208"/>
  <c r="M208"/>
  <c r="L208"/>
  <c r="B208"/>
  <c r="A208"/>
  <c r="U207"/>
  <c r="R207"/>
  <c r="N207"/>
  <c r="M207"/>
  <c r="L207"/>
  <c r="B207"/>
  <c r="A207"/>
  <c r="U206"/>
  <c r="R206"/>
  <c r="N206"/>
  <c r="M206"/>
  <c r="L206"/>
  <c r="B206"/>
  <c r="A206"/>
  <c r="U205"/>
  <c r="R205"/>
  <c r="N205"/>
  <c r="M205"/>
  <c r="L205"/>
  <c r="B205"/>
  <c r="A205"/>
  <c r="U204"/>
  <c r="R204"/>
  <c r="N204"/>
  <c r="M204"/>
  <c r="L204"/>
  <c r="B204"/>
  <c r="A204"/>
  <c r="U203"/>
  <c r="R203"/>
  <c r="N203"/>
  <c r="M203"/>
  <c r="L203"/>
  <c r="B203"/>
  <c r="A203"/>
  <c r="U202"/>
  <c r="R202"/>
  <c r="N202"/>
  <c r="M202"/>
  <c r="L202"/>
  <c r="B202"/>
  <c r="A202"/>
  <c r="U201"/>
  <c r="R201"/>
  <c r="N201"/>
  <c r="M201"/>
  <c r="L201"/>
  <c r="B201"/>
  <c r="A201"/>
  <c r="U200"/>
  <c r="R200"/>
  <c r="N200"/>
  <c r="M200"/>
  <c r="L200"/>
  <c r="B200"/>
  <c r="A200"/>
  <c r="U199"/>
  <c r="R199"/>
  <c r="N199"/>
  <c r="M199"/>
  <c r="L199"/>
  <c r="B199"/>
  <c r="A199"/>
  <c r="U198"/>
  <c r="R198"/>
  <c r="N198"/>
  <c r="M198"/>
  <c r="L198"/>
  <c r="B198"/>
  <c r="A198"/>
  <c r="U197"/>
  <c r="R197"/>
  <c r="N197"/>
  <c r="M197"/>
  <c r="L197"/>
  <c r="B197"/>
  <c r="A197"/>
  <c r="U196"/>
  <c r="R196"/>
  <c r="N196"/>
  <c r="M196"/>
  <c r="L196"/>
  <c r="B196"/>
  <c r="A196"/>
  <c r="U195"/>
  <c r="R195"/>
  <c r="N195"/>
  <c r="M195"/>
  <c r="L195"/>
  <c r="B195"/>
  <c r="A195"/>
  <c r="U194"/>
  <c r="R194"/>
  <c r="N194"/>
  <c r="M194"/>
  <c r="L194"/>
  <c r="B194"/>
  <c r="A194"/>
  <c r="U193"/>
  <c r="R193"/>
  <c r="N193"/>
  <c r="M193"/>
  <c r="L193"/>
  <c r="B193"/>
  <c r="A193"/>
  <c r="U192"/>
  <c r="R192"/>
  <c r="N192"/>
  <c r="M192"/>
  <c r="L192"/>
  <c r="B192"/>
  <c r="A192"/>
  <c r="U191"/>
  <c r="R191"/>
  <c r="N191"/>
  <c r="M191"/>
  <c r="L191"/>
  <c r="B191"/>
  <c r="A191"/>
  <c r="U190"/>
  <c r="R190"/>
  <c r="N190"/>
  <c r="M190"/>
  <c r="L190"/>
  <c r="B190"/>
  <c r="A190"/>
  <c r="U189"/>
  <c r="R189"/>
  <c r="N189"/>
  <c r="M189"/>
  <c r="L189"/>
  <c r="B189"/>
  <c r="A189"/>
  <c r="U188"/>
  <c r="R188"/>
  <c r="N188"/>
  <c r="M188"/>
  <c r="L188"/>
  <c r="B188"/>
  <c r="A188"/>
  <c r="U187"/>
  <c r="R187"/>
  <c r="N187"/>
  <c r="M187"/>
  <c r="L187"/>
  <c r="B187"/>
  <c r="A187"/>
  <c r="U186"/>
  <c r="R186"/>
  <c r="N186"/>
  <c r="M186"/>
  <c r="L186"/>
  <c r="B186"/>
  <c r="A186"/>
  <c r="U185"/>
  <c r="R185"/>
  <c r="N185"/>
  <c r="M185"/>
  <c r="L185"/>
  <c r="B185"/>
  <c r="A185"/>
  <c r="U184"/>
  <c r="R184"/>
  <c r="N184"/>
  <c r="M184"/>
  <c r="L184"/>
  <c r="B184"/>
  <c r="A184"/>
  <c r="U183"/>
  <c r="R183"/>
  <c r="N183"/>
  <c r="M183"/>
  <c r="L183"/>
  <c r="B183"/>
  <c r="A183"/>
  <c r="U182"/>
  <c r="R182"/>
  <c r="N182"/>
  <c r="M182"/>
  <c r="L182"/>
  <c r="B182"/>
  <c r="A182"/>
  <c r="U181"/>
  <c r="R181"/>
  <c r="N181"/>
  <c r="M181"/>
  <c r="L181"/>
  <c r="B181"/>
  <c r="A181"/>
  <c r="U180"/>
  <c r="R180"/>
  <c r="N180"/>
  <c r="M180"/>
  <c r="L180"/>
  <c r="B180"/>
  <c r="A180"/>
  <c r="U179"/>
  <c r="R179"/>
  <c r="N179"/>
  <c r="M179"/>
  <c r="L179"/>
  <c r="B179"/>
  <c r="A179"/>
  <c r="U178"/>
  <c r="R178"/>
  <c r="N178"/>
  <c r="M178"/>
  <c r="L178"/>
  <c r="B178"/>
  <c r="A178"/>
  <c r="U177"/>
  <c r="R177"/>
  <c r="N177"/>
  <c r="M177"/>
  <c r="L177"/>
  <c r="B177"/>
  <c r="A177"/>
  <c r="U176"/>
  <c r="R176"/>
  <c r="N176"/>
  <c r="M176"/>
  <c r="L176"/>
  <c r="B176"/>
  <c r="A176"/>
  <c r="U175"/>
  <c r="R175"/>
  <c r="N175"/>
  <c r="M175"/>
  <c r="L175"/>
  <c r="B175"/>
  <c r="A175"/>
  <c r="U174"/>
  <c r="R174"/>
  <c r="N174"/>
  <c r="M174"/>
  <c r="L174"/>
  <c r="B174"/>
  <c r="A174"/>
  <c r="U173"/>
  <c r="R173"/>
  <c r="N173"/>
  <c r="M173"/>
  <c r="L173"/>
  <c r="B173"/>
  <c r="A173"/>
  <c r="U172"/>
  <c r="R172"/>
  <c r="N172"/>
  <c r="M172"/>
  <c r="L172"/>
  <c r="B172"/>
  <c r="A172"/>
  <c r="U171"/>
  <c r="R171"/>
  <c r="N171"/>
  <c r="M171"/>
  <c r="L171"/>
  <c r="B171"/>
  <c r="A171"/>
  <c r="U170"/>
  <c r="R170"/>
  <c r="N170"/>
  <c r="M170"/>
  <c r="L170"/>
  <c r="B170"/>
  <c r="A170"/>
  <c r="U169"/>
  <c r="R169"/>
  <c r="N169"/>
  <c r="M169"/>
  <c r="L169"/>
  <c r="B169"/>
  <c r="A169"/>
  <c r="U168"/>
  <c r="R168"/>
  <c r="N168"/>
  <c r="M168"/>
  <c r="L168"/>
  <c r="B168"/>
  <c r="A168"/>
  <c r="U167"/>
  <c r="R167"/>
  <c r="N167"/>
  <c r="M167"/>
  <c r="L167"/>
  <c r="B167"/>
  <c r="A167"/>
  <c r="U166"/>
  <c r="R166"/>
  <c r="N166"/>
  <c r="M166"/>
  <c r="L166"/>
  <c r="B166"/>
  <c r="A166"/>
  <c r="U165"/>
  <c r="R165"/>
  <c r="N165"/>
  <c r="M165"/>
  <c r="L165"/>
  <c r="B165"/>
  <c r="A165"/>
  <c r="U164"/>
  <c r="R164"/>
  <c r="N164"/>
  <c r="M164"/>
  <c r="L164"/>
  <c r="B164"/>
  <c r="A164"/>
  <c r="U163"/>
  <c r="R163"/>
  <c r="N163"/>
  <c r="M163"/>
  <c r="L163"/>
  <c r="B163"/>
  <c r="A163"/>
  <c r="U162"/>
  <c r="R162"/>
  <c r="N162"/>
  <c r="M162"/>
  <c r="L162"/>
  <c r="B162"/>
  <c r="A162"/>
  <c r="U161"/>
  <c r="R161"/>
  <c r="N161"/>
  <c r="M161"/>
  <c r="L161"/>
  <c r="B161"/>
  <c r="A161"/>
  <c r="U160"/>
  <c r="R160"/>
  <c r="N160"/>
  <c r="M160"/>
  <c r="L160"/>
  <c r="B160"/>
  <c r="A160"/>
  <c r="U159"/>
  <c r="R159"/>
  <c r="N159"/>
  <c r="M159"/>
  <c r="L159"/>
  <c r="B159"/>
  <c r="A159"/>
  <c r="U158"/>
  <c r="R158"/>
  <c r="N158"/>
  <c r="M158"/>
  <c r="L158"/>
  <c r="B158"/>
  <c r="A158"/>
  <c r="U157"/>
  <c r="R157"/>
  <c r="N157"/>
  <c r="M157"/>
  <c r="L157"/>
  <c r="B157"/>
  <c r="A157"/>
  <c r="U156"/>
  <c r="R156"/>
  <c r="N156"/>
  <c r="M156"/>
  <c r="L156"/>
  <c r="B156"/>
  <c r="A156"/>
  <c r="U155"/>
  <c r="R155"/>
  <c r="N155"/>
  <c r="M155"/>
  <c r="L155"/>
  <c r="B155"/>
  <c r="A155"/>
  <c r="U154"/>
  <c r="R154"/>
  <c r="N154"/>
  <c r="M154"/>
  <c r="L154"/>
  <c r="B154"/>
  <c r="A154"/>
  <c r="U153"/>
  <c r="R153"/>
  <c r="N153"/>
  <c r="M153"/>
  <c r="L153"/>
  <c r="B153"/>
  <c r="A153"/>
  <c r="U152"/>
  <c r="R152"/>
  <c r="N152"/>
  <c r="M152"/>
  <c r="L152"/>
  <c r="B152"/>
  <c r="A152"/>
  <c r="U151"/>
  <c r="R151"/>
  <c r="N151"/>
  <c r="M151"/>
  <c r="L151"/>
  <c r="B151"/>
  <c r="A151"/>
  <c r="U150"/>
  <c r="R150"/>
  <c r="N150"/>
  <c r="M150"/>
  <c r="L150"/>
  <c r="B150"/>
  <c r="A150"/>
  <c r="U149"/>
  <c r="R149"/>
  <c r="N149"/>
  <c r="M149"/>
  <c r="L149"/>
  <c r="B149"/>
  <c r="A149"/>
  <c r="U148"/>
  <c r="R148"/>
  <c r="N148"/>
  <c r="M148"/>
  <c r="L148"/>
  <c r="B148"/>
  <c r="A148"/>
  <c r="U147"/>
  <c r="R147"/>
  <c r="N147"/>
  <c r="M147"/>
  <c r="L147"/>
  <c r="B147"/>
  <c r="A147"/>
  <c r="U146"/>
  <c r="R146"/>
  <c r="N146"/>
  <c r="M146"/>
  <c r="L146"/>
  <c r="B146"/>
  <c r="A146"/>
  <c r="U145"/>
  <c r="R145"/>
  <c r="N145"/>
  <c r="M145"/>
  <c r="L145"/>
  <c r="B145"/>
  <c r="A145"/>
  <c r="U144"/>
  <c r="R144"/>
  <c r="N144"/>
  <c r="M144"/>
  <c r="L144"/>
  <c r="B144"/>
  <c r="A144"/>
  <c r="U143"/>
  <c r="R143"/>
  <c r="N143"/>
  <c r="M143"/>
  <c r="L143"/>
  <c r="B143"/>
  <c r="A143"/>
  <c r="U142"/>
  <c r="R142"/>
  <c r="N142"/>
  <c r="M142"/>
  <c r="L142"/>
  <c r="B142"/>
  <c r="A142"/>
  <c r="U141"/>
  <c r="R141"/>
  <c r="N141"/>
  <c r="M141"/>
  <c r="L141"/>
  <c r="B141"/>
  <c r="A141"/>
  <c r="U140"/>
  <c r="R140"/>
  <c r="N140"/>
  <c r="M140"/>
  <c r="L140"/>
  <c r="B140"/>
  <c r="A140"/>
  <c r="U139"/>
  <c r="R139"/>
  <c r="N139"/>
  <c r="M139"/>
  <c r="L139"/>
  <c r="B139"/>
  <c r="A139"/>
  <c r="U138"/>
  <c r="R138"/>
  <c r="N138"/>
  <c r="M138"/>
  <c r="L138"/>
  <c r="B138"/>
  <c r="A138"/>
  <c r="U137"/>
  <c r="R137"/>
  <c r="N137"/>
  <c r="M137"/>
  <c r="L137"/>
  <c r="B137"/>
  <c r="A137"/>
  <c r="U136"/>
  <c r="R136"/>
  <c r="N136"/>
  <c r="M136"/>
  <c r="L136"/>
  <c r="B136"/>
  <c r="A136"/>
  <c r="U135"/>
  <c r="R135"/>
  <c r="N135"/>
  <c r="M135"/>
  <c r="L135"/>
  <c r="B135"/>
  <c r="A135"/>
  <c r="U134"/>
  <c r="R134"/>
  <c r="N134"/>
  <c r="M134"/>
  <c r="L134"/>
  <c r="B134"/>
  <c r="A134"/>
  <c r="U133"/>
  <c r="R133"/>
  <c r="N133"/>
  <c r="M133"/>
  <c r="L133"/>
  <c r="B133"/>
  <c r="A133"/>
  <c r="U132"/>
  <c r="R132"/>
  <c r="N132"/>
  <c r="M132"/>
  <c r="L132"/>
  <c r="B132"/>
  <c r="A132"/>
  <c r="U131"/>
  <c r="R131"/>
  <c r="N131"/>
  <c r="M131"/>
  <c r="L131"/>
  <c r="B131"/>
  <c r="A131"/>
  <c r="U130"/>
  <c r="R130"/>
  <c r="N130"/>
  <c r="M130"/>
  <c r="L130"/>
  <c r="B130"/>
  <c r="A130"/>
  <c r="U129"/>
  <c r="R129"/>
  <c r="N129"/>
  <c r="M129"/>
  <c r="L129"/>
  <c r="B129"/>
  <c r="A129"/>
  <c r="U128"/>
  <c r="R128"/>
  <c r="N128"/>
  <c r="M128"/>
  <c r="L128"/>
  <c r="B128"/>
  <c r="A128"/>
  <c r="U127"/>
  <c r="R127"/>
  <c r="N127"/>
  <c r="M127"/>
  <c r="L127"/>
  <c r="B127"/>
  <c r="A127"/>
  <c r="U126"/>
  <c r="R126"/>
  <c r="N126"/>
  <c r="M126"/>
  <c r="L126"/>
  <c r="B126"/>
  <c r="A126"/>
  <c r="U125"/>
  <c r="R125"/>
  <c r="N125"/>
  <c r="M125"/>
  <c r="L125"/>
  <c r="B125"/>
  <c r="A125"/>
  <c r="U124"/>
  <c r="R124"/>
  <c r="N124"/>
  <c r="M124"/>
  <c r="L124"/>
  <c r="B124"/>
  <c r="A124"/>
  <c r="U123"/>
  <c r="R123"/>
  <c r="N123"/>
  <c r="M123"/>
  <c r="L123"/>
  <c r="B123"/>
  <c r="A123"/>
  <c r="U122"/>
  <c r="R122"/>
  <c r="N122"/>
  <c r="M122"/>
  <c r="L122"/>
  <c r="B122"/>
  <c r="A122"/>
  <c r="U121"/>
  <c r="R121"/>
  <c r="N121"/>
  <c r="M121"/>
  <c r="L121"/>
  <c r="B121"/>
  <c r="A121"/>
  <c r="U120"/>
  <c r="R120"/>
  <c r="N120"/>
  <c r="M120"/>
  <c r="L120"/>
  <c r="B120"/>
  <c r="A120"/>
  <c r="U119"/>
  <c r="R119"/>
  <c r="N119"/>
  <c r="M119"/>
  <c r="L119"/>
  <c r="B119"/>
  <c r="A119"/>
  <c r="U118"/>
  <c r="R118"/>
  <c r="N118"/>
  <c r="M118"/>
  <c r="L118"/>
  <c r="B118"/>
  <c r="A118"/>
  <c r="U117"/>
  <c r="R117"/>
  <c r="N117"/>
  <c r="M117"/>
  <c r="L117"/>
  <c r="B117"/>
  <c r="A117"/>
  <c r="U116"/>
  <c r="R116"/>
  <c r="N116"/>
  <c r="M116"/>
  <c r="L116"/>
  <c r="B116"/>
  <c r="A116"/>
  <c r="U115"/>
  <c r="R115"/>
  <c r="N115"/>
  <c r="M115"/>
  <c r="L115"/>
  <c r="B115"/>
  <c r="A115"/>
  <c r="U114"/>
  <c r="R114"/>
  <c r="N114"/>
  <c r="M114"/>
  <c r="L114"/>
  <c r="B114"/>
  <c r="A114"/>
  <c r="U113"/>
  <c r="R113"/>
  <c r="N113"/>
  <c r="M113"/>
  <c r="L113"/>
  <c r="B113"/>
  <c r="A113"/>
  <c r="U112"/>
  <c r="R112"/>
  <c r="N112"/>
  <c r="M112"/>
  <c r="L112"/>
  <c r="B112"/>
  <c r="A112"/>
  <c r="U111"/>
  <c r="R111"/>
  <c r="N111"/>
  <c r="M111"/>
  <c r="L111"/>
  <c r="B111"/>
  <c r="A111"/>
  <c r="U110"/>
  <c r="R110"/>
  <c r="N110"/>
  <c r="M110"/>
  <c r="L110"/>
  <c r="B110"/>
  <c r="A110"/>
  <c r="U109"/>
  <c r="R109"/>
  <c r="N109"/>
  <c r="M109"/>
  <c r="L109"/>
  <c r="B109"/>
  <c r="A109"/>
  <c r="U108"/>
  <c r="R108"/>
  <c r="N108"/>
  <c r="M108"/>
  <c r="L108"/>
  <c r="B108"/>
  <c r="A108"/>
  <c r="U107"/>
  <c r="R107"/>
  <c r="N107"/>
  <c r="M107"/>
  <c r="L107"/>
  <c r="B107"/>
  <c r="A107"/>
  <c r="U106"/>
  <c r="R106"/>
  <c r="N106"/>
  <c r="M106"/>
  <c r="L106"/>
  <c r="B106"/>
  <c r="A106"/>
  <c r="U105"/>
  <c r="R105"/>
  <c r="N105"/>
  <c r="M105"/>
  <c r="L105"/>
  <c r="B105"/>
  <c r="A105"/>
  <c r="U104"/>
  <c r="R104"/>
  <c r="N104"/>
  <c r="M104"/>
  <c r="L104"/>
  <c r="B104"/>
  <c r="A104"/>
  <c r="U103"/>
  <c r="R103"/>
  <c r="N103"/>
  <c r="M103"/>
  <c r="L103"/>
  <c r="B103"/>
  <c r="A103"/>
  <c r="U102"/>
  <c r="R102"/>
  <c r="N102"/>
  <c r="M102"/>
  <c r="L102"/>
  <c r="B102"/>
  <c r="A102"/>
  <c r="U101"/>
  <c r="R101"/>
  <c r="N101"/>
  <c r="M101"/>
  <c r="L101"/>
  <c r="B101"/>
  <c r="A101"/>
  <c r="U100"/>
  <c r="R100"/>
  <c r="N100"/>
  <c r="M100"/>
  <c r="L100"/>
  <c r="B100"/>
  <c r="A100"/>
  <c r="U99"/>
  <c r="R99"/>
  <c r="N99"/>
  <c r="M99"/>
  <c r="L99"/>
  <c r="B99"/>
  <c r="A99"/>
  <c r="U98"/>
  <c r="R98"/>
  <c r="N98"/>
  <c r="M98"/>
  <c r="L98"/>
  <c r="B98"/>
  <c r="A98"/>
  <c r="U97"/>
  <c r="R97"/>
  <c r="N97"/>
  <c r="M97"/>
  <c r="L97"/>
  <c r="B97"/>
  <c r="A97"/>
  <c r="U96"/>
  <c r="R96"/>
  <c r="N96"/>
  <c r="M96"/>
  <c r="L96"/>
  <c r="B96"/>
  <c r="A96"/>
  <c r="U95"/>
  <c r="R95"/>
  <c r="N95"/>
  <c r="M95"/>
  <c r="L95"/>
  <c r="B95"/>
  <c r="A95"/>
  <c r="U94"/>
  <c r="R94"/>
  <c r="N94"/>
  <c r="M94"/>
  <c r="L94"/>
  <c r="B94"/>
  <c r="A94"/>
  <c r="U93"/>
  <c r="R93"/>
  <c r="N93"/>
  <c r="M93"/>
  <c r="L93"/>
  <c r="B93"/>
  <c r="A93"/>
  <c r="U92"/>
  <c r="R92"/>
  <c r="N92"/>
  <c r="M92"/>
  <c r="L92"/>
  <c r="B92"/>
  <c r="A92"/>
  <c r="U91"/>
  <c r="R91"/>
  <c r="N91"/>
  <c r="M91"/>
  <c r="L91"/>
  <c r="B91"/>
  <c r="A91"/>
  <c r="U90"/>
  <c r="R90"/>
  <c r="N90"/>
  <c r="M90"/>
  <c r="L90"/>
  <c r="B90"/>
  <c r="A90"/>
  <c r="U89"/>
  <c r="R89"/>
  <c r="N89"/>
  <c r="M89"/>
  <c r="L89"/>
  <c r="B89"/>
  <c r="A89"/>
  <c r="U88"/>
  <c r="R88"/>
  <c r="N88"/>
  <c r="M88"/>
  <c r="L88"/>
  <c r="B88"/>
  <c r="A88"/>
  <c r="U87"/>
  <c r="R87"/>
  <c r="N87"/>
  <c r="M87"/>
  <c r="L87"/>
  <c r="B87"/>
  <c r="A87"/>
  <c r="U86"/>
  <c r="R86"/>
  <c r="N86"/>
  <c r="M86"/>
  <c r="L86"/>
  <c r="B86"/>
  <c r="A86"/>
  <c r="U85"/>
  <c r="R85"/>
  <c r="N85"/>
  <c r="M85"/>
  <c r="L85"/>
  <c r="B85"/>
  <c r="A85"/>
  <c r="U84"/>
  <c r="R84"/>
  <c r="N84"/>
  <c r="M84"/>
  <c r="L84"/>
  <c r="B84"/>
  <c r="A84"/>
  <c r="U83"/>
  <c r="R83"/>
  <c r="N83"/>
  <c r="M83"/>
  <c r="L83"/>
  <c r="B83"/>
  <c r="A83"/>
  <c r="U82"/>
  <c r="R82"/>
  <c r="N82"/>
  <c r="M82"/>
  <c r="L82"/>
  <c r="B82"/>
  <c r="A82"/>
  <c r="U81"/>
  <c r="R81"/>
  <c r="N81"/>
  <c r="M81"/>
  <c r="L81"/>
  <c r="B81"/>
  <c r="A81"/>
  <c r="U80"/>
  <c r="R80"/>
  <c r="N80"/>
  <c r="M80"/>
  <c r="L80"/>
  <c r="B80"/>
  <c r="A80"/>
  <c r="U79"/>
  <c r="R79"/>
  <c r="N79"/>
  <c r="M79"/>
  <c r="L79"/>
  <c r="B79"/>
  <c r="A79"/>
  <c r="U78"/>
  <c r="R78"/>
  <c r="N78"/>
  <c r="M78"/>
  <c r="L78"/>
  <c r="B78"/>
  <c r="A78"/>
  <c r="U77"/>
  <c r="R77"/>
  <c r="N77"/>
  <c r="M77"/>
  <c r="L77"/>
  <c r="B77"/>
  <c r="A77"/>
  <c r="U76"/>
  <c r="R76"/>
  <c r="N76"/>
  <c r="M76"/>
  <c r="L76"/>
  <c r="B76"/>
  <c r="A76"/>
  <c r="U75"/>
  <c r="R75"/>
  <c r="N75"/>
  <c r="M75"/>
  <c r="L75"/>
  <c r="B75"/>
  <c r="A75"/>
  <c r="U74"/>
  <c r="R74"/>
  <c r="N74"/>
  <c r="M74"/>
  <c r="L74"/>
  <c r="B74"/>
  <c r="A74"/>
  <c r="U73"/>
  <c r="R73"/>
  <c r="N73"/>
  <c r="M73"/>
  <c r="L73"/>
  <c r="B73"/>
  <c r="A73"/>
  <c r="U72"/>
  <c r="R72"/>
  <c r="N72"/>
  <c r="M72"/>
  <c r="L72"/>
  <c r="B72"/>
  <c r="A72"/>
  <c r="U71"/>
  <c r="R71"/>
  <c r="N71"/>
  <c r="M71"/>
  <c r="L71"/>
  <c r="B71"/>
  <c r="A71"/>
  <c r="U70"/>
  <c r="R70"/>
  <c r="N70"/>
  <c r="M70"/>
  <c r="L70"/>
  <c r="B70"/>
  <c r="A70"/>
  <c r="U69"/>
  <c r="R69"/>
  <c r="N69"/>
  <c r="M69"/>
  <c r="L69"/>
  <c r="B69"/>
  <c r="A69"/>
  <c r="U68"/>
  <c r="R68"/>
  <c r="N68"/>
  <c r="M68"/>
  <c r="L68"/>
  <c r="B68"/>
  <c r="A68"/>
  <c r="U67"/>
  <c r="R67"/>
  <c r="N67"/>
  <c r="M67"/>
  <c r="L67"/>
  <c r="B67"/>
  <c r="A67"/>
  <c r="U66"/>
  <c r="R66"/>
  <c r="N66"/>
  <c r="M66"/>
  <c r="L66"/>
  <c r="B66"/>
  <c r="A66"/>
  <c r="U65"/>
  <c r="R65"/>
  <c r="N65"/>
  <c r="M65"/>
  <c r="L65"/>
  <c r="B65"/>
  <c r="A65"/>
  <c r="U64"/>
  <c r="R64"/>
  <c r="N64"/>
  <c r="M64"/>
  <c r="L64"/>
  <c r="B64"/>
  <c r="A64"/>
  <c r="U63"/>
  <c r="R63"/>
  <c r="N63"/>
  <c r="M63"/>
  <c r="L63"/>
  <c r="B63"/>
  <c r="A63"/>
  <c r="U62"/>
  <c r="R62"/>
  <c r="N62"/>
  <c r="M62"/>
  <c r="L62"/>
  <c r="B62"/>
  <c r="A62"/>
  <c r="U61"/>
  <c r="R61"/>
  <c r="N61"/>
  <c r="M61"/>
  <c r="L61"/>
  <c r="B61"/>
  <c r="A61"/>
  <c r="U60"/>
  <c r="R60"/>
  <c r="N60"/>
  <c r="M60"/>
  <c r="L60"/>
  <c r="B60"/>
  <c r="A60"/>
  <c r="U59"/>
  <c r="R59"/>
  <c r="N59"/>
  <c r="M59"/>
  <c r="L59"/>
  <c r="B59"/>
  <c r="A59"/>
  <c r="U58"/>
  <c r="R58"/>
  <c r="N58"/>
  <c r="M58"/>
  <c r="L58"/>
  <c r="B58"/>
  <c r="A58"/>
  <c r="U57"/>
  <c r="R57"/>
  <c r="N57"/>
  <c r="M57"/>
  <c r="L57"/>
  <c r="B57"/>
  <c r="A57"/>
  <c r="U56"/>
  <c r="R56"/>
  <c r="N56"/>
  <c r="M56"/>
  <c r="L56"/>
  <c r="B56"/>
  <c r="A56"/>
  <c r="U55"/>
  <c r="R55"/>
  <c r="N55"/>
  <c r="M55"/>
  <c r="L55"/>
  <c r="B55"/>
  <c r="A55"/>
  <c r="U54"/>
  <c r="R54"/>
  <c r="N54"/>
  <c r="M54"/>
  <c r="L54"/>
  <c r="B54"/>
  <c r="A54"/>
  <c r="U53"/>
  <c r="R53"/>
  <c r="N53"/>
  <c r="M53"/>
  <c r="L53"/>
  <c r="B53"/>
  <c r="A53"/>
  <c r="U52"/>
  <c r="R52"/>
  <c r="N52"/>
  <c r="M52"/>
  <c r="L52"/>
  <c r="B52"/>
  <c r="A52"/>
  <c r="U51"/>
  <c r="R51"/>
  <c r="N51"/>
  <c r="M51"/>
  <c r="L51"/>
  <c r="B51"/>
  <c r="A51"/>
  <c r="U50"/>
  <c r="R50"/>
  <c r="N50"/>
  <c r="M50"/>
  <c r="L50"/>
  <c r="B50"/>
  <c r="A50"/>
  <c r="U49"/>
  <c r="R49"/>
  <c r="N49"/>
  <c r="M49"/>
  <c r="L49"/>
  <c r="B49"/>
  <c r="A49"/>
  <c r="U48"/>
  <c r="R48"/>
  <c r="N48"/>
  <c r="M48"/>
  <c r="L48"/>
  <c r="B48"/>
  <c r="A48"/>
  <c r="U47"/>
  <c r="R47"/>
  <c r="N47"/>
  <c r="M47"/>
  <c r="L47"/>
  <c r="B47"/>
  <c r="A47"/>
  <c r="U46"/>
  <c r="R46"/>
  <c r="N46"/>
  <c r="M46"/>
  <c r="L46"/>
  <c r="B46"/>
  <c r="A46"/>
  <c r="U45"/>
  <c r="R45"/>
  <c r="N45"/>
  <c r="M45"/>
  <c r="L45"/>
  <c r="B45"/>
  <c r="A45"/>
  <c r="U44"/>
  <c r="R44"/>
  <c r="N44"/>
  <c r="M44"/>
  <c r="L44"/>
  <c r="B44"/>
  <c r="A44"/>
  <c r="U43"/>
  <c r="R43"/>
  <c r="N43"/>
  <c r="M43"/>
  <c r="L43"/>
  <c r="B43"/>
  <c r="A43"/>
  <c r="U42"/>
  <c r="R42"/>
  <c r="N42"/>
  <c r="M42"/>
  <c r="L42"/>
  <c r="B42"/>
  <c r="A42"/>
  <c r="U41"/>
  <c r="R41"/>
  <c r="N41"/>
  <c r="M41"/>
  <c r="L41"/>
  <c r="B41"/>
  <c r="A41"/>
  <c r="U40"/>
  <c r="R40"/>
  <c r="N40"/>
  <c r="M40"/>
  <c r="L40"/>
  <c r="B40"/>
  <c r="A40"/>
  <c r="U39"/>
  <c r="R39"/>
  <c r="N39"/>
  <c r="M39"/>
  <c r="L39"/>
  <c r="B39"/>
  <c r="A39"/>
  <c r="U38"/>
  <c r="R38"/>
  <c r="N38"/>
  <c r="M38"/>
  <c r="L38"/>
  <c r="B38"/>
  <c r="A38"/>
  <c r="U37"/>
  <c r="R37"/>
  <c r="N37"/>
  <c r="M37"/>
  <c r="L37"/>
  <c r="B37"/>
  <c r="A37"/>
  <c r="U36"/>
  <c r="R36"/>
  <c r="N36"/>
  <c r="M36"/>
  <c r="L36"/>
  <c r="B36"/>
  <c r="A36"/>
  <c r="U35"/>
  <c r="R35"/>
  <c r="N35"/>
  <c r="M35"/>
  <c r="L35"/>
  <c r="B35"/>
  <c r="A35"/>
  <c r="U34"/>
  <c r="R34"/>
  <c r="N34"/>
  <c r="M34"/>
  <c r="L34"/>
  <c r="B34"/>
  <c r="A34"/>
  <c r="U33"/>
  <c r="R33"/>
  <c r="N33"/>
  <c r="M33"/>
  <c r="L33"/>
  <c r="B33"/>
  <c r="A33"/>
  <c r="U32"/>
  <c r="R32"/>
  <c r="N32"/>
  <c r="M32"/>
  <c r="L32"/>
  <c r="B32"/>
  <c r="A32"/>
  <c r="U31"/>
  <c r="R31"/>
  <c r="N31"/>
  <c r="M31"/>
  <c r="L31"/>
  <c r="B31"/>
  <c r="A31"/>
  <c r="U30"/>
  <c r="R30"/>
  <c r="N30"/>
  <c r="M30"/>
  <c r="L30"/>
  <c r="B30"/>
  <c r="A30"/>
  <c r="U29"/>
  <c r="R29"/>
  <c r="N29"/>
  <c r="M29"/>
  <c r="L29"/>
  <c r="B29"/>
  <c r="A29"/>
  <c r="U28"/>
  <c r="R28"/>
  <c r="N28"/>
  <c r="M28"/>
  <c r="L28"/>
  <c r="B28"/>
  <c r="A28"/>
  <c r="U27"/>
  <c r="R27"/>
  <c r="N27"/>
  <c r="M27"/>
  <c r="L27"/>
  <c r="B27"/>
  <c r="A27"/>
  <c r="U26"/>
  <c r="R26"/>
  <c r="N26"/>
  <c r="M26"/>
  <c r="L26"/>
  <c r="B26"/>
  <c r="A26"/>
  <c r="U25"/>
  <c r="R25"/>
  <c r="N25"/>
  <c r="M25"/>
  <c r="L25"/>
  <c r="B25"/>
  <c r="A25"/>
  <c r="U24"/>
  <c r="R24"/>
  <c r="N24"/>
  <c r="M24"/>
  <c r="L24"/>
  <c r="B24"/>
  <c r="A24"/>
  <c r="U23"/>
  <c r="R23"/>
  <c r="N23"/>
  <c r="M23"/>
  <c r="L23"/>
  <c r="B23"/>
  <c r="A23"/>
  <c r="U22"/>
  <c r="R22"/>
  <c r="N22"/>
  <c r="M22"/>
  <c r="L22"/>
  <c r="B22"/>
  <c r="A22"/>
  <c r="U21"/>
  <c r="R21"/>
  <c r="N21"/>
  <c r="M21"/>
  <c r="L21"/>
  <c r="B21"/>
  <c r="A21"/>
  <c r="U20"/>
  <c r="R20"/>
  <c r="N20"/>
  <c r="M20"/>
  <c r="L20"/>
  <c r="B20"/>
  <c r="A20"/>
  <c r="U19"/>
  <c r="R19"/>
  <c r="N19"/>
  <c r="M19"/>
  <c r="L19"/>
  <c r="B19"/>
  <c r="A19"/>
  <c r="U18"/>
  <c r="R18"/>
  <c r="N18"/>
  <c r="M18"/>
  <c r="L18"/>
  <c r="B18"/>
  <c r="A18"/>
  <c r="U17"/>
  <c r="R17"/>
  <c r="N17"/>
  <c r="M17"/>
  <c r="L17"/>
  <c r="B17"/>
  <c r="A17"/>
  <c r="U16"/>
  <c r="R16"/>
  <c r="N16"/>
  <c r="M16"/>
  <c r="L16"/>
  <c r="B16"/>
  <c r="A16"/>
  <c r="U15"/>
  <c r="R15"/>
  <c r="N15"/>
  <c r="M15"/>
  <c r="L15"/>
  <c r="B15"/>
  <c r="A15"/>
  <c r="U14"/>
  <c r="R14"/>
  <c r="N14"/>
  <c r="M14"/>
  <c r="L14"/>
  <c r="B14"/>
  <c r="A14"/>
  <c r="U13"/>
  <c r="R13"/>
  <c r="N13"/>
  <c r="M13"/>
  <c r="L13"/>
  <c r="B13"/>
  <c r="A13"/>
  <c r="U12"/>
  <c r="R12"/>
  <c r="N12"/>
  <c r="M12"/>
  <c r="L12"/>
  <c r="B12"/>
  <c r="A12"/>
  <c r="U11"/>
  <c r="R11"/>
  <c r="N11"/>
  <c r="M11"/>
  <c r="L11"/>
  <c r="B11"/>
  <c r="A11"/>
  <c r="U10"/>
  <c r="R10"/>
  <c r="N10"/>
  <c r="M10"/>
  <c r="L10"/>
  <c r="B10"/>
  <c r="A10"/>
  <c r="U9"/>
  <c r="R9"/>
  <c r="N9"/>
  <c r="M9"/>
  <c r="L9"/>
  <c r="B9"/>
  <c r="A9"/>
  <c r="U8"/>
  <c r="R8"/>
  <c r="N8"/>
  <c r="M8"/>
  <c r="L8"/>
  <c r="B8"/>
  <c r="A8"/>
  <c r="U7"/>
  <c r="R7"/>
  <c r="N7"/>
  <c r="M7"/>
  <c r="L7"/>
  <c r="B7"/>
  <c r="A7"/>
  <c r="U6"/>
  <c r="R6"/>
  <c r="N6"/>
  <c r="M6"/>
  <c r="L6"/>
  <c r="B6"/>
  <c r="A6"/>
  <c r="U5"/>
  <c r="R5"/>
  <c r="N5"/>
  <c r="M5"/>
  <c r="L5"/>
  <c r="B5"/>
  <c r="A5"/>
  <c r="U4"/>
  <c r="R4"/>
  <c r="N4"/>
  <c r="M4"/>
  <c r="L4"/>
  <c r="B4"/>
  <c r="A4"/>
  <c r="U3"/>
  <c r="R3"/>
  <c r="N3"/>
  <c r="M3"/>
  <c r="L3"/>
  <c r="B3"/>
  <c r="A3"/>
  <c r="U2"/>
  <c r="R2"/>
  <c r="N2"/>
  <c r="M2"/>
  <c r="L2"/>
  <c r="B2"/>
  <c r="A2"/>
  <c r="XCI1"/>
  <c r="B802" i="11"/>
  <c r="A802"/>
  <c r="B801"/>
  <c r="A801"/>
  <c r="B800"/>
  <c r="A800"/>
  <c r="B799"/>
  <c r="A799"/>
  <c r="B798"/>
  <c r="A798"/>
  <c r="B797"/>
  <c r="A797"/>
  <c r="B796"/>
  <c r="A796"/>
  <c r="B795"/>
  <c r="A795"/>
  <c r="B794"/>
  <c r="A794"/>
  <c r="B793"/>
  <c r="A793"/>
  <c r="B792"/>
  <c r="A792"/>
  <c r="B791"/>
  <c r="A791"/>
  <c r="B790"/>
  <c r="A790"/>
  <c r="B789"/>
  <c r="A789"/>
  <c r="B788"/>
  <c r="A788"/>
  <c r="B787"/>
  <c r="A787"/>
  <c r="B786"/>
  <c r="A786"/>
  <c r="B785"/>
  <c r="A785"/>
  <c r="B784"/>
  <c r="A784"/>
  <c r="B783"/>
  <c r="A783"/>
  <c r="B782"/>
  <c r="A782"/>
  <c r="B781"/>
  <c r="A781"/>
  <c r="B780"/>
  <c r="A780"/>
  <c r="B779"/>
  <c r="A779"/>
  <c r="B778"/>
  <c r="A778"/>
  <c r="B777"/>
  <c r="A777"/>
  <c r="B776"/>
  <c r="A776"/>
  <c r="B775"/>
  <c r="A775"/>
  <c r="B774"/>
  <c r="A774"/>
  <c r="B773"/>
  <c r="A773"/>
  <c r="B772"/>
  <c r="A772"/>
  <c r="B771"/>
  <c r="A771"/>
  <c r="B770"/>
  <c r="A770"/>
  <c r="B769"/>
  <c r="A769"/>
  <c r="B768"/>
  <c r="A768"/>
  <c r="B767"/>
  <c r="A767"/>
  <c r="B766"/>
  <c r="A766"/>
  <c r="B765"/>
  <c r="A765"/>
  <c r="B764"/>
  <c r="A764"/>
  <c r="B763"/>
  <c r="A763"/>
  <c r="B762"/>
  <c r="A762"/>
  <c r="B761"/>
  <c r="A761"/>
  <c r="B760"/>
  <c r="A760"/>
  <c r="B759"/>
  <c r="A759"/>
  <c r="B758"/>
  <c r="A758"/>
  <c r="B757"/>
  <c r="A757"/>
  <c r="B756"/>
  <c r="A756"/>
  <c r="B755"/>
  <c r="A755"/>
  <c r="B754"/>
  <c r="A754"/>
  <c r="B753"/>
  <c r="A753"/>
  <c r="B752"/>
  <c r="A752"/>
  <c r="B751"/>
  <c r="A751"/>
  <c r="B750"/>
  <c r="A750"/>
  <c r="B749"/>
  <c r="A749"/>
  <c r="B748"/>
  <c r="A748"/>
  <c r="B747"/>
  <c r="A747"/>
  <c r="B746"/>
  <c r="A746"/>
  <c r="B745"/>
  <c r="A745"/>
  <c r="B744"/>
  <c r="A744"/>
  <c r="B743"/>
  <c r="A743"/>
  <c r="B742"/>
  <c r="A742"/>
  <c r="B741"/>
  <c r="A741"/>
  <c r="B740"/>
  <c r="A740"/>
  <c r="B739"/>
  <c r="A739"/>
  <c r="B738"/>
  <c r="A738"/>
  <c r="B737"/>
  <c r="A737"/>
  <c r="B736"/>
  <c r="A736"/>
  <c r="B735"/>
  <c r="A735"/>
  <c r="B734"/>
  <c r="A734"/>
  <c r="B733"/>
  <c r="A733"/>
  <c r="B732"/>
  <c r="A732"/>
  <c r="B731"/>
  <c r="A731"/>
  <c r="B730"/>
  <c r="A730"/>
  <c r="B729"/>
  <c r="A729"/>
  <c r="B728"/>
  <c r="A728"/>
  <c r="B727"/>
  <c r="A727"/>
  <c r="B726"/>
  <c r="A726"/>
  <c r="B725"/>
  <c r="A725"/>
  <c r="B724"/>
  <c r="A724"/>
  <c r="B723"/>
  <c r="A723"/>
  <c r="B722"/>
  <c r="A722"/>
  <c r="B721"/>
  <c r="A721"/>
  <c r="B720"/>
  <c r="A720"/>
  <c r="B719"/>
  <c r="A719"/>
  <c r="B718"/>
  <c r="A718"/>
  <c r="B717"/>
  <c r="A717"/>
  <c r="B716"/>
  <c r="A716"/>
  <c r="B715"/>
  <c r="A715"/>
  <c r="B714"/>
  <c r="A714"/>
  <c r="B713"/>
  <c r="A713"/>
  <c r="B712"/>
  <c r="A712"/>
  <c r="B711"/>
  <c r="A711"/>
  <c r="B710"/>
  <c r="A710"/>
  <c r="B709"/>
  <c r="A709"/>
  <c r="B708"/>
  <c r="A708"/>
  <c r="B707"/>
  <c r="A707"/>
  <c r="B706"/>
  <c r="A706"/>
  <c r="B705"/>
  <c r="A705"/>
  <c r="B704"/>
  <c r="A704"/>
  <c r="B703"/>
  <c r="A703"/>
  <c r="B702"/>
  <c r="A702"/>
  <c r="B701"/>
  <c r="A701"/>
  <c r="B700"/>
  <c r="A700"/>
  <c r="B699"/>
  <c r="A699"/>
  <c r="B698"/>
  <c r="A698"/>
  <c r="B697"/>
  <c r="A697"/>
  <c r="B696"/>
  <c r="A696"/>
  <c r="B695"/>
  <c r="A695"/>
  <c r="B694"/>
  <c r="A694"/>
  <c r="B693"/>
  <c r="A693"/>
  <c r="B692"/>
  <c r="A692"/>
  <c r="B691"/>
  <c r="A691"/>
  <c r="B690"/>
  <c r="A690"/>
  <c r="B689"/>
  <c r="A689"/>
  <c r="B688"/>
  <c r="A688"/>
  <c r="B687"/>
  <c r="A687"/>
  <c r="B686"/>
  <c r="A686"/>
  <c r="B685"/>
  <c r="A685"/>
  <c r="B684"/>
  <c r="A684"/>
  <c r="B683"/>
  <c r="A683"/>
  <c r="B682"/>
  <c r="A682"/>
  <c r="B681"/>
  <c r="A681"/>
  <c r="B680"/>
  <c r="A680"/>
  <c r="B679"/>
  <c r="A679"/>
  <c r="B678"/>
  <c r="A678"/>
  <c r="B677"/>
  <c r="A677"/>
  <c r="B676"/>
  <c r="A676"/>
  <c r="B675"/>
  <c r="A675"/>
  <c r="B674"/>
  <c r="A674"/>
  <c r="B673"/>
  <c r="A673"/>
  <c r="B672"/>
  <c r="A672"/>
  <c r="B671"/>
  <c r="A671"/>
  <c r="B670"/>
  <c r="A670"/>
  <c r="B669"/>
  <c r="A669"/>
  <c r="B668"/>
  <c r="A668"/>
  <c r="B667"/>
  <c r="A667"/>
  <c r="B666"/>
  <c r="A666"/>
  <c r="B665"/>
  <c r="A665"/>
  <c r="B664"/>
  <c r="A664"/>
  <c r="B663"/>
  <c r="A663"/>
  <c r="B662"/>
  <c r="A662"/>
  <c r="B661"/>
  <c r="A661"/>
  <c r="B660"/>
  <c r="A660"/>
  <c r="B659"/>
  <c r="A659"/>
  <c r="B658"/>
  <c r="A658"/>
  <c r="B657"/>
  <c r="A657"/>
  <c r="B656"/>
  <c r="A656"/>
  <c r="B655"/>
  <c r="A655"/>
  <c r="B654"/>
  <c r="A654"/>
  <c r="B653"/>
  <c r="A653"/>
  <c r="B652"/>
  <c r="A652"/>
  <c r="B651"/>
  <c r="A651"/>
  <c r="B650"/>
  <c r="A650"/>
  <c r="B649"/>
  <c r="A649"/>
  <c r="B648"/>
  <c r="A648"/>
  <c r="B647"/>
  <c r="A647"/>
  <c r="B646"/>
  <c r="A646"/>
  <c r="B645"/>
  <c r="A645"/>
  <c r="B644"/>
  <c r="A644"/>
  <c r="B643"/>
  <c r="A643"/>
  <c r="B642"/>
  <c r="A642"/>
  <c r="B641"/>
  <c r="A641"/>
  <c r="B640"/>
  <c r="A640"/>
  <c r="B639"/>
  <c r="A639"/>
  <c r="B638"/>
  <c r="A638"/>
  <c r="B637"/>
  <c r="A637"/>
  <c r="B636"/>
  <c r="A636"/>
  <c r="B635"/>
  <c r="A635"/>
  <c r="B634"/>
  <c r="A634"/>
  <c r="B633"/>
  <c r="A633"/>
  <c r="B632"/>
  <c r="A632"/>
  <c r="B631"/>
  <c r="A631"/>
  <c r="B630"/>
  <c r="A630"/>
  <c r="B629"/>
  <c r="A629"/>
  <c r="B628"/>
  <c r="A628"/>
  <c r="B627"/>
  <c r="A627"/>
  <c r="B626"/>
  <c r="A626"/>
  <c r="B625"/>
  <c r="A625"/>
  <c r="B624"/>
  <c r="A624"/>
  <c r="B623"/>
  <c r="A623"/>
  <c r="B622"/>
  <c r="A622"/>
  <c r="B621"/>
  <c r="A621"/>
  <c r="B620"/>
  <c r="A620"/>
  <c r="B619"/>
  <c r="A619"/>
  <c r="B618"/>
  <c r="A618"/>
  <c r="B617"/>
  <c r="A617"/>
  <c r="B616"/>
  <c r="A616"/>
  <c r="B615"/>
  <c r="A615"/>
  <c r="B614"/>
  <c r="A614"/>
  <c r="B613"/>
  <c r="A613"/>
  <c r="B612"/>
  <c r="A612"/>
  <c r="B611"/>
  <c r="A611"/>
  <c r="B610"/>
  <c r="A610"/>
  <c r="B609"/>
  <c r="A609"/>
  <c r="B608"/>
  <c r="A608"/>
  <c r="B607"/>
  <c r="A607"/>
  <c r="B606"/>
  <c r="A606"/>
  <c r="B605"/>
  <c r="A605"/>
  <c r="B604"/>
  <c r="A604"/>
  <c r="B603"/>
  <c r="A603"/>
  <c r="B602"/>
  <c r="A602"/>
  <c r="B601"/>
  <c r="A601"/>
  <c r="B600"/>
  <c r="A600"/>
  <c r="B599"/>
  <c r="A599"/>
  <c r="B598"/>
  <c r="A598"/>
  <c r="B597"/>
  <c r="A597"/>
  <c r="B596"/>
  <c r="A596"/>
  <c r="B595"/>
  <c r="A595"/>
  <c r="B594"/>
  <c r="A594"/>
  <c r="B593"/>
  <c r="A593"/>
  <c r="B592"/>
  <c r="A592"/>
  <c r="B591"/>
  <c r="A591"/>
  <c r="B590"/>
  <c r="A590"/>
  <c r="B589"/>
  <c r="A589"/>
  <c r="B588"/>
  <c r="A588"/>
  <c r="B587"/>
  <c r="A587"/>
  <c r="B586"/>
  <c r="A586"/>
  <c r="B585"/>
  <c r="A585"/>
  <c r="B584"/>
  <c r="A584"/>
  <c r="B583"/>
  <c r="A583"/>
  <c r="B582"/>
  <c r="A582"/>
  <c r="B581"/>
  <c r="A581"/>
  <c r="B580"/>
  <c r="A580"/>
  <c r="B579"/>
  <c r="A579"/>
  <c r="B578"/>
  <c r="A578"/>
  <c r="B577"/>
  <c r="A577"/>
  <c r="B576"/>
  <c r="A576"/>
  <c r="B575"/>
  <c r="A575"/>
  <c r="B574"/>
  <c r="A574"/>
  <c r="B573"/>
  <c r="A573"/>
  <c r="B572"/>
  <c r="A572"/>
  <c r="B571"/>
  <c r="A571"/>
  <c r="B570"/>
  <c r="A570"/>
  <c r="B569"/>
  <c r="A569"/>
  <c r="B568"/>
  <c r="A568"/>
  <c r="B567"/>
  <c r="A567"/>
  <c r="B566"/>
  <c r="A566"/>
  <c r="B565"/>
  <c r="A565"/>
  <c r="B564"/>
  <c r="A564"/>
  <c r="B563"/>
  <c r="A563"/>
  <c r="B562"/>
  <c r="A562"/>
  <c r="B561"/>
  <c r="A561"/>
  <c r="B560"/>
  <c r="A560"/>
  <c r="B559"/>
  <c r="A559"/>
  <c r="B558"/>
  <c r="A558"/>
  <c r="B557"/>
  <c r="A557"/>
  <c r="B556"/>
  <c r="A556"/>
  <c r="B555"/>
  <c r="A555"/>
  <c r="B554"/>
  <c r="A554"/>
  <c r="B553"/>
  <c r="A553"/>
  <c r="B552"/>
  <c r="A552"/>
  <c r="B551"/>
  <c r="A551"/>
  <c r="B550"/>
  <c r="A550"/>
  <c r="B549"/>
  <c r="A549"/>
  <c r="B548"/>
  <c r="A548"/>
  <c r="B547"/>
  <c r="A547"/>
  <c r="B546"/>
  <c r="A546"/>
  <c r="B545"/>
  <c r="A545"/>
  <c r="B544"/>
  <c r="A544"/>
  <c r="B543"/>
  <c r="A543"/>
  <c r="B542"/>
  <c r="A542"/>
  <c r="B541"/>
  <c r="A541"/>
  <c r="B540"/>
  <c r="A540"/>
  <c r="B539"/>
  <c r="A539"/>
  <c r="B538"/>
  <c r="A538"/>
  <c r="B537"/>
  <c r="A537"/>
  <c r="B536"/>
  <c r="A536"/>
  <c r="B535"/>
  <c r="A535"/>
  <c r="B534"/>
  <c r="A534"/>
  <c r="B533"/>
  <c r="A533"/>
  <c r="B532"/>
  <c r="A532"/>
  <c r="B531"/>
  <c r="A531"/>
  <c r="B530"/>
  <c r="A530"/>
  <c r="B529"/>
  <c r="A529"/>
  <c r="B528"/>
  <c r="A528"/>
  <c r="B527"/>
  <c r="A527"/>
  <c r="B526"/>
  <c r="A526"/>
  <c r="B525"/>
  <c r="A525"/>
  <c r="B524"/>
  <c r="A524"/>
  <c r="B523"/>
  <c r="A523"/>
  <c r="B522"/>
  <c r="A522"/>
  <c r="B521"/>
  <c r="A521"/>
  <c r="B520"/>
  <c r="A520"/>
  <c r="B519"/>
  <c r="A519"/>
  <c r="B518"/>
  <c r="A518"/>
  <c r="B517"/>
  <c r="A517"/>
  <c r="B516"/>
  <c r="A516"/>
  <c r="B515"/>
  <c r="A515"/>
  <c r="B514"/>
  <c r="A514"/>
  <c r="B513"/>
  <c r="A513"/>
  <c r="B512"/>
  <c r="A512"/>
  <c r="B511"/>
  <c r="A511"/>
  <c r="B510"/>
  <c r="A510"/>
  <c r="B509"/>
  <c r="A509"/>
  <c r="B508"/>
  <c r="A508"/>
  <c r="B507"/>
  <c r="A507"/>
  <c r="B506"/>
  <c r="A506"/>
  <c r="B505"/>
  <c r="A505"/>
  <c r="B504"/>
  <c r="A504"/>
  <c r="B503"/>
  <c r="A503"/>
  <c r="B502"/>
  <c r="A502"/>
  <c r="B501"/>
  <c r="A501"/>
  <c r="B500"/>
  <c r="A500"/>
  <c r="B499"/>
  <c r="A499"/>
  <c r="B498"/>
  <c r="A498"/>
  <c r="B497"/>
  <c r="A497"/>
  <c r="B496"/>
  <c r="A496"/>
  <c r="B495"/>
  <c r="A495"/>
  <c r="B494"/>
  <c r="A494"/>
  <c r="B493"/>
  <c r="A493"/>
  <c r="B492"/>
  <c r="A492"/>
  <c r="B491"/>
  <c r="A491"/>
  <c r="B490"/>
  <c r="A490"/>
  <c r="B489"/>
  <c r="A489"/>
  <c r="B488"/>
  <c r="A488"/>
  <c r="B487"/>
  <c r="A487"/>
  <c r="B486"/>
  <c r="A486"/>
  <c r="B485"/>
  <c r="A485"/>
  <c r="B484"/>
  <c r="A484"/>
  <c r="B483"/>
  <c r="A483"/>
  <c r="B482"/>
  <c r="A482"/>
  <c r="B481"/>
  <c r="A481"/>
  <c r="B480"/>
  <c r="A480"/>
  <c r="B479"/>
  <c r="A479"/>
  <c r="B478"/>
  <c r="A478"/>
  <c r="B477"/>
  <c r="A477"/>
  <c r="B476"/>
  <c r="A476"/>
  <c r="B475"/>
  <c r="A475"/>
  <c r="B474"/>
  <c r="A474"/>
  <c r="B473"/>
  <c r="A473"/>
  <c r="B472"/>
  <c r="A472"/>
  <c r="B471"/>
  <c r="A471"/>
  <c r="B470"/>
  <c r="A470"/>
  <c r="B469"/>
  <c r="A469"/>
  <c r="B468"/>
  <c r="A468"/>
  <c r="B467"/>
  <c r="A467"/>
  <c r="B466"/>
  <c r="A466"/>
  <c r="B465"/>
  <c r="A465"/>
  <c r="B464"/>
  <c r="A464"/>
  <c r="B463"/>
  <c r="A463"/>
  <c r="B462"/>
  <c r="A462"/>
  <c r="B461"/>
  <c r="A461"/>
  <c r="B460"/>
  <c r="A460"/>
  <c r="B459"/>
  <c r="A459"/>
  <c r="B458"/>
  <c r="A458"/>
  <c r="B457"/>
  <c r="A457"/>
  <c r="B456"/>
  <c r="A456"/>
  <c r="B455"/>
  <c r="A455"/>
  <c r="B454"/>
  <c r="A454"/>
  <c r="B453"/>
  <c r="A453"/>
  <c r="B452"/>
  <c r="A452"/>
  <c r="B451"/>
  <c r="A451"/>
  <c r="B450"/>
  <c r="A450"/>
  <c r="B449"/>
  <c r="A449"/>
  <c r="P448"/>
  <c r="N448"/>
  <c r="M448"/>
  <c r="L448"/>
  <c r="K448"/>
  <c r="J448"/>
  <c r="B448"/>
  <c r="A448"/>
  <c r="P447"/>
  <c r="N447"/>
  <c r="M447"/>
  <c r="L447"/>
  <c r="K447"/>
  <c r="J447"/>
  <c r="B447"/>
  <c r="A447"/>
  <c r="P446"/>
  <c r="N446"/>
  <c r="M446"/>
  <c r="L446"/>
  <c r="K446"/>
  <c r="J446"/>
  <c r="B446"/>
  <c r="A446"/>
  <c r="P445"/>
  <c r="N445"/>
  <c r="M445"/>
  <c r="L445"/>
  <c r="K445"/>
  <c r="J445"/>
  <c r="B445"/>
  <c r="A445"/>
  <c r="P444"/>
  <c r="N444"/>
  <c r="M444"/>
  <c r="L444"/>
  <c r="K444"/>
  <c r="J444"/>
  <c r="B444"/>
  <c r="A444"/>
  <c r="P443"/>
  <c r="N443"/>
  <c r="M443"/>
  <c r="L443"/>
  <c r="K443"/>
  <c r="J443"/>
  <c r="B443"/>
  <c r="A443"/>
  <c r="P442"/>
  <c r="N442"/>
  <c r="M442"/>
  <c r="L442"/>
  <c r="K442"/>
  <c r="J442"/>
  <c r="B442"/>
  <c r="A442"/>
  <c r="P441"/>
  <c r="N441"/>
  <c r="M441"/>
  <c r="L441"/>
  <c r="K441"/>
  <c r="J441"/>
  <c r="B441"/>
  <c r="A441"/>
  <c r="P440"/>
  <c r="N440"/>
  <c r="M440"/>
  <c r="L440"/>
  <c r="K440"/>
  <c r="J440"/>
  <c r="B440"/>
  <c r="A440"/>
  <c r="P439"/>
  <c r="N439"/>
  <c r="M439"/>
  <c r="L439"/>
  <c r="K439"/>
  <c r="J439"/>
  <c r="B439"/>
  <c r="A439"/>
  <c r="P438"/>
  <c r="N438"/>
  <c r="M438"/>
  <c r="L438"/>
  <c r="K438"/>
  <c r="J438"/>
  <c r="B438"/>
  <c r="A438"/>
  <c r="P437"/>
  <c r="N437"/>
  <c r="M437"/>
  <c r="L437"/>
  <c r="K437"/>
  <c r="J437"/>
  <c r="B437"/>
  <c r="A437"/>
  <c r="P436"/>
  <c r="N436"/>
  <c r="M436"/>
  <c r="L436"/>
  <c r="K436"/>
  <c r="J436"/>
  <c r="B436"/>
  <c r="A436"/>
  <c r="P435"/>
  <c r="N435"/>
  <c r="M435"/>
  <c r="L435"/>
  <c r="K435"/>
  <c r="J435"/>
  <c r="B435"/>
  <c r="A435"/>
  <c r="P434"/>
  <c r="N434"/>
  <c r="M434"/>
  <c r="L434"/>
  <c r="K434"/>
  <c r="J434"/>
  <c r="B434"/>
  <c r="A434"/>
  <c r="P433"/>
  <c r="N433"/>
  <c r="M433"/>
  <c r="L433"/>
  <c r="K433"/>
  <c r="J433"/>
  <c r="B433"/>
  <c r="A433"/>
  <c r="P432"/>
  <c r="N432"/>
  <c r="M432"/>
  <c r="L432"/>
  <c r="K432"/>
  <c r="J432"/>
  <c r="B432"/>
  <c r="A432"/>
  <c r="P431"/>
  <c r="N431"/>
  <c r="M431"/>
  <c r="L431"/>
  <c r="K431"/>
  <c r="J431"/>
  <c r="B431"/>
  <c r="A431"/>
  <c r="P430"/>
  <c r="N430"/>
  <c r="M430"/>
  <c r="L430"/>
  <c r="K430"/>
  <c r="J430"/>
  <c r="B430"/>
  <c r="A430"/>
  <c r="P429"/>
  <c r="N429"/>
  <c r="M429"/>
  <c r="L429"/>
  <c r="K429"/>
  <c r="J429"/>
  <c r="B429"/>
  <c r="A429"/>
  <c r="P428"/>
  <c r="N428"/>
  <c r="M428"/>
  <c r="L428"/>
  <c r="K428"/>
  <c r="J428"/>
  <c r="B428"/>
  <c r="A428"/>
  <c r="P427"/>
  <c r="N427"/>
  <c r="M427"/>
  <c r="L427"/>
  <c r="K427"/>
  <c r="J427"/>
  <c r="B427"/>
  <c r="A427"/>
  <c r="P426"/>
  <c r="N426"/>
  <c r="M426"/>
  <c r="L426"/>
  <c r="K426"/>
  <c r="J426"/>
  <c r="B426"/>
  <c r="A426"/>
  <c r="P425"/>
  <c r="N425"/>
  <c r="M425"/>
  <c r="L425"/>
  <c r="K425"/>
  <c r="J425"/>
  <c r="B425"/>
  <c r="A425"/>
  <c r="P424"/>
  <c r="N424"/>
  <c r="M424"/>
  <c r="L424"/>
  <c r="K424"/>
  <c r="J424"/>
  <c r="B424"/>
  <c r="A424"/>
  <c r="P423"/>
  <c r="N423"/>
  <c r="M423"/>
  <c r="L423"/>
  <c r="K423"/>
  <c r="J423"/>
  <c r="B423"/>
  <c r="A423"/>
  <c r="P422"/>
  <c r="N422"/>
  <c r="M422"/>
  <c r="L422"/>
  <c r="K422"/>
  <c r="J422"/>
  <c r="B422"/>
  <c r="A422"/>
  <c r="P421"/>
  <c r="N421"/>
  <c r="M421"/>
  <c r="L421"/>
  <c r="K421"/>
  <c r="J421"/>
  <c r="B421"/>
  <c r="A421"/>
  <c r="P420"/>
  <c r="N420"/>
  <c r="M420"/>
  <c r="L420"/>
  <c r="K420"/>
  <c r="J420"/>
  <c r="B420"/>
  <c r="A420"/>
  <c r="P419"/>
  <c r="N419"/>
  <c r="M419"/>
  <c r="L419"/>
  <c r="K419"/>
  <c r="J419"/>
  <c r="B419"/>
  <c r="A419"/>
  <c r="P418"/>
  <c r="N418"/>
  <c r="M418"/>
  <c r="L418"/>
  <c r="K418"/>
  <c r="J418"/>
  <c r="B418"/>
  <c r="A418"/>
  <c r="P417"/>
  <c r="N417"/>
  <c r="M417"/>
  <c r="L417"/>
  <c r="K417"/>
  <c r="J417"/>
  <c r="B417"/>
  <c r="A417"/>
  <c r="P416"/>
  <c r="N416"/>
  <c r="M416"/>
  <c r="L416"/>
  <c r="K416"/>
  <c r="J416"/>
  <c r="B416"/>
  <c r="A416"/>
  <c r="P415"/>
  <c r="N415"/>
  <c r="M415"/>
  <c r="L415"/>
  <c r="K415"/>
  <c r="J415"/>
  <c r="B415"/>
  <c r="A415"/>
  <c r="P414"/>
  <c r="N414"/>
  <c r="M414"/>
  <c r="L414"/>
  <c r="K414"/>
  <c r="J414"/>
  <c r="B414"/>
  <c r="A414"/>
  <c r="P413"/>
  <c r="N413"/>
  <c r="M413"/>
  <c r="L413"/>
  <c r="K413"/>
  <c r="J413"/>
  <c r="B413"/>
  <c r="A413"/>
  <c r="P412"/>
  <c r="N412"/>
  <c r="M412"/>
  <c r="L412"/>
  <c r="K412"/>
  <c r="J412"/>
  <c r="B412"/>
  <c r="A412"/>
  <c r="P411"/>
  <c r="N411"/>
  <c r="M411"/>
  <c r="L411"/>
  <c r="K411"/>
  <c r="J411"/>
  <c r="B411"/>
  <c r="A411"/>
  <c r="P410"/>
  <c r="N410"/>
  <c r="M410"/>
  <c r="L410"/>
  <c r="K410"/>
  <c r="J410"/>
  <c r="B410"/>
  <c r="A410"/>
  <c r="P409"/>
  <c r="N409"/>
  <c r="M409"/>
  <c r="L409"/>
  <c r="K409"/>
  <c r="J409"/>
  <c r="B409"/>
  <c r="A409"/>
  <c r="P408"/>
  <c r="N408"/>
  <c r="M408"/>
  <c r="L408"/>
  <c r="K408"/>
  <c r="J408"/>
  <c r="B408"/>
  <c r="A408"/>
  <c r="P407"/>
  <c r="N407"/>
  <c r="M407"/>
  <c r="L407"/>
  <c r="K407"/>
  <c r="J407"/>
  <c r="B407"/>
  <c r="A407"/>
  <c r="P406"/>
  <c r="N406"/>
  <c r="M406"/>
  <c r="L406"/>
  <c r="K406"/>
  <c r="J406"/>
  <c r="B406"/>
  <c r="A406"/>
  <c r="P405"/>
  <c r="N405"/>
  <c r="M405"/>
  <c r="L405"/>
  <c r="K405"/>
  <c r="J405"/>
  <c r="B405"/>
  <c r="A405"/>
  <c r="P404"/>
  <c r="N404"/>
  <c r="M404"/>
  <c r="L404"/>
  <c r="K404"/>
  <c r="J404"/>
  <c r="B404"/>
  <c r="A404"/>
  <c r="P403"/>
  <c r="N403"/>
  <c r="M403"/>
  <c r="L403"/>
  <c r="K403"/>
  <c r="J403"/>
  <c r="B403"/>
  <c r="A403"/>
  <c r="P402"/>
  <c r="N402"/>
  <c r="M402"/>
  <c r="L402"/>
  <c r="K402"/>
  <c r="J402"/>
  <c r="B402"/>
  <c r="A402"/>
  <c r="P401"/>
  <c r="N401"/>
  <c r="M401"/>
  <c r="L401"/>
  <c r="K401"/>
  <c r="J401"/>
  <c r="B401"/>
  <c r="A401"/>
  <c r="P400"/>
  <c r="N400"/>
  <c r="M400"/>
  <c r="L400"/>
  <c r="K400"/>
  <c r="J400"/>
  <c r="B400"/>
  <c r="A400"/>
  <c r="P399"/>
  <c r="N399"/>
  <c r="M399"/>
  <c r="L399"/>
  <c r="K399"/>
  <c r="J399"/>
  <c r="B399"/>
  <c r="A399"/>
  <c r="P398"/>
  <c r="N398"/>
  <c r="M398"/>
  <c r="L398"/>
  <c r="K398"/>
  <c r="J398"/>
  <c r="B398"/>
  <c r="A398"/>
  <c r="P397"/>
  <c r="N397"/>
  <c r="M397"/>
  <c r="L397"/>
  <c r="K397"/>
  <c r="J397"/>
  <c r="B397"/>
  <c r="A397"/>
  <c r="P396"/>
  <c r="N396"/>
  <c r="M396"/>
  <c r="L396"/>
  <c r="K396"/>
  <c r="J396"/>
  <c r="B396"/>
  <c r="A396"/>
  <c r="P395"/>
  <c r="N395"/>
  <c r="M395"/>
  <c r="L395"/>
  <c r="K395"/>
  <c r="J395"/>
  <c r="B395"/>
  <c r="A395"/>
  <c r="P394"/>
  <c r="N394"/>
  <c r="M394"/>
  <c r="L394"/>
  <c r="K394"/>
  <c r="J394"/>
  <c r="B394"/>
  <c r="A394"/>
  <c r="P393"/>
  <c r="N393"/>
  <c r="M393"/>
  <c r="L393"/>
  <c r="K393"/>
  <c r="J393"/>
  <c r="B393"/>
  <c r="A393"/>
  <c r="P392"/>
  <c r="N392"/>
  <c r="M392"/>
  <c r="L392"/>
  <c r="K392"/>
  <c r="J392"/>
  <c r="B392"/>
  <c r="A392"/>
  <c r="P391"/>
  <c r="N391"/>
  <c r="M391"/>
  <c r="L391"/>
  <c r="K391"/>
  <c r="J391"/>
  <c r="B391"/>
  <c r="A391"/>
  <c r="P390"/>
  <c r="N390"/>
  <c r="M390"/>
  <c r="L390"/>
  <c r="K390"/>
  <c r="J390"/>
  <c r="B390"/>
  <c r="A390"/>
  <c r="P389"/>
  <c r="N389"/>
  <c r="M389"/>
  <c r="L389"/>
  <c r="K389"/>
  <c r="J389"/>
  <c r="B389"/>
  <c r="A389"/>
  <c r="P388"/>
  <c r="N388"/>
  <c r="M388"/>
  <c r="L388"/>
  <c r="K388"/>
  <c r="J388"/>
  <c r="B388"/>
  <c r="A388"/>
  <c r="P387"/>
  <c r="N387"/>
  <c r="M387"/>
  <c r="L387"/>
  <c r="K387"/>
  <c r="J387"/>
  <c r="B387"/>
  <c r="A387"/>
  <c r="P386"/>
  <c r="N386"/>
  <c r="M386"/>
  <c r="L386"/>
  <c r="K386"/>
  <c r="J386"/>
  <c r="B386"/>
  <c r="A386"/>
  <c r="P385"/>
  <c r="N385"/>
  <c r="M385"/>
  <c r="L385"/>
  <c r="K385"/>
  <c r="J385"/>
  <c r="B385"/>
  <c r="A385"/>
  <c r="P384"/>
  <c r="N384"/>
  <c r="M384"/>
  <c r="L384"/>
  <c r="K384"/>
  <c r="J384"/>
  <c r="B384"/>
  <c r="A384"/>
  <c r="P383"/>
  <c r="N383"/>
  <c r="M383"/>
  <c r="L383"/>
  <c r="K383"/>
  <c r="J383"/>
  <c r="B383"/>
  <c r="A383"/>
  <c r="P382"/>
  <c r="N382"/>
  <c r="M382"/>
  <c r="L382"/>
  <c r="K382"/>
  <c r="J382"/>
  <c r="B382"/>
  <c r="A382"/>
  <c r="P381"/>
  <c r="N381"/>
  <c r="M381"/>
  <c r="L381"/>
  <c r="K381"/>
  <c r="J381"/>
  <c r="B381"/>
  <c r="A381"/>
  <c r="P380"/>
  <c r="N380"/>
  <c r="M380"/>
  <c r="L380"/>
  <c r="K380"/>
  <c r="J380"/>
  <c r="B380"/>
  <c r="A380"/>
  <c r="P379"/>
  <c r="N379"/>
  <c r="M379"/>
  <c r="L379"/>
  <c r="K379"/>
  <c r="J379"/>
  <c r="B379"/>
  <c r="A379"/>
  <c r="P378"/>
  <c r="N378"/>
  <c r="M378"/>
  <c r="L378"/>
  <c r="K378"/>
  <c r="J378"/>
  <c r="B378"/>
  <c r="A378"/>
  <c r="P377"/>
  <c r="N377"/>
  <c r="M377"/>
  <c r="L377"/>
  <c r="K377"/>
  <c r="J377"/>
  <c r="B377"/>
  <c r="A377"/>
  <c r="P376"/>
  <c r="N376"/>
  <c r="M376"/>
  <c r="L376"/>
  <c r="K376"/>
  <c r="J376"/>
  <c r="B376"/>
  <c r="A376"/>
  <c r="P375"/>
  <c r="N375"/>
  <c r="M375"/>
  <c r="L375"/>
  <c r="K375"/>
  <c r="J375"/>
  <c r="B375"/>
  <c r="A375"/>
  <c r="P374"/>
  <c r="N374"/>
  <c r="M374"/>
  <c r="L374"/>
  <c r="K374"/>
  <c r="J374"/>
  <c r="B374"/>
  <c r="A374"/>
  <c r="P373"/>
  <c r="N373"/>
  <c r="M373"/>
  <c r="L373"/>
  <c r="K373"/>
  <c r="J373"/>
  <c r="B373"/>
  <c r="A373"/>
  <c r="P372"/>
  <c r="N372"/>
  <c r="M372"/>
  <c r="L372"/>
  <c r="K372"/>
  <c r="J372"/>
  <c r="B372"/>
  <c r="A372"/>
  <c r="P371"/>
  <c r="N371"/>
  <c r="M371"/>
  <c r="L371"/>
  <c r="K371"/>
  <c r="J371"/>
  <c r="B371"/>
  <c r="A371"/>
  <c r="P370"/>
  <c r="N370"/>
  <c r="M370"/>
  <c r="L370"/>
  <c r="K370"/>
  <c r="J370"/>
  <c r="B370"/>
  <c r="A370"/>
  <c r="P369"/>
  <c r="N369"/>
  <c r="M369"/>
  <c r="L369"/>
  <c r="K369"/>
  <c r="J369"/>
  <c r="B369"/>
  <c r="A369"/>
  <c r="P368"/>
  <c r="N368"/>
  <c r="M368"/>
  <c r="L368"/>
  <c r="K368"/>
  <c r="J368"/>
  <c r="B368"/>
  <c r="A368"/>
  <c r="P367"/>
  <c r="N367"/>
  <c r="M367"/>
  <c r="L367"/>
  <c r="K367"/>
  <c r="J367"/>
  <c r="B367"/>
  <c r="A367"/>
  <c r="P366"/>
  <c r="N366"/>
  <c r="M366"/>
  <c r="L366"/>
  <c r="K366"/>
  <c r="J366"/>
  <c r="B366"/>
  <c r="A366"/>
  <c r="P365"/>
  <c r="N365"/>
  <c r="M365"/>
  <c r="L365"/>
  <c r="K365"/>
  <c r="J365"/>
  <c r="B365"/>
  <c r="A365"/>
  <c r="P364"/>
  <c r="N364"/>
  <c r="M364"/>
  <c r="L364"/>
  <c r="K364"/>
  <c r="J364"/>
  <c r="B364"/>
  <c r="A364"/>
  <c r="P363"/>
  <c r="N363"/>
  <c r="M363"/>
  <c r="L363"/>
  <c r="K363"/>
  <c r="J363"/>
  <c r="B363"/>
  <c r="A363"/>
  <c r="P362"/>
  <c r="N362"/>
  <c r="M362"/>
  <c r="L362"/>
  <c r="K362"/>
  <c r="J362"/>
  <c r="B362"/>
  <c r="A362"/>
  <c r="P361"/>
  <c r="N361"/>
  <c r="M361"/>
  <c r="L361"/>
  <c r="K361"/>
  <c r="J361"/>
  <c r="B361"/>
  <c r="A361"/>
  <c r="P360"/>
  <c r="N360"/>
  <c r="M360"/>
  <c r="L360"/>
  <c r="K360"/>
  <c r="J360"/>
  <c r="B360"/>
  <c r="A360"/>
  <c r="P359"/>
  <c r="N359"/>
  <c r="M359"/>
  <c r="L359"/>
  <c r="K359"/>
  <c r="J359"/>
  <c r="B359"/>
  <c r="A359"/>
  <c r="P358"/>
  <c r="N358"/>
  <c r="M358"/>
  <c r="L358"/>
  <c r="K358"/>
  <c r="J358"/>
  <c r="B358"/>
  <c r="A358"/>
  <c r="P357"/>
  <c r="N357"/>
  <c r="M357"/>
  <c r="L357"/>
  <c r="K357"/>
  <c r="J357"/>
  <c r="B357"/>
  <c r="A357"/>
  <c r="P356"/>
  <c r="N356"/>
  <c r="M356"/>
  <c r="L356"/>
  <c r="K356"/>
  <c r="J356"/>
  <c r="B356"/>
  <c r="A356"/>
  <c r="P355"/>
  <c r="N355"/>
  <c r="M355"/>
  <c r="L355"/>
  <c r="K355"/>
  <c r="J355"/>
  <c r="B355"/>
  <c r="A355"/>
  <c r="P354"/>
  <c r="N354"/>
  <c r="M354"/>
  <c r="L354"/>
  <c r="K354"/>
  <c r="J354"/>
  <c r="B354"/>
  <c r="A354"/>
  <c r="P353"/>
  <c r="N353"/>
  <c r="M353"/>
  <c r="L353"/>
  <c r="K353"/>
  <c r="J353"/>
  <c r="B353"/>
  <c r="A353"/>
  <c r="P352"/>
  <c r="N352"/>
  <c r="M352"/>
  <c r="L352"/>
  <c r="K352"/>
  <c r="J352"/>
  <c r="B352"/>
  <c r="A352"/>
  <c r="P351"/>
  <c r="N351"/>
  <c r="M351"/>
  <c r="L351"/>
  <c r="K351"/>
  <c r="J351"/>
  <c r="B351"/>
  <c r="A351"/>
  <c r="P350"/>
  <c r="N350"/>
  <c r="M350"/>
  <c r="L350"/>
  <c r="K350"/>
  <c r="J350"/>
  <c r="B350"/>
  <c r="A350"/>
  <c r="P349"/>
  <c r="N349"/>
  <c r="M349"/>
  <c r="L349"/>
  <c r="K349"/>
  <c r="J349"/>
  <c r="B349"/>
  <c r="A349"/>
  <c r="P348"/>
  <c r="N348"/>
  <c r="M348"/>
  <c r="L348"/>
  <c r="K348"/>
  <c r="J348"/>
  <c r="B348"/>
  <c r="A348"/>
  <c r="P347"/>
  <c r="N347"/>
  <c r="M347"/>
  <c r="L347"/>
  <c r="K347"/>
  <c r="J347"/>
  <c r="B347"/>
  <c r="A347"/>
  <c r="P346"/>
  <c r="N346"/>
  <c r="M346"/>
  <c r="L346"/>
  <c r="K346"/>
  <c r="J346"/>
  <c r="B346"/>
  <c r="A346"/>
  <c r="P345"/>
  <c r="N345"/>
  <c r="M345"/>
  <c r="L345"/>
  <c r="K345"/>
  <c r="J345"/>
  <c r="B345"/>
  <c r="A345"/>
  <c r="P344"/>
  <c r="N344"/>
  <c r="M344"/>
  <c r="L344"/>
  <c r="K344"/>
  <c r="J344"/>
  <c r="B344"/>
  <c r="A344"/>
  <c r="P343"/>
  <c r="N343"/>
  <c r="M343"/>
  <c r="L343"/>
  <c r="K343"/>
  <c r="J343"/>
  <c r="B343"/>
  <c r="A343"/>
  <c r="P342"/>
  <c r="N342"/>
  <c r="M342"/>
  <c r="L342"/>
  <c r="K342"/>
  <c r="J342"/>
  <c r="B342"/>
  <c r="A342"/>
  <c r="P341"/>
  <c r="N341"/>
  <c r="M341"/>
  <c r="L341"/>
  <c r="K341"/>
  <c r="J341"/>
  <c r="B341"/>
  <c r="A341"/>
  <c r="P340"/>
  <c r="N340"/>
  <c r="M340"/>
  <c r="L340"/>
  <c r="K340"/>
  <c r="J340"/>
  <c r="B340"/>
  <c r="A340"/>
  <c r="P339"/>
  <c r="N339"/>
  <c r="M339"/>
  <c r="L339"/>
  <c r="K339"/>
  <c r="J339"/>
  <c r="B339"/>
  <c r="A339"/>
  <c r="P338"/>
  <c r="N338"/>
  <c r="M338"/>
  <c r="L338"/>
  <c r="K338"/>
  <c r="J338"/>
  <c r="B338"/>
  <c r="A338"/>
  <c r="P337"/>
  <c r="N337"/>
  <c r="M337"/>
  <c r="L337"/>
  <c r="K337"/>
  <c r="J337"/>
  <c r="B337"/>
  <c r="A337"/>
  <c r="P336"/>
  <c r="N336"/>
  <c r="M336"/>
  <c r="L336"/>
  <c r="K336"/>
  <c r="J336"/>
  <c r="B336"/>
  <c r="A336"/>
  <c r="P335"/>
  <c r="N335"/>
  <c r="M335"/>
  <c r="L335"/>
  <c r="K335"/>
  <c r="J335"/>
  <c r="B335"/>
  <c r="A335"/>
  <c r="P334"/>
  <c r="N334"/>
  <c r="M334"/>
  <c r="L334"/>
  <c r="K334"/>
  <c r="J334"/>
  <c r="B334"/>
  <c r="A334"/>
  <c r="P333"/>
  <c r="N333"/>
  <c r="M333"/>
  <c r="L333"/>
  <c r="K333"/>
  <c r="J333"/>
  <c r="B333"/>
  <c r="A333"/>
  <c r="P332"/>
  <c r="N332"/>
  <c r="M332"/>
  <c r="L332"/>
  <c r="K332"/>
  <c r="J332"/>
  <c r="B332"/>
  <c r="A332"/>
  <c r="P331"/>
  <c r="N331"/>
  <c r="M331"/>
  <c r="L331"/>
  <c r="K331"/>
  <c r="J331"/>
  <c r="B331"/>
  <c r="A331"/>
  <c r="P330"/>
  <c r="N330"/>
  <c r="M330"/>
  <c r="L330"/>
  <c r="K330"/>
  <c r="J330"/>
  <c r="B330"/>
  <c r="A330"/>
  <c r="P329"/>
  <c r="N329"/>
  <c r="M329"/>
  <c r="L329"/>
  <c r="K329"/>
  <c r="J329"/>
  <c r="B329"/>
  <c r="A329"/>
  <c r="P328"/>
  <c r="N328"/>
  <c r="M328"/>
  <c r="L328"/>
  <c r="K328"/>
  <c r="J328"/>
  <c r="B328"/>
  <c r="A328"/>
  <c r="P327"/>
  <c r="N327"/>
  <c r="M327"/>
  <c r="L327"/>
  <c r="K327"/>
  <c r="J327"/>
  <c r="B327"/>
  <c r="A327"/>
  <c r="P326"/>
  <c r="N326"/>
  <c r="M326"/>
  <c r="L326"/>
  <c r="K326"/>
  <c r="J326"/>
  <c r="B326"/>
  <c r="A326"/>
  <c r="P325"/>
  <c r="N325"/>
  <c r="M325"/>
  <c r="L325"/>
  <c r="K325"/>
  <c r="J325"/>
  <c r="B325"/>
  <c r="A325"/>
  <c r="P324"/>
  <c r="N324"/>
  <c r="M324"/>
  <c r="L324"/>
  <c r="K324"/>
  <c r="J324"/>
  <c r="B324"/>
  <c r="A324"/>
  <c r="P323"/>
  <c r="N323"/>
  <c r="M323"/>
  <c r="L323"/>
  <c r="K323"/>
  <c r="J323"/>
  <c r="B323"/>
  <c r="A323"/>
  <c r="P322"/>
  <c r="N322"/>
  <c r="M322"/>
  <c r="L322"/>
  <c r="K322"/>
  <c r="J322"/>
  <c r="B322"/>
  <c r="A322"/>
  <c r="P321"/>
  <c r="N321"/>
  <c r="M321"/>
  <c r="L321"/>
  <c r="K321"/>
  <c r="J321"/>
  <c r="B321"/>
  <c r="A321"/>
  <c r="P320"/>
  <c r="N320"/>
  <c r="M320"/>
  <c r="L320"/>
  <c r="K320"/>
  <c r="J320"/>
  <c r="B320"/>
  <c r="A320"/>
  <c r="P319"/>
  <c r="N319"/>
  <c r="M319"/>
  <c r="L319"/>
  <c r="K319"/>
  <c r="J319"/>
  <c r="B319"/>
  <c r="A319"/>
  <c r="P318"/>
  <c r="N318"/>
  <c r="M318"/>
  <c r="L318"/>
  <c r="K318"/>
  <c r="J318"/>
  <c r="B318"/>
  <c r="A318"/>
  <c r="P317"/>
  <c r="N317"/>
  <c r="M317"/>
  <c r="L317"/>
  <c r="K317"/>
  <c r="J317"/>
  <c r="B317"/>
  <c r="A317"/>
  <c r="P316"/>
  <c r="N316"/>
  <c r="M316"/>
  <c r="L316"/>
  <c r="K316"/>
  <c r="J316"/>
  <c r="B316"/>
  <c r="A316"/>
  <c r="P315"/>
  <c r="N315"/>
  <c r="M315"/>
  <c r="L315"/>
  <c r="K315"/>
  <c r="J315"/>
  <c r="B315"/>
  <c r="A315"/>
  <c r="P314"/>
  <c r="N314"/>
  <c r="M314"/>
  <c r="L314"/>
  <c r="K314"/>
  <c r="J314"/>
  <c r="B314"/>
  <c r="A314"/>
  <c r="P313"/>
  <c r="N313"/>
  <c r="M313"/>
  <c r="L313"/>
  <c r="K313"/>
  <c r="J313"/>
  <c r="B313"/>
  <c r="A313"/>
  <c r="P312"/>
  <c r="N312"/>
  <c r="M312"/>
  <c r="L312"/>
  <c r="K312"/>
  <c r="J312"/>
  <c r="B312"/>
  <c r="A312"/>
  <c r="P311"/>
  <c r="N311"/>
  <c r="M311"/>
  <c r="L311"/>
  <c r="K311"/>
  <c r="J311"/>
  <c r="B311"/>
  <c r="A311"/>
  <c r="P310"/>
  <c r="N310"/>
  <c r="M310"/>
  <c r="L310"/>
  <c r="K310"/>
  <c r="J310"/>
  <c r="B310"/>
  <c r="A310"/>
  <c r="P309"/>
  <c r="N309"/>
  <c r="M309"/>
  <c r="L309"/>
  <c r="K309"/>
  <c r="J309"/>
  <c r="B309"/>
  <c r="A309"/>
  <c r="P308"/>
  <c r="N308"/>
  <c r="M308"/>
  <c r="L308"/>
  <c r="K308"/>
  <c r="J308"/>
  <c r="B308"/>
  <c r="A308"/>
  <c r="P307"/>
  <c r="N307"/>
  <c r="M307"/>
  <c r="L307"/>
  <c r="K307"/>
  <c r="J307"/>
  <c r="B307"/>
  <c r="A307"/>
  <c r="P306"/>
  <c r="N306"/>
  <c r="M306"/>
  <c r="L306"/>
  <c r="K306"/>
  <c r="J306"/>
  <c r="B306"/>
  <c r="A306"/>
  <c r="P305"/>
  <c r="N305"/>
  <c r="M305"/>
  <c r="L305"/>
  <c r="K305"/>
  <c r="J305"/>
  <c r="B305"/>
  <c r="A305"/>
  <c r="P304"/>
  <c r="N304"/>
  <c r="M304"/>
  <c r="L304"/>
  <c r="K304"/>
  <c r="J304"/>
  <c r="B304"/>
  <c r="A304"/>
  <c r="P303"/>
  <c r="N303"/>
  <c r="M303"/>
  <c r="L303"/>
  <c r="K303"/>
  <c r="J303"/>
  <c r="B303"/>
  <c r="A303"/>
  <c r="P302"/>
  <c r="N302"/>
  <c r="M302"/>
  <c r="L302"/>
  <c r="K302"/>
  <c r="J302"/>
  <c r="B302"/>
  <c r="A302"/>
  <c r="P301"/>
  <c r="N301"/>
  <c r="M301"/>
  <c r="L301"/>
  <c r="K301"/>
  <c r="J301"/>
  <c r="B301"/>
  <c r="A301"/>
  <c r="P300"/>
  <c r="N300"/>
  <c r="M300"/>
  <c r="L300"/>
  <c r="K300"/>
  <c r="J300"/>
  <c r="B300"/>
  <c r="A300"/>
  <c r="P299"/>
  <c r="N299"/>
  <c r="M299"/>
  <c r="L299"/>
  <c r="K299"/>
  <c r="J299"/>
  <c r="B299"/>
  <c r="A299"/>
  <c r="P298"/>
  <c r="N298"/>
  <c r="M298"/>
  <c r="L298"/>
  <c r="K298"/>
  <c r="J298"/>
  <c r="B298"/>
  <c r="A298"/>
  <c r="P297"/>
  <c r="N297"/>
  <c r="M297"/>
  <c r="L297"/>
  <c r="K297"/>
  <c r="J297"/>
  <c r="B297"/>
  <c r="A297"/>
  <c r="P296"/>
  <c r="N296"/>
  <c r="M296"/>
  <c r="L296"/>
  <c r="K296"/>
  <c r="J296"/>
  <c r="B296"/>
  <c r="A296"/>
  <c r="P295"/>
  <c r="N295"/>
  <c r="M295"/>
  <c r="L295"/>
  <c r="K295"/>
  <c r="J295"/>
  <c r="B295"/>
  <c r="A295"/>
  <c r="P294"/>
  <c r="N294"/>
  <c r="M294"/>
  <c r="L294"/>
  <c r="K294"/>
  <c r="J294"/>
  <c r="B294"/>
  <c r="A294"/>
  <c r="P293"/>
  <c r="N293"/>
  <c r="M293"/>
  <c r="L293"/>
  <c r="K293"/>
  <c r="J293"/>
  <c r="B293"/>
  <c r="A293"/>
  <c r="P292"/>
  <c r="N292"/>
  <c r="M292"/>
  <c r="L292"/>
  <c r="K292"/>
  <c r="J292"/>
  <c r="B292"/>
  <c r="A292"/>
  <c r="P291"/>
  <c r="N291"/>
  <c r="M291"/>
  <c r="L291"/>
  <c r="K291"/>
  <c r="J291"/>
  <c r="B291"/>
  <c r="A291"/>
  <c r="P290"/>
  <c r="N290"/>
  <c r="M290"/>
  <c r="L290"/>
  <c r="K290"/>
  <c r="J290"/>
  <c r="B290"/>
  <c r="A290"/>
  <c r="P289"/>
  <c r="N289"/>
  <c r="M289"/>
  <c r="L289"/>
  <c r="K289"/>
  <c r="J289"/>
  <c r="B289"/>
  <c r="A289"/>
  <c r="P288"/>
  <c r="N288"/>
  <c r="M288"/>
  <c r="L288"/>
  <c r="K288"/>
  <c r="J288"/>
  <c r="B288"/>
  <c r="A288"/>
  <c r="P287"/>
  <c r="N287"/>
  <c r="M287"/>
  <c r="L287"/>
  <c r="K287"/>
  <c r="J287"/>
  <c r="B287"/>
  <c r="A287"/>
  <c r="P286"/>
  <c r="N286"/>
  <c r="M286"/>
  <c r="L286"/>
  <c r="K286"/>
  <c r="J286"/>
  <c r="B286"/>
  <c r="A286"/>
  <c r="P285"/>
  <c r="N285"/>
  <c r="M285"/>
  <c r="L285"/>
  <c r="K285"/>
  <c r="J285"/>
  <c r="B285"/>
  <c r="A285"/>
  <c r="P284"/>
  <c r="N284"/>
  <c r="M284"/>
  <c r="L284"/>
  <c r="K284"/>
  <c r="J284"/>
  <c r="B284"/>
  <c r="A284"/>
  <c r="P283"/>
  <c r="N283"/>
  <c r="M283"/>
  <c r="L283"/>
  <c r="K283"/>
  <c r="J283"/>
  <c r="B283"/>
  <c r="A283"/>
  <c r="P282"/>
  <c r="N282"/>
  <c r="M282"/>
  <c r="L282"/>
  <c r="K282"/>
  <c r="J282"/>
  <c r="B282"/>
  <c r="A282"/>
  <c r="P281"/>
  <c r="N281"/>
  <c r="M281"/>
  <c r="L281"/>
  <c r="K281"/>
  <c r="J281"/>
  <c r="B281"/>
  <c r="A281"/>
  <c r="P280"/>
  <c r="N280"/>
  <c r="M280"/>
  <c r="L280"/>
  <c r="K280"/>
  <c r="J280"/>
  <c r="B280"/>
  <c r="A280"/>
  <c r="P279"/>
  <c r="N279"/>
  <c r="M279"/>
  <c r="L279"/>
  <c r="K279"/>
  <c r="J279"/>
  <c r="B279"/>
  <c r="A279"/>
  <c r="P278"/>
  <c r="N278"/>
  <c r="M278"/>
  <c r="L278"/>
  <c r="K278"/>
  <c r="J278"/>
  <c r="B278"/>
  <c r="A278"/>
  <c r="P277"/>
  <c r="N277"/>
  <c r="M277"/>
  <c r="L277"/>
  <c r="K277"/>
  <c r="J277"/>
  <c r="B277"/>
  <c r="A277"/>
  <c r="P276"/>
  <c r="N276"/>
  <c r="M276"/>
  <c r="L276"/>
  <c r="K276"/>
  <c r="J276"/>
  <c r="B276"/>
  <c r="A276"/>
  <c r="P275"/>
  <c r="N275"/>
  <c r="M275"/>
  <c r="L275"/>
  <c r="K275"/>
  <c r="J275"/>
  <c r="B275"/>
  <c r="A275"/>
  <c r="P274"/>
  <c r="N274"/>
  <c r="M274"/>
  <c r="L274"/>
  <c r="K274"/>
  <c r="J274"/>
  <c r="B274"/>
  <c r="A274"/>
  <c r="P273"/>
  <c r="N273"/>
  <c r="M273"/>
  <c r="L273"/>
  <c r="K273"/>
  <c r="J273"/>
  <c r="B273"/>
  <c r="A273"/>
  <c r="P272"/>
  <c r="N272"/>
  <c r="M272"/>
  <c r="L272"/>
  <c r="K272"/>
  <c r="J272"/>
  <c r="B272"/>
  <c r="A272"/>
  <c r="P271"/>
  <c r="N271"/>
  <c r="M271"/>
  <c r="L271"/>
  <c r="K271"/>
  <c r="J271"/>
  <c r="B271"/>
  <c r="A271"/>
  <c r="P270"/>
  <c r="N270"/>
  <c r="M270"/>
  <c r="L270"/>
  <c r="K270"/>
  <c r="J270"/>
  <c r="B270"/>
  <c r="A270"/>
  <c r="P269"/>
  <c r="N269"/>
  <c r="M269"/>
  <c r="L269"/>
  <c r="K269"/>
  <c r="J269"/>
  <c r="B269"/>
  <c r="A269"/>
  <c r="P268"/>
  <c r="N268"/>
  <c r="M268"/>
  <c r="L268"/>
  <c r="K268"/>
  <c r="J268"/>
  <c r="B268"/>
  <c r="A268"/>
  <c r="P267"/>
  <c r="N267"/>
  <c r="M267"/>
  <c r="L267"/>
  <c r="K267"/>
  <c r="J267"/>
  <c r="B267"/>
  <c r="A267"/>
  <c r="P266"/>
  <c r="N266"/>
  <c r="M266"/>
  <c r="L266"/>
  <c r="K266"/>
  <c r="J266"/>
  <c r="B266"/>
  <c r="A266"/>
  <c r="P265"/>
  <c r="N265"/>
  <c r="M265"/>
  <c r="L265"/>
  <c r="K265"/>
  <c r="J265"/>
  <c r="B265"/>
  <c r="A265"/>
  <c r="P264"/>
  <c r="N264"/>
  <c r="M264"/>
  <c r="L264"/>
  <c r="K264"/>
  <c r="J264"/>
  <c r="B264"/>
  <c r="A264"/>
  <c r="P263"/>
  <c r="N263"/>
  <c r="M263"/>
  <c r="L263"/>
  <c r="K263"/>
  <c r="J263"/>
  <c r="B263"/>
  <c r="A263"/>
  <c r="P262"/>
  <c r="N262"/>
  <c r="M262"/>
  <c r="L262"/>
  <c r="K262"/>
  <c r="J262"/>
  <c r="B262"/>
  <c r="A262"/>
  <c r="P261"/>
  <c r="N261"/>
  <c r="M261"/>
  <c r="L261"/>
  <c r="K261"/>
  <c r="J261"/>
  <c r="B261"/>
  <c r="A261"/>
  <c r="P260"/>
  <c r="N260"/>
  <c r="M260"/>
  <c r="L260"/>
  <c r="K260"/>
  <c r="J260"/>
  <c r="B260"/>
  <c r="A260"/>
  <c r="P259"/>
  <c r="N259"/>
  <c r="M259"/>
  <c r="L259"/>
  <c r="K259"/>
  <c r="J259"/>
  <c r="B259"/>
  <c r="A259"/>
  <c r="P258"/>
  <c r="N258"/>
  <c r="M258"/>
  <c r="L258"/>
  <c r="K258"/>
  <c r="J258"/>
  <c r="B258"/>
  <c r="A258"/>
  <c r="P257"/>
  <c r="N257"/>
  <c r="M257"/>
  <c r="L257"/>
  <c r="K257"/>
  <c r="J257"/>
  <c r="B257"/>
  <c r="A257"/>
  <c r="P256"/>
  <c r="N256"/>
  <c r="M256"/>
  <c r="L256"/>
  <c r="K256"/>
  <c r="J256"/>
  <c r="B256"/>
  <c r="A256"/>
  <c r="P255"/>
  <c r="N255"/>
  <c r="M255"/>
  <c r="L255"/>
  <c r="K255"/>
  <c r="J255"/>
  <c r="B255"/>
  <c r="A255"/>
  <c r="P254"/>
  <c r="N254"/>
  <c r="M254"/>
  <c r="L254"/>
  <c r="K254"/>
  <c r="J254"/>
  <c r="B254"/>
  <c r="A254"/>
  <c r="P253"/>
  <c r="N253"/>
  <c r="M253"/>
  <c r="L253"/>
  <c r="K253"/>
  <c r="J253"/>
  <c r="B253"/>
  <c r="A253"/>
  <c r="P252"/>
  <c r="N252"/>
  <c r="M252"/>
  <c r="L252"/>
  <c r="K252"/>
  <c r="J252"/>
  <c r="B252"/>
  <c r="A252"/>
  <c r="P251"/>
  <c r="N251"/>
  <c r="M251"/>
  <c r="L251"/>
  <c r="K251"/>
  <c r="J251"/>
  <c r="B251"/>
  <c r="A251"/>
  <c r="P250"/>
  <c r="N250"/>
  <c r="M250"/>
  <c r="L250"/>
  <c r="K250"/>
  <c r="J250"/>
  <c r="B250"/>
  <c r="A250"/>
  <c r="P249"/>
  <c r="N249"/>
  <c r="M249"/>
  <c r="L249"/>
  <c r="K249"/>
  <c r="J249"/>
  <c r="B249"/>
  <c r="A249"/>
  <c r="P248"/>
  <c r="N248"/>
  <c r="M248"/>
  <c r="L248"/>
  <c r="K248"/>
  <c r="J248"/>
  <c r="B248"/>
  <c r="A248"/>
  <c r="P247"/>
  <c r="N247"/>
  <c r="M247"/>
  <c r="L247"/>
  <c r="K247"/>
  <c r="J247"/>
  <c r="B247"/>
  <c r="A247"/>
  <c r="P246"/>
  <c r="N246"/>
  <c r="M246"/>
  <c r="L246"/>
  <c r="K246"/>
  <c r="J246"/>
  <c r="B246"/>
  <c r="A246"/>
  <c r="P245"/>
  <c r="N245"/>
  <c r="M245"/>
  <c r="L245"/>
  <c r="K245"/>
  <c r="J245"/>
  <c r="B245"/>
  <c r="A245"/>
  <c r="P244"/>
  <c r="N244"/>
  <c r="M244"/>
  <c r="L244"/>
  <c r="K244"/>
  <c r="J244"/>
  <c r="B244"/>
  <c r="A244"/>
  <c r="P243"/>
  <c r="N243"/>
  <c r="M243"/>
  <c r="L243"/>
  <c r="K243"/>
  <c r="J243"/>
  <c r="B243"/>
  <c r="A243"/>
  <c r="P242"/>
  <c r="N242"/>
  <c r="M242"/>
  <c r="L242"/>
  <c r="K242"/>
  <c r="J242"/>
  <c r="B242"/>
  <c r="A242"/>
  <c r="P241"/>
  <c r="N241"/>
  <c r="M241"/>
  <c r="L241"/>
  <c r="K241"/>
  <c r="J241"/>
  <c r="B241"/>
  <c r="A241"/>
  <c r="P240"/>
  <c r="N240"/>
  <c r="M240"/>
  <c r="L240"/>
  <c r="K240"/>
  <c r="J240"/>
  <c r="B240"/>
  <c r="A240"/>
  <c r="P239"/>
  <c r="N239"/>
  <c r="M239"/>
  <c r="L239"/>
  <c r="K239"/>
  <c r="J239"/>
  <c r="B239"/>
  <c r="A239"/>
  <c r="P238"/>
  <c r="N238"/>
  <c r="M238"/>
  <c r="L238"/>
  <c r="K238"/>
  <c r="J238"/>
  <c r="B238"/>
  <c r="A238"/>
  <c r="P237"/>
  <c r="N237"/>
  <c r="M237"/>
  <c r="L237"/>
  <c r="K237"/>
  <c r="J237"/>
  <c r="B237"/>
  <c r="A237"/>
  <c r="P236"/>
  <c r="N236"/>
  <c r="M236"/>
  <c r="L236"/>
  <c r="K236"/>
  <c r="J236"/>
  <c r="B236"/>
  <c r="A236"/>
  <c r="P235"/>
  <c r="N235"/>
  <c r="M235"/>
  <c r="L235"/>
  <c r="K235"/>
  <c r="J235"/>
  <c r="B235"/>
  <c r="A235"/>
  <c r="P234"/>
  <c r="N234"/>
  <c r="M234"/>
  <c r="L234"/>
  <c r="K234"/>
  <c r="J234"/>
  <c r="B234"/>
  <c r="A234"/>
  <c r="P233"/>
  <c r="N233"/>
  <c r="M233"/>
  <c r="L233"/>
  <c r="K233"/>
  <c r="J233"/>
  <c r="B233"/>
  <c r="A233"/>
  <c r="P232"/>
  <c r="N232"/>
  <c r="M232"/>
  <c r="L232"/>
  <c r="K232"/>
  <c r="J232"/>
  <c r="B232"/>
  <c r="A232"/>
  <c r="P231"/>
  <c r="N231"/>
  <c r="M231"/>
  <c r="L231"/>
  <c r="K231"/>
  <c r="J231"/>
  <c r="B231"/>
  <c r="A231"/>
  <c r="P230"/>
  <c r="N230"/>
  <c r="M230"/>
  <c r="L230"/>
  <c r="K230"/>
  <c r="J230"/>
  <c r="B230"/>
  <c r="A230"/>
  <c r="P229"/>
  <c r="N229"/>
  <c r="M229"/>
  <c r="L229"/>
  <c r="K229"/>
  <c r="J229"/>
  <c r="B229"/>
  <c r="A229"/>
  <c r="P228"/>
  <c r="N228"/>
  <c r="M228"/>
  <c r="L228"/>
  <c r="K228"/>
  <c r="J228"/>
  <c r="B228"/>
  <c r="A228"/>
  <c r="P227"/>
  <c r="N227"/>
  <c r="M227"/>
  <c r="L227"/>
  <c r="K227"/>
  <c r="J227"/>
  <c r="B227"/>
  <c r="A227"/>
  <c r="P226"/>
  <c r="N226"/>
  <c r="M226"/>
  <c r="L226"/>
  <c r="K226"/>
  <c r="J226"/>
  <c r="B226"/>
  <c r="A226"/>
  <c r="P225"/>
  <c r="N225"/>
  <c r="M225"/>
  <c r="L225"/>
  <c r="K225"/>
  <c r="J225"/>
  <c r="B225"/>
  <c r="A225"/>
  <c r="P224"/>
  <c r="N224"/>
  <c r="M224"/>
  <c r="L224"/>
  <c r="K224"/>
  <c r="J224"/>
  <c r="B224"/>
  <c r="A224"/>
  <c r="P223"/>
  <c r="N223"/>
  <c r="M223"/>
  <c r="L223"/>
  <c r="K223"/>
  <c r="J223"/>
  <c r="B223"/>
  <c r="A223"/>
  <c r="P222"/>
  <c r="N222"/>
  <c r="M222"/>
  <c r="L222"/>
  <c r="K222"/>
  <c r="J222"/>
  <c r="B222"/>
  <c r="A222"/>
  <c r="P221"/>
  <c r="N221"/>
  <c r="M221"/>
  <c r="L221"/>
  <c r="K221"/>
  <c r="J221"/>
  <c r="B221"/>
  <c r="A221"/>
  <c r="P220"/>
  <c r="N220"/>
  <c r="M220"/>
  <c r="L220"/>
  <c r="K220"/>
  <c r="J220"/>
  <c r="B220"/>
  <c r="A220"/>
  <c r="P219"/>
  <c r="N219"/>
  <c r="M219"/>
  <c r="L219"/>
  <c r="K219"/>
  <c r="J219"/>
  <c r="B219"/>
  <c r="A219"/>
  <c r="P218"/>
  <c r="N218"/>
  <c r="M218"/>
  <c r="L218"/>
  <c r="K218"/>
  <c r="J218"/>
  <c r="B218"/>
  <c r="A218"/>
  <c r="P217"/>
  <c r="N217"/>
  <c r="M217"/>
  <c r="L217"/>
  <c r="K217"/>
  <c r="J217"/>
  <c r="B217"/>
  <c r="A217"/>
  <c r="P216"/>
  <c r="N216"/>
  <c r="M216"/>
  <c r="L216"/>
  <c r="K216"/>
  <c r="J216"/>
  <c r="B216"/>
  <c r="A216"/>
  <c r="P215"/>
  <c r="N215"/>
  <c r="M215"/>
  <c r="L215"/>
  <c r="K215"/>
  <c r="J215"/>
  <c r="B215"/>
  <c r="A215"/>
  <c r="P214"/>
  <c r="N214"/>
  <c r="M214"/>
  <c r="L214"/>
  <c r="K214"/>
  <c r="J214"/>
  <c r="B214"/>
  <c r="A214"/>
  <c r="P213"/>
  <c r="N213"/>
  <c r="M213"/>
  <c r="L213"/>
  <c r="K213"/>
  <c r="J213"/>
  <c r="B213"/>
  <c r="A213"/>
  <c r="P212"/>
  <c r="N212"/>
  <c r="M212"/>
  <c r="L212"/>
  <c r="K212"/>
  <c r="J212"/>
  <c r="B212"/>
  <c r="A212"/>
  <c r="P211"/>
  <c r="N211"/>
  <c r="M211"/>
  <c r="L211"/>
  <c r="K211"/>
  <c r="J211"/>
  <c r="B211"/>
  <c r="A211"/>
  <c r="P210"/>
  <c r="N210"/>
  <c r="M210"/>
  <c r="L210"/>
  <c r="K210"/>
  <c r="J210"/>
  <c r="B210"/>
  <c r="A210"/>
  <c r="P209"/>
  <c r="N209"/>
  <c r="M209"/>
  <c r="L209"/>
  <c r="K209"/>
  <c r="J209"/>
  <c r="B209"/>
  <c r="A209"/>
  <c r="P208"/>
  <c r="N208"/>
  <c r="M208"/>
  <c r="L208"/>
  <c r="K208"/>
  <c r="J208"/>
  <c r="B208"/>
  <c r="A208"/>
  <c r="P207"/>
  <c r="N207"/>
  <c r="M207"/>
  <c r="L207"/>
  <c r="K207"/>
  <c r="J207"/>
  <c r="B207"/>
  <c r="A207"/>
  <c r="P206"/>
  <c r="N206"/>
  <c r="M206"/>
  <c r="L206"/>
  <c r="K206"/>
  <c r="J206"/>
  <c r="B206"/>
  <c r="A206"/>
  <c r="P205"/>
  <c r="N205"/>
  <c r="M205"/>
  <c r="L205"/>
  <c r="K205"/>
  <c r="J205"/>
  <c r="B205"/>
  <c r="A205"/>
  <c r="P204"/>
  <c r="N204"/>
  <c r="M204"/>
  <c r="L204"/>
  <c r="K204"/>
  <c r="J204"/>
  <c r="B204"/>
  <c r="A204"/>
  <c r="P203"/>
  <c r="N203"/>
  <c r="M203"/>
  <c r="L203"/>
  <c r="K203"/>
  <c r="J203"/>
  <c r="B203"/>
  <c r="A203"/>
  <c r="P202"/>
  <c r="N202"/>
  <c r="M202"/>
  <c r="L202"/>
  <c r="K202"/>
  <c r="J202"/>
  <c r="B202"/>
  <c r="A202"/>
  <c r="P201"/>
  <c r="N201"/>
  <c r="M201"/>
  <c r="L201"/>
  <c r="K201"/>
  <c r="J201"/>
  <c r="B201"/>
  <c r="A201"/>
  <c r="P200"/>
  <c r="N200"/>
  <c r="M200"/>
  <c r="L200"/>
  <c r="K200"/>
  <c r="J200"/>
  <c r="B200"/>
  <c r="A200"/>
  <c r="P199"/>
  <c r="N199"/>
  <c r="M199"/>
  <c r="L199"/>
  <c r="K199"/>
  <c r="J199"/>
  <c r="B199"/>
  <c r="A199"/>
  <c r="P198"/>
  <c r="N198"/>
  <c r="M198"/>
  <c r="L198"/>
  <c r="K198"/>
  <c r="J198"/>
  <c r="B198"/>
  <c r="A198"/>
  <c r="P197"/>
  <c r="N197"/>
  <c r="M197"/>
  <c r="L197"/>
  <c r="K197"/>
  <c r="J197"/>
  <c r="B197"/>
  <c r="A197"/>
  <c r="P196"/>
  <c r="N196"/>
  <c r="M196"/>
  <c r="L196"/>
  <c r="K196"/>
  <c r="J196"/>
  <c r="B196"/>
  <c r="A196"/>
  <c r="P195"/>
  <c r="N195"/>
  <c r="M195"/>
  <c r="L195"/>
  <c r="K195"/>
  <c r="J195"/>
  <c r="B195"/>
  <c r="A195"/>
  <c r="P194"/>
  <c r="N194"/>
  <c r="M194"/>
  <c r="L194"/>
  <c r="K194"/>
  <c r="J194"/>
  <c r="B194"/>
  <c r="A194"/>
  <c r="P193"/>
  <c r="N193"/>
  <c r="M193"/>
  <c r="L193"/>
  <c r="K193"/>
  <c r="J193"/>
  <c r="B193"/>
  <c r="A193"/>
  <c r="P192"/>
  <c r="N192"/>
  <c r="M192"/>
  <c r="L192"/>
  <c r="K192"/>
  <c r="J192"/>
  <c r="B192"/>
  <c r="A192"/>
  <c r="P191"/>
  <c r="N191"/>
  <c r="M191"/>
  <c r="L191"/>
  <c r="K191"/>
  <c r="J191"/>
  <c r="B191"/>
  <c r="A191"/>
  <c r="P190"/>
  <c r="N190"/>
  <c r="M190"/>
  <c r="L190"/>
  <c r="K190"/>
  <c r="J190"/>
  <c r="B190"/>
  <c r="A190"/>
  <c r="P189"/>
  <c r="N189"/>
  <c r="M189"/>
  <c r="L189"/>
  <c r="K189"/>
  <c r="J189"/>
  <c r="B189"/>
  <c r="A189"/>
  <c r="P188"/>
  <c r="N188"/>
  <c r="M188"/>
  <c r="L188"/>
  <c r="K188"/>
  <c r="J188"/>
  <c r="B188"/>
  <c r="A188"/>
  <c r="P187"/>
  <c r="N187"/>
  <c r="M187"/>
  <c r="L187"/>
  <c r="K187"/>
  <c r="J187"/>
  <c r="B187"/>
  <c r="A187"/>
  <c r="P186"/>
  <c r="N186"/>
  <c r="M186"/>
  <c r="L186"/>
  <c r="K186"/>
  <c r="J186"/>
  <c r="B186"/>
  <c r="A186"/>
  <c r="P185"/>
  <c r="N185"/>
  <c r="M185"/>
  <c r="L185"/>
  <c r="K185"/>
  <c r="J185"/>
  <c r="B185"/>
  <c r="A185"/>
  <c r="P184"/>
  <c r="N184"/>
  <c r="M184"/>
  <c r="L184"/>
  <c r="K184"/>
  <c r="J184"/>
  <c r="B184"/>
  <c r="A184"/>
  <c r="P183"/>
  <c r="N183"/>
  <c r="M183"/>
  <c r="L183"/>
  <c r="K183"/>
  <c r="J183"/>
  <c r="B183"/>
  <c r="A183"/>
  <c r="P182"/>
  <c r="N182"/>
  <c r="M182"/>
  <c r="L182"/>
  <c r="K182"/>
  <c r="J182"/>
  <c r="B182"/>
  <c r="A182"/>
  <c r="P181"/>
  <c r="N181"/>
  <c r="M181"/>
  <c r="L181"/>
  <c r="K181"/>
  <c r="J181"/>
  <c r="B181"/>
  <c r="A181"/>
  <c r="P180"/>
  <c r="N180"/>
  <c r="M180"/>
  <c r="L180"/>
  <c r="K180"/>
  <c r="J180"/>
  <c r="B180"/>
  <c r="A180"/>
  <c r="P179"/>
  <c r="N179"/>
  <c r="M179"/>
  <c r="L179"/>
  <c r="K179"/>
  <c r="J179"/>
  <c r="B179"/>
  <c r="A179"/>
  <c r="P178"/>
  <c r="N178"/>
  <c r="M178"/>
  <c r="L178"/>
  <c r="K178"/>
  <c r="J178"/>
  <c r="B178"/>
  <c r="A178"/>
  <c r="P177"/>
  <c r="N177"/>
  <c r="M177"/>
  <c r="L177"/>
  <c r="K177"/>
  <c r="J177"/>
  <c r="B177"/>
  <c r="A177"/>
  <c r="P176"/>
  <c r="N176"/>
  <c r="M176"/>
  <c r="L176"/>
  <c r="K176"/>
  <c r="J176"/>
  <c r="B176"/>
  <c r="A176"/>
  <c r="P175"/>
  <c r="N175"/>
  <c r="M175"/>
  <c r="L175"/>
  <c r="K175"/>
  <c r="J175"/>
  <c r="B175"/>
  <c r="A175"/>
  <c r="P174"/>
  <c r="N174"/>
  <c r="M174"/>
  <c r="L174"/>
  <c r="K174"/>
  <c r="J174"/>
  <c r="B174"/>
  <c r="A174"/>
  <c r="P173"/>
  <c r="N173"/>
  <c r="M173"/>
  <c r="L173"/>
  <c r="K173"/>
  <c r="J173"/>
  <c r="B173"/>
  <c r="A173"/>
  <c r="P172"/>
  <c r="N172"/>
  <c r="M172"/>
  <c r="L172"/>
  <c r="K172"/>
  <c r="J172"/>
  <c r="B172"/>
  <c r="A172"/>
  <c r="P171"/>
  <c r="N171"/>
  <c r="M171"/>
  <c r="L171"/>
  <c r="K171"/>
  <c r="J171"/>
  <c r="B171"/>
  <c r="A171"/>
  <c r="P170"/>
  <c r="N170"/>
  <c r="M170"/>
  <c r="L170"/>
  <c r="K170"/>
  <c r="J170"/>
  <c r="B170"/>
  <c r="A170"/>
  <c r="P169"/>
  <c r="N169"/>
  <c r="M169"/>
  <c r="L169"/>
  <c r="K169"/>
  <c r="J169"/>
  <c r="B169"/>
  <c r="A169"/>
  <c r="P168"/>
  <c r="N168"/>
  <c r="M168"/>
  <c r="L168"/>
  <c r="K168"/>
  <c r="J168"/>
  <c r="B168"/>
  <c r="A168"/>
  <c r="P167"/>
  <c r="N167"/>
  <c r="M167"/>
  <c r="L167"/>
  <c r="K167"/>
  <c r="J167"/>
  <c r="B167"/>
  <c r="A167"/>
  <c r="P166"/>
  <c r="N166"/>
  <c r="M166"/>
  <c r="L166"/>
  <c r="K166"/>
  <c r="J166"/>
  <c r="B166"/>
  <c r="A166"/>
  <c r="P165"/>
  <c r="N165"/>
  <c r="M165"/>
  <c r="L165"/>
  <c r="K165"/>
  <c r="J165"/>
  <c r="B165"/>
  <c r="A165"/>
  <c r="P164"/>
  <c r="N164"/>
  <c r="M164"/>
  <c r="L164"/>
  <c r="K164"/>
  <c r="J164"/>
  <c r="B164"/>
  <c r="A164"/>
  <c r="P163"/>
  <c r="N163"/>
  <c r="M163"/>
  <c r="L163"/>
  <c r="K163"/>
  <c r="J163"/>
  <c r="B163"/>
  <c r="A163"/>
  <c r="P162"/>
  <c r="N162"/>
  <c r="M162"/>
  <c r="L162"/>
  <c r="K162"/>
  <c r="J162"/>
  <c r="B162"/>
  <c r="A162"/>
  <c r="P161"/>
  <c r="N161"/>
  <c r="M161"/>
  <c r="L161"/>
  <c r="K161"/>
  <c r="J161"/>
  <c r="B161"/>
  <c r="A161"/>
  <c r="P160"/>
  <c r="N160"/>
  <c r="M160"/>
  <c r="L160"/>
  <c r="K160"/>
  <c r="J160"/>
  <c r="B160"/>
  <c r="A160"/>
  <c r="P159"/>
  <c r="N159"/>
  <c r="M159"/>
  <c r="L159"/>
  <c r="K159"/>
  <c r="J159"/>
  <c r="B159"/>
  <c r="A159"/>
  <c r="P158"/>
  <c r="N158"/>
  <c r="M158"/>
  <c r="L158"/>
  <c r="K158"/>
  <c r="J158"/>
  <c r="B158"/>
  <c r="A158"/>
  <c r="P157"/>
  <c r="N157"/>
  <c r="M157"/>
  <c r="L157"/>
  <c r="K157"/>
  <c r="J157"/>
  <c r="B157"/>
  <c r="A157"/>
  <c r="P156"/>
  <c r="N156"/>
  <c r="M156"/>
  <c r="L156"/>
  <c r="K156"/>
  <c r="J156"/>
  <c r="B156"/>
  <c r="A156"/>
  <c r="P155"/>
  <c r="N155"/>
  <c r="M155"/>
  <c r="L155"/>
  <c r="K155"/>
  <c r="J155"/>
  <c r="B155"/>
  <c r="A155"/>
  <c r="P154"/>
  <c r="N154"/>
  <c r="M154"/>
  <c r="L154"/>
  <c r="K154"/>
  <c r="J154"/>
  <c r="B154"/>
  <c r="A154"/>
  <c r="P153"/>
  <c r="N153"/>
  <c r="M153"/>
  <c r="L153"/>
  <c r="K153"/>
  <c r="J153"/>
  <c r="B153"/>
  <c r="A153"/>
  <c r="P152"/>
  <c r="N152"/>
  <c r="M152"/>
  <c r="L152"/>
  <c r="K152"/>
  <c r="J152"/>
  <c r="B152"/>
  <c r="A152"/>
  <c r="P151"/>
  <c r="N151"/>
  <c r="M151"/>
  <c r="L151"/>
  <c r="K151"/>
  <c r="J151"/>
  <c r="B151"/>
  <c r="A151"/>
  <c r="P150"/>
  <c r="N150"/>
  <c r="M150"/>
  <c r="L150"/>
  <c r="K150"/>
  <c r="J150"/>
  <c r="B150"/>
  <c r="A150"/>
  <c r="P149"/>
  <c r="N149"/>
  <c r="M149"/>
  <c r="L149"/>
  <c r="K149"/>
  <c r="J149"/>
  <c r="B149"/>
  <c r="A149"/>
  <c r="P148"/>
  <c r="N148"/>
  <c r="M148"/>
  <c r="L148"/>
  <c r="K148"/>
  <c r="J148"/>
  <c r="B148"/>
  <c r="A148"/>
  <c r="P147"/>
  <c r="N147"/>
  <c r="M147"/>
  <c r="L147"/>
  <c r="K147"/>
  <c r="J147"/>
  <c r="B147"/>
  <c r="A147"/>
  <c r="P146"/>
  <c r="N146"/>
  <c r="M146"/>
  <c r="L146"/>
  <c r="K146"/>
  <c r="J146"/>
  <c r="B146"/>
  <c r="A146"/>
  <c r="P145"/>
  <c r="N145"/>
  <c r="M145"/>
  <c r="L145"/>
  <c r="K145"/>
  <c r="J145"/>
  <c r="B145"/>
  <c r="A145"/>
  <c r="P144"/>
  <c r="N144"/>
  <c r="M144"/>
  <c r="L144"/>
  <c r="K144"/>
  <c r="J144"/>
  <c r="B144"/>
  <c r="A144"/>
  <c r="P143"/>
  <c r="N143"/>
  <c r="M143"/>
  <c r="L143"/>
  <c r="K143"/>
  <c r="J143"/>
  <c r="B143"/>
  <c r="A143"/>
  <c r="P142"/>
  <c r="N142"/>
  <c r="M142"/>
  <c r="L142"/>
  <c r="K142"/>
  <c r="J142"/>
  <c r="B142"/>
  <c r="A142"/>
  <c r="P141"/>
  <c r="N141"/>
  <c r="M141"/>
  <c r="L141"/>
  <c r="K141"/>
  <c r="J141"/>
  <c r="B141"/>
  <c r="A141"/>
  <c r="P140"/>
  <c r="N140"/>
  <c r="M140"/>
  <c r="L140"/>
  <c r="K140"/>
  <c r="J140"/>
  <c r="B140"/>
  <c r="A140"/>
  <c r="P139"/>
  <c r="N139"/>
  <c r="M139"/>
  <c r="L139"/>
  <c r="K139"/>
  <c r="J139"/>
  <c r="B139"/>
  <c r="A139"/>
  <c r="P138"/>
  <c r="N138"/>
  <c r="M138"/>
  <c r="L138"/>
  <c r="K138"/>
  <c r="J138"/>
  <c r="B138"/>
  <c r="A138"/>
  <c r="P137"/>
  <c r="N137"/>
  <c r="M137"/>
  <c r="L137"/>
  <c r="K137"/>
  <c r="J137"/>
  <c r="B137"/>
  <c r="A137"/>
  <c r="P136"/>
  <c r="N136"/>
  <c r="M136"/>
  <c r="L136"/>
  <c r="K136"/>
  <c r="J136"/>
  <c r="B136"/>
  <c r="A136"/>
  <c r="P135"/>
  <c r="N135"/>
  <c r="M135"/>
  <c r="L135"/>
  <c r="K135"/>
  <c r="J135"/>
  <c r="B135"/>
  <c r="A135"/>
  <c r="P134"/>
  <c r="N134"/>
  <c r="M134"/>
  <c r="L134"/>
  <c r="K134"/>
  <c r="J134"/>
  <c r="B134"/>
  <c r="A134"/>
  <c r="P133"/>
  <c r="N133"/>
  <c r="M133"/>
  <c r="L133"/>
  <c r="K133"/>
  <c r="J133"/>
  <c r="B133"/>
  <c r="A133"/>
  <c r="P132"/>
  <c r="N132"/>
  <c r="M132"/>
  <c r="L132"/>
  <c r="K132"/>
  <c r="J132"/>
  <c r="B132"/>
  <c r="A132"/>
  <c r="P131"/>
  <c r="N131"/>
  <c r="M131"/>
  <c r="L131"/>
  <c r="K131"/>
  <c r="J131"/>
  <c r="B131"/>
  <c r="A131"/>
  <c r="P130"/>
  <c r="N130"/>
  <c r="M130"/>
  <c r="L130"/>
  <c r="K130"/>
  <c r="J130"/>
  <c r="B130"/>
  <c r="A130"/>
  <c r="P129"/>
  <c r="N129"/>
  <c r="M129"/>
  <c r="L129"/>
  <c r="K129"/>
  <c r="J129"/>
  <c r="B129"/>
  <c r="A129"/>
  <c r="P128"/>
  <c r="N128"/>
  <c r="M128"/>
  <c r="L128"/>
  <c r="K128"/>
  <c r="J128"/>
  <c r="B128"/>
  <c r="A128"/>
  <c r="P127"/>
  <c r="N127"/>
  <c r="M127"/>
  <c r="L127"/>
  <c r="K127"/>
  <c r="J127"/>
  <c r="B127"/>
  <c r="A127"/>
  <c r="P126"/>
  <c r="N126"/>
  <c r="M126"/>
  <c r="L126"/>
  <c r="K126"/>
  <c r="J126"/>
  <c r="B126"/>
  <c r="A126"/>
  <c r="P125"/>
  <c r="N125"/>
  <c r="M125"/>
  <c r="L125"/>
  <c r="K125"/>
  <c r="J125"/>
  <c r="B125"/>
  <c r="A125"/>
  <c r="P124"/>
  <c r="N124"/>
  <c r="M124"/>
  <c r="L124"/>
  <c r="K124"/>
  <c r="J124"/>
  <c r="B124"/>
  <c r="A124"/>
  <c r="P123"/>
  <c r="N123"/>
  <c r="M123"/>
  <c r="L123"/>
  <c r="K123"/>
  <c r="J123"/>
  <c r="B123"/>
  <c r="A123"/>
  <c r="P122"/>
  <c r="N122"/>
  <c r="M122"/>
  <c r="L122"/>
  <c r="K122"/>
  <c r="J122"/>
  <c r="B122"/>
  <c r="A122"/>
  <c r="P121"/>
  <c r="N121"/>
  <c r="M121"/>
  <c r="L121"/>
  <c r="K121"/>
  <c r="J121"/>
  <c r="B121"/>
  <c r="A121"/>
  <c r="P120"/>
  <c r="N120"/>
  <c r="M120"/>
  <c r="L120"/>
  <c r="K120"/>
  <c r="J120"/>
  <c r="B120"/>
  <c r="A120"/>
  <c r="P119"/>
  <c r="N119"/>
  <c r="M119"/>
  <c r="L119"/>
  <c r="K119"/>
  <c r="J119"/>
  <c r="B119"/>
  <c r="A119"/>
  <c r="P118"/>
  <c r="N118"/>
  <c r="M118"/>
  <c r="L118"/>
  <c r="K118"/>
  <c r="J118"/>
  <c r="B118"/>
  <c r="A118"/>
  <c r="P117"/>
  <c r="N117"/>
  <c r="M117"/>
  <c r="L117"/>
  <c r="K117"/>
  <c r="J117"/>
  <c r="B117"/>
  <c r="A117"/>
  <c r="P116"/>
  <c r="N116"/>
  <c r="M116"/>
  <c r="L116"/>
  <c r="K116"/>
  <c r="J116"/>
  <c r="B116"/>
  <c r="A116"/>
  <c r="P115"/>
  <c r="N115"/>
  <c r="M115"/>
  <c r="L115"/>
  <c r="K115"/>
  <c r="J115"/>
  <c r="B115"/>
  <c r="A115"/>
  <c r="P114"/>
  <c r="N114"/>
  <c r="M114"/>
  <c r="L114"/>
  <c r="K114"/>
  <c r="J114"/>
  <c r="B114"/>
  <c r="A114"/>
  <c r="P113"/>
  <c r="N113"/>
  <c r="M113"/>
  <c r="L113"/>
  <c r="K113"/>
  <c r="J113"/>
  <c r="B113"/>
  <c r="A113"/>
  <c r="P112"/>
  <c r="N112"/>
  <c r="M112"/>
  <c r="L112"/>
  <c r="K112"/>
  <c r="J112"/>
  <c r="B112"/>
  <c r="A112"/>
  <c r="P111"/>
  <c r="N111"/>
  <c r="M111"/>
  <c r="L111"/>
  <c r="K111"/>
  <c r="J111"/>
  <c r="B111"/>
  <c r="A111"/>
  <c r="P110"/>
  <c r="N110"/>
  <c r="M110"/>
  <c r="L110"/>
  <c r="K110"/>
  <c r="J110"/>
  <c r="B110"/>
  <c r="A110"/>
  <c r="P109"/>
  <c r="N109"/>
  <c r="M109"/>
  <c r="L109"/>
  <c r="K109"/>
  <c r="J109"/>
  <c r="B109"/>
  <c r="A109"/>
  <c r="P108"/>
  <c r="N108"/>
  <c r="M108"/>
  <c r="L108"/>
  <c r="K108"/>
  <c r="J108"/>
  <c r="B108"/>
  <c r="A108"/>
  <c r="P107"/>
  <c r="N107"/>
  <c r="M107"/>
  <c r="L107"/>
  <c r="K107"/>
  <c r="J107"/>
  <c r="B107"/>
  <c r="A107"/>
  <c r="P106"/>
  <c r="N106"/>
  <c r="M106"/>
  <c r="L106"/>
  <c r="K106"/>
  <c r="J106"/>
  <c r="B106"/>
  <c r="A106"/>
  <c r="P105"/>
  <c r="N105"/>
  <c r="M105"/>
  <c r="L105"/>
  <c r="K105"/>
  <c r="J105"/>
  <c r="B105"/>
  <c r="A105"/>
  <c r="P104"/>
  <c r="N104"/>
  <c r="M104"/>
  <c r="L104"/>
  <c r="K104"/>
  <c r="J104"/>
  <c r="B104"/>
  <c r="A104"/>
  <c r="P103"/>
  <c r="N103"/>
  <c r="M103"/>
  <c r="L103"/>
  <c r="K103"/>
  <c r="J103"/>
  <c r="B103"/>
  <c r="A103"/>
  <c r="P102"/>
  <c r="N102"/>
  <c r="M102"/>
  <c r="L102"/>
  <c r="K102"/>
  <c r="J102"/>
  <c r="B102"/>
  <c r="A102"/>
  <c r="P101"/>
  <c r="N101"/>
  <c r="M101"/>
  <c r="L101"/>
  <c r="K101"/>
  <c r="J101"/>
  <c r="B101"/>
  <c r="A101"/>
  <c r="P100"/>
  <c r="N100"/>
  <c r="M100"/>
  <c r="L100"/>
  <c r="K100"/>
  <c r="J100"/>
  <c r="B100"/>
  <c r="A100"/>
  <c r="P99"/>
  <c r="N99"/>
  <c r="M99"/>
  <c r="L99"/>
  <c r="K99"/>
  <c r="J99"/>
  <c r="B99"/>
  <c r="A99"/>
  <c r="P98"/>
  <c r="N98"/>
  <c r="M98"/>
  <c r="L98"/>
  <c r="K98"/>
  <c r="J98"/>
  <c r="B98"/>
  <c r="A98"/>
  <c r="P97"/>
  <c r="N97"/>
  <c r="M97"/>
  <c r="L97"/>
  <c r="K97"/>
  <c r="J97"/>
  <c r="B97"/>
  <c r="A97"/>
  <c r="P96"/>
  <c r="N96"/>
  <c r="M96"/>
  <c r="L96"/>
  <c r="K96"/>
  <c r="J96"/>
  <c r="B96"/>
  <c r="A96"/>
  <c r="P95"/>
  <c r="N95"/>
  <c r="M95"/>
  <c r="L95"/>
  <c r="K95"/>
  <c r="J95"/>
  <c r="B95"/>
  <c r="A95"/>
  <c r="P94"/>
  <c r="N94"/>
  <c r="M94"/>
  <c r="L94"/>
  <c r="K94"/>
  <c r="J94"/>
  <c r="B94"/>
  <c r="A94"/>
  <c r="P93"/>
  <c r="N93"/>
  <c r="M93"/>
  <c r="L93"/>
  <c r="K93"/>
  <c r="J93"/>
  <c r="B93"/>
  <c r="A93"/>
  <c r="P92"/>
  <c r="N92"/>
  <c r="M92"/>
  <c r="L92"/>
  <c r="K92"/>
  <c r="J92"/>
  <c r="B92"/>
  <c r="A92"/>
  <c r="P91"/>
  <c r="N91"/>
  <c r="M91"/>
  <c r="L91"/>
  <c r="K91"/>
  <c r="J91"/>
  <c r="B91"/>
  <c r="A91"/>
  <c r="P90"/>
  <c r="N90"/>
  <c r="M90"/>
  <c r="L90"/>
  <c r="K90"/>
  <c r="J90"/>
  <c r="B90"/>
  <c r="A90"/>
  <c r="P89"/>
  <c r="N89"/>
  <c r="M89"/>
  <c r="L89"/>
  <c r="K89"/>
  <c r="J89"/>
  <c r="B89"/>
  <c r="A89"/>
  <c r="P88"/>
  <c r="N88"/>
  <c r="M88"/>
  <c r="L88"/>
  <c r="K88"/>
  <c r="J88"/>
  <c r="B88"/>
  <c r="A88"/>
  <c r="P87"/>
  <c r="N87"/>
  <c r="M87"/>
  <c r="L87"/>
  <c r="K87"/>
  <c r="J87"/>
  <c r="B87"/>
  <c r="A87"/>
  <c r="P86"/>
  <c r="N86"/>
  <c r="M86"/>
  <c r="L86"/>
  <c r="K86"/>
  <c r="J86"/>
  <c r="B86"/>
  <c r="A86"/>
  <c r="P85"/>
  <c r="N85"/>
  <c r="M85"/>
  <c r="L85"/>
  <c r="K85"/>
  <c r="J85"/>
  <c r="B85"/>
  <c r="A85"/>
  <c r="P84"/>
  <c r="N84"/>
  <c r="M84"/>
  <c r="L84"/>
  <c r="K84"/>
  <c r="J84"/>
  <c r="B84"/>
  <c r="A84"/>
  <c r="P83"/>
  <c r="N83"/>
  <c r="M83"/>
  <c r="L83"/>
  <c r="K83"/>
  <c r="J83"/>
  <c r="B83"/>
  <c r="A83"/>
  <c r="P82"/>
  <c r="N82"/>
  <c r="M82"/>
  <c r="L82"/>
  <c r="K82"/>
  <c r="J82"/>
  <c r="B82"/>
  <c r="A82"/>
  <c r="P81"/>
  <c r="N81"/>
  <c r="M81"/>
  <c r="L81"/>
  <c r="K81"/>
  <c r="J81"/>
  <c r="B81"/>
  <c r="A81"/>
  <c r="P80"/>
  <c r="N80"/>
  <c r="M80"/>
  <c r="L80"/>
  <c r="K80"/>
  <c r="J80"/>
  <c r="B80"/>
  <c r="A80"/>
  <c r="P79"/>
  <c r="N79"/>
  <c r="M79"/>
  <c r="L79"/>
  <c r="K79"/>
  <c r="J79"/>
  <c r="B79"/>
  <c r="A79"/>
  <c r="P78"/>
  <c r="N78"/>
  <c r="M78"/>
  <c r="L78"/>
  <c r="K78"/>
  <c r="J78"/>
  <c r="B78"/>
  <c r="A78"/>
  <c r="P77"/>
  <c r="N77"/>
  <c r="M77"/>
  <c r="L77"/>
  <c r="K77"/>
  <c r="J77"/>
  <c r="B77"/>
  <c r="A77"/>
  <c r="P76"/>
  <c r="N76"/>
  <c r="M76"/>
  <c r="L76"/>
  <c r="K76"/>
  <c r="J76"/>
  <c r="B76"/>
  <c r="A76"/>
  <c r="P75"/>
  <c r="N75"/>
  <c r="M75"/>
  <c r="L75"/>
  <c r="K75"/>
  <c r="J75"/>
  <c r="B75"/>
  <c r="A75"/>
  <c r="P74"/>
  <c r="N74"/>
  <c r="M74"/>
  <c r="L74"/>
  <c r="K74"/>
  <c r="J74"/>
  <c r="B74"/>
  <c r="A74"/>
  <c r="P73"/>
  <c r="N73"/>
  <c r="M73"/>
  <c r="L73"/>
  <c r="K73"/>
  <c r="J73"/>
  <c r="B73"/>
  <c r="A73"/>
  <c r="P72"/>
  <c r="N72"/>
  <c r="M72"/>
  <c r="L72"/>
  <c r="K72"/>
  <c r="J72"/>
  <c r="B72"/>
  <c r="A72"/>
  <c r="P71"/>
  <c r="N71"/>
  <c r="M71"/>
  <c r="L71"/>
  <c r="K71"/>
  <c r="J71"/>
  <c r="B71"/>
  <c r="A71"/>
  <c r="P70"/>
  <c r="N70"/>
  <c r="M70"/>
  <c r="L70"/>
  <c r="K70"/>
  <c r="J70"/>
  <c r="B70"/>
  <c r="A70"/>
  <c r="P69"/>
  <c r="N69"/>
  <c r="M69"/>
  <c r="L69"/>
  <c r="K69"/>
  <c r="J69"/>
  <c r="B69"/>
  <c r="A69"/>
  <c r="P68"/>
  <c r="N68"/>
  <c r="M68"/>
  <c r="L68"/>
  <c r="K68"/>
  <c r="J68"/>
  <c r="B68"/>
  <c r="A68"/>
  <c r="P67"/>
  <c r="N67"/>
  <c r="M67"/>
  <c r="L67"/>
  <c r="K67"/>
  <c r="J67"/>
  <c r="B67"/>
  <c r="A67"/>
  <c r="P66"/>
  <c r="N66"/>
  <c r="M66"/>
  <c r="L66"/>
  <c r="K66"/>
  <c r="J66"/>
  <c r="B66"/>
  <c r="A66"/>
  <c r="P65"/>
  <c r="N65"/>
  <c r="M65"/>
  <c r="L65"/>
  <c r="K65"/>
  <c r="J65"/>
  <c r="B65"/>
  <c r="A65"/>
  <c r="P64"/>
  <c r="N64"/>
  <c r="M64"/>
  <c r="L64"/>
  <c r="K64"/>
  <c r="J64"/>
  <c r="B64"/>
  <c r="A64"/>
  <c r="P63"/>
  <c r="N63"/>
  <c r="M63"/>
  <c r="L63"/>
  <c r="K63"/>
  <c r="J63"/>
  <c r="B63"/>
  <c r="A63"/>
  <c r="P62"/>
  <c r="N62"/>
  <c r="M62"/>
  <c r="L62"/>
  <c r="K62"/>
  <c r="J62"/>
  <c r="B62"/>
  <c r="A62"/>
  <c r="P61"/>
  <c r="N61"/>
  <c r="M61"/>
  <c r="L61"/>
  <c r="K61"/>
  <c r="J61"/>
  <c r="B61"/>
  <c r="A61"/>
  <c r="P60"/>
  <c r="N60"/>
  <c r="M60"/>
  <c r="L60"/>
  <c r="K60"/>
  <c r="J60"/>
  <c r="B60"/>
  <c r="A60"/>
  <c r="P59"/>
  <c r="N59"/>
  <c r="M59"/>
  <c r="L59"/>
  <c r="K59"/>
  <c r="J59"/>
  <c r="B59"/>
  <c r="A59"/>
  <c r="P58"/>
  <c r="N58"/>
  <c r="M58"/>
  <c r="L58"/>
  <c r="K58"/>
  <c r="J58"/>
  <c r="B58"/>
  <c r="A58"/>
  <c r="P57"/>
  <c r="N57"/>
  <c r="M57"/>
  <c r="L57"/>
  <c r="K57"/>
  <c r="J57"/>
  <c r="B57"/>
  <c r="A57"/>
  <c r="P56"/>
  <c r="N56"/>
  <c r="M56"/>
  <c r="L56"/>
  <c r="K56"/>
  <c r="J56"/>
  <c r="B56"/>
  <c r="A56"/>
  <c r="P55"/>
  <c r="N55"/>
  <c r="M55"/>
  <c r="L55"/>
  <c r="K55"/>
  <c r="J55"/>
  <c r="B55"/>
  <c r="A55"/>
  <c r="P54"/>
  <c r="N54"/>
  <c r="M54"/>
  <c r="L54"/>
  <c r="K54"/>
  <c r="J54"/>
  <c r="B54"/>
  <c r="A54"/>
  <c r="P53"/>
  <c r="N53"/>
  <c r="M53"/>
  <c r="L53"/>
  <c r="K53"/>
  <c r="J53"/>
  <c r="B53"/>
  <c r="A53"/>
  <c r="P52"/>
  <c r="N52"/>
  <c r="M52"/>
  <c r="L52"/>
  <c r="K52"/>
  <c r="J52"/>
  <c r="B52"/>
  <c r="A52"/>
  <c r="P51"/>
  <c r="N51"/>
  <c r="M51"/>
  <c r="L51"/>
  <c r="K51"/>
  <c r="J51"/>
  <c r="B51"/>
  <c r="A51"/>
  <c r="P50"/>
  <c r="N50"/>
  <c r="M50"/>
  <c r="L50"/>
  <c r="K50"/>
  <c r="J50"/>
  <c r="B50"/>
  <c r="A50"/>
  <c r="P49"/>
  <c r="N49"/>
  <c r="M49"/>
  <c r="L49"/>
  <c r="K49"/>
  <c r="J49"/>
  <c r="B49"/>
  <c r="A49"/>
  <c r="P48"/>
  <c r="N48"/>
  <c r="M48"/>
  <c r="L48"/>
  <c r="K48"/>
  <c r="J48"/>
  <c r="B48"/>
  <c r="A48"/>
  <c r="P47"/>
  <c r="N47"/>
  <c r="M47"/>
  <c r="L47"/>
  <c r="K47"/>
  <c r="J47"/>
  <c r="B47"/>
  <c r="A47"/>
  <c r="P46"/>
  <c r="N46"/>
  <c r="M46"/>
  <c r="L46"/>
  <c r="K46"/>
  <c r="J46"/>
  <c r="B46"/>
  <c r="A46"/>
  <c r="P45"/>
  <c r="N45"/>
  <c r="M45"/>
  <c r="L45"/>
  <c r="K45"/>
  <c r="J45"/>
  <c r="B45"/>
  <c r="A45"/>
  <c r="P44"/>
  <c r="N44"/>
  <c r="M44"/>
  <c r="L44"/>
  <c r="K44"/>
  <c r="J44"/>
  <c r="B44"/>
  <c r="A44"/>
  <c r="P43"/>
  <c r="N43"/>
  <c r="M43"/>
  <c r="L43"/>
  <c r="K43"/>
  <c r="J43"/>
  <c r="B43"/>
  <c r="A43"/>
  <c r="P42"/>
  <c r="N42"/>
  <c r="M42"/>
  <c r="L42"/>
  <c r="K42"/>
  <c r="J42"/>
  <c r="B42"/>
  <c r="A42"/>
  <c r="P41"/>
  <c r="N41"/>
  <c r="M41"/>
  <c r="L41"/>
  <c r="K41"/>
  <c r="J41"/>
  <c r="B41"/>
  <c r="A41"/>
  <c r="P40"/>
  <c r="N40"/>
  <c r="M40"/>
  <c r="L40"/>
  <c r="K40"/>
  <c r="J40"/>
  <c r="B40"/>
  <c r="A40"/>
  <c r="P39"/>
  <c r="N39"/>
  <c r="M39"/>
  <c r="L39"/>
  <c r="K39"/>
  <c r="J39"/>
  <c r="B39"/>
  <c r="A39"/>
  <c r="P38"/>
  <c r="N38"/>
  <c r="M38"/>
  <c r="L38"/>
  <c r="K38"/>
  <c r="J38"/>
  <c r="B38"/>
  <c r="A38"/>
  <c r="P37"/>
  <c r="N37"/>
  <c r="M37"/>
  <c r="L37"/>
  <c r="K37"/>
  <c r="J37"/>
  <c r="B37"/>
  <c r="A37"/>
  <c r="P36"/>
  <c r="N36"/>
  <c r="M36"/>
  <c r="L36"/>
  <c r="K36"/>
  <c r="J36"/>
  <c r="B36"/>
  <c r="A36"/>
  <c r="P35"/>
  <c r="N35"/>
  <c r="M35"/>
  <c r="L35"/>
  <c r="K35"/>
  <c r="J35"/>
  <c r="B35"/>
  <c r="A35"/>
  <c r="P34"/>
  <c r="N34"/>
  <c r="M34"/>
  <c r="L34"/>
  <c r="K34"/>
  <c r="J34"/>
  <c r="B34"/>
  <c r="A34"/>
  <c r="P33"/>
  <c r="N33"/>
  <c r="M33"/>
  <c r="L33"/>
  <c r="K33"/>
  <c r="J33"/>
  <c r="B33"/>
  <c r="A33"/>
  <c r="P32"/>
  <c r="N32"/>
  <c r="M32"/>
  <c r="L32"/>
  <c r="K32"/>
  <c r="J32"/>
  <c r="B32"/>
  <c r="A32"/>
  <c r="P31"/>
  <c r="N31"/>
  <c r="M31"/>
  <c r="L31"/>
  <c r="K31"/>
  <c r="J31"/>
  <c r="B31"/>
  <c r="A31"/>
  <c r="P30"/>
  <c r="N30"/>
  <c r="M30"/>
  <c r="L30"/>
  <c r="K30"/>
  <c r="J30"/>
  <c r="B30"/>
  <c r="A30"/>
  <c r="P29"/>
  <c r="N29"/>
  <c r="M29"/>
  <c r="L29"/>
  <c r="K29"/>
  <c r="J29"/>
  <c r="B29"/>
  <c r="A29"/>
  <c r="P28"/>
  <c r="N28"/>
  <c r="M28"/>
  <c r="L28"/>
  <c r="K28"/>
  <c r="J28"/>
  <c r="B28"/>
  <c r="A28"/>
  <c r="P27"/>
  <c r="N27"/>
  <c r="M27"/>
  <c r="L27"/>
  <c r="K27"/>
  <c r="J27"/>
  <c r="B27"/>
  <c r="A27"/>
  <c r="P26"/>
  <c r="N26"/>
  <c r="M26"/>
  <c r="L26"/>
  <c r="K26"/>
  <c r="J26"/>
  <c r="B26"/>
  <c r="A26"/>
  <c r="P25"/>
  <c r="N25"/>
  <c r="M25"/>
  <c r="L25"/>
  <c r="K25"/>
  <c r="J25"/>
  <c r="B25"/>
  <c r="A25"/>
  <c r="P24"/>
  <c r="N24"/>
  <c r="M24"/>
  <c r="L24"/>
  <c r="K24"/>
  <c r="J24"/>
  <c r="B24"/>
  <c r="A24"/>
  <c r="P23"/>
  <c r="N23"/>
  <c r="M23"/>
  <c r="L23"/>
  <c r="K23"/>
  <c r="J23"/>
  <c r="B23"/>
  <c r="A23"/>
  <c r="P22"/>
  <c r="N22"/>
  <c r="M22"/>
  <c r="L22"/>
  <c r="K22"/>
  <c r="J22"/>
  <c r="B22"/>
  <c r="A22"/>
  <c r="P21"/>
  <c r="N21"/>
  <c r="M21"/>
  <c r="L21"/>
  <c r="K21"/>
  <c r="J21"/>
  <c r="B21"/>
  <c r="A21"/>
  <c r="P20"/>
  <c r="N20"/>
  <c r="M20"/>
  <c r="L20"/>
  <c r="K20"/>
  <c r="J20"/>
  <c r="B20"/>
  <c r="A20"/>
  <c r="P19"/>
  <c r="N19"/>
  <c r="M19"/>
  <c r="L19"/>
  <c r="K19"/>
  <c r="J19"/>
  <c r="B19"/>
  <c r="A19"/>
  <c r="P18"/>
  <c r="N18"/>
  <c r="M18"/>
  <c r="L18"/>
  <c r="K18"/>
  <c r="J18"/>
  <c r="B18"/>
  <c r="A18"/>
  <c r="P17"/>
  <c r="N17"/>
  <c r="M17"/>
  <c r="L17"/>
  <c r="K17"/>
  <c r="J17"/>
  <c r="B17"/>
  <c r="A17"/>
  <c r="P16"/>
  <c r="N16"/>
  <c r="M16"/>
  <c r="L16"/>
  <c r="K16"/>
  <c r="J16"/>
  <c r="B16"/>
  <c r="A16"/>
  <c r="P15"/>
  <c r="N15"/>
  <c r="M15"/>
  <c r="L15"/>
  <c r="K15"/>
  <c r="J15"/>
  <c r="B15"/>
  <c r="A15"/>
  <c r="P14"/>
  <c r="N14"/>
  <c r="M14"/>
  <c r="L14"/>
  <c r="K14"/>
  <c r="J14"/>
  <c r="B14"/>
  <c r="A14"/>
  <c r="P13"/>
  <c r="N13"/>
  <c r="M13"/>
  <c r="L13"/>
  <c r="K13"/>
  <c r="J13"/>
  <c r="B13"/>
  <c r="A13"/>
  <c r="P12"/>
  <c r="N12"/>
  <c r="M12"/>
  <c r="L12"/>
  <c r="K12"/>
  <c r="J12"/>
  <c r="B12"/>
  <c r="A12"/>
  <c r="P11"/>
  <c r="N11"/>
  <c r="M11"/>
  <c r="L11"/>
  <c r="K11"/>
  <c r="J11"/>
  <c r="B11"/>
  <c r="A11"/>
  <c r="P10"/>
  <c r="N10"/>
  <c r="M10"/>
  <c r="L10"/>
  <c r="K10"/>
  <c r="J10"/>
  <c r="B10"/>
  <c r="A10"/>
  <c r="P9"/>
  <c r="N9"/>
  <c r="M9"/>
  <c r="L9"/>
  <c r="K9"/>
  <c r="J9"/>
  <c r="B9"/>
  <c r="A9"/>
  <c r="P8"/>
  <c r="N8"/>
  <c r="M8"/>
  <c r="L8"/>
  <c r="K8"/>
  <c r="J8"/>
  <c r="B8"/>
  <c r="A8"/>
  <c r="P7"/>
  <c r="N7"/>
  <c r="M7"/>
  <c r="L7"/>
  <c r="K7"/>
  <c r="J7"/>
  <c r="B7"/>
  <c r="A7"/>
  <c r="P6"/>
  <c r="N6"/>
  <c r="M6"/>
  <c r="L6"/>
  <c r="K6"/>
  <c r="J6"/>
  <c r="B6"/>
  <c r="A6"/>
  <c r="P5"/>
  <c r="N5"/>
  <c r="M5"/>
  <c r="L5"/>
  <c r="K5"/>
  <c r="J5"/>
  <c r="B5"/>
  <c r="A5"/>
  <c r="P4"/>
  <c r="N4"/>
  <c r="M4"/>
  <c r="L4"/>
  <c r="K4"/>
  <c r="J4"/>
  <c r="B4"/>
  <c r="A4"/>
  <c r="P3"/>
  <c r="N3"/>
  <c r="M3"/>
  <c r="L3"/>
  <c r="K3"/>
  <c r="J3"/>
  <c r="B3"/>
  <c r="A3"/>
  <c r="P2"/>
  <c r="N2"/>
  <c r="M2"/>
  <c r="L2"/>
  <c r="K2"/>
  <c r="J2"/>
  <c r="B2"/>
  <c r="A2"/>
  <c r="R643" i="1"/>
  <c r="R642"/>
  <c r="R641"/>
  <c r="R640"/>
  <c r="R639"/>
  <c r="R638"/>
  <c r="R637"/>
  <c r="R636"/>
  <c r="R635"/>
  <c r="R634"/>
  <c r="R633"/>
  <c r="R632"/>
  <c r="R631"/>
  <c r="R630"/>
  <c r="R629"/>
  <c r="R628"/>
  <c r="R627"/>
  <c r="R626"/>
  <c r="R625"/>
  <c r="R624"/>
  <c r="R623"/>
  <c r="R622"/>
  <c r="R621"/>
  <c r="R620"/>
  <c r="R619"/>
  <c r="R618"/>
  <c r="R617"/>
  <c r="R616"/>
  <c r="R615"/>
  <c r="R614"/>
  <c r="R613"/>
  <c r="R612"/>
  <c r="R611"/>
  <c r="A611"/>
  <c r="R610"/>
  <c r="R609"/>
  <c r="R608"/>
  <c r="A608"/>
  <c r="R607"/>
  <c r="R606"/>
  <c r="R605"/>
  <c r="R604"/>
  <c r="A604"/>
  <c r="R603"/>
  <c r="R602"/>
  <c r="R601"/>
  <c r="A601"/>
  <c r="R600"/>
  <c r="R599"/>
  <c r="R598"/>
  <c r="A598"/>
  <c r="R597"/>
  <c r="A597"/>
  <c r="R596"/>
  <c r="A596"/>
  <c r="R595"/>
  <c r="A595"/>
  <c r="R594"/>
  <c r="A594"/>
  <c r="R593"/>
  <c r="A593"/>
  <c r="R592"/>
  <c r="A592"/>
  <c r="R591"/>
  <c r="A591"/>
  <c r="R590"/>
  <c r="A590"/>
  <c r="R589"/>
  <c r="A589"/>
  <c r="R588"/>
  <c r="A588"/>
  <c r="R587"/>
  <c r="A587"/>
  <c r="R586"/>
  <c r="A586"/>
  <c r="R585"/>
  <c r="G585"/>
  <c r="A585"/>
  <c r="R584"/>
  <c r="A584"/>
  <c r="R583"/>
  <c r="A583"/>
  <c r="R582"/>
  <c r="A582"/>
  <c r="R581"/>
  <c r="A581"/>
  <c r="R580"/>
  <c r="A580"/>
  <c r="R579"/>
  <c r="A579"/>
  <c r="R578"/>
  <c r="A578"/>
  <c r="R577"/>
  <c r="A577"/>
  <c r="R576"/>
  <c r="A576"/>
  <c r="R575"/>
  <c r="A575"/>
  <c r="R574"/>
  <c r="A574"/>
  <c r="R573"/>
  <c r="A573"/>
  <c r="R572"/>
  <c r="A572"/>
  <c r="R571"/>
  <c r="A571"/>
  <c r="R570"/>
  <c r="A570"/>
  <c r="R569"/>
  <c r="A569"/>
  <c r="R568"/>
  <c r="A568"/>
  <c r="R567"/>
  <c r="A567"/>
  <c r="R566"/>
  <c r="A566"/>
  <c r="R565"/>
  <c r="A565"/>
  <c r="R564"/>
  <c r="A564"/>
  <c r="R563"/>
  <c r="A563"/>
  <c r="R562"/>
  <c r="A562"/>
  <c r="R561"/>
  <c r="A561"/>
  <c r="R560"/>
  <c r="A560"/>
  <c r="R559"/>
  <c r="A559"/>
  <c r="R558"/>
  <c r="A558"/>
  <c r="R557"/>
  <c r="A557"/>
  <c r="R556"/>
  <c r="A556"/>
  <c r="R555"/>
  <c r="A555"/>
  <c r="R554"/>
  <c r="A554"/>
  <c r="R553"/>
  <c r="A553"/>
  <c r="R552"/>
  <c r="A552"/>
  <c r="R551"/>
  <c r="A551"/>
  <c r="R550"/>
  <c r="A550"/>
  <c r="R549"/>
  <c r="A549"/>
  <c r="R548"/>
  <c r="A548"/>
  <c r="R547"/>
  <c r="A547"/>
  <c r="R546"/>
  <c r="A546"/>
  <c r="R545"/>
  <c r="A545"/>
  <c r="R544"/>
  <c r="A544"/>
  <c r="R543"/>
  <c r="A543"/>
  <c r="R542"/>
  <c r="A542"/>
  <c r="R541"/>
  <c r="A541"/>
  <c r="R540"/>
  <c r="A540"/>
  <c r="R539"/>
  <c r="A539"/>
  <c r="R538"/>
  <c r="A538"/>
  <c r="R537"/>
  <c r="A537"/>
  <c r="R536"/>
  <c r="A536"/>
  <c r="R535"/>
  <c r="A535"/>
  <c r="R534"/>
  <c r="A534"/>
  <c r="R533"/>
  <c r="A533"/>
  <c r="R532"/>
  <c r="A532"/>
  <c r="R531"/>
  <c r="A531"/>
  <c r="R530"/>
  <c r="A530"/>
  <c r="R529"/>
  <c r="A529"/>
  <c r="R528"/>
  <c r="A528"/>
  <c r="R527"/>
  <c r="A527"/>
  <c r="R526"/>
  <c r="A526"/>
  <c r="R525"/>
  <c r="A525"/>
  <c r="R524"/>
  <c r="A524"/>
  <c r="R523"/>
  <c r="A523"/>
  <c r="R522"/>
  <c r="A522"/>
  <c r="R521"/>
  <c r="A521"/>
  <c r="R520"/>
  <c r="A520"/>
  <c r="R519"/>
  <c r="A519"/>
  <c r="R518"/>
  <c r="A518"/>
  <c r="R517"/>
  <c r="A517"/>
  <c r="R516"/>
  <c r="A516"/>
  <c r="R515"/>
  <c r="A515"/>
  <c r="R514"/>
  <c r="A514"/>
  <c r="R513"/>
  <c r="A513"/>
  <c r="R512"/>
  <c r="A512"/>
  <c r="R511"/>
  <c r="A511"/>
  <c r="R510"/>
  <c r="A510"/>
  <c r="R509"/>
  <c r="A509"/>
  <c r="R508"/>
  <c r="A508"/>
  <c r="R507"/>
  <c r="A507"/>
  <c r="R506"/>
  <c r="A506"/>
  <c r="R505"/>
  <c r="A505"/>
  <c r="R504"/>
  <c r="A504"/>
  <c r="R503"/>
  <c r="A503"/>
  <c r="R502"/>
  <c r="A502"/>
  <c r="R501"/>
  <c r="A501"/>
  <c r="R500"/>
  <c r="A500"/>
  <c r="R499"/>
  <c r="A499"/>
  <c r="R498"/>
  <c r="A498"/>
  <c r="R497"/>
  <c r="A497"/>
  <c r="R496"/>
  <c r="A496"/>
  <c r="R495"/>
  <c r="A495"/>
  <c r="R494"/>
  <c r="A494"/>
  <c r="R493"/>
  <c r="A493"/>
  <c r="R492"/>
  <c r="A492"/>
  <c r="R491"/>
  <c r="A491"/>
  <c r="R490"/>
  <c r="A490"/>
  <c r="R489"/>
  <c r="A489"/>
  <c r="R488"/>
  <c r="A488"/>
  <c r="R487"/>
  <c r="A487"/>
  <c r="R486"/>
  <c r="A486"/>
  <c r="R485"/>
  <c r="A485"/>
  <c r="R484"/>
  <c r="A484"/>
  <c r="R483"/>
  <c r="A483"/>
  <c r="R482"/>
  <c r="A482"/>
  <c r="R481"/>
  <c r="A481"/>
  <c r="R480"/>
  <c r="A480"/>
  <c r="R479"/>
  <c r="A479"/>
  <c r="R478"/>
  <c r="A478"/>
  <c r="R477"/>
  <c r="A477"/>
  <c r="R476"/>
  <c r="A476"/>
  <c r="R475"/>
  <c r="A475"/>
  <c r="R474"/>
  <c r="A474"/>
  <c r="R473"/>
  <c r="A473"/>
  <c r="R472"/>
  <c r="A472"/>
  <c r="R471"/>
  <c r="A471"/>
  <c r="R470"/>
  <c r="A470"/>
  <c r="R469"/>
  <c r="A469"/>
  <c r="R468"/>
  <c r="A468"/>
  <c r="R467"/>
  <c r="A467"/>
  <c r="R466"/>
  <c r="A466"/>
  <c r="R465"/>
  <c r="A465"/>
  <c r="R464"/>
  <c r="A464"/>
  <c r="R463"/>
  <c r="A463"/>
  <c r="R462"/>
  <c r="A462"/>
  <c r="R461"/>
  <c r="A461"/>
  <c r="R460"/>
  <c r="A460"/>
  <c r="R459"/>
  <c r="A459"/>
  <c r="R458"/>
  <c r="A458"/>
  <c r="R457"/>
  <c r="A457"/>
  <c r="R456"/>
  <c r="A456"/>
  <c r="R455"/>
  <c r="A455"/>
  <c r="R454"/>
  <c r="A454"/>
  <c r="R453"/>
  <c r="A453"/>
  <c r="R452"/>
  <c r="A452"/>
  <c r="R451"/>
  <c r="G451"/>
  <c r="A451"/>
  <c r="R450"/>
  <c r="A450"/>
  <c r="R449"/>
  <c r="A449"/>
  <c r="R448"/>
  <c r="A448"/>
  <c r="R447"/>
  <c r="A447"/>
  <c r="R446"/>
  <c r="A446"/>
  <c r="R445"/>
  <c r="A445"/>
  <c r="R444"/>
  <c r="A444"/>
  <c r="R443"/>
  <c r="A443"/>
  <c r="R442"/>
  <c r="G442"/>
  <c r="A442"/>
  <c r="R441"/>
  <c r="A441"/>
  <c r="R440"/>
  <c r="A440"/>
  <c r="R439"/>
  <c r="A439"/>
  <c r="R438"/>
  <c r="A438"/>
  <c r="R437"/>
  <c r="A437"/>
  <c r="R436"/>
  <c r="A436"/>
  <c r="R435"/>
  <c r="A435"/>
  <c r="R434"/>
  <c r="A434"/>
  <c r="R433"/>
  <c r="A433"/>
  <c r="R432"/>
  <c r="A432"/>
  <c r="R431"/>
  <c r="A431"/>
  <c r="R430"/>
  <c r="A430"/>
  <c r="R429"/>
  <c r="A429"/>
  <c r="R428"/>
  <c r="A428"/>
  <c r="R427"/>
  <c r="A427"/>
  <c r="R426"/>
  <c r="A426"/>
  <c r="R425"/>
  <c r="A425"/>
  <c r="R424"/>
  <c r="A424"/>
  <c r="R423"/>
  <c r="A423"/>
  <c r="R422"/>
  <c r="A422"/>
  <c r="R421"/>
  <c r="A421"/>
  <c r="R420"/>
  <c r="A420"/>
  <c r="R419"/>
  <c r="A419"/>
  <c r="R418"/>
  <c r="A418"/>
  <c r="R417"/>
  <c r="A417"/>
  <c r="R416"/>
  <c r="A416"/>
  <c r="R415"/>
  <c r="A415"/>
  <c r="R414"/>
  <c r="A414"/>
  <c r="R413"/>
  <c r="A413"/>
  <c r="R412"/>
  <c r="A412"/>
  <c r="R411"/>
  <c r="A411"/>
  <c r="R410"/>
  <c r="A410"/>
  <c r="R409"/>
  <c r="A409"/>
  <c r="R408"/>
  <c r="A408"/>
  <c r="R407"/>
  <c r="A407"/>
  <c r="R406"/>
  <c r="A406"/>
  <c r="R405"/>
  <c r="A405"/>
  <c r="R404"/>
  <c r="A404"/>
  <c r="R403"/>
  <c r="A403"/>
  <c r="R402"/>
  <c r="A402"/>
  <c r="R401"/>
  <c r="A401"/>
  <c r="R400"/>
  <c r="A400"/>
  <c r="R399"/>
  <c r="A399"/>
  <c r="R398"/>
  <c r="A398"/>
  <c r="R397"/>
  <c r="A397"/>
  <c r="R396"/>
  <c r="A396"/>
  <c r="R395"/>
  <c r="A395"/>
  <c r="R394"/>
  <c r="A394"/>
  <c r="R393"/>
  <c r="A393"/>
  <c r="R392"/>
  <c r="A392"/>
  <c r="R391"/>
  <c r="A391"/>
  <c r="R390"/>
  <c r="A390"/>
  <c r="R389"/>
  <c r="A389"/>
  <c r="R388"/>
  <c r="A388"/>
  <c r="R387"/>
  <c r="A387"/>
  <c r="R386"/>
  <c r="A386"/>
  <c r="R385"/>
  <c r="A385"/>
  <c r="R384"/>
  <c r="A384"/>
  <c r="R383"/>
  <c r="A383"/>
  <c r="R382"/>
  <c r="A382"/>
  <c r="R381"/>
  <c r="A381"/>
  <c r="R380"/>
  <c r="A380"/>
  <c r="R379"/>
  <c r="A379"/>
  <c r="R378"/>
  <c r="A378"/>
  <c r="R377"/>
  <c r="A377"/>
  <c r="R376"/>
  <c r="A376"/>
  <c r="R375"/>
  <c r="A375"/>
  <c r="R374"/>
  <c r="A374"/>
  <c r="R373"/>
  <c r="A373"/>
  <c r="R372"/>
  <c r="A372"/>
  <c r="R371"/>
  <c r="A371"/>
  <c r="R370"/>
  <c r="A370"/>
  <c r="R369"/>
  <c r="A369"/>
  <c r="R368"/>
  <c r="A368"/>
  <c r="R367"/>
  <c r="A367"/>
  <c r="R366"/>
  <c r="A366"/>
  <c r="R365"/>
  <c r="A365"/>
  <c r="R364"/>
  <c r="A364"/>
  <c r="R363"/>
  <c r="A363"/>
  <c r="R362"/>
  <c r="A362"/>
  <c r="R361"/>
  <c r="A361"/>
  <c r="R360"/>
  <c r="A360"/>
  <c r="R359"/>
  <c r="A359"/>
  <c r="R358"/>
  <c r="A358"/>
  <c r="R357"/>
  <c r="A357"/>
  <c r="R356"/>
  <c r="A356"/>
  <c r="R355"/>
  <c r="A355"/>
  <c r="R354"/>
  <c r="A354"/>
  <c r="R353"/>
  <c r="A353"/>
  <c r="R352"/>
  <c r="A352"/>
  <c r="R351"/>
  <c r="A351"/>
  <c r="R350"/>
  <c r="A350"/>
  <c r="R349"/>
  <c r="A349"/>
  <c r="R348"/>
  <c r="A348"/>
  <c r="R347"/>
  <c r="A347"/>
  <c r="R346"/>
  <c r="A346"/>
  <c r="R345"/>
  <c r="A345"/>
  <c r="R344"/>
  <c r="A344"/>
  <c r="R343"/>
  <c r="A343"/>
  <c r="R342"/>
  <c r="A342"/>
  <c r="R341"/>
  <c r="A341"/>
  <c r="R340"/>
  <c r="A340"/>
  <c r="R339"/>
  <c r="A339"/>
  <c r="R338"/>
  <c r="A338"/>
  <c r="R337"/>
  <c r="A337"/>
  <c r="R336"/>
  <c r="A336"/>
  <c r="R335"/>
  <c r="A335"/>
  <c r="R334"/>
  <c r="A334"/>
  <c r="R333"/>
  <c r="A333"/>
  <c r="R332"/>
  <c r="A332"/>
  <c r="R331"/>
  <c r="A331"/>
  <c r="R330"/>
  <c r="A330"/>
  <c r="R329"/>
  <c r="A329"/>
  <c r="R328"/>
  <c r="A328"/>
  <c r="R327"/>
  <c r="A327"/>
  <c r="R326"/>
  <c r="A326"/>
  <c r="R325"/>
  <c r="A325"/>
  <c r="R324"/>
  <c r="A324"/>
  <c r="R323"/>
  <c r="A323"/>
  <c r="R322"/>
  <c r="A322"/>
  <c r="R321"/>
  <c r="A321"/>
  <c r="R320"/>
  <c r="A320"/>
  <c r="R319"/>
  <c r="A319"/>
  <c r="R318"/>
  <c r="A318"/>
  <c r="R317"/>
  <c r="A317"/>
  <c r="R316"/>
  <c r="A316"/>
  <c r="R315"/>
  <c r="A315"/>
  <c r="R314"/>
  <c r="A314"/>
  <c r="R313"/>
  <c r="A313"/>
  <c r="R312"/>
  <c r="A312"/>
  <c r="R311"/>
  <c r="A311"/>
  <c r="R310"/>
  <c r="A310"/>
  <c r="R309"/>
  <c r="A309"/>
  <c r="R308"/>
  <c r="A308"/>
  <c r="R307"/>
  <c r="A307"/>
  <c r="R306"/>
  <c r="A306"/>
  <c r="R305"/>
  <c r="A305"/>
  <c r="R304"/>
  <c r="A304"/>
  <c r="R303"/>
  <c r="A303"/>
  <c r="R302"/>
  <c r="A302"/>
  <c r="R301"/>
  <c r="A301"/>
  <c r="R300"/>
  <c r="A300"/>
  <c r="R299"/>
  <c r="A299"/>
  <c r="R298"/>
  <c r="A298"/>
  <c r="R297"/>
  <c r="A297"/>
  <c r="R296"/>
  <c r="G296"/>
  <c r="A296"/>
  <c r="R295"/>
  <c r="A295"/>
  <c r="R294"/>
  <c r="A294"/>
  <c r="R293"/>
  <c r="A293"/>
  <c r="R292"/>
  <c r="A292"/>
  <c r="R291"/>
  <c r="A291"/>
  <c r="R290"/>
  <c r="A290"/>
  <c r="R289"/>
  <c r="A289"/>
  <c r="R288"/>
  <c r="A288"/>
  <c r="R287"/>
  <c r="A287"/>
  <c r="R286"/>
  <c r="A286"/>
  <c r="R285"/>
  <c r="A285"/>
  <c r="R284"/>
  <c r="A284"/>
  <c r="R283"/>
  <c r="A283"/>
  <c r="R282"/>
  <c r="A282"/>
  <c r="R281"/>
  <c r="A281"/>
  <c r="R280"/>
  <c r="A280"/>
  <c r="R279"/>
  <c r="A279"/>
  <c r="R278"/>
  <c r="A278"/>
  <c r="R277"/>
  <c r="A277"/>
  <c r="R276"/>
  <c r="A276"/>
  <c r="R275"/>
  <c r="A275"/>
  <c r="R274"/>
  <c r="A274"/>
  <c r="R273"/>
  <c r="A273"/>
  <c r="R272"/>
  <c r="A272"/>
  <c r="R271"/>
  <c r="A271"/>
  <c r="R270"/>
  <c r="A270"/>
  <c r="R269"/>
  <c r="A269"/>
  <c r="R268"/>
  <c r="A268"/>
  <c r="R267"/>
  <c r="A267"/>
  <c r="R266"/>
  <c r="A266"/>
  <c r="R265"/>
  <c r="A265"/>
  <c r="R264"/>
  <c r="A264"/>
  <c r="R263"/>
  <c r="A263"/>
  <c r="R262"/>
  <c r="A262"/>
  <c r="R261"/>
  <c r="A261"/>
  <c r="R260"/>
  <c r="A260"/>
  <c r="R259"/>
  <c r="A259"/>
  <c r="R258"/>
  <c r="A258"/>
  <c r="R257"/>
  <c r="A257"/>
  <c r="R256"/>
  <c r="A256"/>
  <c r="R255"/>
  <c r="A255"/>
  <c r="R254"/>
  <c r="A254"/>
  <c r="R253"/>
  <c r="A253"/>
  <c r="R252"/>
  <c r="A252"/>
  <c r="R251"/>
  <c r="A251"/>
  <c r="R250"/>
  <c r="A250"/>
  <c r="R249"/>
  <c r="A249"/>
  <c r="R248"/>
  <c r="A248"/>
  <c r="R247"/>
  <c r="A247"/>
  <c r="R246"/>
  <c r="A246"/>
  <c r="R245"/>
  <c r="A245"/>
  <c r="R244"/>
  <c r="A244"/>
  <c r="R243"/>
  <c r="A243"/>
  <c r="R242"/>
  <c r="A242"/>
  <c r="R241"/>
  <c r="A241"/>
  <c r="R240"/>
  <c r="A240"/>
  <c r="R239"/>
  <c r="A239"/>
  <c r="R238"/>
  <c r="A238"/>
  <c r="R237"/>
  <c r="A237"/>
  <c r="R236"/>
  <c r="A236"/>
  <c r="R235"/>
  <c r="A235"/>
  <c r="R234"/>
  <c r="A234"/>
  <c r="R233"/>
  <c r="A233"/>
  <c r="R232"/>
  <c r="A232"/>
  <c r="R231"/>
  <c r="A231"/>
  <c r="R230"/>
  <c r="A230"/>
  <c r="R229"/>
  <c r="A229"/>
  <c r="R228"/>
  <c r="A228"/>
  <c r="R227"/>
  <c r="A227"/>
  <c r="R226"/>
  <c r="A226"/>
  <c r="R225"/>
  <c r="A225"/>
  <c r="R224"/>
  <c r="A224"/>
  <c r="R223"/>
  <c r="A223"/>
  <c r="R222"/>
  <c r="A222"/>
  <c r="R221"/>
  <c r="A221"/>
  <c r="R220"/>
  <c r="A220"/>
  <c r="R219"/>
  <c r="A219"/>
  <c r="R218"/>
  <c r="A218"/>
  <c r="R217"/>
  <c r="A217"/>
  <c r="R216"/>
  <c r="A216"/>
  <c r="R215"/>
  <c r="A215"/>
  <c r="R214"/>
  <c r="A214"/>
  <c r="R213"/>
  <c r="A213"/>
  <c r="R212"/>
  <c r="A212"/>
  <c r="R211"/>
  <c r="A211"/>
  <c r="R210"/>
  <c r="A210"/>
  <c r="R209"/>
  <c r="A209"/>
  <c r="R208"/>
  <c r="A208"/>
  <c r="R207"/>
  <c r="A207"/>
  <c r="R206"/>
  <c r="A206"/>
  <c r="R205"/>
  <c r="A205"/>
  <c r="R204"/>
  <c r="A204"/>
  <c r="R203"/>
  <c r="A203"/>
  <c r="R202"/>
  <c r="A202"/>
  <c r="R201"/>
  <c r="A201"/>
  <c r="R200"/>
  <c r="A200"/>
  <c r="R199"/>
  <c r="A199"/>
  <c r="R198"/>
  <c r="A198"/>
  <c r="R197"/>
  <c r="A197"/>
  <c r="R196"/>
  <c r="A196"/>
  <c r="R195"/>
  <c r="A195"/>
  <c r="R194"/>
  <c r="A194"/>
  <c r="R193"/>
  <c r="A193"/>
  <c r="R192"/>
  <c r="A192"/>
  <c r="R191"/>
  <c r="A191"/>
  <c r="R190"/>
  <c r="A190"/>
  <c r="R189"/>
  <c r="A189"/>
  <c r="R188"/>
  <c r="A188"/>
  <c r="R187"/>
  <c r="A187"/>
  <c r="R186"/>
  <c r="A186"/>
  <c r="R185"/>
  <c r="A185"/>
  <c r="R184"/>
  <c r="A184"/>
  <c r="R183"/>
  <c r="A183"/>
  <c r="R182"/>
  <c r="A182"/>
  <c r="R181"/>
  <c r="A181"/>
  <c r="R180"/>
  <c r="A180"/>
  <c r="R179"/>
  <c r="A179"/>
  <c r="R178"/>
  <c r="A178"/>
  <c r="R177"/>
  <c r="A177"/>
  <c r="R176"/>
  <c r="A176"/>
  <c r="R175"/>
  <c r="A175"/>
  <c r="R174"/>
  <c r="A174"/>
  <c r="R173"/>
  <c r="A173"/>
  <c r="R172"/>
  <c r="A172"/>
  <c r="R171"/>
  <c r="A171"/>
  <c r="R170"/>
  <c r="A170"/>
  <c r="R169"/>
  <c r="A169"/>
  <c r="R168"/>
  <c r="A168"/>
  <c r="R167"/>
  <c r="A167"/>
  <c r="R166"/>
  <c r="A166"/>
  <c r="R165"/>
  <c r="A165"/>
  <c r="R164"/>
  <c r="A164"/>
  <c r="R163"/>
  <c r="A163"/>
  <c r="R162"/>
  <c r="A162"/>
  <c r="R161"/>
  <c r="A161"/>
  <c r="R160"/>
  <c r="A160"/>
  <c r="R159"/>
  <c r="A159"/>
  <c r="R158"/>
  <c r="A158"/>
  <c r="R157"/>
  <c r="A157"/>
  <c r="R156"/>
  <c r="A156"/>
  <c r="R155"/>
  <c r="A155"/>
  <c r="R154"/>
  <c r="A154"/>
  <c r="R153"/>
  <c r="A153"/>
  <c r="R152"/>
  <c r="A152"/>
  <c r="R151"/>
  <c r="A151"/>
  <c r="R150"/>
  <c r="A150"/>
  <c r="R149"/>
  <c r="A149"/>
  <c r="R148"/>
  <c r="A148"/>
  <c r="R147"/>
  <c r="A147"/>
  <c r="R146"/>
  <c r="A146"/>
  <c r="R145"/>
  <c r="A145"/>
  <c r="R144"/>
  <c r="A144"/>
  <c r="R143"/>
  <c r="A143"/>
  <c r="R142"/>
  <c r="G142"/>
  <c r="A142"/>
  <c r="R141"/>
  <c r="A141"/>
  <c r="R140"/>
  <c r="A140"/>
  <c r="R139"/>
  <c r="A139"/>
  <c r="R138"/>
  <c r="A138"/>
  <c r="R137"/>
  <c r="A137"/>
  <c r="R136"/>
  <c r="A136"/>
  <c r="R135"/>
  <c r="A135"/>
  <c r="R134"/>
  <c r="A134"/>
  <c r="R133"/>
  <c r="A133"/>
  <c r="R132"/>
  <c r="A132"/>
  <c r="R131"/>
  <c r="A131"/>
  <c r="R130"/>
  <c r="A130"/>
  <c r="R129"/>
  <c r="A129"/>
  <c r="R128"/>
  <c r="A128"/>
  <c r="R127"/>
  <c r="A127"/>
  <c r="R126"/>
  <c r="A126"/>
  <c r="R125"/>
  <c r="A125"/>
  <c r="R124"/>
  <c r="A124"/>
  <c r="R123"/>
  <c r="A123"/>
  <c r="R122"/>
  <c r="A122"/>
  <c r="R121"/>
  <c r="A121"/>
  <c r="R120"/>
  <c r="A120"/>
  <c r="R119"/>
  <c r="A119"/>
  <c r="R118"/>
  <c r="A118"/>
  <c r="R117"/>
  <c r="A117"/>
  <c r="R116"/>
  <c r="A116"/>
  <c r="R115"/>
  <c r="A115"/>
  <c r="R114"/>
  <c r="A114"/>
  <c r="R113"/>
  <c r="A113"/>
  <c r="R112"/>
  <c r="A112"/>
  <c r="R111"/>
  <c r="A111"/>
  <c r="R110"/>
  <c r="A110"/>
  <c r="R109"/>
  <c r="A109"/>
  <c r="R108"/>
  <c r="A108"/>
  <c r="R107"/>
  <c r="A107"/>
  <c r="R106"/>
  <c r="A106"/>
  <c r="R105"/>
  <c r="A105"/>
  <c r="R104"/>
  <c r="A104"/>
  <c r="R103"/>
  <c r="A103"/>
  <c r="R102"/>
  <c r="A102"/>
  <c r="R101"/>
  <c r="A101"/>
  <c r="R100"/>
  <c r="A100"/>
  <c r="R99"/>
  <c r="A99"/>
  <c r="R98"/>
  <c r="A98"/>
  <c r="R97"/>
  <c r="A97"/>
  <c r="R96"/>
  <c r="A96"/>
  <c r="R95"/>
  <c r="A95"/>
  <c r="R94"/>
  <c r="A94"/>
  <c r="R93"/>
  <c r="A93"/>
  <c r="R92"/>
  <c r="A92"/>
  <c r="R91"/>
  <c r="A91"/>
  <c r="R90"/>
  <c r="A90"/>
  <c r="R89"/>
  <c r="A89"/>
  <c r="R88"/>
  <c r="A88"/>
  <c r="R87"/>
  <c r="A87"/>
  <c r="R86"/>
  <c r="A86"/>
  <c r="R85"/>
  <c r="A85"/>
  <c r="R84"/>
  <c r="A84"/>
  <c r="R83"/>
  <c r="A83"/>
  <c r="R82"/>
  <c r="A82"/>
  <c r="R81"/>
  <c r="A81"/>
  <c r="R80"/>
  <c r="A80"/>
  <c r="R79"/>
  <c r="A79"/>
  <c r="R78"/>
  <c r="A78"/>
  <c r="R77"/>
  <c r="A77"/>
  <c r="R76"/>
  <c r="A76"/>
  <c r="R75"/>
  <c r="A75"/>
  <c r="R74"/>
  <c r="A74"/>
  <c r="R73"/>
  <c r="A73"/>
  <c r="R72"/>
  <c r="A72"/>
  <c r="R71"/>
  <c r="A71"/>
  <c r="R70"/>
  <c r="A70"/>
  <c r="R69"/>
  <c r="A69"/>
  <c r="R68"/>
  <c r="A68"/>
  <c r="R67"/>
  <c r="A67"/>
  <c r="R66"/>
  <c r="A66"/>
  <c r="R65"/>
  <c r="A65"/>
  <c r="R64"/>
  <c r="A64"/>
  <c r="R63"/>
  <c r="A63"/>
  <c r="R62"/>
  <c r="A62"/>
  <c r="R61"/>
  <c r="A61"/>
  <c r="R60"/>
  <c r="A60"/>
  <c r="R59"/>
  <c r="A59"/>
  <c r="R58"/>
  <c r="A58"/>
  <c r="R57"/>
  <c r="A57"/>
  <c r="R56"/>
  <c r="A56"/>
  <c r="R55"/>
  <c r="A55"/>
  <c r="R54"/>
  <c r="A54"/>
  <c r="R53"/>
  <c r="A53"/>
  <c r="R52"/>
  <c r="A52"/>
  <c r="R51"/>
  <c r="A51"/>
  <c r="R50"/>
  <c r="A50"/>
  <c r="R49"/>
  <c r="A49"/>
  <c r="R48"/>
  <c r="A48"/>
  <c r="R47"/>
  <c r="A47"/>
  <c r="R46"/>
  <c r="A46"/>
  <c r="R45"/>
  <c r="A45"/>
  <c r="R44"/>
  <c r="A44"/>
  <c r="R43"/>
  <c r="A43"/>
  <c r="R42"/>
  <c r="A42"/>
  <c r="R41"/>
  <c r="A41"/>
  <c r="R40"/>
  <c r="A40"/>
  <c r="R39"/>
  <c r="A39"/>
  <c r="R38"/>
  <c r="A38"/>
  <c r="R37"/>
  <c r="A37"/>
  <c r="R36"/>
  <c r="A36"/>
  <c r="R35"/>
  <c r="A35"/>
  <c r="R34"/>
  <c r="A34"/>
  <c r="R33"/>
  <c r="A33"/>
  <c r="R32"/>
  <c r="A32"/>
  <c r="R31"/>
  <c r="A31"/>
  <c r="R30"/>
  <c r="A30"/>
  <c r="R29"/>
  <c r="A29"/>
  <c r="R28"/>
  <c r="A28"/>
  <c r="R27"/>
  <c r="A27"/>
  <c r="R26"/>
  <c r="A26"/>
  <c r="R25"/>
  <c r="A25"/>
  <c r="R24"/>
  <c r="A24"/>
  <c r="R23"/>
  <c r="A23"/>
  <c r="R22"/>
  <c r="A22"/>
  <c r="R21"/>
  <c r="A21"/>
  <c r="R20"/>
  <c r="A20"/>
  <c r="R19"/>
  <c r="A19"/>
  <c r="R18"/>
  <c r="A18"/>
  <c r="R17"/>
  <c r="A17"/>
  <c r="R16"/>
  <c r="A16"/>
  <c r="R15"/>
  <c r="A15"/>
  <c r="R14"/>
  <c r="A14"/>
  <c r="R13"/>
  <c r="A13"/>
  <c r="R12"/>
  <c r="A12"/>
  <c r="R11"/>
  <c r="A11"/>
  <c r="R10"/>
  <c r="A10"/>
  <c r="R9"/>
  <c r="A9"/>
  <c r="R8"/>
  <c r="A8"/>
  <c r="R7"/>
  <c r="A7"/>
  <c r="B1"/>
  <c r="B3" i="7"/>
  <c r="B3" i="1" s="1"/>
  <c r="I634" i="19" l="1"/>
  <c r="N608"/>
  <c r="I598"/>
  <c r="I574"/>
  <c r="N557"/>
  <c r="I538"/>
  <c r="M517"/>
  <c r="M501"/>
  <c r="O422"/>
  <c r="I410"/>
  <c r="M389"/>
  <c r="M373"/>
  <c r="O294"/>
  <c r="I282"/>
  <c r="N261"/>
  <c r="I259"/>
  <c r="M215"/>
  <c r="N213"/>
  <c r="N190"/>
  <c r="O188"/>
  <c r="M186"/>
  <c r="I180"/>
  <c r="M167"/>
  <c r="N165"/>
  <c r="M163"/>
  <c r="I161"/>
  <c r="N142"/>
  <c r="O140"/>
  <c r="N111"/>
  <c r="O109"/>
  <c r="N99"/>
  <c r="M91"/>
  <c r="M78"/>
  <c r="N76"/>
  <c r="I68"/>
  <c r="N47"/>
  <c r="O45"/>
  <c r="N35"/>
  <c r="M27"/>
  <c r="M14"/>
  <c r="N12"/>
  <c r="I4"/>
  <c r="M587"/>
  <c r="M563"/>
  <c r="I530"/>
  <c r="N525"/>
  <c r="M523"/>
  <c r="M493"/>
  <c r="M467"/>
  <c r="M443"/>
  <c r="M395"/>
  <c r="M365"/>
  <c r="I274"/>
  <c r="N269"/>
  <c r="N245"/>
  <c r="M218"/>
  <c r="M195"/>
  <c r="O172"/>
  <c r="M118"/>
  <c r="N87"/>
  <c r="M54"/>
  <c r="N11"/>
  <c r="N621"/>
  <c r="I474"/>
  <c r="I346"/>
  <c r="M235"/>
  <c r="O212"/>
  <c r="M189"/>
  <c r="M133"/>
  <c r="M123"/>
  <c r="M59"/>
  <c r="N44"/>
  <c r="N15"/>
  <c r="I590"/>
  <c r="I542"/>
  <c r="I502"/>
  <c r="N437"/>
  <c r="N416"/>
  <c r="I374"/>
  <c r="I298"/>
  <c r="N235"/>
  <c r="N158"/>
  <c r="M135"/>
  <c r="M115"/>
  <c r="M102"/>
  <c r="M38"/>
  <c r="N7"/>
  <c r="O542"/>
  <c r="I470"/>
  <c r="O446"/>
  <c r="O374"/>
  <c r="I342"/>
  <c r="M250"/>
  <c r="I225"/>
  <c r="O150"/>
  <c r="N115"/>
  <c r="I84"/>
  <c r="M43"/>
  <c r="N28"/>
  <c r="N632"/>
  <c r="I618"/>
  <c r="M579"/>
  <c r="M555"/>
  <c r="N536"/>
  <c r="N501"/>
  <c r="M499"/>
  <c r="I490"/>
  <c r="N480"/>
  <c r="I478"/>
  <c r="N440"/>
  <c r="I438"/>
  <c r="I434"/>
  <c r="N408"/>
  <c r="N373"/>
  <c r="M371"/>
  <c r="I362"/>
  <c r="N352"/>
  <c r="I350"/>
  <c r="N312"/>
  <c r="I310"/>
  <c r="I306"/>
  <c r="N280"/>
  <c r="M259"/>
  <c r="I257"/>
  <c r="N238"/>
  <c r="O236"/>
  <c r="M203"/>
  <c r="N184"/>
  <c r="O182"/>
  <c r="O180"/>
  <c r="M159"/>
  <c r="M157"/>
  <c r="N155"/>
  <c r="I147"/>
  <c r="O142"/>
  <c r="N136"/>
  <c r="O134"/>
  <c r="I124"/>
  <c r="N103"/>
  <c r="O101"/>
  <c r="N91"/>
  <c r="M83"/>
  <c r="M70"/>
  <c r="N68"/>
  <c r="I60"/>
  <c r="N39"/>
  <c r="O37"/>
  <c r="N27"/>
  <c r="M19"/>
  <c r="M6"/>
  <c r="N4"/>
  <c r="I402"/>
  <c r="I302"/>
  <c r="N267"/>
  <c r="N222"/>
  <c r="I212"/>
  <c r="M199"/>
  <c r="M139"/>
  <c r="I108"/>
  <c r="N75"/>
  <c r="N52"/>
  <c r="O21"/>
  <c r="N638"/>
  <c r="M453"/>
  <c r="M325"/>
  <c r="O214"/>
  <c r="I179"/>
  <c r="O166"/>
  <c r="I131"/>
  <c r="N79"/>
  <c r="I36"/>
  <c r="N3"/>
  <c r="M619"/>
  <c r="I554"/>
  <c r="I498"/>
  <c r="N472"/>
  <c r="I414"/>
  <c r="N344"/>
  <c r="I286"/>
  <c r="N181"/>
  <c r="I148"/>
  <c r="N133"/>
  <c r="N123"/>
  <c r="O69"/>
  <c r="M51"/>
  <c r="N36"/>
  <c r="N605"/>
  <c r="O502"/>
  <c r="N496"/>
  <c r="N405"/>
  <c r="M333"/>
  <c r="N277"/>
  <c r="O252"/>
  <c r="M231"/>
  <c r="O125"/>
  <c r="N92"/>
  <c r="N63"/>
  <c r="I20"/>
  <c r="I630"/>
  <c r="N616"/>
  <c r="I594"/>
  <c r="N565"/>
  <c r="I534"/>
  <c r="M525"/>
  <c r="O510"/>
  <c r="O478"/>
  <c r="N469"/>
  <c r="N445"/>
  <c r="O438"/>
  <c r="N432"/>
  <c r="I406"/>
  <c r="M397"/>
  <c r="O382"/>
  <c r="O350"/>
  <c r="N341"/>
  <c r="N317"/>
  <c r="O310"/>
  <c r="N304"/>
  <c r="I278"/>
  <c r="M269"/>
  <c r="M255"/>
  <c r="M253"/>
  <c r="N251"/>
  <c r="I243"/>
  <c r="O238"/>
  <c r="N232"/>
  <c r="O230"/>
  <c r="M205"/>
  <c r="N203"/>
  <c r="M197"/>
  <c r="I195"/>
  <c r="M151"/>
  <c r="N149"/>
  <c r="M126"/>
  <c r="N124"/>
  <c r="I116"/>
  <c r="N95"/>
  <c r="O93"/>
  <c r="N83"/>
  <c r="M75"/>
  <c r="M62"/>
  <c r="N60"/>
  <c r="I52"/>
  <c r="N31"/>
  <c r="O29"/>
  <c r="N19"/>
  <c r="M11"/>
  <c r="I193"/>
  <c r="N597"/>
  <c r="M437"/>
  <c r="O358"/>
  <c r="M191"/>
  <c r="N168"/>
  <c r="N139"/>
  <c r="M110"/>
  <c r="I100"/>
  <c r="O77"/>
  <c r="N568"/>
  <c r="N504"/>
  <c r="I426"/>
  <c r="N376"/>
  <c r="N309"/>
  <c r="N288"/>
  <c r="I227"/>
  <c r="M154"/>
  <c r="I129"/>
  <c r="N100"/>
  <c r="N59"/>
  <c r="I28"/>
  <c r="O5"/>
  <c r="N629"/>
  <c r="N552"/>
  <c r="N533"/>
  <c r="M461"/>
  <c r="N381"/>
  <c r="O318"/>
  <c r="N254"/>
  <c r="M227"/>
  <c r="O204"/>
  <c r="N152"/>
  <c r="N127"/>
  <c r="M94"/>
  <c r="N51"/>
  <c r="M627"/>
  <c r="I610"/>
  <c r="I586"/>
  <c r="N576"/>
  <c r="M531"/>
  <c r="M507"/>
  <c r="I494"/>
  <c r="I466"/>
  <c r="N461"/>
  <c r="M459"/>
  <c r="M429"/>
  <c r="M403"/>
  <c r="M379"/>
  <c r="I366"/>
  <c r="I338"/>
  <c r="N333"/>
  <c r="M331"/>
  <c r="M301"/>
  <c r="M275"/>
  <c r="N248"/>
  <c r="O246"/>
  <c r="O244"/>
  <c r="M223"/>
  <c r="M221"/>
  <c r="N219"/>
  <c r="I211"/>
  <c r="O206"/>
  <c r="N200"/>
  <c r="O198"/>
  <c r="M173"/>
  <c r="N171"/>
  <c r="M165"/>
  <c r="I163"/>
  <c r="N119"/>
  <c r="O117"/>
  <c r="N107"/>
  <c r="M99"/>
  <c r="M86"/>
  <c r="N84"/>
  <c r="I76"/>
  <c r="N55"/>
  <c r="O53"/>
  <c r="N43"/>
  <c r="M35"/>
  <c r="M22"/>
  <c r="N20"/>
  <c r="I12"/>
  <c r="I430"/>
  <c r="N397"/>
  <c r="M339"/>
  <c r="M315"/>
  <c r="M247"/>
  <c r="O220"/>
  <c r="N197"/>
  <c r="N174"/>
  <c r="N116"/>
  <c r="O85"/>
  <c r="M67"/>
  <c r="I44"/>
  <c r="N23"/>
  <c r="M3"/>
  <c r="O486"/>
  <c r="M309"/>
  <c r="N216"/>
  <c r="N187"/>
  <c r="O174"/>
  <c r="M141"/>
  <c r="N108"/>
  <c r="N67"/>
  <c r="M46"/>
  <c r="O13"/>
  <c r="N544"/>
  <c r="M435"/>
  <c r="I370"/>
  <c r="M307"/>
  <c r="M237"/>
  <c r="M229"/>
  <c r="M183"/>
  <c r="O156"/>
  <c r="M131"/>
  <c r="I92"/>
  <c r="N71"/>
  <c r="I566"/>
  <c r="N509"/>
  <c r="O414"/>
  <c r="N368"/>
  <c r="O286"/>
  <c r="I244"/>
  <c r="N229"/>
  <c r="N206"/>
  <c r="M171"/>
  <c r="O148"/>
  <c r="M107"/>
  <c r="O61"/>
  <c r="M30"/>
  <c r="O4"/>
  <c r="O7"/>
  <c r="I9"/>
  <c r="O12"/>
  <c r="O15"/>
  <c r="I17"/>
  <c r="O20"/>
  <c r="O23"/>
  <c r="I25"/>
  <c r="O28"/>
  <c r="O31"/>
  <c r="I33"/>
  <c r="O36"/>
  <c r="O39"/>
  <c r="I41"/>
  <c r="O44"/>
  <c r="O47"/>
  <c r="I49"/>
  <c r="O52"/>
  <c r="O55"/>
  <c r="I57"/>
  <c r="O60"/>
  <c r="O63"/>
  <c r="I65"/>
  <c r="O68"/>
  <c r="O71"/>
  <c r="I73"/>
  <c r="O76"/>
  <c r="O79"/>
  <c r="I81"/>
  <c r="O84"/>
  <c r="O87"/>
  <c r="I89"/>
  <c r="O92"/>
  <c r="O95"/>
  <c r="I97"/>
  <c r="O100"/>
  <c r="O103"/>
  <c r="I105"/>
  <c r="O108"/>
  <c r="O111"/>
  <c r="I113"/>
  <c r="O116"/>
  <c r="O119"/>
  <c r="I121"/>
  <c r="O124"/>
  <c r="O127"/>
  <c r="N148"/>
  <c r="O159"/>
  <c r="N180"/>
  <c r="O191"/>
  <c r="N212"/>
  <c r="O223"/>
  <c r="N244"/>
  <c r="O255"/>
  <c r="M263"/>
  <c r="I290"/>
  <c r="I294"/>
  <c r="N296"/>
  <c r="O302"/>
  <c r="M317"/>
  <c r="M323"/>
  <c r="N325"/>
  <c r="I354"/>
  <c r="I358"/>
  <c r="N360"/>
  <c r="O366"/>
  <c r="M381"/>
  <c r="M387"/>
  <c r="N389"/>
  <c r="I418"/>
  <c r="I422"/>
  <c r="N424"/>
  <c r="O430"/>
  <c r="M445"/>
  <c r="M451"/>
  <c r="N453"/>
  <c r="I482"/>
  <c r="I486"/>
  <c r="N488"/>
  <c r="O494"/>
  <c r="M509"/>
  <c r="M515"/>
  <c r="N517"/>
  <c r="I546"/>
  <c r="I550"/>
  <c r="I570"/>
  <c r="N581"/>
  <c r="N592"/>
  <c r="M603"/>
  <c r="I614"/>
  <c r="O638"/>
  <c r="O637"/>
  <c r="O636"/>
  <c r="N635"/>
  <c r="M634"/>
  <c r="I633"/>
  <c r="O628"/>
  <c r="N627"/>
  <c r="M626"/>
  <c r="I625"/>
  <c r="O620"/>
  <c r="N619"/>
  <c r="M618"/>
  <c r="I617"/>
  <c r="O612"/>
  <c r="N611"/>
  <c r="M610"/>
  <c r="I609"/>
  <c r="O604"/>
  <c r="N603"/>
  <c r="M602"/>
  <c r="I601"/>
  <c r="O596"/>
  <c r="N595"/>
  <c r="M594"/>
  <c r="I593"/>
  <c r="O588"/>
  <c r="N587"/>
  <c r="M586"/>
  <c r="I585"/>
  <c r="O580"/>
  <c r="N579"/>
  <c r="M578"/>
  <c r="I577"/>
  <c r="O572"/>
  <c r="N571"/>
  <c r="M570"/>
  <c r="I569"/>
  <c r="O564"/>
  <c r="N563"/>
  <c r="M562"/>
  <c r="I561"/>
  <c r="O556"/>
  <c r="N555"/>
  <c r="M554"/>
  <c r="I553"/>
  <c r="O548"/>
  <c r="N547"/>
  <c r="M546"/>
  <c r="I545"/>
  <c r="O540"/>
  <c r="N539"/>
  <c r="M538"/>
  <c r="I537"/>
  <c r="O532"/>
  <c r="N531"/>
  <c r="M530"/>
  <c r="I529"/>
  <c r="O524"/>
  <c r="N523"/>
  <c r="M522"/>
  <c r="I521"/>
  <c r="O516"/>
  <c r="N515"/>
  <c r="M514"/>
  <c r="I513"/>
  <c r="O508"/>
  <c r="N507"/>
  <c r="M506"/>
  <c r="I505"/>
  <c r="O500"/>
  <c r="N499"/>
  <c r="M498"/>
  <c r="I497"/>
  <c r="O492"/>
  <c r="N491"/>
  <c r="M490"/>
  <c r="I489"/>
  <c r="O484"/>
  <c r="N483"/>
  <c r="M482"/>
  <c r="I481"/>
  <c r="O476"/>
  <c r="N475"/>
  <c r="M474"/>
  <c r="I473"/>
  <c r="O468"/>
  <c r="N467"/>
  <c r="M466"/>
  <c r="I465"/>
  <c r="O460"/>
  <c r="N459"/>
  <c r="M458"/>
  <c r="I457"/>
  <c r="O452"/>
  <c r="N451"/>
  <c r="M450"/>
  <c r="I449"/>
  <c r="O444"/>
  <c r="N443"/>
  <c r="M442"/>
  <c r="I441"/>
  <c r="O436"/>
  <c r="N435"/>
  <c r="M434"/>
  <c r="I433"/>
  <c r="O428"/>
  <c r="N427"/>
  <c r="M426"/>
  <c r="I425"/>
  <c r="O420"/>
  <c r="N419"/>
  <c r="M418"/>
  <c r="I417"/>
  <c r="O412"/>
  <c r="N411"/>
  <c r="M410"/>
  <c r="I409"/>
  <c r="O404"/>
  <c r="N403"/>
  <c r="M402"/>
  <c r="I401"/>
  <c r="O396"/>
  <c r="N395"/>
  <c r="M394"/>
  <c r="I393"/>
  <c r="O388"/>
  <c r="N387"/>
  <c r="M386"/>
  <c r="I385"/>
  <c r="O380"/>
  <c r="N379"/>
  <c r="M378"/>
  <c r="I377"/>
  <c r="O372"/>
  <c r="N371"/>
  <c r="M370"/>
  <c r="I369"/>
  <c r="O364"/>
  <c r="N363"/>
  <c r="M362"/>
  <c r="I361"/>
  <c r="O356"/>
  <c r="N355"/>
  <c r="M354"/>
  <c r="I353"/>
  <c r="O348"/>
  <c r="N347"/>
  <c r="M346"/>
  <c r="I345"/>
  <c r="O340"/>
  <c r="N339"/>
  <c r="M338"/>
  <c r="I337"/>
  <c r="O332"/>
  <c r="N331"/>
  <c r="M330"/>
  <c r="I329"/>
  <c r="O324"/>
  <c r="N323"/>
  <c r="M322"/>
  <c r="I321"/>
  <c r="O316"/>
  <c r="N315"/>
  <c r="M314"/>
  <c r="I313"/>
  <c r="O308"/>
  <c r="N307"/>
  <c r="M306"/>
  <c r="I305"/>
  <c r="O300"/>
  <c r="N299"/>
  <c r="M298"/>
  <c r="I297"/>
  <c r="O292"/>
  <c r="N291"/>
  <c r="M290"/>
  <c r="I289"/>
  <c r="O284"/>
  <c r="N283"/>
  <c r="M282"/>
  <c r="I281"/>
  <c r="O276"/>
  <c r="N275"/>
  <c r="M274"/>
  <c r="I273"/>
  <c r="O268"/>
  <c r="O635"/>
  <c r="N634"/>
  <c r="M633"/>
  <c r="I632"/>
  <c r="O627"/>
  <c r="N626"/>
  <c r="M625"/>
  <c r="I624"/>
  <c r="O619"/>
  <c r="N618"/>
  <c r="M617"/>
  <c r="I616"/>
  <c r="O611"/>
  <c r="N610"/>
  <c r="M609"/>
  <c r="I608"/>
  <c r="O603"/>
  <c r="N602"/>
  <c r="M601"/>
  <c r="I600"/>
  <c r="O595"/>
  <c r="N594"/>
  <c r="M593"/>
  <c r="I592"/>
  <c r="O587"/>
  <c r="N586"/>
  <c r="M585"/>
  <c r="I584"/>
  <c r="O579"/>
  <c r="N578"/>
  <c r="M577"/>
  <c r="I576"/>
  <c r="O571"/>
  <c r="N570"/>
  <c r="M569"/>
  <c r="I568"/>
  <c r="O563"/>
  <c r="N562"/>
  <c r="M561"/>
  <c r="I560"/>
  <c r="O555"/>
  <c r="N554"/>
  <c r="M553"/>
  <c r="I552"/>
  <c r="O547"/>
  <c r="N546"/>
  <c r="M545"/>
  <c r="I544"/>
  <c r="O539"/>
  <c r="N538"/>
  <c r="M537"/>
  <c r="I536"/>
  <c r="O531"/>
  <c r="N530"/>
  <c r="M529"/>
  <c r="I528"/>
  <c r="O523"/>
  <c r="N522"/>
  <c r="M521"/>
  <c r="I520"/>
  <c r="O515"/>
  <c r="N514"/>
  <c r="M513"/>
  <c r="I512"/>
  <c r="O507"/>
  <c r="N506"/>
  <c r="M505"/>
  <c r="I504"/>
  <c r="O499"/>
  <c r="N498"/>
  <c r="M497"/>
  <c r="I496"/>
  <c r="O491"/>
  <c r="N490"/>
  <c r="M489"/>
  <c r="I488"/>
  <c r="O483"/>
  <c r="N482"/>
  <c r="M481"/>
  <c r="I480"/>
  <c r="O475"/>
  <c r="N474"/>
  <c r="M473"/>
  <c r="I472"/>
  <c r="O467"/>
  <c r="N466"/>
  <c r="M465"/>
  <c r="I464"/>
  <c r="O459"/>
  <c r="N458"/>
  <c r="M457"/>
  <c r="I456"/>
  <c r="O451"/>
  <c r="N450"/>
  <c r="M449"/>
  <c r="I448"/>
  <c r="O443"/>
  <c r="N442"/>
  <c r="M441"/>
  <c r="I440"/>
  <c r="O435"/>
  <c r="N434"/>
  <c r="M433"/>
  <c r="I432"/>
  <c r="O427"/>
  <c r="N426"/>
  <c r="M425"/>
  <c r="I424"/>
  <c r="O419"/>
  <c r="N418"/>
  <c r="M417"/>
  <c r="I416"/>
  <c r="O411"/>
  <c r="N410"/>
  <c r="M409"/>
  <c r="I408"/>
  <c r="O403"/>
  <c r="N402"/>
  <c r="M401"/>
  <c r="I400"/>
  <c r="O395"/>
  <c r="N394"/>
  <c r="M393"/>
  <c r="I392"/>
  <c r="O387"/>
  <c r="N386"/>
  <c r="M385"/>
  <c r="I384"/>
  <c r="O379"/>
  <c r="N378"/>
  <c r="M377"/>
  <c r="I376"/>
  <c r="O371"/>
  <c r="N370"/>
  <c r="M369"/>
  <c r="I368"/>
  <c r="O363"/>
  <c r="N362"/>
  <c r="M361"/>
  <c r="I360"/>
  <c r="O355"/>
  <c r="N354"/>
  <c r="M353"/>
  <c r="I352"/>
  <c r="O347"/>
  <c r="N346"/>
  <c r="M345"/>
  <c r="I344"/>
  <c r="O339"/>
  <c r="N338"/>
  <c r="M337"/>
  <c r="I336"/>
  <c r="O331"/>
  <c r="N330"/>
  <c r="M329"/>
  <c r="I328"/>
  <c r="O323"/>
  <c r="N322"/>
  <c r="M321"/>
  <c r="I320"/>
  <c r="O315"/>
  <c r="N314"/>
  <c r="M313"/>
  <c r="I312"/>
  <c r="O307"/>
  <c r="N306"/>
  <c r="M305"/>
  <c r="I304"/>
  <c r="O299"/>
  <c r="N298"/>
  <c r="M297"/>
  <c r="I296"/>
  <c r="O291"/>
  <c r="N290"/>
  <c r="M289"/>
  <c r="I288"/>
  <c r="O283"/>
  <c r="N282"/>
  <c r="M281"/>
  <c r="I280"/>
  <c r="O275"/>
  <c r="N274"/>
  <c r="M273"/>
  <c r="I272"/>
  <c r="O267"/>
  <c r="N266"/>
  <c r="M265"/>
  <c r="I264"/>
  <c r="O259"/>
  <c r="N258"/>
  <c r="M257"/>
  <c r="I256"/>
  <c r="O251"/>
  <c r="N250"/>
  <c r="M249"/>
  <c r="I248"/>
  <c r="O243"/>
  <c r="N242"/>
  <c r="M241"/>
  <c r="I240"/>
  <c r="O235"/>
  <c r="N234"/>
  <c r="M233"/>
  <c r="I232"/>
  <c r="O227"/>
  <c r="N226"/>
  <c r="M225"/>
  <c r="I224"/>
  <c r="O219"/>
  <c r="N218"/>
  <c r="M217"/>
  <c r="I216"/>
  <c r="O211"/>
  <c r="N210"/>
  <c r="M209"/>
  <c r="I208"/>
  <c r="O203"/>
  <c r="N202"/>
  <c r="M201"/>
  <c r="I200"/>
  <c r="O195"/>
  <c r="N194"/>
  <c r="M193"/>
  <c r="I192"/>
  <c r="O187"/>
  <c r="N186"/>
  <c r="M185"/>
  <c r="I184"/>
  <c r="O179"/>
  <c r="N178"/>
  <c r="M177"/>
  <c r="I176"/>
  <c r="O171"/>
  <c r="N170"/>
  <c r="M169"/>
  <c r="I168"/>
  <c r="O163"/>
  <c r="N162"/>
  <c r="M161"/>
  <c r="I160"/>
  <c r="O155"/>
  <c r="N154"/>
  <c r="M153"/>
  <c r="I152"/>
  <c r="O147"/>
  <c r="N146"/>
  <c r="M145"/>
  <c r="I144"/>
  <c r="O139"/>
  <c r="N138"/>
  <c r="M137"/>
  <c r="I136"/>
  <c r="O131"/>
  <c r="N130"/>
  <c r="M129"/>
  <c r="I128"/>
  <c r="I639"/>
  <c r="O634"/>
  <c r="N633"/>
  <c r="M632"/>
  <c r="I631"/>
  <c r="O626"/>
  <c r="N625"/>
  <c r="M624"/>
  <c r="I623"/>
  <c r="O618"/>
  <c r="N617"/>
  <c r="M616"/>
  <c r="I615"/>
  <c r="O610"/>
  <c r="N609"/>
  <c r="M608"/>
  <c r="I607"/>
  <c r="O602"/>
  <c r="N601"/>
  <c r="M600"/>
  <c r="I599"/>
  <c r="O594"/>
  <c r="N593"/>
  <c r="M592"/>
  <c r="I591"/>
  <c r="O586"/>
  <c r="N585"/>
  <c r="M584"/>
  <c r="I583"/>
  <c r="O578"/>
  <c r="N577"/>
  <c r="M576"/>
  <c r="I575"/>
  <c r="O570"/>
  <c r="N569"/>
  <c r="M568"/>
  <c r="I567"/>
  <c r="O562"/>
  <c r="N561"/>
  <c r="M560"/>
  <c r="I559"/>
  <c r="O554"/>
  <c r="N553"/>
  <c r="M552"/>
  <c r="I551"/>
  <c r="O546"/>
  <c r="N545"/>
  <c r="M544"/>
  <c r="I543"/>
  <c r="O538"/>
  <c r="N537"/>
  <c r="M536"/>
  <c r="I535"/>
  <c r="O530"/>
  <c r="N529"/>
  <c r="M528"/>
  <c r="I527"/>
  <c r="O522"/>
  <c r="N521"/>
  <c r="M520"/>
  <c r="I519"/>
  <c r="O514"/>
  <c r="N513"/>
  <c r="M512"/>
  <c r="I511"/>
  <c r="O506"/>
  <c r="N505"/>
  <c r="M504"/>
  <c r="I503"/>
  <c r="O498"/>
  <c r="N497"/>
  <c r="M496"/>
  <c r="I495"/>
  <c r="O490"/>
  <c r="N489"/>
  <c r="M488"/>
  <c r="I487"/>
  <c r="O482"/>
  <c r="N481"/>
  <c r="M480"/>
  <c r="I479"/>
  <c r="O474"/>
  <c r="N473"/>
  <c r="M472"/>
  <c r="I471"/>
  <c r="O466"/>
  <c r="N465"/>
  <c r="M464"/>
  <c r="I463"/>
  <c r="O458"/>
  <c r="N457"/>
  <c r="M456"/>
  <c r="I455"/>
  <c r="O450"/>
  <c r="N449"/>
  <c r="M448"/>
  <c r="I447"/>
  <c r="O442"/>
  <c r="N441"/>
  <c r="M440"/>
  <c r="I439"/>
  <c r="O434"/>
  <c r="N433"/>
  <c r="M432"/>
  <c r="I431"/>
  <c r="O426"/>
  <c r="N425"/>
  <c r="M424"/>
  <c r="I423"/>
  <c r="O418"/>
  <c r="N417"/>
  <c r="M416"/>
  <c r="I415"/>
  <c r="O410"/>
  <c r="N409"/>
  <c r="M408"/>
  <c r="I407"/>
  <c r="O402"/>
  <c r="N401"/>
  <c r="M400"/>
  <c r="I399"/>
  <c r="O394"/>
  <c r="N393"/>
  <c r="M392"/>
  <c r="I391"/>
  <c r="O386"/>
  <c r="N385"/>
  <c r="M384"/>
  <c r="I383"/>
  <c r="O378"/>
  <c r="N377"/>
  <c r="M376"/>
  <c r="I375"/>
  <c r="O370"/>
  <c r="N369"/>
  <c r="M368"/>
  <c r="I367"/>
  <c r="O362"/>
  <c r="N361"/>
  <c r="M360"/>
  <c r="I359"/>
  <c r="O354"/>
  <c r="N353"/>
  <c r="M352"/>
  <c r="I351"/>
  <c r="O346"/>
  <c r="N345"/>
  <c r="M344"/>
  <c r="I343"/>
  <c r="O338"/>
  <c r="N337"/>
  <c r="M336"/>
  <c r="I335"/>
  <c r="O330"/>
  <c r="N329"/>
  <c r="M328"/>
  <c r="I327"/>
  <c r="O322"/>
  <c r="N321"/>
  <c r="M320"/>
  <c r="I319"/>
  <c r="O314"/>
  <c r="N313"/>
  <c r="M312"/>
  <c r="I311"/>
  <c r="O306"/>
  <c r="N305"/>
  <c r="M304"/>
  <c r="I303"/>
  <c r="O298"/>
  <c r="N297"/>
  <c r="M296"/>
  <c r="I295"/>
  <c r="O290"/>
  <c r="N289"/>
  <c r="M288"/>
  <c r="I287"/>
  <c r="O282"/>
  <c r="N281"/>
  <c r="M280"/>
  <c r="I279"/>
  <c r="O274"/>
  <c r="N273"/>
  <c r="M272"/>
  <c r="I271"/>
  <c r="O266"/>
  <c r="N265"/>
  <c r="M264"/>
  <c r="I263"/>
  <c r="O258"/>
  <c r="N257"/>
  <c r="M256"/>
  <c r="I255"/>
  <c r="O250"/>
  <c r="N249"/>
  <c r="M248"/>
  <c r="I247"/>
  <c r="O242"/>
  <c r="N241"/>
  <c r="M240"/>
  <c r="I239"/>
  <c r="O234"/>
  <c r="N233"/>
  <c r="M232"/>
  <c r="I231"/>
  <c r="O226"/>
  <c r="N225"/>
  <c r="M224"/>
  <c r="I223"/>
  <c r="O218"/>
  <c r="N217"/>
  <c r="M216"/>
  <c r="I215"/>
  <c r="O210"/>
  <c r="N209"/>
  <c r="M208"/>
  <c r="I207"/>
  <c r="O202"/>
  <c r="N201"/>
  <c r="M200"/>
  <c r="I199"/>
  <c r="O194"/>
  <c r="N193"/>
  <c r="M192"/>
  <c r="I191"/>
  <c r="O186"/>
  <c r="N185"/>
  <c r="M184"/>
  <c r="I183"/>
  <c r="O178"/>
  <c r="N177"/>
  <c r="M176"/>
  <c r="I175"/>
  <c r="O170"/>
  <c r="N169"/>
  <c r="M168"/>
  <c r="I167"/>
  <c r="O162"/>
  <c r="N161"/>
  <c r="M160"/>
  <c r="I159"/>
  <c r="O154"/>
  <c r="N153"/>
  <c r="M152"/>
  <c r="I151"/>
  <c r="O146"/>
  <c r="N145"/>
  <c r="M144"/>
  <c r="I143"/>
  <c r="O138"/>
  <c r="N137"/>
  <c r="M136"/>
  <c r="I135"/>
  <c r="O130"/>
  <c r="N129"/>
  <c r="M128"/>
  <c r="M639"/>
  <c r="N639"/>
  <c r="M638"/>
  <c r="I637"/>
  <c r="O632"/>
  <c r="N631"/>
  <c r="M630"/>
  <c r="I629"/>
  <c r="O624"/>
  <c r="N623"/>
  <c r="M622"/>
  <c r="I621"/>
  <c r="O616"/>
  <c r="N615"/>
  <c r="M614"/>
  <c r="I613"/>
  <c r="O608"/>
  <c r="N607"/>
  <c r="M606"/>
  <c r="I605"/>
  <c r="O600"/>
  <c r="N599"/>
  <c r="M598"/>
  <c r="I597"/>
  <c r="O592"/>
  <c r="N591"/>
  <c r="M590"/>
  <c r="I589"/>
  <c r="O584"/>
  <c r="N583"/>
  <c r="M582"/>
  <c r="I581"/>
  <c r="O576"/>
  <c r="N575"/>
  <c r="M574"/>
  <c r="I573"/>
  <c r="O568"/>
  <c r="N567"/>
  <c r="M566"/>
  <c r="I565"/>
  <c r="O560"/>
  <c r="N559"/>
  <c r="M558"/>
  <c r="I557"/>
  <c r="O552"/>
  <c r="N551"/>
  <c r="M550"/>
  <c r="I549"/>
  <c r="O544"/>
  <c r="N543"/>
  <c r="M542"/>
  <c r="I541"/>
  <c r="O536"/>
  <c r="N535"/>
  <c r="M534"/>
  <c r="I533"/>
  <c r="O528"/>
  <c r="N527"/>
  <c r="M526"/>
  <c r="I525"/>
  <c r="O520"/>
  <c r="N519"/>
  <c r="M518"/>
  <c r="I517"/>
  <c r="O512"/>
  <c r="N511"/>
  <c r="M510"/>
  <c r="I509"/>
  <c r="O504"/>
  <c r="N503"/>
  <c r="M502"/>
  <c r="I501"/>
  <c r="O496"/>
  <c r="N495"/>
  <c r="M494"/>
  <c r="I493"/>
  <c r="O488"/>
  <c r="N487"/>
  <c r="M486"/>
  <c r="I485"/>
  <c r="O480"/>
  <c r="N479"/>
  <c r="M478"/>
  <c r="I477"/>
  <c r="O472"/>
  <c r="N471"/>
  <c r="M470"/>
  <c r="I469"/>
  <c r="O464"/>
  <c r="N463"/>
  <c r="M462"/>
  <c r="I461"/>
  <c r="O456"/>
  <c r="N455"/>
  <c r="M454"/>
  <c r="I453"/>
  <c r="O448"/>
  <c r="N447"/>
  <c r="M446"/>
  <c r="I445"/>
  <c r="O440"/>
  <c r="N439"/>
  <c r="M438"/>
  <c r="I437"/>
  <c r="O432"/>
  <c r="N431"/>
  <c r="M430"/>
  <c r="I429"/>
  <c r="O424"/>
  <c r="N423"/>
  <c r="M422"/>
  <c r="I421"/>
  <c r="O416"/>
  <c r="N415"/>
  <c r="M414"/>
  <c r="I413"/>
  <c r="O408"/>
  <c r="N407"/>
  <c r="M406"/>
  <c r="I405"/>
  <c r="O400"/>
  <c r="N399"/>
  <c r="M398"/>
  <c r="I397"/>
  <c r="O392"/>
  <c r="N391"/>
  <c r="M390"/>
  <c r="I389"/>
  <c r="O384"/>
  <c r="N383"/>
  <c r="M382"/>
  <c r="I381"/>
  <c r="O376"/>
  <c r="N375"/>
  <c r="M374"/>
  <c r="I373"/>
  <c r="O368"/>
  <c r="N367"/>
  <c r="M366"/>
  <c r="I365"/>
  <c r="O360"/>
  <c r="N359"/>
  <c r="M358"/>
  <c r="I357"/>
  <c r="O352"/>
  <c r="N351"/>
  <c r="M350"/>
  <c r="I349"/>
  <c r="O344"/>
  <c r="N343"/>
  <c r="M342"/>
  <c r="I341"/>
  <c r="O336"/>
  <c r="N335"/>
  <c r="M334"/>
  <c r="I333"/>
  <c r="O328"/>
  <c r="N327"/>
  <c r="M326"/>
  <c r="I325"/>
  <c r="O320"/>
  <c r="N319"/>
  <c r="M318"/>
  <c r="I317"/>
  <c r="O312"/>
  <c r="N311"/>
  <c r="M310"/>
  <c r="I309"/>
  <c r="O304"/>
  <c r="N303"/>
  <c r="M302"/>
  <c r="I301"/>
  <c r="O296"/>
  <c r="N295"/>
  <c r="M294"/>
  <c r="I293"/>
  <c r="O288"/>
  <c r="N287"/>
  <c r="M286"/>
  <c r="I285"/>
  <c r="O280"/>
  <c r="N279"/>
  <c r="M278"/>
  <c r="I277"/>
  <c r="O272"/>
  <c r="N271"/>
  <c r="M270"/>
  <c r="I269"/>
  <c r="O264"/>
  <c r="N263"/>
  <c r="M262"/>
  <c r="I261"/>
  <c r="O256"/>
  <c r="N255"/>
  <c r="M254"/>
  <c r="I253"/>
  <c r="O248"/>
  <c r="N247"/>
  <c r="M246"/>
  <c r="I245"/>
  <c r="O240"/>
  <c r="N239"/>
  <c r="M238"/>
  <c r="I237"/>
  <c r="O232"/>
  <c r="N231"/>
  <c r="M230"/>
  <c r="I229"/>
  <c r="O224"/>
  <c r="N223"/>
  <c r="M222"/>
  <c r="I221"/>
  <c r="O216"/>
  <c r="N215"/>
  <c r="M214"/>
  <c r="I213"/>
  <c r="O208"/>
  <c r="N207"/>
  <c r="M206"/>
  <c r="I205"/>
  <c r="O200"/>
  <c r="N199"/>
  <c r="M198"/>
  <c r="I197"/>
  <c r="O192"/>
  <c r="N191"/>
  <c r="M190"/>
  <c r="I189"/>
  <c r="O184"/>
  <c r="N183"/>
  <c r="M182"/>
  <c r="I181"/>
  <c r="O176"/>
  <c r="N175"/>
  <c r="M174"/>
  <c r="I173"/>
  <c r="O168"/>
  <c r="N167"/>
  <c r="M166"/>
  <c r="I165"/>
  <c r="O160"/>
  <c r="N159"/>
  <c r="M158"/>
  <c r="I157"/>
  <c r="O152"/>
  <c r="N151"/>
  <c r="M150"/>
  <c r="I149"/>
  <c r="O144"/>
  <c r="N143"/>
  <c r="M142"/>
  <c r="I141"/>
  <c r="O136"/>
  <c r="N135"/>
  <c r="M134"/>
  <c r="I133"/>
  <c r="O128"/>
  <c r="O639"/>
  <c r="I636"/>
  <c r="O629"/>
  <c r="I628"/>
  <c r="O621"/>
  <c r="I620"/>
  <c r="O613"/>
  <c r="I612"/>
  <c r="O605"/>
  <c r="I604"/>
  <c r="O597"/>
  <c r="I596"/>
  <c r="O589"/>
  <c r="I588"/>
  <c r="O581"/>
  <c r="I580"/>
  <c r="O573"/>
  <c r="I572"/>
  <c r="O565"/>
  <c r="I564"/>
  <c r="O557"/>
  <c r="I556"/>
  <c r="O549"/>
  <c r="I548"/>
  <c r="O541"/>
  <c r="I540"/>
  <c r="O533"/>
  <c r="I532"/>
  <c r="O525"/>
  <c r="I524"/>
  <c r="O517"/>
  <c r="I516"/>
  <c r="O509"/>
  <c r="I508"/>
  <c r="O501"/>
  <c r="I500"/>
  <c r="O493"/>
  <c r="I492"/>
  <c r="O485"/>
  <c r="I484"/>
  <c r="O477"/>
  <c r="I476"/>
  <c r="O469"/>
  <c r="I468"/>
  <c r="O461"/>
  <c r="I460"/>
  <c r="O453"/>
  <c r="I452"/>
  <c r="O445"/>
  <c r="I444"/>
  <c r="O437"/>
  <c r="I436"/>
  <c r="O429"/>
  <c r="I428"/>
  <c r="O421"/>
  <c r="I420"/>
  <c r="O413"/>
  <c r="I412"/>
  <c r="O405"/>
  <c r="I404"/>
  <c r="O397"/>
  <c r="I396"/>
  <c r="O389"/>
  <c r="I388"/>
  <c r="O381"/>
  <c r="I380"/>
  <c r="O373"/>
  <c r="I372"/>
  <c r="O365"/>
  <c r="I364"/>
  <c r="O357"/>
  <c r="I356"/>
  <c r="O349"/>
  <c r="I348"/>
  <c r="O341"/>
  <c r="I340"/>
  <c r="O333"/>
  <c r="I332"/>
  <c r="O325"/>
  <c r="I324"/>
  <c r="O317"/>
  <c r="I316"/>
  <c r="O309"/>
  <c r="I308"/>
  <c r="O301"/>
  <c r="I300"/>
  <c r="O293"/>
  <c r="I292"/>
  <c r="O285"/>
  <c r="I284"/>
  <c r="O277"/>
  <c r="I276"/>
  <c r="O269"/>
  <c r="I268"/>
  <c r="I265"/>
  <c r="O263"/>
  <c r="N259"/>
  <c r="N256"/>
  <c r="N253"/>
  <c r="I252"/>
  <c r="I249"/>
  <c r="O247"/>
  <c r="N243"/>
  <c r="N240"/>
  <c r="N237"/>
  <c r="I236"/>
  <c r="I233"/>
  <c r="O231"/>
  <c r="N227"/>
  <c r="N224"/>
  <c r="N221"/>
  <c r="I220"/>
  <c r="I217"/>
  <c r="O215"/>
  <c r="N211"/>
  <c r="N208"/>
  <c r="N205"/>
  <c r="I204"/>
  <c r="I201"/>
  <c r="O199"/>
  <c r="N195"/>
  <c r="N192"/>
  <c r="N189"/>
  <c r="I188"/>
  <c r="I185"/>
  <c r="O183"/>
  <c r="N179"/>
  <c r="N176"/>
  <c r="N173"/>
  <c r="I172"/>
  <c r="I169"/>
  <c r="O167"/>
  <c r="N163"/>
  <c r="N160"/>
  <c r="N157"/>
  <c r="I156"/>
  <c r="I153"/>
  <c r="O151"/>
  <c r="N147"/>
  <c r="N144"/>
  <c r="N141"/>
  <c r="I140"/>
  <c r="I137"/>
  <c r="O135"/>
  <c r="N131"/>
  <c r="N128"/>
  <c r="O123"/>
  <c r="N122"/>
  <c r="M121"/>
  <c r="I120"/>
  <c r="O115"/>
  <c r="N114"/>
  <c r="M113"/>
  <c r="I112"/>
  <c r="O107"/>
  <c r="N106"/>
  <c r="M105"/>
  <c r="I104"/>
  <c r="O99"/>
  <c r="N98"/>
  <c r="M97"/>
  <c r="I96"/>
  <c r="O91"/>
  <c r="N90"/>
  <c r="M89"/>
  <c r="I88"/>
  <c r="O83"/>
  <c r="N82"/>
  <c r="M81"/>
  <c r="I80"/>
  <c r="O75"/>
  <c r="N74"/>
  <c r="M73"/>
  <c r="I72"/>
  <c r="O67"/>
  <c r="N66"/>
  <c r="M65"/>
  <c r="I64"/>
  <c r="O59"/>
  <c r="N58"/>
  <c r="M57"/>
  <c r="I56"/>
  <c r="O51"/>
  <c r="N50"/>
  <c r="M49"/>
  <c r="I48"/>
  <c r="O43"/>
  <c r="N42"/>
  <c r="M41"/>
  <c r="I40"/>
  <c r="O35"/>
  <c r="N34"/>
  <c r="M33"/>
  <c r="I32"/>
  <c r="O27"/>
  <c r="N26"/>
  <c r="M25"/>
  <c r="I24"/>
  <c r="O19"/>
  <c r="N18"/>
  <c r="M17"/>
  <c r="I16"/>
  <c r="O11"/>
  <c r="N10"/>
  <c r="M9"/>
  <c r="I8"/>
  <c r="O3"/>
  <c r="N2"/>
  <c r="O633"/>
  <c r="O631"/>
  <c r="I627"/>
  <c r="O617"/>
  <c r="O609"/>
  <c r="O601"/>
  <c r="O591"/>
  <c r="I587"/>
  <c r="O577"/>
  <c r="O567"/>
  <c r="O561"/>
  <c r="O551"/>
  <c r="I547"/>
  <c r="O535"/>
  <c r="O527"/>
  <c r="O519"/>
  <c r="O511"/>
  <c r="O505"/>
  <c r="O497"/>
  <c r="O487"/>
  <c r="O479"/>
  <c r="O471"/>
  <c r="I467"/>
  <c r="O457"/>
  <c r="O447"/>
  <c r="I443"/>
  <c r="O433"/>
  <c r="O423"/>
  <c r="O417"/>
  <c r="O407"/>
  <c r="O401"/>
  <c r="O393"/>
  <c r="O385"/>
  <c r="O377"/>
  <c r="O367"/>
  <c r="O361"/>
  <c r="I355"/>
  <c r="I347"/>
  <c r="I339"/>
  <c r="I331"/>
  <c r="I323"/>
  <c r="I315"/>
  <c r="I307"/>
  <c r="O303"/>
  <c r="O295"/>
  <c r="O289"/>
  <c r="O279"/>
  <c r="O271"/>
  <c r="M267"/>
  <c r="M636"/>
  <c r="M628"/>
  <c r="M620"/>
  <c r="M612"/>
  <c r="M604"/>
  <c r="M596"/>
  <c r="M588"/>
  <c r="M580"/>
  <c r="M572"/>
  <c r="M564"/>
  <c r="M556"/>
  <c r="M548"/>
  <c r="M540"/>
  <c r="M532"/>
  <c r="M524"/>
  <c r="M516"/>
  <c r="M508"/>
  <c r="M500"/>
  <c r="M492"/>
  <c r="M484"/>
  <c r="M476"/>
  <c r="M468"/>
  <c r="M460"/>
  <c r="M452"/>
  <c r="M444"/>
  <c r="M436"/>
  <c r="M428"/>
  <c r="M420"/>
  <c r="M412"/>
  <c r="M404"/>
  <c r="M396"/>
  <c r="M388"/>
  <c r="M380"/>
  <c r="M372"/>
  <c r="M364"/>
  <c r="M356"/>
  <c r="M348"/>
  <c r="M340"/>
  <c r="M332"/>
  <c r="M324"/>
  <c r="M316"/>
  <c r="M308"/>
  <c r="M300"/>
  <c r="M292"/>
  <c r="M284"/>
  <c r="M276"/>
  <c r="M268"/>
  <c r="O265"/>
  <c r="I262"/>
  <c r="I258"/>
  <c r="O253"/>
  <c r="M252"/>
  <c r="O249"/>
  <c r="I246"/>
  <c r="I242"/>
  <c r="O237"/>
  <c r="M236"/>
  <c r="O233"/>
  <c r="I230"/>
  <c r="I226"/>
  <c r="O221"/>
  <c r="M220"/>
  <c r="O217"/>
  <c r="I214"/>
  <c r="I210"/>
  <c r="O205"/>
  <c r="M204"/>
  <c r="O201"/>
  <c r="I198"/>
  <c r="I194"/>
  <c r="O189"/>
  <c r="M188"/>
  <c r="O185"/>
  <c r="I182"/>
  <c r="I178"/>
  <c r="O173"/>
  <c r="M172"/>
  <c r="O169"/>
  <c r="I166"/>
  <c r="I162"/>
  <c r="O157"/>
  <c r="M156"/>
  <c r="O153"/>
  <c r="I150"/>
  <c r="I146"/>
  <c r="O141"/>
  <c r="M140"/>
  <c r="O137"/>
  <c r="I134"/>
  <c r="I130"/>
  <c r="I127"/>
  <c r="O122"/>
  <c r="N121"/>
  <c r="M120"/>
  <c r="I119"/>
  <c r="O114"/>
  <c r="N113"/>
  <c r="M112"/>
  <c r="I111"/>
  <c r="O106"/>
  <c r="N105"/>
  <c r="M104"/>
  <c r="I103"/>
  <c r="O98"/>
  <c r="N97"/>
  <c r="M96"/>
  <c r="I95"/>
  <c r="O90"/>
  <c r="N89"/>
  <c r="M88"/>
  <c r="I87"/>
  <c r="O82"/>
  <c r="N81"/>
  <c r="M80"/>
  <c r="I79"/>
  <c r="O74"/>
  <c r="N73"/>
  <c r="M72"/>
  <c r="I71"/>
  <c r="O66"/>
  <c r="N65"/>
  <c r="M64"/>
  <c r="I63"/>
  <c r="O58"/>
  <c r="N57"/>
  <c r="M56"/>
  <c r="I55"/>
  <c r="O50"/>
  <c r="N49"/>
  <c r="M48"/>
  <c r="I47"/>
  <c r="O42"/>
  <c r="N41"/>
  <c r="M40"/>
  <c r="I39"/>
  <c r="O34"/>
  <c r="N33"/>
  <c r="M32"/>
  <c r="I31"/>
  <c r="O26"/>
  <c r="N25"/>
  <c r="M24"/>
  <c r="I23"/>
  <c r="O18"/>
  <c r="N17"/>
  <c r="M16"/>
  <c r="I15"/>
  <c r="O10"/>
  <c r="N9"/>
  <c r="M8"/>
  <c r="I7"/>
  <c r="O2"/>
  <c r="I635"/>
  <c r="O623"/>
  <c r="O615"/>
  <c r="O607"/>
  <c r="I603"/>
  <c r="O593"/>
  <c r="O585"/>
  <c r="I579"/>
  <c r="I571"/>
  <c r="O559"/>
  <c r="I555"/>
  <c r="O543"/>
  <c r="O537"/>
  <c r="O529"/>
  <c r="O521"/>
  <c r="I515"/>
  <c r="O503"/>
  <c r="I499"/>
  <c r="O489"/>
  <c r="I483"/>
  <c r="I475"/>
  <c r="O465"/>
  <c r="O455"/>
  <c r="I451"/>
  <c r="O441"/>
  <c r="O431"/>
  <c r="I427"/>
  <c r="O415"/>
  <c r="O409"/>
  <c r="I403"/>
  <c r="I395"/>
  <c r="I387"/>
  <c r="I379"/>
  <c r="I371"/>
  <c r="O359"/>
  <c r="O351"/>
  <c r="O343"/>
  <c r="O337"/>
  <c r="O329"/>
  <c r="O321"/>
  <c r="O311"/>
  <c r="O297"/>
  <c r="O287"/>
  <c r="O281"/>
  <c r="I275"/>
  <c r="O262"/>
  <c r="N636"/>
  <c r="M631"/>
  <c r="N628"/>
  <c r="M623"/>
  <c r="N620"/>
  <c r="M615"/>
  <c r="N612"/>
  <c r="M607"/>
  <c r="N604"/>
  <c r="M599"/>
  <c r="N596"/>
  <c r="M591"/>
  <c r="N588"/>
  <c r="M583"/>
  <c r="N580"/>
  <c r="M575"/>
  <c r="N572"/>
  <c r="M567"/>
  <c r="N564"/>
  <c r="M559"/>
  <c r="N556"/>
  <c r="M551"/>
  <c r="N548"/>
  <c r="M543"/>
  <c r="N540"/>
  <c r="M535"/>
  <c r="N532"/>
  <c r="M527"/>
  <c r="N524"/>
  <c r="M519"/>
  <c r="N516"/>
  <c r="M511"/>
  <c r="N508"/>
  <c r="M503"/>
  <c r="N500"/>
  <c r="M495"/>
  <c r="N492"/>
  <c r="M487"/>
  <c r="N484"/>
  <c r="M479"/>
  <c r="N476"/>
  <c r="M471"/>
  <c r="N468"/>
  <c r="M463"/>
  <c r="N460"/>
  <c r="M455"/>
  <c r="N452"/>
  <c r="M447"/>
  <c r="N444"/>
  <c r="M439"/>
  <c r="N436"/>
  <c r="M431"/>
  <c r="N428"/>
  <c r="M423"/>
  <c r="N420"/>
  <c r="M415"/>
  <c r="N412"/>
  <c r="M407"/>
  <c r="N404"/>
  <c r="M399"/>
  <c r="N396"/>
  <c r="M391"/>
  <c r="N388"/>
  <c r="M383"/>
  <c r="N380"/>
  <c r="M375"/>
  <c r="N372"/>
  <c r="M367"/>
  <c r="N364"/>
  <c r="M359"/>
  <c r="N356"/>
  <c r="M351"/>
  <c r="N348"/>
  <c r="M343"/>
  <c r="N340"/>
  <c r="M335"/>
  <c r="N332"/>
  <c r="M327"/>
  <c r="N324"/>
  <c r="M319"/>
  <c r="N316"/>
  <c r="M311"/>
  <c r="N308"/>
  <c r="M303"/>
  <c r="N300"/>
  <c r="M295"/>
  <c r="N292"/>
  <c r="M287"/>
  <c r="N284"/>
  <c r="M279"/>
  <c r="N276"/>
  <c r="M271"/>
  <c r="N268"/>
  <c r="I267"/>
  <c r="N262"/>
  <c r="M258"/>
  <c r="N252"/>
  <c r="I251"/>
  <c r="N246"/>
  <c r="M242"/>
  <c r="N236"/>
  <c r="I235"/>
  <c r="N230"/>
  <c r="M226"/>
  <c r="N220"/>
  <c r="I219"/>
  <c r="N214"/>
  <c r="M210"/>
  <c r="N204"/>
  <c r="I203"/>
  <c r="N198"/>
  <c r="M194"/>
  <c r="N188"/>
  <c r="I187"/>
  <c r="N182"/>
  <c r="M178"/>
  <c r="N172"/>
  <c r="I171"/>
  <c r="N166"/>
  <c r="M162"/>
  <c r="N156"/>
  <c r="I155"/>
  <c r="N150"/>
  <c r="M146"/>
  <c r="N140"/>
  <c r="I139"/>
  <c r="N134"/>
  <c r="M130"/>
  <c r="M127"/>
  <c r="I126"/>
  <c r="O121"/>
  <c r="N120"/>
  <c r="M119"/>
  <c r="I118"/>
  <c r="O113"/>
  <c r="N112"/>
  <c r="M111"/>
  <c r="I110"/>
  <c r="O105"/>
  <c r="N104"/>
  <c r="M103"/>
  <c r="I102"/>
  <c r="O97"/>
  <c r="N96"/>
  <c r="M95"/>
  <c r="I94"/>
  <c r="O89"/>
  <c r="N88"/>
  <c r="M87"/>
  <c r="I86"/>
  <c r="O81"/>
  <c r="N80"/>
  <c r="M79"/>
  <c r="I78"/>
  <c r="O73"/>
  <c r="N72"/>
  <c r="M71"/>
  <c r="I70"/>
  <c r="O65"/>
  <c r="N64"/>
  <c r="M63"/>
  <c r="I62"/>
  <c r="O57"/>
  <c r="N56"/>
  <c r="M55"/>
  <c r="I54"/>
  <c r="O49"/>
  <c r="N48"/>
  <c r="M47"/>
  <c r="I46"/>
  <c r="O41"/>
  <c r="N40"/>
  <c r="M39"/>
  <c r="I38"/>
  <c r="O33"/>
  <c r="N32"/>
  <c r="M31"/>
  <c r="I30"/>
  <c r="O25"/>
  <c r="N24"/>
  <c r="M23"/>
  <c r="I22"/>
  <c r="O17"/>
  <c r="N16"/>
  <c r="M15"/>
  <c r="I14"/>
  <c r="O9"/>
  <c r="N8"/>
  <c r="M7"/>
  <c r="I6"/>
  <c r="I638"/>
  <c r="O625"/>
  <c r="I619"/>
  <c r="I611"/>
  <c r="O599"/>
  <c r="I595"/>
  <c r="O583"/>
  <c r="O575"/>
  <c r="O569"/>
  <c r="I563"/>
  <c r="O553"/>
  <c r="O545"/>
  <c r="I539"/>
  <c r="I531"/>
  <c r="I523"/>
  <c r="O513"/>
  <c r="I507"/>
  <c r="O495"/>
  <c r="I491"/>
  <c r="O481"/>
  <c r="O473"/>
  <c r="O463"/>
  <c r="I459"/>
  <c r="O449"/>
  <c r="O439"/>
  <c r="I435"/>
  <c r="O425"/>
  <c r="I419"/>
  <c r="I411"/>
  <c r="O399"/>
  <c r="O391"/>
  <c r="O383"/>
  <c r="O375"/>
  <c r="O369"/>
  <c r="I363"/>
  <c r="O353"/>
  <c r="O345"/>
  <c r="O335"/>
  <c r="O327"/>
  <c r="O319"/>
  <c r="O313"/>
  <c r="O305"/>
  <c r="I299"/>
  <c r="I291"/>
  <c r="I283"/>
  <c r="O273"/>
  <c r="M261"/>
  <c r="N630"/>
  <c r="N622"/>
  <c r="N614"/>
  <c r="N606"/>
  <c r="N598"/>
  <c r="N590"/>
  <c r="N582"/>
  <c r="N574"/>
  <c r="N566"/>
  <c r="N558"/>
  <c r="N550"/>
  <c r="N542"/>
  <c r="N534"/>
  <c r="N526"/>
  <c r="N518"/>
  <c r="N510"/>
  <c r="N502"/>
  <c r="N494"/>
  <c r="N486"/>
  <c r="N478"/>
  <c r="N470"/>
  <c r="N462"/>
  <c r="N454"/>
  <c r="N446"/>
  <c r="N438"/>
  <c r="N430"/>
  <c r="N422"/>
  <c r="N414"/>
  <c r="N406"/>
  <c r="N398"/>
  <c r="N390"/>
  <c r="N382"/>
  <c r="N374"/>
  <c r="N366"/>
  <c r="N358"/>
  <c r="N350"/>
  <c r="N342"/>
  <c r="N334"/>
  <c r="N326"/>
  <c r="N318"/>
  <c r="N310"/>
  <c r="N302"/>
  <c r="N294"/>
  <c r="N286"/>
  <c r="N278"/>
  <c r="N270"/>
  <c r="I266"/>
  <c r="O261"/>
  <c r="M260"/>
  <c r="O257"/>
  <c r="I254"/>
  <c r="I250"/>
  <c r="O245"/>
  <c r="M244"/>
  <c r="O241"/>
  <c r="I238"/>
  <c r="I234"/>
  <c r="O229"/>
  <c r="M228"/>
  <c r="O225"/>
  <c r="I222"/>
  <c r="I218"/>
  <c r="O213"/>
  <c r="M212"/>
  <c r="O209"/>
  <c r="I206"/>
  <c r="I202"/>
  <c r="O197"/>
  <c r="M196"/>
  <c r="O193"/>
  <c r="I190"/>
  <c r="I186"/>
  <c r="O181"/>
  <c r="M180"/>
  <c r="O177"/>
  <c r="I174"/>
  <c r="I170"/>
  <c r="O165"/>
  <c r="M164"/>
  <c r="O161"/>
  <c r="I158"/>
  <c r="I154"/>
  <c r="O149"/>
  <c r="M148"/>
  <c r="O145"/>
  <c r="I142"/>
  <c r="I138"/>
  <c r="O133"/>
  <c r="M132"/>
  <c r="O129"/>
  <c r="O126"/>
  <c r="N125"/>
  <c r="M124"/>
  <c r="I123"/>
  <c r="O118"/>
  <c r="N117"/>
  <c r="M116"/>
  <c r="I115"/>
  <c r="O110"/>
  <c r="N109"/>
  <c r="M108"/>
  <c r="I107"/>
  <c r="O102"/>
  <c r="N101"/>
  <c r="M100"/>
  <c r="I99"/>
  <c r="O94"/>
  <c r="N93"/>
  <c r="M92"/>
  <c r="I91"/>
  <c r="O86"/>
  <c r="N85"/>
  <c r="M84"/>
  <c r="I83"/>
  <c r="O78"/>
  <c r="N77"/>
  <c r="M76"/>
  <c r="I75"/>
  <c r="O70"/>
  <c r="N69"/>
  <c r="M68"/>
  <c r="I67"/>
  <c r="O62"/>
  <c r="N61"/>
  <c r="M60"/>
  <c r="I59"/>
  <c r="O54"/>
  <c r="N53"/>
  <c r="M52"/>
  <c r="I51"/>
  <c r="O46"/>
  <c r="N45"/>
  <c r="M44"/>
  <c r="I43"/>
  <c r="O38"/>
  <c r="N37"/>
  <c r="M36"/>
  <c r="I35"/>
  <c r="O30"/>
  <c r="N29"/>
  <c r="M28"/>
  <c r="I27"/>
  <c r="O22"/>
  <c r="N21"/>
  <c r="M20"/>
  <c r="I19"/>
  <c r="O14"/>
  <c r="N13"/>
  <c r="M12"/>
  <c r="I11"/>
  <c r="O6"/>
  <c r="N5"/>
  <c r="M4"/>
  <c r="I3"/>
  <c r="M637"/>
  <c r="O630"/>
  <c r="M629"/>
  <c r="O622"/>
  <c r="M621"/>
  <c r="O614"/>
  <c r="M613"/>
  <c r="O606"/>
  <c r="M605"/>
  <c r="O598"/>
  <c r="M597"/>
  <c r="O590"/>
  <c r="M589"/>
  <c r="O582"/>
  <c r="M581"/>
  <c r="O574"/>
  <c r="M573"/>
  <c r="O566"/>
  <c r="M565"/>
  <c r="O558"/>
  <c r="M557"/>
  <c r="O550"/>
  <c r="M2"/>
  <c r="M5"/>
  <c r="M10"/>
  <c r="M13"/>
  <c r="M18"/>
  <c r="M21"/>
  <c r="M26"/>
  <c r="M29"/>
  <c r="M34"/>
  <c r="M37"/>
  <c r="M42"/>
  <c r="M45"/>
  <c r="M50"/>
  <c r="M53"/>
  <c r="M58"/>
  <c r="M61"/>
  <c r="M66"/>
  <c r="M69"/>
  <c r="M74"/>
  <c r="M77"/>
  <c r="M82"/>
  <c r="M85"/>
  <c r="M90"/>
  <c r="M93"/>
  <c r="M98"/>
  <c r="M101"/>
  <c r="M106"/>
  <c r="M109"/>
  <c r="M114"/>
  <c r="M117"/>
  <c r="M122"/>
  <c r="M125"/>
  <c r="O132"/>
  <c r="M138"/>
  <c r="M149"/>
  <c r="M155"/>
  <c r="O164"/>
  <c r="M170"/>
  <c r="M181"/>
  <c r="M187"/>
  <c r="O196"/>
  <c r="M202"/>
  <c r="M213"/>
  <c r="M219"/>
  <c r="O228"/>
  <c r="M234"/>
  <c r="M245"/>
  <c r="M251"/>
  <c r="O260"/>
  <c r="M277"/>
  <c r="M283"/>
  <c r="N285"/>
  <c r="I314"/>
  <c r="I318"/>
  <c r="N320"/>
  <c r="O326"/>
  <c r="M341"/>
  <c r="M347"/>
  <c r="N349"/>
  <c r="I378"/>
  <c r="I382"/>
  <c r="N384"/>
  <c r="O390"/>
  <c r="M405"/>
  <c r="M411"/>
  <c r="N413"/>
  <c r="I442"/>
  <c r="I446"/>
  <c r="N448"/>
  <c r="O454"/>
  <c r="M469"/>
  <c r="M475"/>
  <c r="N477"/>
  <c r="I506"/>
  <c r="I510"/>
  <c r="N512"/>
  <c r="O518"/>
  <c r="M533"/>
  <c r="M539"/>
  <c r="N541"/>
  <c r="I558"/>
  <c r="I578"/>
  <c r="N589"/>
  <c r="N600"/>
  <c r="M611"/>
  <c r="I622"/>
  <c r="I2"/>
  <c r="I5"/>
  <c r="O8"/>
  <c r="I10"/>
  <c r="I13"/>
  <c r="O16"/>
  <c r="I18"/>
  <c r="I21"/>
  <c r="O24"/>
  <c r="I26"/>
  <c r="I29"/>
  <c r="O32"/>
  <c r="I34"/>
  <c r="I37"/>
  <c r="O40"/>
  <c r="I42"/>
  <c r="I45"/>
  <c r="O48"/>
  <c r="I50"/>
  <c r="I53"/>
  <c r="O56"/>
  <c r="I58"/>
  <c r="I61"/>
  <c r="O64"/>
  <c r="I66"/>
  <c r="I69"/>
  <c r="O72"/>
  <c r="I74"/>
  <c r="I77"/>
  <c r="O80"/>
  <c r="I82"/>
  <c r="I85"/>
  <c r="O88"/>
  <c r="I90"/>
  <c r="I93"/>
  <c r="O96"/>
  <c r="I98"/>
  <c r="I101"/>
  <c r="O104"/>
  <c r="I106"/>
  <c r="I109"/>
  <c r="O112"/>
  <c r="I114"/>
  <c r="I117"/>
  <c r="O120"/>
  <c r="I122"/>
  <c r="I125"/>
  <c r="N132"/>
  <c r="O143"/>
  <c r="N164"/>
  <c r="O175"/>
  <c r="N196"/>
  <c r="O207"/>
  <c r="N228"/>
  <c r="O239"/>
  <c r="N260"/>
  <c r="N264"/>
  <c r="O270"/>
  <c r="M285"/>
  <c r="M291"/>
  <c r="N293"/>
  <c r="I322"/>
  <c r="I326"/>
  <c r="N328"/>
  <c r="O334"/>
  <c r="M349"/>
  <c r="M355"/>
  <c r="N357"/>
  <c r="I386"/>
  <c r="I390"/>
  <c r="N392"/>
  <c r="O398"/>
  <c r="M413"/>
  <c r="M419"/>
  <c r="N421"/>
  <c r="I450"/>
  <c r="I454"/>
  <c r="N456"/>
  <c r="O462"/>
  <c r="M477"/>
  <c r="M483"/>
  <c r="N485"/>
  <c r="I514"/>
  <c r="I518"/>
  <c r="N520"/>
  <c r="O526"/>
  <c r="M541"/>
  <c r="M547"/>
  <c r="N549"/>
  <c r="N560"/>
  <c r="M571"/>
  <c r="I582"/>
  <c r="I602"/>
  <c r="N613"/>
  <c r="N624"/>
  <c r="M635"/>
  <c r="N6"/>
  <c r="N14"/>
  <c r="N22"/>
  <c r="N30"/>
  <c r="N38"/>
  <c r="N46"/>
  <c r="N54"/>
  <c r="N62"/>
  <c r="N70"/>
  <c r="N78"/>
  <c r="N86"/>
  <c r="N94"/>
  <c r="N102"/>
  <c r="N110"/>
  <c r="N118"/>
  <c r="N126"/>
  <c r="I132"/>
  <c r="M143"/>
  <c r="I145"/>
  <c r="M147"/>
  <c r="O158"/>
  <c r="I164"/>
  <c r="M175"/>
  <c r="I177"/>
  <c r="M179"/>
  <c r="O190"/>
  <c r="I196"/>
  <c r="M207"/>
  <c r="I209"/>
  <c r="M211"/>
  <c r="O222"/>
  <c r="I228"/>
  <c r="M239"/>
  <c r="I241"/>
  <c r="M243"/>
  <c r="O254"/>
  <c r="I260"/>
  <c r="M266"/>
  <c r="I270"/>
  <c r="N272"/>
  <c r="O278"/>
  <c r="M293"/>
  <c r="M299"/>
  <c r="N301"/>
  <c r="I330"/>
  <c r="I334"/>
  <c r="N336"/>
  <c r="O342"/>
  <c r="M357"/>
  <c r="M363"/>
  <c r="N365"/>
  <c r="I394"/>
  <c r="I398"/>
  <c r="N400"/>
  <c r="O406"/>
  <c r="M421"/>
  <c r="M427"/>
  <c r="N429"/>
  <c r="I458"/>
  <c r="I462"/>
  <c r="N464"/>
  <c r="O470"/>
  <c r="M485"/>
  <c r="M491"/>
  <c r="N493"/>
  <c r="I522"/>
  <c r="I526"/>
  <c r="N528"/>
  <c r="O534"/>
  <c r="M549"/>
  <c r="I562"/>
  <c r="N573"/>
  <c r="N584"/>
  <c r="M595"/>
  <c r="I606"/>
  <c r="I626"/>
  <c r="N637"/>
</calcChain>
</file>

<file path=xl/comments1.xml><?xml version="1.0" encoding="utf-8"?>
<comments xmlns="http://schemas.openxmlformats.org/spreadsheetml/2006/main">
  <authors>
    <author>guobowen</author>
  </authors>
  <commentList>
    <comment ref="G2" authorId="0">
      <text>
        <r>
          <rPr>
            <b/>
            <sz val="9"/>
            <rFont val="SimSun"/>
            <charset val="134"/>
          </rPr>
          <t>guobowen:</t>
        </r>
        <r>
          <rPr>
            <sz val="9"/>
            <rFont val="SimSun"/>
            <charset val="134"/>
          </rPr>
          <t xml:space="preserve">
快递类型所有都填韵达</t>
        </r>
      </text>
    </comment>
    <comment ref="G3" authorId="0">
      <text>
        <r>
          <rPr>
            <b/>
            <sz val="9"/>
            <rFont val="SimSun"/>
            <charset val="134"/>
          </rPr>
          <t>guobowen:</t>
        </r>
        <r>
          <rPr>
            <sz val="9"/>
            <rFont val="SimSun"/>
            <charset val="134"/>
          </rPr>
          <t xml:space="preserve">
快递类型所有都填韵达</t>
        </r>
      </text>
    </comment>
    <comment ref="G4" authorId="0">
      <text>
        <r>
          <rPr>
            <b/>
            <sz val="9"/>
            <rFont val="SimSun"/>
            <charset val="134"/>
          </rPr>
          <t>guobowen:</t>
        </r>
        <r>
          <rPr>
            <sz val="9"/>
            <rFont val="SimSun"/>
            <charset val="134"/>
          </rPr>
          <t xml:space="preserve">
快递类型所有都填韵达</t>
        </r>
      </text>
    </comment>
  </commentList>
</comments>
</file>

<file path=xl/sharedStrings.xml><?xml version="1.0" encoding="utf-8"?>
<sst xmlns="http://schemas.openxmlformats.org/spreadsheetml/2006/main" count="26532" uniqueCount="5719">
  <si>
    <t>客户名称:</t>
  </si>
  <si>
    <t>QY005</t>
  </si>
  <si>
    <t>主单号:</t>
  </si>
  <si>
    <t>发运日期:</t>
  </si>
  <si>
    <t>真实收件人信息</t>
  </si>
  <si>
    <t>面单收、发件人信息</t>
  </si>
  <si>
    <t>袋子号</t>
  </si>
  <si>
    <t>大陆条码</t>
  </si>
  <si>
    <t>单号</t>
  </si>
  <si>
    <t>货物明细</t>
  </si>
  <si>
    <t>品牌</t>
  </si>
  <si>
    <t>件数</t>
  </si>
  <si>
    <r>
      <rPr>
        <b/>
        <sz val="12"/>
        <color indexed="8"/>
        <rFont val="宋体"/>
        <family val="3"/>
        <charset val="134"/>
      </rPr>
      <t>重量</t>
    </r>
    <r>
      <rPr>
        <b/>
        <sz val="12"/>
        <color indexed="8"/>
        <rFont val="Calibri"/>
        <family val="2"/>
      </rPr>
      <t>(KG)</t>
    </r>
  </si>
  <si>
    <t>数量</t>
  </si>
  <si>
    <t>材质</t>
  </si>
  <si>
    <t>用途</t>
  </si>
  <si>
    <t>收件人</t>
  </si>
  <si>
    <t>联系方式</t>
  </si>
  <si>
    <t>收件人地址</t>
  </si>
  <si>
    <t>面单收件人</t>
  </si>
  <si>
    <t>面单收件人电话</t>
  </si>
  <si>
    <t>面单收件人地址</t>
  </si>
  <si>
    <t>面单收件人ID</t>
  </si>
  <si>
    <t>名字重复次数</t>
  </si>
  <si>
    <t>9769148490397</t>
  </si>
  <si>
    <t>SC20200034463</t>
  </si>
  <si>
    <r>
      <rPr>
        <sz val="12"/>
        <color theme="1"/>
        <rFont val="宋体"/>
        <family val="3"/>
        <charset val="134"/>
      </rPr>
      <t>面霜</t>
    </r>
    <r>
      <rPr>
        <sz val="12"/>
        <color theme="1"/>
        <rFont val="Calibri"/>
        <family val="2"/>
      </rPr>
      <t>*1</t>
    </r>
    <r>
      <rPr>
        <sz val="12"/>
        <color theme="1"/>
        <rFont val="宋体"/>
        <family val="3"/>
        <charset val="134"/>
      </rPr>
      <t>，手霜</t>
    </r>
    <r>
      <rPr>
        <sz val="12"/>
        <color theme="1"/>
        <rFont val="Calibri"/>
        <family val="2"/>
      </rPr>
      <t>*2</t>
    </r>
    <r>
      <rPr>
        <sz val="12"/>
        <color theme="1"/>
        <rFont val="宋体"/>
        <family val="3"/>
        <charset val="134"/>
      </rPr>
      <t>，手霜</t>
    </r>
    <r>
      <rPr>
        <sz val="12"/>
        <color theme="1"/>
        <rFont val="Calibri"/>
        <family val="2"/>
      </rPr>
      <t>*1</t>
    </r>
  </si>
  <si>
    <t>ELIZABETH ARDEN，GLYSOMED，GLYSOMED</t>
  </si>
  <si>
    <t>75ML*2+3.2ML精华，250ML，50ML</t>
  </si>
  <si>
    <t>护肤用</t>
  </si>
  <si>
    <t>何群</t>
  </si>
  <si>
    <t>四川省成都市青羊区蜀辉路201号金沙鹭岛3期4栋1704</t>
  </si>
  <si>
    <t>于燕</t>
  </si>
  <si>
    <t>320623198505125289</t>
  </si>
  <si>
    <t>于燕320623198505125289</t>
  </si>
  <si>
    <t>9769148427697</t>
  </si>
  <si>
    <t>SC20200035408</t>
  </si>
  <si>
    <r>
      <rPr>
        <sz val="12"/>
        <color theme="1"/>
        <rFont val="宋体"/>
        <family val="3"/>
        <charset val="134"/>
      </rPr>
      <t>儿童钙片</t>
    </r>
    <r>
      <rPr>
        <sz val="12"/>
        <color theme="1"/>
        <rFont val="Calibri"/>
        <family val="2"/>
      </rPr>
      <t>*2</t>
    </r>
    <r>
      <rPr>
        <sz val="12"/>
        <color theme="1"/>
        <rFont val="宋体"/>
        <family val="3"/>
        <charset val="134"/>
      </rPr>
      <t>，钙片</t>
    </r>
    <r>
      <rPr>
        <sz val="12"/>
        <color theme="1"/>
        <rFont val="Calibri"/>
        <family val="2"/>
      </rPr>
      <t>*6</t>
    </r>
  </si>
  <si>
    <t>PROGRESSIVE，AS CALCIUM</t>
  </si>
  <si>
    <r>
      <rPr>
        <sz val="12"/>
        <color theme="1"/>
        <rFont val="Calibri"/>
        <family val="2"/>
      </rPr>
      <t>120</t>
    </r>
    <r>
      <rPr>
        <sz val="12"/>
        <color theme="1"/>
        <rFont val="宋体"/>
        <family val="3"/>
        <charset val="134"/>
      </rPr>
      <t>粒，</t>
    </r>
  </si>
  <si>
    <t>保健用</t>
  </si>
  <si>
    <t>朱金玲</t>
  </si>
  <si>
    <t>山东省昌邑市文昌南路奎聚派出所南200米烟花鞭炮批发</t>
  </si>
  <si>
    <t>梁海英</t>
  </si>
  <si>
    <t>山东省枣庄市市中区建华西路281中安明翠苑6#2-901</t>
  </si>
  <si>
    <t>370682198108046420</t>
  </si>
  <si>
    <t>梁海英370682198108046420</t>
  </si>
  <si>
    <t>9769148518397</t>
  </si>
  <si>
    <t>SC20200023246</t>
  </si>
  <si>
    <r>
      <rPr>
        <sz val="12"/>
        <color theme="1"/>
        <rFont val="宋体"/>
        <family val="3"/>
        <charset val="134"/>
      </rPr>
      <t>益生菌</t>
    </r>
    <r>
      <rPr>
        <sz val="12"/>
        <color theme="1"/>
        <rFont val="Calibri"/>
        <family val="2"/>
      </rPr>
      <t>*15</t>
    </r>
  </si>
  <si>
    <t>NOVA</t>
  </si>
  <si>
    <r>
      <rPr>
        <sz val="12"/>
        <color theme="1"/>
        <rFont val="Calibri"/>
        <family val="2"/>
      </rPr>
      <t>30</t>
    </r>
    <r>
      <rPr>
        <sz val="12"/>
        <color theme="1"/>
        <rFont val="宋体"/>
        <family val="3"/>
        <charset val="134"/>
      </rPr>
      <t>粒</t>
    </r>
  </si>
  <si>
    <t>曹增芹</t>
  </si>
  <si>
    <t>江苏省苏州市虎丘区狮山街道鹤阜山路8号荷澜庭50-305</t>
  </si>
  <si>
    <t>谢容</t>
  </si>
  <si>
    <t>江苏省苏州市虎丘区何山路今日家园4-504</t>
  </si>
  <si>
    <t>51303019651216004X</t>
  </si>
  <si>
    <t>谢容51303019651216004X</t>
  </si>
  <si>
    <t>9769148487797</t>
  </si>
  <si>
    <t>SC20200022013</t>
  </si>
  <si>
    <r>
      <rPr>
        <sz val="12"/>
        <color theme="1"/>
        <rFont val="宋体"/>
        <family val="3"/>
        <charset val="134"/>
      </rPr>
      <t>感冒滴剂</t>
    </r>
    <r>
      <rPr>
        <sz val="12"/>
        <color theme="1"/>
        <rFont val="Calibri"/>
        <family val="2"/>
      </rPr>
      <t>*12</t>
    </r>
  </si>
  <si>
    <t>BOIRON</t>
  </si>
  <si>
    <t>蔡丽娟</t>
  </si>
  <si>
    <t>浙江省义乌市福田街道振兴西路152号玛嘉利6楼</t>
  </si>
  <si>
    <t>220211197905264522</t>
  </si>
  <si>
    <t>蔡丽娟220211197905264522</t>
  </si>
  <si>
    <t>9769148527197</t>
  </si>
  <si>
    <t>SC20200034012</t>
  </si>
  <si>
    <r>
      <rPr>
        <sz val="12"/>
        <color theme="1"/>
        <rFont val="宋体"/>
        <family val="3"/>
        <charset val="134"/>
      </rPr>
      <t>心脏宝</t>
    </r>
    <r>
      <rPr>
        <sz val="12"/>
        <color theme="1"/>
        <rFont val="Calibri"/>
        <family val="2"/>
      </rPr>
      <t>*10</t>
    </r>
    <r>
      <rPr>
        <sz val="12"/>
        <color theme="1"/>
        <rFont val="宋体"/>
        <family val="3"/>
        <charset val="134"/>
      </rPr>
      <t>，葡萄籽</t>
    </r>
    <r>
      <rPr>
        <sz val="12"/>
        <color theme="1"/>
        <rFont val="Calibri"/>
        <family val="2"/>
      </rPr>
      <t>*4</t>
    </r>
  </si>
  <si>
    <t>USANA，USANA</t>
  </si>
  <si>
    <r>
      <rPr>
        <sz val="12"/>
        <color theme="1"/>
        <rFont val="宋体"/>
        <family val="3"/>
        <charset val="134"/>
      </rPr>
      <t>，</t>
    </r>
  </si>
  <si>
    <t>姚桂珍</t>
  </si>
  <si>
    <t>广东省广州市越秀区培正新横路22号之四302房</t>
  </si>
  <si>
    <t>胡佩珍</t>
  </si>
  <si>
    <t>广东省广州市越秀区一德路果菜四街3号703</t>
  </si>
  <si>
    <t>330206196608313420</t>
  </si>
  <si>
    <t>胡佩珍330206196608313420</t>
  </si>
  <si>
    <t>9769148550197</t>
  </si>
  <si>
    <t>SC20200033642</t>
  </si>
  <si>
    <r>
      <rPr>
        <sz val="12"/>
        <color theme="1"/>
        <rFont val="宋体"/>
        <family val="3"/>
        <charset val="134"/>
      </rPr>
      <t>粉底液</t>
    </r>
    <r>
      <rPr>
        <sz val="12"/>
        <color theme="1"/>
        <rFont val="Calibri"/>
        <family val="2"/>
      </rPr>
      <t>*6</t>
    </r>
    <r>
      <rPr>
        <sz val="12"/>
        <color theme="1"/>
        <rFont val="宋体"/>
        <family val="3"/>
        <charset val="134"/>
      </rPr>
      <t>，小样精华</t>
    </r>
    <r>
      <rPr>
        <sz val="12"/>
        <color theme="1"/>
        <rFont val="Calibri"/>
        <family val="2"/>
      </rPr>
      <t>*2</t>
    </r>
  </si>
  <si>
    <t>ESTEE LAUDER，ESTEE LAUDER</t>
  </si>
  <si>
    <t>30ML，7ML</t>
  </si>
  <si>
    <t>张宏颖</t>
  </si>
  <si>
    <t>河北省廊坊市香河县渠口镇 庄村</t>
  </si>
  <si>
    <t>顾文凯</t>
  </si>
  <si>
    <t>河北省廊坊三河市燕郊经济技术开发区燕郊镇卫生院</t>
  </si>
  <si>
    <t>321202199006111538</t>
  </si>
  <si>
    <t>顾文凯321202199006111538</t>
  </si>
  <si>
    <t>9769148615897</t>
  </si>
  <si>
    <t>SC20200033646</t>
  </si>
  <si>
    <r>
      <rPr>
        <sz val="12"/>
        <color theme="1"/>
        <rFont val="宋体"/>
        <family val="3"/>
        <charset val="134"/>
      </rPr>
      <t>爽肤水</t>
    </r>
    <r>
      <rPr>
        <sz val="12"/>
        <color theme="1"/>
        <rFont val="Calibri"/>
        <family val="2"/>
      </rPr>
      <t>*6</t>
    </r>
    <r>
      <rPr>
        <sz val="12"/>
        <color theme="1"/>
        <rFont val="宋体"/>
        <family val="3"/>
        <charset val="134"/>
      </rPr>
      <t>，面霜</t>
    </r>
    <r>
      <rPr>
        <sz val="12"/>
        <color theme="1"/>
        <rFont val="Calibri"/>
        <family val="2"/>
      </rPr>
      <t>*1</t>
    </r>
  </si>
  <si>
    <t>LANCOME，ELIZABETH ARDEN</t>
  </si>
  <si>
    <t>400ML，75ML+50ML+15ML</t>
  </si>
  <si>
    <t>彭洁</t>
  </si>
  <si>
    <t>江苏省南京市玄武区孝陵卫街道马高路318号盛和家园02栋307</t>
  </si>
  <si>
    <t>黄瑶琼</t>
  </si>
  <si>
    <t>440722197106136222</t>
  </si>
  <si>
    <t>黄瑶琼440722197106136222</t>
  </si>
  <si>
    <t>9769148422897</t>
  </si>
  <si>
    <t>SC20190070797</t>
  </si>
  <si>
    <r>
      <rPr>
        <sz val="12"/>
        <color theme="1"/>
        <rFont val="宋体"/>
        <family val="3"/>
        <charset val="134"/>
      </rPr>
      <t>袜子</t>
    </r>
    <r>
      <rPr>
        <sz val="12"/>
        <color theme="1"/>
        <rFont val="Calibri"/>
        <family val="2"/>
      </rPr>
      <t>*1</t>
    </r>
    <r>
      <rPr>
        <sz val="12"/>
        <color theme="1"/>
        <rFont val="宋体"/>
        <family val="3"/>
        <charset val="134"/>
      </rPr>
      <t>，袜子</t>
    </r>
    <r>
      <rPr>
        <sz val="12"/>
        <color theme="1"/>
        <rFont val="Calibri"/>
        <family val="2"/>
      </rPr>
      <t>*1</t>
    </r>
    <r>
      <rPr>
        <sz val="12"/>
        <color theme="1"/>
        <rFont val="宋体"/>
        <family val="3"/>
        <charset val="134"/>
      </rPr>
      <t>，</t>
    </r>
    <r>
      <rPr>
        <sz val="12"/>
        <color theme="1"/>
        <rFont val="Calibri"/>
        <family val="2"/>
      </rPr>
      <t>T</t>
    </r>
    <r>
      <rPr>
        <sz val="12"/>
        <color theme="1"/>
        <rFont val="宋体"/>
        <family val="3"/>
        <charset val="134"/>
      </rPr>
      <t>恤</t>
    </r>
    <r>
      <rPr>
        <sz val="12"/>
        <color theme="1"/>
        <rFont val="Calibri"/>
        <family val="2"/>
      </rPr>
      <t>*1</t>
    </r>
    <r>
      <rPr>
        <sz val="12"/>
        <color theme="1"/>
        <rFont val="宋体"/>
        <family val="3"/>
        <charset val="134"/>
      </rPr>
      <t>，烹饪香料</t>
    </r>
    <r>
      <rPr>
        <sz val="12"/>
        <color theme="1"/>
        <rFont val="Calibri"/>
        <family val="2"/>
      </rPr>
      <t>*1</t>
    </r>
  </si>
  <si>
    <t>BENCH，COLE HAAN，COOL，CLUB HOUSE</t>
  </si>
  <si>
    <r>
      <rPr>
        <sz val="12"/>
        <color theme="1"/>
        <rFont val="宋体"/>
        <family val="3"/>
        <charset val="134"/>
      </rPr>
      <t>，，，</t>
    </r>
    <r>
      <rPr>
        <sz val="12"/>
        <color theme="1"/>
        <rFont val="Calibri"/>
        <family val="2"/>
      </rPr>
      <t>845G</t>
    </r>
  </si>
  <si>
    <t>穿着用</t>
  </si>
  <si>
    <t>陈巧真</t>
  </si>
  <si>
    <t>广东省汕尾市海丰县附城镇云岭山庄瑞龙苑41栋2B</t>
  </si>
  <si>
    <t>441521197507183023</t>
  </si>
  <si>
    <t>陈巧真441521197507183023</t>
  </si>
  <si>
    <t>9769148454597</t>
  </si>
  <si>
    <t>SC20200031800</t>
  </si>
  <si>
    <r>
      <rPr>
        <sz val="12"/>
        <color theme="1"/>
        <rFont val="宋体"/>
        <family val="3"/>
        <charset val="134"/>
      </rPr>
      <t>舒肝宝</t>
    </r>
    <r>
      <rPr>
        <sz val="12"/>
        <color theme="1"/>
        <rFont val="Calibri"/>
        <family val="2"/>
      </rPr>
      <t>*6</t>
    </r>
    <r>
      <rPr>
        <sz val="12"/>
        <color theme="1"/>
        <rFont val="宋体"/>
        <family val="3"/>
        <charset val="134"/>
      </rPr>
      <t>，基本营养素</t>
    </r>
    <r>
      <rPr>
        <sz val="12"/>
        <color theme="1"/>
        <rFont val="Calibri"/>
        <family val="2"/>
      </rPr>
      <t>*4</t>
    </r>
    <r>
      <rPr>
        <sz val="12"/>
        <color theme="1"/>
        <rFont val="宋体"/>
        <family val="3"/>
        <charset val="134"/>
      </rPr>
      <t>，雌青舒</t>
    </r>
    <r>
      <rPr>
        <sz val="12"/>
        <color theme="1"/>
        <rFont val="Calibri"/>
        <family val="2"/>
      </rPr>
      <t>*1</t>
    </r>
    <r>
      <rPr>
        <sz val="12"/>
        <color theme="1"/>
        <rFont val="宋体"/>
        <family val="3"/>
        <charset val="134"/>
      </rPr>
      <t>，鱼油</t>
    </r>
    <r>
      <rPr>
        <sz val="12"/>
        <color theme="1"/>
        <rFont val="Calibri"/>
        <family val="2"/>
      </rPr>
      <t>*4</t>
    </r>
  </si>
  <si>
    <t>USANA，USANA，USANA，USANA</t>
  </si>
  <si>
    <r>
      <rPr>
        <sz val="12"/>
        <color theme="1"/>
        <rFont val="Calibri"/>
        <family val="2"/>
      </rPr>
      <t>84</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</si>
  <si>
    <t>张晓鹏</t>
  </si>
  <si>
    <t>河南省平顶山市新华区陆顺建材城陆顺公司</t>
  </si>
  <si>
    <t>赵延玲</t>
  </si>
  <si>
    <t>河南省平顶山市中兴路南段尚客优酒店</t>
  </si>
  <si>
    <t>210104197801220022</t>
  </si>
  <si>
    <t>赵延玲210104197801220022</t>
  </si>
  <si>
    <t>9769148533997</t>
  </si>
  <si>
    <t>SC20200034660</t>
  </si>
  <si>
    <r>
      <rPr>
        <sz val="12"/>
        <color theme="1"/>
        <rFont val="宋体"/>
        <family val="3"/>
        <charset val="134"/>
      </rPr>
      <t>精华素</t>
    </r>
    <r>
      <rPr>
        <sz val="12"/>
        <color theme="1"/>
        <rFont val="Calibri"/>
        <family val="2"/>
      </rPr>
      <t>*3</t>
    </r>
    <r>
      <rPr>
        <sz val="12"/>
        <color theme="1"/>
        <rFont val="宋体"/>
        <family val="3"/>
        <charset val="134"/>
      </rPr>
      <t>，晚霜</t>
    </r>
    <r>
      <rPr>
        <sz val="12"/>
        <color theme="1"/>
        <rFont val="Calibri"/>
        <family val="2"/>
      </rPr>
      <t>*1</t>
    </r>
  </si>
  <si>
    <t>JEUNESSE，JEUNESSE</t>
  </si>
  <si>
    <t>15ML，50ML</t>
  </si>
  <si>
    <t>张秀</t>
  </si>
  <si>
    <t>江西省九江市柴桑区九江出口加工区香榭丽都九栋3单元</t>
  </si>
  <si>
    <t>张熙妍</t>
  </si>
  <si>
    <t>江西省九江市柴桑区丽都中央公馆8栋</t>
  </si>
  <si>
    <t>61062119900807002X</t>
  </si>
  <si>
    <t>张熙妍61062119900807002X</t>
  </si>
  <si>
    <t>9769148640597</t>
  </si>
  <si>
    <t>SC03424700018</t>
  </si>
  <si>
    <r>
      <rPr>
        <sz val="12"/>
        <color theme="1"/>
        <rFont val="宋体"/>
        <family val="3"/>
        <charset val="134"/>
      </rPr>
      <t>肉苁蓉</t>
    </r>
    <r>
      <rPr>
        <sz val="12"/>
        <color theme="1"/>
        <rFont val="Calibri"/>
        <family val="2"/>
      </rPr>
      <t>*10</t>
    </r>
    <r>
      <rPr>
        <sz val="12"/>
        <color theme="1"/>
        <rFont val="宋体"/>
        <family val="3"/>
        <charset val="134"/>
      </rPr>
      <t>，免疫宝</t>
    </r>
    <r>
      <rPr>
        <sz val="12"/>
        <color theme="1"/>
        <rFont val="Calibri"/>
        <family val="2"/>
      </rPr>
      <t>*5</t>
    </r>
  </si>
  <si>
    <t>KEY OF HEALTH，HEALLE</t>
  </si>
  <si>
    <r>
      <rPr>
        <sz val="12"/>
        <color theme="1"/>
        <rFont val="Calibri"/>
        <family val="2"/>
      </rPr>
      <t>120</t>
    </r>
    <r>
      <rPr>
        <sz val="12"/>
        <color theme="1"/>
        <rFont val="宋体"/>
        <family val="3"/>
        <charset val="134"/>
      </rPr>
      <t>粒，</t>
    </r>
    <r>
      <rPr>
        <sz val="12"/>
        <color theme="1"/>
        <rFont val="Calibri"/>
        <family val="2"/>
      </rPr>
      <t>60</t>
    </r>
    <r>
      <rPr>
        <sz val="12"/>
        <color theme="1"/>
        <rFont val="宋体"/>
        <family val="3"/>
        <charset val="134"/>
      </rPr>
      <t>粒</t>
    </r>
  </si>
  <si>
    <t>付斯元</t>
  </si>
  <si>
    <t>辽宁大连甘井子营城子镇大庙村</t>
  </si>
  <si>
    <t>李密密</t>
  </si>
  <si>
    <t>辽宁省大连市甘井子区促进西街67号1单元402</t>
  </si>
  <si>
    <t>211021198507070023</t>
  </si>
  <si>
    <t>李密密211021198507070023</t>
  </si>
  <si>
    <t>9769148571997</t>
  </si>
  <si>
    <t>SC20200023927</t>
  </si>
  <si>
    <t>脸胶*2，舒纹精华*2，修复晚霜*2，冰河泥*2，磨砂膏*1，敷面膏*1，保湿喷雾*1</t>
  </si>
  <si>
    <t>NUSKIN，NUSKIN，NUSKIN，NUSKIN，NUSKIN，NUSKIN，NUSKIN</t>
  </si>
  <si>
    <r>
      <rPr>
        <sz val="12"/>
        <color theme="1"/>
        <rFont val="宋体"/>
        <family val="3"/>
        <charset val="134"/>
      </rPr>
      <t>，，，，，，</t>
    </r>
  </si>
  <si>
    <t>葛苏园</t>
  </si>
  <si>
    <t>山东省德州市庆云县渤海路街道街道办事处西</t>
  </si>
  <si>
    <t>王剑</t>
  </si>
  <si>
    <t>山东省德州市德城区尚城国际1-2-1001</t>
  </si>
  <si>
    <t>330422196210222415</t>
  </si>
  <si>
    <t>王剑330422196210222415</t>
  </si>
  <si>
    <t>9769148569697</t>
  </si>
  <si>
    <t>SC20200017434</t>
  </si>
  <si>
    <t>贾思颖</t>
  </si>
  <si>
    <t>山东省德州市庆云县银河城小区南300米</t>
  </si>
  <si>
    <t>陈宇青</t>
  </si>
  <si>
    <t>山东省枣庄市山亭区城头镇镇政府向北1公里--月亮湾度假酒店前台</t>
  </si>
  <si>
    <t>350781198603160445</t>
  </si>
  <si>
    <t>陈宇青350781198603160445</t>
  </si>
  <si>
    <t>9769116701897</t>
  </si>
  <si>
    <t>MM2020100769</t>
  </si>
  <si>
    <r>
      <rPr>
        <sz val="12"/>
        <color rgb="FF000000"/>
        <rFont val="Heiti SC Light"/>
        <family val="1"/>
      </rPr>
      <t>面胶</t>
    </r>
    <r>
      <rPr>
        <sz val="12"/>
        <color rgb="FF000000"/>
        <rFont val="Arial"/>
        <family val="2"/>
      </rPr>
      <t>*5</t>
    </r>
  </si>
  <si>
    <t>Arden</t>
  </si>
  <si>
    <t>120粒</t>
  </si>
  <si>
    <t>白雨</t>
  </si>
  <si>
    <t>辽宁省大连市金州区连大文润金宸3期48号</t>
  </si>
  <si>
    <t>阮鑫华</t>
  </si>
  <si>
    <t>辽宁省大连市金州区万科城C13-2-301</t>
  </si>
  <si>
    <t>310104198206042418</t>
  </si>
  <si>
    <t>阮鑫华310104198206042418</t>
  </si>
  <si>
    <t>9769116667597</t>
  </si>
  <si>
    <t>MM2020100775</t>
  </si>
  <si>
    <r>
      <rPr>
        <sz val="12"/>
        <color rgb="FF000000"/>
        <rFont val="Heiti SC Light"/>
        <family val="1"/>
      </rPr>
      <t>面胶</t>
    </r>
    <r>
      <rPr>
        <sz val="12"/>
        <color rgb="FF000000"/>
        <rFont val="Arial"/>
        <family val="2"/>
      </rPr>
      <t>*3</t>
    </r>
  </si>
  <si>
    <t>徐翔</t>
  </si>
  <si>
    <t>广东省深圳市福田区香蜜湖路4003号万科温馨家园2B1101</t>
  </si>
  <si>
    <t>张晏韬</t>
  </si>
  <si>
    <t>广东省深圳市福田区万科城市花园玫瑰苑A302</t>
  </si>
  <si>
    <t>412922197304024544</t>
  </si>
  <si>
    <t>张晏韬412922197304024544</t>
  </si>
  <si>
    <t>9769148541397</t>
  </si>
  <si>
    <t>SC20200034649</t>
  </si>
  <si>
    <r>
      <rPr>
        <sz val="12"/>
        <color theme="1"/>
        <rFont val="宋体"/>
        <family val="3"/>
        <charset val="134"/>
      </rPr>
      <t>精华素</t>
    </r>
    <r>
      <rPr>
        <sz val="12"/>
        <color theme="1"/>
        <rFont val="Calibri"/>
        <family val="2"/>
      </rPr>
      <t>*1</t>
    </r>
    <r>
      <rPr>
        <sz val="12"/>
        <color theme="1"/>
        <rFont val="宋体"/>
        <family val="3"/>
        <charset val="134"/>
      </rPr>
      <t>，美白精华</t>
    </r>
    <r>
      <rPr>
        <sz val="12"/>
        <color theme="1"/>
        <rFont val="Calibri"/>
        <family val="2"/>
      </rPr>
      <t>*1</t>
    </r>
    <r>
      <rPr>
        <sz val="12"/>
        <color theme="1"/>
        <rFont val="宋体"/>
        <family val="3"/>
        <charset val="134"/>
      </rPr>
      <t>，洗面奶</t>
    </r>
    <r>
      <rPr>
        <sz val="12"/>
        <color theme="1"/>
        <rFont val="Calibri"/>
        <family val="2"/>
      </rPr>
      <t>*1</t>
    </r>
    <r>
      <rPr>
        <sz val="12"/>
        <color theme="1"/>
        <rFont val="宋体"/>
        <family val="3"/>
        <charset val="134"/>
      </rPr>
      <t>，面膜</t>
    </r>
    <r>
      <rPr>
        <sz val="12"/>
        <color theme="1"/>
        <rFont val="Calibri"/>
        <family val="2"/>
      </rPr>
      <t>*1</t>
    </r>
  </si>
  <si>
    <t>JEUNESSE，JEUNESSE，JEUNESSE，JEUNESSE</t>
  </si>
  <si>
    <t>15ML，30ML，90ML，118ML</t>
  </si>
  <si>
    <t>李丽富</t>
  </si>
  <si>
    <t>广东省江门市蓬江区方直珑湖湾16楼1902</t>
  </si>
  <si>
    <t>刘宝艳</t>
  </si>
  <si>
    <t>广东省江门市蓬江区上城骏园10幢201</t>
  </si>
  <si>
    <t>13082519850228002X</t>
  </si>
  <si>
    <t>刘宝艳13082519850228002X</t>
  </si>
  <si>
    <t>9769148537397</t>
  </si>
  <si>
    <t>SC20200034663</t>
  </si>
  <si>
    <r>
      <rPr>
        <sz val="12"/>
        <color theme="1"/>
        <rFont val="宋体"/>
        <family val="3"/>
        <charset val="134"/>
      </rPr>
      <t>精华素</t>
    </r>
    <r>
      <rPr>
        <sz val="12"/>
        <color theme="1"/>
        <rFont val="Calibri"/>
        <family val="2"/>
      </rPr>
      <t>*1</t>
    </r>
    <r>
      <rPr>
        <sz val="12"/>
        <color theme="1"/>
        <rFont val="宋体"/>
        <family val="3"/>
        <charset val="134"/>
      </rPr>
      <t>，晚霜</t>
    </r>
    <r>
      <rPr>
        <sz val="12"/>
        <color theme="1"/>
        <rFont val="Calibri"/>
        <family val="2"/>
      </rPr>
      <t>*1</t>
    </r>
    <r>
      <rPr>
        <sz val="12"/>
        <color theme="1"/>
        <rFont val="宋体"/>
        <family val="3"/>
        <charset val="134"/>
      </rPr>
      <t>，日霜</t>
    </r>
    <r>
      <rPr>
        <sz val="12"/>
        <color theme="1"/>
        <rFont val="Calibri"/>
        <family val="2"/>
      </rPr>
      <t>*1</t>
    </r>
    <r>
      <rPr>
        <sz val="12"/>
        <color theme="1"/>
        <rFont val="宋体"/>
        <family val="3"/>
        <charset val="134"/>
      </rPr>
      <t>，身体霜</t>
    </r>
    <r>
      <rPr>
        <sz val="12"/>
        <color theme="1"/>
        <rFont val="Calibri"/>
        <family val="2"/>
      </rPr>
      <t>*1</t>
    </r>
  </si>
  <si>
    <t>15ML，50ML，30ML，150ML</t>
  </si>
  <si>
    <t>骆刘蓉</t>
  </si>
  <si>
    <t>430723198708294227</t>
  </si>
  <si>
    <t>骆刘蓉430723198708294227</t>
  </si>
  <si>
    <t>9769148426297</t>
  </si>
  <si>
    <t>SC20200033043</t>
  </si>
  <si>
    <r>
      <rPr>
        <sz val="12"/>
        <color theme="1"/>
        <rFont val="宋体"/>
        <family val="3"/>
        <charset val="134"/>
      </rPr>
      <t>健康包</t>
    </r>
    <r>
      <rPr>
        <sz val="12"/>
        <color theme="1"/>
        <rFont val="Calibri"/>
        <family val="2"/>
      </rPr>
      <t>*2</t>
    </r>
    <r>
      <rPr>
        <sz val="12"/>
        <color theme="1"/>
        <rFont val="宋体"/>
        <family val="3"/>
        <charset val="134"/>
      </rPr>
      <t>，心宝</t>
    </r>
    <r>
      <rPr>
        <sz val="12"/>
        <color theme="1"/>
        <rFont val="Calibri"/>
        <family val="2"/>
      </rPr>
      <t>*2</t>
    </r>
    <r>
      <rPr>
        <sz val="12"/>
        <color theme="1"/>
        <rFont val="宋体"/>
        <family val="3"/>
        <charset val="134"/>
      </rPr>
      <t>，钙镁片</t>
    </r>
    <r>
      <rPr>
        <sz val="12"/>
        <color theme="1"/>
        <rFont val="Calibri"/>
        <family val="2"/>
      </rPr>
      <t>*1</t>
    </r>
    <r>
      <rPr>
        <sz val="12"/>
        <color theme="1"/>
        <rFont val="宋体"/>
        <family val="3"/>
        <charset val="134"/>
      </rPr>
      <t>，葡萄籽</t>
    </r>
    <r>
      <rPr>
        <sz val="12"/>
        <color theme="1"/>
        <rFont val="Calibri"/>
        <family val="2"/>
      </rPr>
      <t>*1</t>
    </r>
    <r>
      <rPr>
        <sz val="12"/>
        <color theme="1"/>
        <rFont val="宋体"/>
        <family val="3"/>
        <charset val="134"/>
      </rPr>
      <t>，益生菌</t>
    </r>
    <r>
      <rPr>
        <sz val="12"/>
        <color theme="1"/>
        <rFont val="Calibri"/>
        <family val="2"/>
      </rPr>
      <t>*2</t>
    </r>
    <r>
      <rPr>
        <sz val="12"/>
        <color theme="1"/>
        <rFont val="宋体"/>
        <family val="3"/>
        <charset val="134"/>
      </rPr>
      <t>，健骼宁</t>
    </r>
    <r>
      <rPr>
        <sz val="12"/>
        <color theme="1"/>
        <rFont val="Calibri"/>
        <family val="2"/>
      </rPr>
      <t>*2</t>
    </r>
  </si>
  <si>
    <t>USANA，USANA，USANA，USANA，USANA，USANA</t>
  </si>
  <si>
    <r>
      <rPr>
        <sz val="12"/>
        <color theme="1"/>
        <rFont val="宋体"/>
        <family val="3"/>
        <charset val="134"/>
      </rPr>
      <t>，，，，，</t>
    </r>
  </si>
  <si>
    <t>刘建全</t>
  </si>
  <si>
    <t>广东省广州市增城区新塘镇西洲村宁西旧街七巷1号-1</t>
  </si>
  <si>
    <t>应琦</t>
  </si>
  <si>
    <t>广东省广州市增城区荔城街中坚豪庭5幢408房</t>
  </si>
  <si>
    <t>310108198205253841</t>
  </si>
  <si>
    <t>应琦310108198205253841</t>
  </si>
  <si>
    <t>9769148465697</t>
  </si>
  <si>
    <t>SC20200033047</t>
  </si>
  <si>
    <t>基本营养素*2，儿童营养素*2，心宝*1，维生素*1，钙镁片*2，心宝*2，保列健*4，益生菌*1</t>
  </si>
  <si>
    <t>USANA，USANA，USANA，USANA，USANA，USANA，USANA，USANA</t>
  </si>
  <si>
    <r>
      <rPr>
        <sz val="12"/>
        <color theme="1"/>
        <rFont val="宋体"/>
        <family val="3"/>
        <charset val="134"/>
      </rPr>
      <t>，，，，，，，</t>
    </r>
  </si>
  <si>
    <t>钟伟军</t>
  </si>
  <si>
    <t>广东省广州市增城区新塘镇东洲村格水路48号</t>
  </si>
  <si>
    <t>冉文建</t>
  </si>
  <si>
    <t>511204197110115722</t>
  </si>
  <si>
    <t>冉文建511204197110115722</t>
  </si>
  <si>
    <t>9769148462597</t>
  </si>
  <si>
    <t>SC20200033051</t>
  </si>
  <si>
    <r>
      <rPr>
        <sz val="12"/>
        <color theme="1"/>
        <rFont val="宋体"/>
        <family val="3"/>
        <charset val="134"/>
      </rPr>
      <t>基本营养素</t>
    </r>
    <r>
      <rPr>
        <sz val="12"/>
        <color theme="1"/>
        <rFont val="Calibri"/>
        <family val="2"/>
      </rPr>
      <t>*3</t>
    </r>
    <r>
      <rPr>
        <sz val="12"/>
        <color theme="1"/>
        <rFont val="宋体"/>
        <family val="3"/>
        <charset val="134"/>
      </rPr>
      <t>，保列健</t>
    </r>
    <r>
      <rPr>
        <sz val="12"/>
        <color theme="1"/>
        <rFont val="Calibri"/>
        <family val="2"/>
      </rPr>
      <t>*3</t>
    </r>
    <r>
      <rPr>
        <sz val="12"/>
        <color theme="1"/>
        <rFont val="宋体"/>
        <family val="3"/>
        <charset val="134"/>
      </rPr>
      <t>，心宝</t>
    </r>
    <r>
      <rPr>
        <sz val="12"/>
        <color theme="1"/>
        <rFont val="Calibri"/>
        <family val="2"/>
      </rPr>
      <t>*2</t>
    </r>
    <r>
      <rPr>
        <sz val="12"/>
        <color theme="1"/>
        <rFont val="宋体"/>
        <family val="3"/>
        <charset val="134"/>
      </rPr>
      <t>，葡萄籽</t>
    </r>
    <r>
      <rPr>
        <sz val="12"/>
        <color theme="1"/>
        <rFont val="Calibri"/>
        <family val="2"/>
      </rPr>
      <t>*2</t>
    </r>
    <r>
      <rPr>
        <sz val="12"/>
        <color theme="1"/>
        <rFont val="宋体"/>
        <family val="3"/>
        <charset val="134"/>
      </rPr>
      <t>，眠宁素</t>
    </r>
    <r>
      <rPr>
        <sz val="12"/>
        <color theme="1"/>
        <rFont val="Calibri"/>
        <family val="2"/>
      </rPr>
      <t>*1</t>
    </r>
    <r>
      <rPr>
        <sz val="12"/>
        <color theme="1"/>
        <rFont val="宋体"/>
        <family val="3"/>
        <charset val="134"/>
      </rPr>
      <t>，益生菌</t>
    </r>
    <r>
      <rPr>
        <sz val="12"/>
        <color theme="1"/>
        <rFont val="Calibri"/>
        <family val="2"/>
      </rPr>
      <t>*1</t>
    </r>
  </si>
  <si>
    <t>刘健儿</t>
  </si>
  <si>
    <t>广东省广州市增城区新塘镇凤凰城凤雅苑20街11号</t>
  </si>
  <si>
    <t>谭晓君</t>
  </si>
  <si>
    <t>440103198404052441</t>
  </si>
  <si>
    <t>谭晓君440103198404052441</t>
  </si>
  <si>
    <t>9769148641997</t>
  </si>
  <si>
    <t>SC03424700007</t>
  </si>
  <si>
    <t>罗庆宇</t>
  </si>
  <si>
    <t>辽宁省大连市甘井子区营泰街191号</t>
  </si>
  <si>
    <t>王姝</t>
  </si>
  <si>
    <t>辽宁省大连市甘井子区东纬路480号亿海盛都7号楼3单元101</t>
  </si>
  <si>
    <t>210404197902020667</t>
  </si>
  <si>
    <t>王姝210404197902020667</t>
  </si>
  <si>
    <t>9769148642297</t>
  </si>
  <si>
    <t>SC03424700011</t>
  </si>
  <si>
    <t>贺福宽</t>
  </si>
  <si>
    <t>辽宁省营口市鲅鱼圈区24中学</t>
  </si>
  <si>
    <t>肖丽娜</t>
  </si>
  <si>
    <t>522230197912030021</t>
  </si>
  <si>
    <t>肖丽娜522230197912030021</t>
  </si>
  <si>
    <t>9769148643697</t>
  </si>
  <si>
    <t>SC03424700015</t>
  </si>
  <si>
    <t>贺丽华</t>
  </si>
  <si>
    <t>辽宁营口鲅鱼圈 恒基河畔花园3号楼二单元2302</t>
  </si>
  <si>
    <t>杨曼丽</t>
  </si>
  <si>
    <t>辽宁省营口市鲅鱼圈区红海街道鸿基海岸C4一单元601</t>
  </si>
  <si>
    <t>410303198612253729</t>
  </si>
  <si>
    <t>杨曼丽410303198612253729</t>
  </si>
  <si>
    <t>9769148483297</t>
  </si>
  <si>
    <t>SC20200033055</t>
  </si>
  <si>
    <t>徐丽环</t>
  </si>
  <si>
    <t>广东省广州市增城区新塘镇西洲村宁西旧街七巷1号2楼201</t>
  </si>
  <si>
    <t>翁淳桢</t>
  </si>
  <si>
    <t>广东省广州市增城区新塘镇合生湖山国际花园山倚轩4座502</t>
  </si>
  <si>
    <t>445102198404191423</t>
  </si>
  <si>
    <t>翁淳桢445102198404191423</t>
  </si>
  <si>
    <t>9769148467397</t>
  </si>
  <si>
    <t>SC20200033059</t>
  </si>
  <si>
    <r>
      <rPr>
        <sz val="12"/>
        <color theme="1"/>
        <rFont val="宋体"/>
        <family val="3"/>
        <charset val="134"/>
      </rPr>
      <t>基本营养素</t>
    </r>
    <r>
      <rPr>
        <sz val="12"/>
        <color theme="1"/>
        <rFont val="Calibri"/>
        <family val="2"/>
      </rPr>
      <t>*2</t>
    </r>
    <r>
      <rPr>
        <sz val="12"/>
        <color theme="1"/>
        <rFont val="宋体"/>
        <family val="3"/>
        <charset val="134"/>
      </rPr>
      <t>，钙片</t>
    </r>
    <r>
      <rPr>
        <sz val="12"/>
        <color theme="1"/>
        <rFont val="Calibri"/>
        <family val="2"/>
      </rPr>
      <t>*2</t>
    </r>
    <r>
      <rPr>
        <sz val="12"/>
        <color theme="1"/>
        <rFont val="宋体"/>
        <family val="3"/>
        <charset val="134"/>
      </rPr>
      <t>，益生菌</t>
    </r>
    <r>
      <rPr>
        <sz val="12"/>
        <color theme="1"/>
        <rFont val="Calibri"/>
        <family val="2"/>
      </rPr>
      <t>*4</t>
    </r>
    <r>
      <rPr>
        <sz val="12"/>
        <color theme="1"/>
        <rFont val="宋体"/>
        <family val="3"/>
        <charset val="134"/>
      </rPr>
      <t>，心脏宝</t>
    </r>
    <r>
      <rPr>
        <sz val="12"/>
        <color theme="1"/>
        <rFont val="Calibri"/>
        <family val="2"/>
      </rPr>
      <t>*3</t>
    </r>
    <r>
      <rPr>
        <sz val="12"/>
        <color theme="1"/>
        <rFont val="宋体"/>
        <family val="3"/>
        <charset val="134"/>
      </rPr>
      <t>，保列健</t>
    </r>
    <r>
      <rPr>
        <sz val="12"/>
        <color theme="1"/>
        <rFont val="Calibri"/>
        <family val="2"/>
      </rPr>
      <t>*2</t>
    </r>
  </si>
  <si>
    <t>USANA，USANA，USANA，USANA，USANA</t>
  </si>
  <si>
    <r>
      <rPr>
        <sz val="12"/>
        <color theme="1"/>
        <rFont val="宋体"/>
        <family val="3"/>
        <charset val="134"/>
      </rPr>
      <t>，，，，</t>
    </r>
  </si>
  <si>
    <t>钟满弟</t>
  </si>
  <si>
    <t>广东省广州市增城区新塘镇东洲村格水新村啰口一路20号1楼</t>
  </si>
  <si>
    <t>周韦韦</t>
  </si>
  <si>
    <t>广东省广州市增城区新塘镇新塘大道西642号B栋3楼（三横科技）查收</t>
  </si>
  <si>
    <t>342425198911242234</t>
  </si>
  <si>
    <t>周韦韦342425198911242234</t>
  </si>
  <si>
    <t>9769148458597</t>
  </si>
  <si>
    <t>SC20200033063</t>
  </si>
  <si>
    <r>
      <rPr>
        <sz val="12"/>
        <color theme="1"/>
        <rFont val="宋体"/>
        <family val="3"/>
        <charset val="134"/>
      </rPr>
      <t>钙镁片</t>
    </r>
    <r>
      <rPr>
        <sz val="12"/>
        <color theme="1"/>
        <rFont val="Calibri"/>
        <family val="2"/>
      </rPr>
      <t>*3</t>
    </r>
    <r>
      <rPr>
        <sz val="12"/>
        <color theme="1"/>
        <rFont val="宋体"/>
        <family val="3"/>
        <charset val="134"/>
      </rPr>
      <t>，鱼油</t>
    </r>
    <r>
      <rPr>
        <sz val="12"/>
        <color theme="1"/>
        <rFont val="Calibri"/>
        <family val="2"/>
      </rPr>
      <t>*4</t>
    </r>
    <r>
      <rPr>
        <sz val="12"/>
        <color theme="1"/>
        <rFont val="宋体"/>
        <family val="3"/>
        <charset val="134"/>
      </rPr>
      <t>，健骼宁</t>
    </r>
    <r>
      <rPr>
        <sz val="12"/>
        <color theme="1"/>
        <rFont val="Calibri"/>
        <family val="2"/>
      </rPr>
      <t>*3</t>
    </r>
    <r>
      <rPr>
        <sz val="12"/>
        <color theme="1"/>
        <rFont val="宋体"/>
        <family val="3"/>
        <charset val="134"/>
      </rPr>
      <t>，肝宝</t>
    </r>
    <r>
      <rPr>
        <sz val="12"/>
        <color theme="1"/>
        <rFont val="Calibri"/>
        <family val="2"/>
      </rPr>
      <t>*4</t>
    </r>
    <r>
      <rPr>
        <sz val="12"/>
        <color theme="1"/>
        <rFont val="宋体"/>
        <family val="3"/>
        <charset val="134"/>
      </rPr>
      <t>，益生菌</t>
    </r>
    <r>
      <rPr>
        <sz val="12"/>
        <color theme="1"/>
        <rFont val="Calibri"/>
        <family val="2"/>
      </rPr>
      <t>*1</t>
    </r>
  </si>
  <si>
    <t>黄倩沄</t>
  </si>
  <si>
    <t>广东省广州市增城区新塘镇东洲村格水路48号牌坊旁</t>
  </si>
  <si>
    <t>李一川</t>
  </si>
  <si>
    <t>广东省广州市增城区新塘镇凤凰城东门商业街21号</t>
  </si>
  <si>
    <t>130206198506100020</t>
  </si>
  <si>
    <t>李一川130206198506100020</t>
  </si>
  <si>
    <t>9769148391197</t>
  </si>
  <si>
    <t>SC20200034681</t>
  </si>
  <si>
    <r>
      <rPr>
        <sz val="12"/>
        <color theme="1"/>
        <rFont val="宋体"/>
        <family val="3"/>
        <charset val="134"/>
      </rPr>
      <t>维生素</t>
    </r>
    <r>
      <rPr>
        <sz val="12"/>
        <color theme="1"/>
        <rFont val="Calibri"/>
        <family val="2"/>
      </rPr>
      <t>*3</t>
    </r>
    <r>
      <rPr>
        <sz val="12"/>
        <color theme="1"/>
        <rFont val="宋体"/>
        <family val="3"/>
        <charset val="134"/>
      </rPr>
      <t>，鱼油</t>
    </r>
    <r>
      <rPr>
        <sz val="12"/>
        <color theme="1"/>
        <rFont val="Calibri"/>
        <family val="2"/>
      </rPr>
      <t>*3</t>
    </r>
    <r>
      <rPr>
        <sz val="12"/>
        <color theme="1"/>
        <rFont val="宋体"/>
        <family val="3"/>
        <charset val="134"/>
      </rPr>
      <t>，矿物质</t>
    </r>
    <r>
      <rPr>
        <sz val="12"/>
        <color theme="1"/>
        <rFont val="Calibri"/>
        <family val="2"/>
      </rPr>
      <t>*3</t>
    </r>
  </si>
  <si>
    <t>USANA，USANA，USANA</t>
  </si>
  <si>
    <t>，，</t>
  </si>
  <si>
    <t>郑建章</t>
  </si>
  <si>
    <t>上海市松江区文翔路1099弄20号301</t>
  </si>
  <si>
    <t>杨晓飞</t>
  </si>
  <si>
    <t>上海市松江区三新路泰吾士小镇868号不忙生活馆</t>
  </si>
  <si>
    <t>532401197203120025</t>
  </si>
  <si>
    <t>杨晓飞532401197203120025</t>
  </si>
  <si>
    <t>9769148410997</t>
  </si>
  <si>
    <t>SC20200034096</t>
  </si>
  <si>
    <r>
      <rPr>
        <sz val="12"/>
        <color theme="1"/>
        <rFont val="宋体"/>
        <family val="3"/>
        <charset val="134"/>
      </rPr>
      <t>手表</t>
    </r>
    <r>
      <rPr>
        <sz val="12"/>
        <color theme="1"/>
        <rFont val="Calibri"/>
        <family val="2"/>
      </rPr>
      <t>*1</t>
    </r>
  </si>
  <si>
    <t>TISSOT</t>
  </si>
  <si>
    <t>日用</t>
  </si>
  <si>
    <t>王润月</t>
  </si>
  <si>
    <t>辽宁省沈阳市皇姑区淮河街11号世纪学府A座</t>
  </si>
  <si>
    <t>张鹤立</t>
  </si>
  <si>
    <t>371422199310013022</t>
  </si>
  <si>
    <t>张鹤立371422199310013022</t>
  </si>
  <si>
    <t>9769148363397</t>
  </si>
  <si>
    <t>SC20200034778</t>
  </si>
  <si>
    <r>
      <rPr>
        <sz val="12"/>
        <color theme="1"/>
        <rFont val="宋体"/>
        <family val="3"/>
        <charset val="134"/>
      </rPr>
      <t>水桶包</t>
    </r>
    <r>
      <rPr>
        <sz val="12"/>
        <color theme="1"/>
        <rFont val="Calibri"/>
        <family val="2"/>
      </rPr>
      <t>*1</t>
    </r>
  </si>
  <si>
    <t>COACH</t>
  </si>
  <si>
    <t>白色</t>
  </si>
  <si>
    <t>包包</t>
  </si>
  <si>
    <t>赵志勇</t>
  </si>
  <si>
    <t>宁夏银川市兴庆区丽景北街兰溪谷14号楼2单元2301室</t>
  </si>
  <si>
    <t>赵巧瑜</t>
  </si>
  <si>
    <t>46010019690608182X</t>
  </si>
  <si>
    <t>赵巧瑜46010019690608182X</t>
  </si>
  <si>
    <t>9769148396097</t>
  </si>
  <si>
    <t>SC20200034770</t>
  </si>
  <si>
    <r>
      <rPr>
        <sz val="12"/>
        <color theme="1"/>
        <rFont val="宋体"/>
        <family val="3"/>
        <charset val="134"/>
      </rPr>
      <t>手提包</t>
    </r>
    <r>
      <rPr>
        <sz val="12"/>
        <color theme="1"/>
        <rFont val="Calibri"/>
        <family val="2"/>
      </rPr>
      <t>*1</t>
    </r>
  </si>
  <si>
    <t>胥海娟</t>
  </si>
  <si>
    <t>宁夏银川市金凤区森林公园美林湾</t>
  </si>
  <si>
    <t>白珊珊</t>
  </si>
  <si>
    <t>429001198012150460</t>
  </si>
  <si>
    <t>白珊珊429001198012150460</t>
  </si>
  <si>
    <t>9769148315197</t>
  </si>
  <si>
    <t>SC20200033754</t>
  </si>
  <si>
    <r>
      <rPr>
        <sz val="12"/>
        <color theme="1"/>
        <rFont val="宋体"/>
        <family val="3"/>
        <charset val="134"/>
      </rPr>
      <t>健康包</t>
    </r>
    <r>
      <rPr>
        <sz val="12"/>
        <color theme="1"/>
        <rFont val="Calibri"/>
        <family val="2"/>
      </rPr>
      <t>*1</t>
    </r>
    <r>
      <rPr>
        <sz val="12"/>
        <color theme="1"/>
        <rFont val="宋体"/>
        <family val="3"/>
        <charset val="134"/>
      </rPr>
      <t>，咀嚼钙</t>
    </r>
    <r>
      <rPr>
        <sz val="12"/>
        <color theme="1"/>
        <rFont val="Calibri"/>
        <family val="2"/>
      </rPr>
      <t>*4</t>
    </r>
    <r>
      <rPr>
        <sz val="12"/>
        <color theme="1"/>
        <rFont val="宋体"/>
        <family val="3"/>
        <charset val="134"/>
      </rPr>
      <t>，酵素</t>
    </r>
    <r>
      <rPr>
        <sz val="12"/>
        <color theme="1"/>
        <rFont val="Calibri"/>
        <family val="2"/>
      </rPr>
      <t>*6</t>
    </r>
  </si>
  <si>
    <t>李玲利</t>
  </si>
  <si>
    <t>北京市海淀区远大西路远大园2区2号楼9C</t>
  </si>
  <si>
    <t>陈兴华</t>
  </si>
  <si>
    <t>北京市海淀区上地9街9号数码科技广场北楼6层</t>
  </si>
  <si>
    <t>131022198605101141</t>
  </si>
  <si>
    <t>陈兴华131022198605101141</t>
  </si>
  <si>
    <t>9769148393997</t>
  </si>
  <si>
    <t>SC20200033596</t>
  </si>
  <si>
    <r>
      <rPr>
        <sz val="12"/>
        <color theme="1"/>
        <rFont val="宋体"/>
        <family val="3"/>
        <charset val="134"/>
      </rPr>
      <t>健康套装</t>
    </r>
    <r>
      <rPr>
        <sz val="12"/>
        <color theme="1"/>
        <rFont val="Calibri"/>
        <family val="2"/>
      </rPr>
      <t>*1</t>
    </r>
    <r>
      <rPr>
        <sz val="12"/>
        <color theme="1"/>
        <rFont val="宋体"/>
        <family val="3"/>
        <charset val="134"/>
      </rPr>
      <t>，视力宝</t>
    </r>
    <r>
      <rPr>
        <sz val="12"/>
        <color theme="1"/>
        <rFont val="Calibri"/>
        <family val="2"/>
      </rPr>
      <t>*8</t>
    </r>
    <r>
      <rPr>
        <sz val="12"/>
        <color theme="1"/>
        <rFont val="宋体"/>
        <family val="3"/>
        <charset val="134"/>
      </rPr>
      <t>，紧肤露</t>
    </r>
    <r>
      <rPr>
        <sz val="12"/>
        <color theme="1"/>
        <rFont val="Calibri"/>
        <family val="2"/>
      </rPr>
      <t>*1</t>
    </r>
  </si>
  <si>
    <r>
      <rPr>
        <sz val="12"/>
        <color theme="1"/>
        <rFont val="Calibri"/>
        <family val="2"/>
      </rPr>
      <t>56</t>
    </r>
    <r>
      <rPr>
        <sz val="12"/>
        <color theme="1"/>
        <rFont val="宋体"/>
        <family val="3"/>
        <charset val="134"/>
      </rPr>
      <t>包，</t>
    </r>
    <r>
      <rPr>
        <sz val="12"/>
        <color theme="1"/>
        <rFont val="Calibri"/>
        <family val="2"/>
      </rPr>
      <t>28</t>
    </r>
    <r>
      <rPr>
        <sz val="12"/>
        <color theme="1"/>
        <rFont val="宋体"/>
        <family val="3"/>
        <charset val="134"/>
      </rPr>
      <t>粒，</t>
    </r>
    <r>
      <rPr>
        <sz val="12"/>
        <color theme="1"/>
        <rFont val="Calibri"/>
        <family val="2"/>
      </rPr>
      <t>225ML</t>
    </r>
  </si>
  <si>
    <t>丁兆军</t>
  </si>
  <si>
    <t>浙江省宁波市海曙区高桥镇芦港村厦通汽车配件有限公司财务科</t>
  </si>
  <si>
    <t>周琼</t>
  </si>
  <si>
    <t>浙江省宁波市海曙区南苑街148弄10号503室</t>
  </si>
  <si>
    <t>320881197702030844</t>
  </si>
  <si>
    <t>周琼320881197702030844</t>
  </si>
  <si>
    <t>9769148644097</t>
  </si>
  <si>
    <t>SC03424700024</t>
  </si>
  <si>
    <t>冯晓云</t>
  </si>
  <si>
    <t>辽宁省大连市甘井子区兴华街道松江路怡心园5号楼5-7-1</t>
  </si>
  <si>
    <t>320721198803103021</t>
  </si>
  <si>
    <t>冯晓云320721198803103021</t>
  </si>
  <si>
    <t>9769148645397</t>
  </si>
  <si>
    <t>SC03424700028</t>
  </si>
  <si>
    <t>贺丽萍</t>
  </si>
  <si>
    <t>辽宁省营口市鲅鱼圈区银河上园8号楼二单元901</t>
  </si>
  <si>
    <t>孟樨</t>
  </si>
  <si>
    <t>辽宁省营口市鲅鱼圈区熊岳镇恒基学府8号楼二单元1001</t>
  </si>
  <si>
    <t>320481199208216229</t>
  </si>
  <si>
    <t>孟樨320481199208216229</t>
  </si>
  <si>
    <t>9769148646797</t>
  </si>
  <si>
    <t>SC11527700006</t>
  </si>
  <si>
    <r>
      <rPr>
        <sz val="12"/>
        <rFont val="宋体"/>
        <family val="3"/>
        <charset val="134"/>
      </rPr>
      <t>肉苁蓉提取物</t>
    </r>
    <r>
      <rPr>
        <sz val="12"/>
        <rFont val="Calibri"/>
        <family val="2"/>
      </rPr>
      <t>*12</t>
    </r>
    <r>
      <rPr>
        <sz val="12"/>
        <rFont val="宋体"/>
        <family val="3"/>
        <charset val="134"/>
      </rPr>
      <t>，钙</t>
    </r>
    <r>
      <rPr>
        <sz val="12"/>
        <rFont val="Calibri"/>
        <family val="2"/>
      </rPr>
      <t>*2</t>
    </r>
  </si>
  <si>
    <r>
      <rPr>
        <sz val="12"/>
        <color theme="1"/>
        <rFont val="Calibri"/>
        <family val="2"/>
      </rPr>
      <t>120</t>
    </r>
    <r>
      <rPr>
        <sz val="12"/>
        <color theme="1"/>
        <rFont val="宋体"/>
        <family val="3"/>
        <charset val="134"/>
      </rPr>
      <t>粒，</t>
    </r>
    <r>
      <rPr>
        <sz val="12"/>
        <color theme="1"/>
        <rFont val="Calibri"/>
        <family val="2"/>
      </rPr>
      <t>100</t>
    </r>
    <r>
      <rPr>
        <sz val="12"/>
        <color theme="1"/>
        <rFont val="宋体"/>
        <family val="3"/>
        <charset val="134"/>
      </rPr>
      <t>粒</t>
    </r>
  </si>
  <si>
    <t>吴亚卓</t>
  </si>
  <si>
    <t>浙江省杭州市拱墅区万达广场D座1322</t>
  </si>
  <si>
    <t>韩雪</t>
  </si>
  <si>
    <t>浙江省杭州市拱墅区上塘路388号通讯市场435#</t>
  </si>
  <si>
    <t>41130219880807134X</t>
  </si>
  <si>
    <t>韩雪41130219880807134X</t>
  </si>
  <si>
    <t>9769148572297</t>
  </si>
  <si>
    <t>SC20200023936</t>
  </si>
  <si>
    <t>黄美金</t>
  </si>
  <si>
    <t>山东省德州市庆云县渤海路街道食品监督管理局南50米</t>
  </si>
  <si>
    <t>胡家琳</t>
  </si>
  <si>
    <t>山东省德州市齐河县经济开发区永锋嘉园23号楼</t>
  </si>
  <si>
    <t>532301198701121329</t>
  </si>
  <si>
    <t>胡家琳532301198701121329</t>
  </si>
  <si>
    <t>9769148360297</t>
  </si>
  <si>
    <t>SC20200016121</t>
  </si>
  <si>
    <r>
      <rPr>
        <sz val="12"/>
        <color theme="1"/>
        <rFont val="宋体"/>
        <family val="3"/>
        <charset val="134"/>
      </rPr>
      <t>面霜</t>
    </r>
    <r>
      <rPr>
        <sz val="12"/>
        <color theme="1"/>
        <rFont val="Calibri"/>
        <family val="2"/>
      </rPr>
      <t>*3</t>
    </r>
    <r>
      <rPr>
        <sz val="12"/>
        <color theme="1"/>
        <rFont val="宋体"/>
        <family val="3"/>
        <charset val="134"/>
      </rPr>
      <t>，牙膏</t>
    </r>
    <r>
      <rPr>
        <sz val="12"/>
        <color theme="1"/>
        <rFont val="Calibri"/>
        <family val="2"/>
      </rPr>
      <t>*2</t>
    </r>
    <r>
      <rPr>
        <sz val="12"/>
        <color theme="1"/>
        <rFont val="宋体"/>
        <family val="3"/>
        <charset val="134"/>
      </rPr>
      <t>，口红</t>
    </r>
    <r>
      <rPr>
        <sz val="12"/>
        <color theme="1"/>
        <rFont val="Calibri"/>
        <family val="2"/>
      </rPr>
      <t>*2</t>
    </r>
  </si>
  <si>
    <t>OLAY，NUSKIN，NUSKIN</t>
  </si>
  <si>
    <t>50ML，110G，4.5G</t>
  </si>
  <si>
    <t>刘佩燕</t>
  </si>
  <si>
    <t>辽宁省大连市甘井子区海燕街467号1-2-1</t>
  </si>
  <si>
    <t>何润</t>
  </si>
  <si>
    <t>440181198710058111</t>
  </si>
  <si>
    <t>何润440181198710058111</t>
  </si>
  <si>
    <t>9769116641097</t>
  </si>
  <si>
    <t>SC20200013852</t>
  </si>
  <si>
    <r>
      <rPr>
        <sz val="12"/>
        <color theme="1"/>
        <rFont val="宋体"/>
        <family val="3"/>
        <charset val="134"/>
      </rPr>
      <t>内裤</t>
    </r>
    <r>
      <rPr>
        <sz val="12"/>
        <color theme="1"/>
        <rFont val="Calibri"/>
        <family val="2"/>
      </rPr>
      <t>*2</t>
    </r>
    <r>
      <rPr>
        <sz val="12"/>
        <color theme="1"/>
        <rFont val="宋体"/>
        <family val="3"/>
        <charset val="134"/>
      </rPr>
      <t>，衬衫</t>
    </r>
    <r>
      <rPr>
        <sz val="12"/>
        <color theme="1"/>
        <rFont val="Calibri"/>
        <family val="2"/>
      </rPr>
      <t>*2</t>
    </r>
    <r>
      <rPr>
        <sz val="12"/>
        <color theme="1"/>
        <rFont val="宋体"/>
        <family val="3"/>
        <charset val="134"/>
      </rPr>
      <t>，染发剂</t>
    </r>
    <r>
      <rPr>
        <sz val="12"/>
        <color theme="1"/>
        <rFont val="Calibri"/>
        <family val="2"/>
      </rPr>
      <t>*2</t>
    </r>
  </si>
  <si>
    <t>KIRKLAND，POLO，HERBATINT</t>
  </si>
  <si>
    <r>
      <rPr>
        <sz val="12"/>
        <color theme="1"/>
        <rFont val="宋体"/>
        <family val="3"/>
        <charset val="134"/>
      </rPr>
      <t>，，</t>
    </r>
    <r>
      <rPr>
        <sz val="12"/>
        <color theme="1"/>
        <rFont val="Calibri"/>
        <family val="2"/>
      </rPr>
      <t>135ML</t>
    </r>
  </si>
  <si>
    <t>钟敏芬</t>
  </si>
  <si>
    <t>广东省佛山市顺德区大良新城区兴顺大道欣荣路西1号顺德市监局</t>
  </si>
  <si>
    <t>440125197306083424</t>
  </si>
  <si>
    <t>钟敏芬440125197306083424</t>
  </si>
  <si>
    <t>9769148378397</t>
  </si>
  <si>
    <t>SC20200034631</t>
  </si>
  <si>
    <r>
      <rPr>
        <sz val="12"/>
        <color theme="1"/>
        <rFont val="宋体"/>
        <family val="3"/>
        <charset val="134"/>
      </rPr>
      <t>纤维素</t>
    </r>
    <r>
      <rPr>
        <sz val="12"/>
        <color theme="1"/>
        <rFont val="Calibri"/>
        <family val="2"/>
      </rPr>
      <t>*2</t>
    </r>
    <r>
      <rPr>
        <sz val="12"/>
        <color theme="1"/>
        <rFont val="宋体"/>
        <family val="3"/>
        <charset val="134"/>
      </rPr>
      <t>，辅酶</t>
    </r>
    <r>
      <rPr>
        <sz val="12"/>
        <color theme="1"/>
        <rFont val="Calibri"/>
        <family val="2"/>
      </rPr>
      <t>*2</t>
    </r>
    <r>
      <rPr>
        <sz val="12"/>
        <color theme="1"/>
        <rFont val="宋体"/>
        <family val="3"/>
        <charset val="134"/>
      </rPr>
      <t>，肝宝</t>
    </r>
    <r>
      <rPr>
        <sz val="12"/>
        <color theme="1"/>
        <rFont val="Calibri"/>
        <family val="2"/>
      </rPr>
      <t>*2</t>
    </r>
    <r>
      <rPr>
        <sz val="12"/>
        <color theme="1"/>
        <rFont val="宋体"/>
        <family val="3"/>
        <charset val="134"/>
      </rPr>
      <t>，益生菌</t>
    </r>
    <r>
      <rPr>
        <sz val="12"/>
        <color theme="1"/>
        <rFont val="Calibri"/>
        <family val="2"/>
      </rPr>
      <t>*4</t>
    </r>
    <r>
      <rPr>
        <sz val="12"/>
        <color theme="1"/>
        <rFont val="宋体"/>
        <family val="3"/>
        <charset val="134"/>
      </rPr>
      <t>，鱼油</t>
    </r>
    <r>
      <rPr>
        <sz val="12"/>
        <color theme="1"/>
        <rFont val="Calibri"/>
        <family val="2"/>
      </rPr>
      <t>*2</t>
    </r>
  </si>
  <si>
    <t>，，，，</t>
  </si>
  <si>
    <t>胡士清</t>
  </si>
  <si>
    <t>上海市奉贤区兰博路3069弄4号（7幢）1401室</t>
  </si>
  <si>
    <t>林娟云</t>
  </si>
  <si>
    <t>上海市奉贤区南亭公路360弄申凡苑3号302室</t>
  </si>
  <si>
    <t>350104198202014521</t>
  </si>
  <si>
    <t>林娟云350104198202014521</t>
  </si>
  <si>
    <t>9769116657397</t>
  </si>
  <si>
    <t>SC20200013858</t>
  </si>
  <si>
    <r>
      <rPr>
        <sz val="12"/>
        <color theme="1"/>
        <rFont val="宋体"/>
        <family val="3"/>
        <charset val="134"/>
      </rPr>
      <t>家居裤</t>
    </r>
    <r>
      <rPr>
        <sz val="12"/>
        <color theme="1"/>
        <rFont val="Calibri"/>
        <family val="2"/>
      </rPr>
      <t>*1</t>
    </r>
    <r>
      <rPr>
        <sz val="12"/>
        <color theme="1"/>
        <rFont val="宋体"/>
        <family val="3"/>
        <charset val="134"/>
      </rPr>
      <t>，裤子</t>
    </r>
    <r>
      <rPr>
        <sz val="12"/>
        <color theme="1"/>
        <rFont val="Calibri"/>
        <family val="2"/>
      </rPr>
      <t>*2</t>
    </r>
  </si>
  <si>
    <t>CK，TNA</t>
  </si>
  <si>
    <t>，</t>
  </si>
  <si>
    <t>符晓燕</t>
  </si>
  <si>
    <t>广东省中山市南头镇南桂园一期A15</t>
  </si>
  <si>
    <t>440623196212165947</t>
  </si>
  <si>
    <t>符晓燕440623196212165947</t>
  </si>
  <si>
    <t>9769116634997</t>
  </si>
  <si>
    <t>SC20180188555</t>
  </si>
  <si>
    <r>
      <rPr>
        <sz val="12"/>
        <color theme="1"/>
        <rFont val="宋体"/>
        <family val="3"/>
        <charset val="134"/>
      </rPr>
      <t>精华</t>
    </r>
    <r>
      <rPr>
        <sz val="12"/>
        <color theme="1"/>
        <rFont val="Calibri"/>
        <family val="2"/>
      </rPr>
      <t>*1</t>
    </r>
    <r>
      <rPr>
        <sz val="12"/>
        <color theme="1"/>
        <rFont val="宋体"/>
        <family val="3"/>
        <charset val="134"/>
      </rPr>
      <t>，粉水</t>
    </r>
    <r>
      <rPr>
        <sz val="12"/>
        <color theme="1"/>
        <rFont val="Calibri"/>
        <family val="2"/>
      </rPr>
      <t>*1</t>
    </r>
  </si>
  <si>
    <t>CLARINS，LANCOME</t>
  </si>
  <si>
    <t>50ML，400ML</t>
  </si>
  <si>
    <t>杨慧峰</t>
  </si>
  <si>
    <t>陕西省西安市雁塔区丈八北路爱西华庭</t>
  </si>
  <si>
    <t>剧娅楠</t>
  </si>
  <si>
    <t>130102198804162464</t>
  </si>
  <si>
    <t>剧娅楠130102198804162464</t>
  </si>
  <si>
    <t>9769116631897</t>
  </si>
  <si>
    <t>SC20200034815</t>
  </si>
  <si>
    <r>
      <rPr>
        <sz val="12"/>
        <color theme="1"/>
        <rFont val="宋体"/>
        <family val="3"/>
        <charset val="134"/>
      </rPr>
      <t>面膜</t>
    </r>
    <r>
      <rPr>
        <sz val="12"/>
        <color theme="1"/>
        <rFont val="Calibri"/>
        <family val="2"/>
      </rPr>
      <t>*8</t>
    </r>
  </si>
  <si>
    <t>NUSKIN</t>
  </si>
  <si>
    <t>龚庆丰</t>
  </si>
  <si>
    <t>上海市浦东新区康桥东路1388号1D超科林半导体设备上海有限公司</t>
  </si>
  <si>
    <t>李泳深</t>
  </si>
  <si>
    <t>440181198310167546</t>
  </si>
  <si>
    <t>李泳深440181198310167546</t>
  </si>
  <si>
    <t>9769116688297</t>
  </si>
  <si>
    <t>SC20200034813</t>
  </si>
  <si>
    <r>
      <rPr>
        <sz val="12"/>
        <color theme="1"/>
        <rFont val="宋体"/>
        <family val="3"/>
        <charset val="134"/>
      </rPr>
      <t>减脂粉</t>
    </r>
    <r>
      <rPr>
        <sz val="12"/>
        <color theme="1"/>
        <rFont val="Calibri"/>
        <family val="2"/>
      </rPr>
      <t>*4</t>
    </r>
    <r>
      <rPr>
        <sz val="12"/>
        <color theme="1"/>
        <rFont val="宋体"/>
        <family val="3"/>
        <charset val="134"/>
      </rPr>
      <t>，蓝珍珠</t>
    </r>
    <r>
      <rPr>
        <sz val="12"/>
        <color theme="1"/>
        <rFont val="Calibri"/>
        <family val="2"/>
      </rPr>
      <t>*2</t>
    </r>
    <r>
      <rPr>
        <sz val="12"/>
        <color theme="1"/>
        <rFont val="宋体"/>
        <family val="3"/>
        <charset val="134"/>
      </rPr>
      <t>，蓝珍珠面霜</t>
    </r>
    <r>
      <rPr>
        <sz val="12"/>
        <color theme="1"/>
        <rFont val="Calibri"/>
        <family val="2"/>
      </rPr>
      <t>*1</t>
    </r>
    <r>
      <rPr>
        <sz val="12"/>
        <color theme="1"/>
        <rFont val="宋体"/>
        <family val="3"/>
        <charset val="134"/>
      </rPr>
      <t>，抗皱精华</t>
    </r>
    <r>
      <rPr>
        <sz val="12"/>
        <color theme="1"/>
        <rFont val="Calibri"/>
        <family val="2"/>
      </rPr>
      <t>*1</t>
    </r>
  </si>
  <si>
    <t>NUSKIN，NUSKIN，NUSKIN，NUSKIN</t>
  </si>
  <si>
    <t>，，，</t>
  </si>
  <si>
    <t>庄蕾</t>
  </si>
  <si>
    <t>上海市宝山区聚丰园路628弄187号903室</t>
  </si>
  <si>
    <t>刘秀娟</t>
  </si>
  <si>
    <t>372926197909097765</t>
  </si>
  <si>
    <t>刘秀娟372926197909097765</t>
  </si>
  <si>
    <t>9769116680397</t>
  </si>
  <si>
    <t>SC20200025948</t>
  </si>
  <si>
    <r>
      <rPr>
        <sz val="12"/>
        <color theme="1"/>
        <rFont val="宋体"/>
        <family val="3"/>
        <charset val="134"/>
      </rPr>
      <t>纤维素</t>
    </r>
    <r>
      <rPr>
        <sz val="12"/>
        <color theme="1"/>
        <rFont val="Calibri"/>
        <family val="2"/>
      </rPr>
      <t>*1</t>
    </r>
    <r>
      <rPr>
        <sz val="12"/>
        <color theme="1"/>
        <rFont val="宋体"/>
        <family val="3"/>
        <charset val="134"/>
      </rPr>
      <t>，儿童营养素</t>
    </r>
    <r>
      <rPr>
        <sz val="12"/>
        <color theme="1"/>
        <rFont val="Calibri"/>
        <family val="2"/>
      </rPr>
      <t>*2</t>
    </r>
    <r>
      <rPr>
        <sz val="12"/>
        <color theme="1"/>
        <rFont val="宋体"/>
        <family val="3"/>
        <charset val="134"/>
      </rPr>
      <t>，视力宝</t>
    </r>
    <r>
      <rPr>
        <sz val="12"/>
        <color theme="1"/>
        <rFont val="Calibri"/>
        <family val="2"/>
      </rPr>
      <t>*8</t>
    </r>
    <r>
      <rPr>
        <sz val="12"/>
        <color theme="1"/>
        <rFont val="宋体"/>
        <family val="3"/>
        <charset val="134"/>
      </rPr>
      <t>，葡萄籽</t>
    </r>
    <r>
      <rPr>
        <sz val="12"/>
        <color theme="1"/>
        <rFont val="Calibri"/>
        <family val="2"/>
      </rPr>
      <t>*1</t>
    </r>
  </si>
  <si>
    <r>
      <rPr>
        <sz val="12"/>
        <color theme="1"/>
        <rFont val="Calibri"/>
        <family val="2"/>
      </rPr>
      <t>392G</t>
    </r>
    <r>
      <rPr>
        <sz val="12"/>
        <color theme="1"/>
        <rFont val="宋体"/>
        <family val="3"/>
        <charset val="134"/>
      </rPr>
      <t>，</t>
    </r>
    <r>
      <rPr>
        <sz val="12"/>
        <color theme="1"/>
        <rFont val="Calibri"/>
        <family val="2"/>
      </rPr>
      <t>56</t>
    </r>
    <r>
      <rPr>
        <sz val="12"/>
        <color theme="1"/>
        <rFont val="宋体"/>
        <family val="3"/>
        <charset val="134"/>
      </rPr>
      <t>粒，</t>
    </r>
    <r>
      <rPr>
        <sz val="12"/>
        <color theme="1"/>
        <rFont val="Calibri"/>
        <family val="2"/>
      </rPr>
      <t>28</t>
    </r>
    <r>
      <rPr>
        <sz val="12"/>
        <color theme="1"/>
        <rFont val="宋体"/>
        <family val="3"/>
        <charset val="134"/>
      </rPr>
      <t>粒，</t>
    </r>
    <r>
      <rPr>
        <sz val="12"/>
        <color theme="1"/>
        <rFont val="Calibri"/>
        <family val="2"/>
      </rPr>
      <t>56</t>
    </r>
    <r>
      <rPr>
        <sz val="12"/>
        <color theme="1"/>
        <rFont val="宋体"/>
        <family val="3"/>
        <charset val="134"/>
      </rPr>
      <t>粒</t>
    </r>
  </si>
  <si>
    <t>余沁</t>
  </si>
  <si>
    <t>云南省昆明市五华区虹山东路9号版筑翠园菜鸟站</t>
  </si>
  <si>
    <t>唐婧</t>
  </si>
  <si>
    <t>云南省昆明市五华区丰宁街道春晖小区颐达园5栋1单元</t>
  </si>
  <si>
    <t>452323198302083124</t>
  </si>
  <si>
    <t>唐婧452323198302083124</t>
  </si>
  <si>
    <t>9769116686597</t>
  </si>
  <si>
    <t>SC20190079155</t>
  </si>
  <si>
    <r>
      <rPr>
        <sz val="12"/>
        <color theme="1"/>
        <rFont val="宋体"/>
        <family val="3"/>
        <charset val="134"/>
      </rPr>
      <t>面霜</t>
    </r>
    <r>
      <rPr>
        <sz val="12"/>
        <color theme="1"/>
        <rFont val="Calibri"/>
        <family val="2"/>
      </rPr>
      <t>*2</t>
    </r>
  </si>
  <si>
    <t>LANCOME</t>
  </si>
  <si>
    <t>50ML</t>
  </si>
  <si>
    <t>翟琳</t>
  </si>
  <si>
    <t>重庆市南岸区花园路街道四小区团圆堡9栋</t>
  </si>
  <si>
    <t>210202196902222228</t>
  </si>
  <si>
    <t>翟琳210202196902222228</t>
  </si>
  <si>
    <t>9769148395697</t>
  </si>
  <si>
    <t>SC20200034086</t>
  </si>
  <si>
    <t>吴倩仪</t>
  </si>
  <si>
    <t>广东省佛山市南海区大沥镇广东省佛山市南海区大沥镇穗盐东路1号景裕嘉园12B 607</t>
  </si>
  <si>
    <t>牛潇萌</t>
  </si>
  <si>
    <t>410504198810311018</t>
  </si>
  <si>
    <t>牛潇萌410504198810311018</t>
  </si>
  <si>
    <t>9769148367897</t>
  </si>
  <si>
    <t>SC20200034070</t>
  </si>
  <si>
    <r>
      <rPr>
        <sz val="12"/>
        <color theme="1"/>
        <rFont val="宋体"/>
        <family val="3"/>
        <charset val="134"/>
      </rPr>
      <t>小包</t>
    </r>
    <r>
      <rPr>
        <sz val="12"/>
        <color theme="1"/>
        <rFont val="Calibri"/>
        <family val="2"/>
      </rPr>
      <t>*1</t>
    </r>
  </si>
  <si>
    <t>MK</t>
  </si>
  <si>
    <t>刘亚美</t>
  </si>
  <si>
    <t>四川省宜宾市江安县水务局</t>
  </si>
  <si>
    <t>宋晓爽</t>
  </si>
  <si>
    <t>510132198201280049</t>
  </si>
  <si>
    <t>宋晓爽510132198201280049</t>
  </si>
  <si>
    <t>9769116671597</t>
  </si>
  <si>
    <t>SC20200019266</t>
  </si>
  <si>
    <r>
      <rPr>
        <sz val="12"/>
        <color theme="1"/>
        <rFont val="宋体"/>
        <family val="3"/>
        <charset val="134"/>
      </rPr>
      <t>打底裤</t>
    </r>
    <r>
      <rPr>
        <sz val="12"/>
        <color theme="1"/>
        <rFont val="Calibri"/>
        <family val="2"/>
      </rPr>
      <t>*1</t>
    </r>
    <r>
      <rPr>
        <sz val="12"/>
        <color theme="1"/>
        <rFont val="宋体"/>
        <family val="3"/>
        <charset val="134"/>
      </rPr>
      <t>，口红</t>
    </r>
    <r>
      <rPr>
        <sz val="12"/>
        <color theme="1"/>
        <rFont val="Calibri"/>
        <family val="2"/>
      </rPr>
      <t>*2</t>
    </r>
  </si>
  <si>
    <t>TNA，TF</t>
  </si>
  <si>
    <t>潘潇</t>
  </si>
  <si>
    <t>广东省广州市荔湾区保利公园九里E7</t>
  </si>
  <si>
    <t>632824198108250424</t>
  </si>
  <si>
    <t>潘潇632824198108250424</t>
  </si>
  <si>
    <t>9769116679497</t>
  </si>
  <si>
    <t>SC20200019262</t>
  </si>
  <si>
    <r>
      <rPr>
        <sz val="12"/>
        <color theme="1"/>
        <rFont val="宋体"/>
        <family val="3"/>
        <charset val="134"/>
      </rPr>
      <t>内衣</t>
    </r>
    <r>
      <rPr>
        <sz val="12"/>
        <color theme="1"/>
        <rFont val="Calibri"/>
        <family val="2"/>
      </rPr>
      <t>*1</t>
    </r>
    <r>
      <rPr>
        <sz val="12"/>
        <color theme="1"/>
        <rFont val="宋体"/>
        <family val="3"/>
        <charset val="134"/>
      </rPr>
      <t>，</t>
    </r>
    <r>
      <rPr>
        <sz val="12"/>
        <color theme="1"/>
        <rFont val="Calibri"/>
        <family val="2"/>
      </rPr>
      <t>T</t>
    </r>
    <r>
      <rPr>
        <sz val="12"/>
        <color theme="1"/>
        <rFont val="宋体"/>
        <family val="3"/>
        <charset val="134"/>
      </rPr>
      <t>恤</t>
    </r>
    <r>
      <rPr>
        <sz val="12"/>
        <color theme="1"/>
        <rFont val="Calibri"/>
        <family val="2"/>
      </rPr>
      <t>*1</t>
    </r>
  </si>
  <si>
    <t>LULULEMON，LULULEMON</t>
  </si>
  <si>
    <t>唐晓英</t>
  </si>
  <si>
    <t>重庆市江北区大兴村中段88号清目花园6-1-1</t>
  </si>
  <si>
    <t>510214196604262324</t>
  </si>
  <si>
    <t>唐晓英510214196604262324</t>
  </si>
  <si>
    <t>9769116656097</t>
  </si>
  <si>
    <t>SC20200019273</t>
  </si>
  <si>
    <r>
      <rPr>
        <sz val="12"/>
        <color theme="1"/>
        <rFont val="宋体"/>
        <family val="3"/>
        <charset val="134"/>
      </rPr>
      <t>泡沫滚轴</t>
    </r>
    <r>
      <rPr>
        <sz val="12"/>
        <color theme="1"/>
        <rFont val="Calibri"/>
        <family val="2"/>
      </rPr>
      <t>*1</t>
    </r>
    <r>
      <rPr>
        <sz val="12"/>
        <color theme="1"/>
        <rFont val="宋体"/>
        <family val="3"/>
        <charset val="134"/>
      </rPr>
      <t>，裤子</t>
    </r>
    <r>
      <rPr>
        <sz val="12"/>
        <color theme="1"/>
        <rFont val="Calibri"/>
        <family val="2"/>
      </rPr>
      <t>*1</t>
    </r>
  </si>
  <si>
    <t>王嘉</t>
  </si>
  <si>
    <t>重庆市沙坪坝区南开苑A2-17-4</t>
  </si>
  <si>
    <t>510212198201033523</t>
  </si>
  <si>
    <t>王嘉510212198201033523</t>
  </si>
  <si>
    <t>9769116643797</t>
  </si>
  <si>
    <t>SC20200019277</t>
  </si>
  <si>
    <r>
      <rPr>
        <sz val="12"/>
        <color theme="1"/>
        <rFont val="宋体"/>
        <family val="3"/>
        <charset val="134"/>
      </rPr>
      <t>裤子</t>
    </r>
    <r>
      <rPr>
        <sz val="12"/>
        <color theme="1"/>
        <rFont val="Calibri"/>
        <family val="2"/>
      </rPr>
      <t>*2</t>
    </r>
    <r>
      <rPr>
        <sz val="12"/>
        <color theme="1"/>
        <rFont val="宋体"/>
        <family val="3"/>
        <charset val="134"/>
      </rPr>
      <t>，</t>
    </r>
    <r>
      <rPr>
        <sz val="12"/>
        <color theme="1"/>
        <rFont val="Calibri"/>
        <family val="2"/>
      </rPr>
      <t>T</t>
    </r>
    <r>
      <rPr>
        <sz val="12"/>
        <color theme="1"/>
        <rFont val="宋体"/>
        <family val="3"/>
        <charset val="134"/>
      </rPr>
      <t>恤</t>
    </r>
    <r>
      <rPr>
        <sz val="12"/>
        <color theme="1"/>
        <rFont val="Calibri"/>
        <family val="2"/>
      </rPr>
      <t>*3</t>
    </r>
  </si>
  <si>
    <t>柳加红</t>
  </si>
  <si>
    <t>湖南省长沙市雨花区香樟路528号省女子监狱宿舍11栋305</t>
  </si>
  <si>
    <t>于菲菲</t>
  </si>
  <si>
    <t>湖南省长沙市雨花区万家丽中路万科金域华府三期洋房17栋302</t>
  </si>
  <si>
    <t>130121198609070045</t>
  </si>
  <si>
    <t>于菲菲130121198609070045</t>
  </si>
  <si>
    <t>9769148345797</t>
  </si>
  <si>
    <t>SC20200034095</t>
  </si>
  <si>
    <t>李慧</t>
  </si>
  <si>
    <t xml:space="preserve"> 辽宁省沈阳市大东区大什字街2号建设银行</t>
  </si>
  <si>
    <t>430103196911261060</t>
  </si>
  <si>
    <t>李慧430103196911261060</t>
  </si>
  <si>
    <t>9769148350597</t>
  </si>
  <si>
    <t>SC20200034090</t>
  </si>
  <si>
    <t>马超,</t>
  </si>
  <si>
    <t>四川省攀枝花市东区炳草岗街道新源路666号远达帝景华廷38栋17-4</t>
  </si>
  <si>
    <t>王春梅</t>
  </si>
  <si>
    <t>320103197208135184</t>
  </si>
  <si>
    <t>王春梅320103197208135184</t>
  </si>
  <si>
    <t>9769148405597</t>
  </si>
  <si>
    <t>SC20200034094</t>
  </si>
  <si>
    <t>辽宁省沈阳市大东区大什字街2号建设银行</t>
  </si>
  <si>
    <t>周妙根</t>
  </si>
  <si>
    <t>310109195502253250</t>
  </si>
  <si>
    <t>周妙根310109195502253250</t>
  </si>
  <si>
    <t>9769148638297</t>
  </si>
  <si>
    <t>SC20200034074</t>
  </si>
  <si>
    <r>
      <rPr>
        <sz val="12"/>
        <color theme="1"/>
        <rFont val="宋体"/>
        <family val="3"/>
        <charset val="134"/>
      </rPr>
      <t>水杯</t>
    </r>
    <r>
      <rPr>
        <sz val="12"/>
        <color theme="1"/>
        <rFont val="Calibri"/>
        <family val="2"/>
      </rPr>
      <t>*1</t>
    </r>
    <r>
      <rPr>
        <sz val="12"/>
        <color theme="1"/>
        <rFont val="宋体"/>
        <family val="3"/>
        <charset val="134"/>
      </rPr>
      <t>，防晒</t>
    </r>
    <r>
      <rPr>
        <sz val="12"/>
        <color theme="1"/>
        <rFont val="Calibri"/>
        <family val="2"/>
      </rPr>
      <t>*1</t>
    </r>
  </si>
  <si>
    <t>CONTIGO，CLARINS</t>
  </si>
  <si>
    <t>唐一杰</t>
  </si>
  <si>
    <t>四川省华蓥市红星西路285号华蓥市人民检察院</t>
  </si>
  <si>
    <t>文凤</t>
  </si>
  <si>
    <t>420204198806134528</t>
  </si>
  <si>
    <t>文凤420204198806134528</t>
  </si>
  <si>
    <t>9769148647597</t>
  </si>
  <si>
    <t>SC20200024645</t>
  </si>
  <si>
    <r>
      <rPr>
        <sz val="12"/>
        <color theme="1"/>
        <rFont val="宋体"/>
        <family val="3"/>
        <charset val="134"/>
      </rPr>
      <t>健骼宁</t>
    </r>
    <r>
      <rPr>
        <sz val="12"/>
        <color theme="1"/>
        <rFont val="Calibri"/>
        <family val="2"/>
      </rPr>
      <t>*1</t>
    </r>
    <r>
      <rPr>
        <sz val="12"/>
        <color theme="1"/>
        <rFont val="宋体"/>
        <family val="3"/>
        <charset val="134"/>
      </rPr>
      <t>，心脏宝</t>
    </r>
    <r>
      <rPr>
        <sz val="12"/>
        <color theme="1"/>
        <rFont val="Calibri"/>
        <family val="2"/>
      </rPr>
      <t>*14</t>
    </r>
  </si>
  <si>
    <r>
      <rPr>
        <sz val="12"/>
        <color theme="1"/>
        <rFont val="宋体"/>
        <family val="3"/>
        <charset val="134"/>
      </rPr>
      <t>，</t>
    </r>
    <r>
      <rPr>
        <sz val="12"/>
        <color theme="1"/>
        <rFont val="Calibri"/>
        <family val="2"/>
      </rPr>
      <t>100</t>
    </r>
    <r>
      <rPr>
        <sz val="12"/>
        <color theme="1"/>
        <rFont val="宋体"/>
        <family val="3"/>
        <charset val="134"/>
      </rPr>
      <t>粒</t>
    </r>
  </si>
  <si>
    <t>李真惠</t>
  </si>
  <si>
    <t>山西省长治市城区西街府秀江南小区</t>
  </si>
  <si>
    <t>140402198703043245</t>
  </si>
  <si>
    <t>李真惠140402198703043245</t>
  </si>
  <si>
    <t>9769148463997</t>
  </si>
  <si>
    <t>SC20200025946</t>
  </si>
  <si>
    <r>
      <rPr>
        <sz val="12"/>
        <color theme="1"/>
        <rFont val="宋体"/>
        <family val="3"/>
        <charset val="134"/>
      </rPr>
      <t>葡萄籽</t>
    </r>
    <r>
      <rPr>
        <sz val="12"/>
        <color theme="1"/>
        <rFont val="Calibri"/>
        <family val="2"/>
      </rPr>
      <t>*2</t>
    </r>
    <r>
      <rPr>
        <sz val="12"/>
        <color theme="1"/>
        <rFont val="宋体"/>
        <family val="3"/>
        <charset val="134"/>
      </rPr>
      <t>，舒肝宝</t>
    </r>
    <r>
      <rPr>
        <sz val="12"/>
        <color theme="1"/>
        <rFont val="Calibri"/>
        <family val="2"/>
      </rPr>
      <t>*2</t>
    </r>
    <r>
      <rPr>
        <sz val="12"/>
        <color theme="1"/>
        <rFont val="宋体"/>
        <family val="3"/>
        <charset val="134"/>
      </rPr>
      <t>，雌青舒</t>
    </r>
    <r>
      <rPr>
        <sz val="12"/>
        <color theme="1"/>
        <rFont val="Calibri"/>
        <family val="2"/>
      </rPr>
      <t>*2</t>
    </r>
    <r>
      <rPr>
        <sz val="12"/>
        <color theme="1"/>
        <rFont val="宋体"/>
        <family val="3"/>
        <charset val="134"/>
      </rPr>
      <t>，纤维素</t>
    </r>
    <r>
      <rPr>
        <sz val="12"/>
        <color theme="1"/>
        <rFont val="Calibri"/>
        <family val="2"/>
      </rPr>
      <t>*1</t>
    </r>
    <r>
      <rPr>
        <sz val="12"/>
        <color theme="1"/>
        <rFont val="宋体"/>
        <family val="3"/>
        <charset val="134"/>
      </rPr>
      <t>，益生菌</t>
    </r>
    <r>
      <rPr>
        <sz val="12"/>
        <color theme="1"/>
        <rFont val="Calibri"/>
        <family val="2"/>
      </rPr>
      <t>*5</t>
    </r>
  </si>
  <si>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392G</t>
    </r>
    <r>
      <rPr>
        <sz val="12"/>
        <color theme="1"/>
        <rFont val="宋体"/>
        <family val="3"/>
        <charset val="134"/>
      </rPr>
      <t>，</t>
    </r>
    <r>
      <rPr>
        <sz val="12"/>
        <color theme="1"/>
        <rFont val="Calibri"/>
        <family val="2"/>
      </rPr>
      <t>14</t>
    </r>
    <r>
      <rPr>
        <sz val="12"/>
        <color theme="1"/>
        <rFont val="宋体"/>
        <family val="3"/>
        <charset val="134"/>
      </rPr>
      <t>条</t>
    </r>
  </si>
  <si>
    <t>王迎春</t>
  </si>
  <si>
    <t>浙江省温州市苍南钱库华庭景园B区19幢2单元303室</t>
  </si>
  <si>
    <t>330327197601311723</t>
  </si>
  <si>
    <t>王迎春330327197601311723</t>
  </si>
  <si>
    <t>9769148524597</t>
  </si>
  <si>
    <t>SC20200000114</t>
  </si>
  <si>
    <r>
      <rPr>
        <sz val="12"/>
        <color theme="1"/>
        <rFont val="宋体"/>
        <family val="3"/>
        <charset val="134"/>
      </rPr>
      <t>舒肝片</t>
    </r>
    <r>
      <rPr>
        <sz val="12"/>
        <color theme="1"/>
        <rFont val="Calibri"/>
        <family val="2"/>
      </rPr>
      <t>*4</t>
    </r>
    <r>
      <rPr>
        <sz val="12"/>
        <color theme="1"/>
        <rFont val="宋体"/>
        <family val="3"/>
        <charset val="134"/>
      </rPr>
      <t>，基本营养素</t>
    </r>
    <r>
      <rPr>
        <sz val="12"/>
        <color theme="1"/>
        <rFont val="Calibri"/>
        <family val="2"/>
      </rPr>
      <t>*2</t>
    </r>
    <r>
      <rPr>
        <sz val="12"/>
        <color theme="1"/>
        <rFont val="宋体"/>
        <family val="3"/>
        <charset val="134"/>
      </rPr>
      <t>，心脏宝</t>
    </r>
    <r>
      <rPr>
        <sz val="12"/>
        <color theme="1"/>
        <rFont val="Calibri"/>
        <family val="2"/>
      </rPr>
      <t>*2</t>
    </r>
  </si>
  <si>
    <r>
      <rPr>
        <sz val="12"/>
        <color theme="1"/>
        <rFont val="Calibri"/>
        <family val="2"/>
      </rPr>
      <t>112</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</si>
  <si>
    <t>闫桂英</t>
  </si>
  <si>
    <t>河北省沧州市运河区万润绿景园22号楼2单元1804室</t>
  </si>
  <si>
    <t>贾静</t>
  </si>
  <si>
    <t>河北省沧州市运河区公园街道浮阳北大道贻成御景狮城</t>
  </si>
  <si>
    <t>110104197208282042</t>
  </si>
  <si>
    <t>贾静110104197208282042</t>
  </si>
  <si>
    <t>9769148508197</t>
  </si>
  <si>
    <t>SC20200035526</t>
  </si>
  <si>
    <t>基础如沛*1，排毒抗衰胶囊*1，长青配方*1，维生素胶囊*1，维生素胶囊*1，绿茶胶囊*1</t>
  </si>
  <si>
    <t>NUSKIN，NUSKIN，NUSKIN，NUSKIN，NUSKIN，NUSKIN</t>
  </si>
  <si>
    <r>
      <rPr>
        <sz val="12"/>
        <color theme="1"/>
        <rFont val="Calibri"/>
        <family val="2"/>
      </rPr>
      <t>60</t>
    </r>
    <r>
      <rPr>
        <sz val="12"/>
        <color theme="1"/>
        <rFont val="宋体"/>
        <family val="3"/>
        <charset val="134"/>
      </rPr>
      <t>包，</t>
    </r>
    <r>
      <rPr>
        <sz val="12"/>
        <color theme="1"/>
        <rFont val="Calibri"/>
        <family val="2"/>
      </rPr>
      <t>180</t>
    </r>
    <r>
      <rPr>
        <sz val="12"/>
        <color theme="1"/>
        <rFont val="宋体"/>
        <family val="3"/>
        <charset val="134"/>
      </rPr>
      <t>粒</t>
    </r>
    <r>
      <rPr>
        <sz val="12"/>
        <color theme="1"/>
        <rFont val="Calibri"/>
        <family val="2"/>
      </rPr>
      <t>+60</t>
    </r>
    <r>
      <rPr>
        <sz val="12"/>
        <color theme="1"/>
        <rFont val="宋体"/>
        <family val="3"/>
        <charset val="134"/>
      </rPr>
      <t>粒，</t>
    </r>
    <r>
      <rPr>
        <sz val="12"/>
        <color theme="1"/>
        <rFont val="Calibri"/>
        <family val="2"/>
      </rPr>
      <t>120</t>
    </r>
    <r>
      <rPr>
        <sz val="12"/>
        <color theme="1"/>
        <rFont val="宋体"/>
        <family val="3"/>
        <charset val="134"/>
      </rPr>
      <t>粒，</t>
    </r>
    <r>
      <rPr>
        <sz val="12"/>
        <color theme="1"/>
        <rFont val="Calibri"/>
        <family val="2"/>
      </rPr>
      <t>60</t>
    </r>
    <r>
      <rPr>
        <sz val="12"/>
        <color theme="1"/>
        <rFont val="宋体"/>
        <family val="3"/>
        <charset val="134"/>
      </rPr>
      <t>粒，</t>
    </r>
    <r>
      <rPr>
        <sz val="12"/>
        <color theme="1"/>
        <rFont val="Calibri"/>
        <family val="2"/>
      </rPr>
      <t>120</t>
    </r>
    <r>
      <rPr>
        <sz val="12"/>
        <color theme="1"/>
        <rFont val="宋体"/>
        <family val="3"/>
        <charset val="134"/>
      </rPr>
      <t>粒，</t>
    </r>
    <r>
      <rPr>
        <sz val="12"/>
        <color theme="1"/>
        <rFont val="Calibri"/>
        <family val="2"/>
      </rPr>
      <t>120</t>
    </r>
    <r>
      <rPr>
        <sz val="12"/>
        <color theme="1"/>
        <rFont val="宋体"/>
        <family val="3"/>
        <charset val="134"/>
      </rPr>
      <t>粒</t>
    </r>
  </si>
  <si>
    <t>潘德如</t>
  </si>
  <si>
    <t>广东省佛山市南海区桂城街道海八东路当代万国府2幢3104</t>
  </si>
  <si>
    <t>梁丽</t>
  </si>
  <si>
    <t>广东省佛山市南海区万科四季花城天竹轩8302</t>
  </si>
  <si>
    <t>150102197310223043</t>
  </si>
  <si>
    <t>梁丽150102197310223043</t>
  </si>
  <si>
    <t>9769148456897</t>
  </si>
  <si>
    <t>SC20200022904</t>
  </si>
  <si>
    <r>
      <rPr>
        <sz val="12"/>
        <color theme="1"/>
        <rFont val="宋体"/>
        <family val="3"/>
        <charset val="134"/>
      </rPr>
      <t>面霜</t>
    </r>
    <r>
      <rPr>
        <sz val="12"/>
        <color theme="1"/>
        <rFont val="Calibri"/>
        <family val="2"/>
      </rPr>
      <t>*2</t>
    </r>
    <r>
      <rPr>
        <sz val="12"/>
        <color theme="1"/>
        <rFont val="宋体"/>
        <family val="3"/>
        <charset val="134"/>
      </rPr>
      <t>，爽肤水</t>
    </r>
    <r>
      <rPr>
        <sz val="12"/>
        <color theme="1"/>
        <rFont val="Calibri"/>
        <family val="2"/>
      </rPr>
      <t>*1</t>
    </r>
  </si>
  <si>
    <t>ELIZABETH ARDEN，LANCOME</t>
  </si>
  <si>
    <t>75ML，200ML</t>
  </si>
  <si>
    <t>陆小香</t>
  </si>
  <si>
    <t>上海市浦东新区芳华路478弄81号601室</t>
  </si>
  <si>
    <t>徐云艳</t>
  </si>
  <si>
    <t>320683197906197584</t>
  </si>
  <si>
    <t>徐云艳320683197906197584</t>
  </si>
  <si>
    <t>9769148519797</t>
  </si>
  <si>
    <t>SC20190109964</t>
  </si>
  <si>
    <r>
      <rPr>
        <sz val="12"/>
        <color theme="1"/>
        <rFont val="宋体"/>
        <family val="3"/>
        <charset val="134"/>
      </rPr>
      <t>鱼油</t>
    </r>
    <r>
      <rPr>
        <sz val="12"/>
        <color theme="1"/>
        <rFont val="Calibri"/>
        <family val="2"/>
      </rPr>
      <t>*3</t>
    </r>
    <r>
      <rPr>
        <sz val="12"/>
        <color theme="1"/>
        <rFont val="宋体"/>
        <family val="3"/>
        <charset val="134"/>
      </rPr>
      <t>，维生素</t>
    </r>
    <r>
      <rPr>
        <sz val="12"/>
        <color theme="1"/>
        <rFont val="Calibri"/>
        <family val="2"/>
      </rPr>
      <t>*2</t>
    </r>
    <r>
      <rPr>
        <sz val="12"/>
        <color theme="1"/>
        <rFont val="宋体"/>
        <family val="3"/>
        <charset val="134"/>
      </rPr>
      <t>，钙片</t>
    </r>
    <r>
      <rPr>
        <sz val="12"/>
        <color theme="1"/>
        <rFont val="Calibri"/>
        <family val="2"/>
      </rPr>
      <t>*4</t>
    </r>
    <r>
      <rPr>
        <sz val="12"/>
        <color theme="1"/>
        <rFont val="宋体"/>
        <family val="3"/>
        <charset val="134"/>
      </rPr>
      <t>，健骼宁</t>
    </r>
    <r>
      <rPr>
        <sz val="12"/>
        <color theme="1"/>
        <rFont val="Calibri"/>
        <family val="2"/>
      </rPr>
      <t>*3</t>
    </r>
  </si>
  <si>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84</t>
    </r>
    <r>
      <rPr>
        <sz val="12"/>
        <color theme="1"/>
        <rFont val="宋体"/>
        <family val="3"/>
        <charset val="134"/>
      </rPr>
      <t>粒</t>
    </r>
  </si>
  <si>
    <t>张穂英</t>
  </si>
  <si>
    <t>广东省广州市杨巷路杨仁南崇俭新街1号2楼</t>
  </si>
  <si>
    <t>440103195010190629</t>
  </si>
  <si>
    <t>张穂英440103195010190629</t>
  </si>
  <si>
    <t>9769148476197</t>
  </si>
  <si>
    <t>SC20200035422</t>
  </si>
  <si>
    <r>
      <rPr>
        <sz val="12"/>
        <color theme="1"/>
        <rFont val="宋体"/>
        <family val="3"/>
        <charset val="134"/>
      </rPr>
      <t>绿茶</t>
    </r>
    <r>
      <rPr>
        <sz val="12"/>
        <color theme="1"/>
        <rFont val="Calibri"/>
        <family val="2"/>
      </rPr>
      <t>*2</t>
    </r>
    <r>
      <rPr>
        <sz val="12"/>
        <color theme="1"/>
        <rFont val="宋体"/>
        <family val="3"/>
        <charset val="134"/>
      </rPr>
      <t>，辅酶</t>
    </r>
    <r>
      <rPr>
        <sz val="12"/>
        <color theme="1"/>
        <rFont val="Calibri"/>
        <family val="2"/>
      </rPr>
      <t>*4</t>
    </r>
    <r>
      <rPr>
        <sz val="12"/>
        <color theme="1"/>
        <rFont val="宋体"/>
        <family val="3"/>
        <charset val="134"/>
      </rPr>
      <t>，鱼油</t>
    </r>
    <r>
      <rPr>
        <sz val="12"/>
        <color theme="1"/>
        <rFont val="Calibri"/>
        <family val="2"/>
      </rPr>
      <t>*2</t>
    </r>
    <r>
      <rPr>
        <sz val="12"/>
        <color theme="1"/>
        <rFont val="宋体"/>
        <family val="3"/>
        <charset val="134"/>
      </rPr>
      <t>，补水面膜</t>
    </r>
    <r>
      <rPr>
        <sz val="12"/>
        <color theme="1"/>
        <rFont val="Calibri"/>
        <family val="2"/>
      </rPr>
      <t>*2</t>
    </r>
  </si>
  <si>
    <t>周朵</t>
  </si>
  <si>
    <t>上海市浦东新区紫薇路667弄阳光花城115号</t>
  </si>
  <si>
    <t>易海霞</t>
  </si>
  <si>
    <t>360313198204184021</t>
  </si>
  <si>
    <t>易海霞360313198204184021</t>
  </si>
  <si>
    <t>9769148442197</t>
  </si>
  <si>
    <t>SC20200034370</t>
  </si>
  <si>
    <t>面霜三件套*1，衬衣*1，童装*1</t>
  </si>
  <si>
    <t>ELIZABETH ARDEN，CK，FILA</t>
  </si>
  <si>
    <t>，M，L</t>
  </si>
  <si>
    <t>顾琳</t>
  </si>
  <si>
    <t>天津市和平区花园路4号</t>
  </si>
  <si>
    <t>120104198311044321</t>
  </si>
  <si>
    <t>顾琳120104198311044321</t>
  </si>
  <si>
    <t>9769148501697</t>
  </si>
  <si>
    <t>SC20200034371</t>
  </si>
  <si>
    <t>面霜三件套*1，童装*1</t>
  </si>
  <si>
    <t>ELIZABETH ARDEN，FILA</t>
  </si>
  <si>
    <t>，红色XL</t>
  </si>
  <si>
    <t>王风亮</t>
  </si>
  <si>
    <t>天津市南开区华苑居华里1-4-601</t>
  </si>
  <si>
    <t>张清涛</t>
  </si>
  <si>
    <t>522601197708100010</t>
  </si>
  <si>
    <t>张清涛522601197708100010</t>
  </si>
  <si>
    <t>9769148506497</t>
  </si>
  <si>
    <t>SC20190065652</t>
  </si>
  <si>
    <r>
      <rPr>
        <sz val="12"/>
        <color theme="1"/>
        <rFont val="宋体"/>
        <family val="3"/>
        <charset val="134"/>
      </rPr>
      <t>日霜</t>
    </r>
    <r>
      <rPr>
        <sz val="12"/>
        <color theme="1"/>
        <rFont val="Calibri"/>
        <family val="2"/>
      </rPr>
      <t>*3</t>
    </r>
    <r>
      <rPr>
        <sz val="12"/>
        <color theme="1"/>
        <rFont val="宋体"/>
        <family val="3"/>
        <charset val="134"/>
      </rPr>
      <t>，晚霜</t>
    </r>
    <r>
      <rPr>
        <sz val="12"/>
        <color theme="1"/>
        <rFont val="Calibri"/>
        <family val="2"/>
      </rPr>
      <t>*3</t>
    </r>
    <r>
      <rPr>
        <sz val="12"/>
        <color theme="1"/>
        <rFont val="宋体"/>
        <family val="3"/>
        <charset val="134"/>
      </rPr>
      <t>，眼霜</t>
    </r>
    <r>
      <rPr>
        <sz val="12"/>
        <color theme="1"/>
        <rFont val="Calibri"/>
        <family val="2"/>
      </rPr>
      <t>*3</t>
    </r>
  </si>
  <si>
    <t>ELIZABETH ARDEN，ELIZABETH ARDEN，ELIZABETH ARDEN</t>
  </si>
  <si>
    <t>75ML，50ML，15ML</t>
  </si>
  <si>
    <t>邓明英</t>
  </si>
  <si>
    <t>广东省茂名市茂南区沿江路258号茂名恒孚石化工程有限公司</t>
  </si>
  <si>
    <t>440902199105021647</t>
  </si>
  <si>
    <t>邓明英440902199105021647</t>
  </si>
  <si>
    <t>9769148392597</t>
  </si>
  <si>
    <t>SC20200034682</t>
  </si>
  <si>
    <r>
      <rPr>
        <sz val="12"/>
        <color theme="1"/>
        <rFont val="宋体"/>
        <family val="3"/>
        <charset val="134"/>
      </rPr>
      <t>鱼油</t>
    </r>
    <r>
      <rPr>
        <sz val="12"/>
        <color theme="1"/>
        <rFont val="Calibri"/>
        <family val="2"/>
      </rPr>
      <t>*10</t>
    </r>
  </si>
  <si>
    <t>USANA</t>
  </si>
  <si>
    <t>黄朝霞</t>
  </si>
  <si>
    <t>上海市浦东新区台儿庄路363弄37号202室</t>
  </si>
  <si>
    <t>上海市浦东新区2238弄56号501室</t>
  </si>
  <si>
    <t>310109195104153609</t>
  </si>
  <si>
    <t>黄朝霞310109195104153609</t>
  </si>
  <si>
    <t>9769116591397</t>
  </si>
  <si>
    <t>SC20200021475</t>
  </si>
  <si>
    <r>
      <rPr>
        <sz val="12"/>
        <color theme="1"/>
        <rFont val="宋体"/>
        <family val="3"/>
        <charset val="134"/>
      </rPr>
      <t>健康包</t>
    </r>
    <r>
      <rPr>
        <sz val="12"/>
        <color theme="1"/>
        <rFont val="Calibri"/>
        <family val="2"/>
      </rPr>
      <t>*2</t>
    </r>
    <r>
      <rPr>
        <sz val="12"/>
        <color theme="1"/>
        <rFont val="宋体"/>
        <family val="3"/>
        <charset val="134"/>
      </rPr>
      <t>，鱼油</t>
    </r>
    <r>
      <rPr>
        <sz val="12"/>
        <color theme="1"/>
        <rFont val="Calibri"/>
        <family val="2"/>
      </rPr>
      <t>*1</t>
    </r>
    <r>
      <rPr>
        <sz val="12"/>
        <color theme="1"/>
        <rFont val="宋体"/>
        <family val="3"/>
        <charset val="134"/>
      </rPr>
      <t>，维生素</t>
    </r>
    <r>
      <rPr>
        <sz val="12"/>
        <color theme="1"/>
        <rFont val="Calibri"/>
        <family val="2"/>
      </rPr>
      <t>*1</t>
    </r>
    <r>
      <rPr>
        <sz val="12"/>
        <color theme="1"/>
        <rFont val="宋体"/>
        <family val="3"/>
        <charset val="134"/>
      </rPr>
      <t>，钙镁片</t>
    </r>
    <r>
      <rPr>
        <sz val="12"/>
        <color theme="1"/>
        <rFont val="Calibri"/>
        <family val="2"/>
      </rPr>
      <t>*1</t>
    </r>
  </si>
  <si>
    <r>
      <rPr>
        <sz val="12"/>
        <color theme="1"/>
        <rFont val="Calibri"/>
        <family val="2"/>
      </rPr>
      <t>56</t>
    </r>
    <r>
      <rPr>
        <sz val="12"/>
        <color theme="1"/>
        <rFont val="宋体"/>
        <family val="3"/>
        <charset val="134"/>
      </rPr>
      <t>包，</t>
    </r>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112</t>
    </r>
    <r>
      <rPr>
        <sz val="12"/>
        <color theme="1"/>
        <rFont val="宋体"/>
        <family val="3"/>
        <charset val="134"/>
      </rPr>
      <t>粒</t>
    </r>
  </si>
  <si>
    <t>刘志辉</t>
  </si>
  <si>
    <t>天津市北辰区津围公路北辰科技园景远路1号格特生物制药（天津）有限公司</t>
  </si>
  <si>
    <t>董孟臻</t>
  </si>
  <si>
    <t>天津市北辰区中储大厦728室</t>
  </si>
  <si>
    <t>150103198809060168</t>
  </si>
  <si>
    <t>董孟臻150103198809060168</t>
  </si>
  <si>
    <t>9769116690597</t>
  </si>
  <si>
    <t>SC20200021473</t>
  </si>
  <si>
    <r>
      <rPr>
        <sz val="12"/>
        <color theme="1"/>
        <rFont val="宋体"/>
        <family val="3"/>
        <charset val="134"/>
      </rPr>
      <t>细胞营养素</t>
    </r>
    <r>
      <rPr>
        <sz val="12"/>
        <color theme="1"/>
        <rFont val="Calibri"/>
        <family val="2"/>
      </rPr>
      <t>*1</t>
    </r>
    <r>
      <rPr>
        <sz val="12"/>
        <color theme="1"/>
        <rFont val="宋体"/>
        <family val="3"/>
        <charset val="134"/>
      </rPr>
      <t>，葡萄籽</t>
    </r>
    <r>
      <rPr>
        <sz val="12"/>
        <color theme="1"/>
        <rFont val="Calibri"/>
        <family val="2"/>
      </rPr>
      <t>*1</t>
    </r>
    <r>
      <rPr>
        <sz val="12"/>
        <color theme="1"/>
        <rFont val="宋体"/>
        <family val="3"/>
        <charset val="134"/>
      </rPr>
      <t>，肝宝</t>
    </r>
    <r>
      <rPr>
        <sz val="12"/>
        <color theme="1"/>
        <rFont val="Calibri"/>
        <family val="2"/>
      </rPr>
      <t>*1</t>
    </r>
    <r>
      <rPr>
        <sz val="12"/>
        <color theme="1"/>
        <rFont val="宋体"/>
        <family val="3"/>
        <charset val="134"/>
      </rPr>
      <t>，钙镁片</t>
    </r>
    <r>
      <rPr>
        <sz val="12"/>
        <color theme="1"/>
        <rFont val="Calibri"/>
        <family val="2"/>
      </rPr>
      <t>*1</t>
    </r>
    <r>
      <rPr>
        <sz val="12"/>
        <color theme="1"/>
        <rFont val="宋体"/>
        <family val="3"/>
        <charset val="134"/>
      </rPr>
      <t>，益生菌</t>
    </r>
    <r>
      <rPr>
        <sz val="12"/>
        <color theme="1"/>
        <rFont val="Calibri"/>
        <family val="2"/>
      </rPr>
      <t>*1</t>
    </r>
  </si>
  <si>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14</t>
    </r>
    <r>
      <rPr>
        <sz val="12"/>
        <color theme="1"/>
        <rFont val="宋体"/>
        <family val="3"/>
        <charset val="134"/>
      </rPr>
      <t>条</t>
    </r>
  </si>
  <si>
    <t>高小雁</t>
  </si>
  <si>
    <t>北京市朝阳区管庄朝阳路5号新天地4-6-2-2505</t>
  </si>
  <si>
    <t>411121198112146524</t>
  </si>
  <si>
    <t>高小雁411121198112146524</t>
  </si>
  <si>
    <t>9769148336997</t>
  </si>
  <si>
    <t>SC20200034487</t>
  </si>
  <si>
    <r>
      <rPr>
        <sz val="12"/>
        <color theme="1"/>
        <rFont val="宋体"/>
        <family val="3"/>
        <charset val="134"/>
      </rPr>
      <t>基本营养素</t>
    </r>
    <r>
      <rPr>
        <sz val="12"/>
        <color theme="1"/>
        <rFont val="Calibri"/>
        <family val="2"/>
      </rPr>
      <t>*4</t>
    </r>
    <r>
      <rPr>
        <sz val="12"/>
        <color theme="1"/>
        <rFont val="宋体"/>
        <family val="3"/>
        <charset val="134"/>
      </rPr>
      <t>，葡萄籽</t>
    </r>
    <r>
      <rPr>
        <sz val="12"/>
        <color theme="1"/>
        <rFont val="Calibri"/>
        <family val="2"/>
      </rPr>
      <t>*1</t>
    </r>
  </si>
  <si>
    <t>杜红</t>
  </si>
  <si>
    <t>山东省枣庄市市中区振兴中路10号海参店</t>
  </si>
  <si>
    <t>370402196401012527</t>
  </si>
  <si>
    <t>杜红370402196401012527</t>
  </si>
  <si>
    <t>9769148443597</t>
  </si>
  <si>
    <t>SC20200007942</t>
  </si>
  <si>
    <r>
      <rPr>
        <sz val="12"/>
        <color theme="1"/>
        <rFont val="宋体"/>
        <family val="3"/>
        <charset val="134"/>
      </rPr>
      <t>营养餐</t>
    </r>
    <r>
      <rPr>
        <sz val="12"/>
        <color theme="1"/>
        <rFont val="Calibri"/>
        <family val="2"/>
      </rPr>
      <t>*1</t>
    </r>
    <r>
      <rPr>
        <sz val="12"/>
        <color theme="1"/>
        <rFont val="宋体"/>
        <family val="3"/>
        <charset val="134"/>
      </rPr>
      <t>，基本营养素</t>
    </r>
    <r>
      <rPr>
        <sz val="12"/>
        <color theme="1"/>
        <rFont val="Calibri"/>
        <family val="2"/>
      </rPr>
      <t>*2</t>
    </r>
  </si>
  <si>
    <r>
      <rPr>
        <sz val="12"/>
        <color theme="1"/>
        <rFont val="Calibri"/>
        <family val="2"/>
      </rPr>
      <t>28G</t>
    </r>
    <r>
      <rPr>
        <sz val="12"/>
        <color theme="1"/>
        <rFont val="宋体"/>
        <family val="3"/>
        <charset val="134"/>
      </rPr>
      <t>，</t>
    </r>
  </si>
  <si>
    <t>朱珍娥</t>
  </si>
  <si>
    <t>湖南省衡阳市蒸湘区长丰大道39号尚邦领域3栋1302房</t>
  </si>
  <si>
    <t>钟秋玲</t>
  </si>
  <si>
    <t>湖南省衡阳市蒸湘区华兴街道愉景湾东域B栋</t>
  </si>
  <si>
    <t>610113196211100502</t>
  </si>
  <si>
    <t>钟秋玲610113196211100502</t>
  </si>
  <si>
    <t>9769148491797</t>
  </si>
  <si>
    <t>SC20200031113</t>
  </si>
  <si>
    <r>
      <rPr>
        <sz val="12"/>
        <color theme="1"/>
        <rFont val="宋体"/>
        <family val="3"/>
        <charset val="134"/>
      </rPr>
      <t>打底裤</t>
    </r>
    <r>
      <rPr>
        <sz val="12"/>
        <color theme="1"/>
        <rFont val="Calibri"/>
        <family val="2"/>
      </rPr>
      <t>*2</t>
    </r>
    <r>
      <rPr>
        <sz val="12"/>
        <color theme="1"/>
        <rFont val="宋体"/>
        <family val="3"/>
        <charset val="134"/>
      </rPr>
      <t>，面霜小样</t>
    </r>
    <r>
      <rPr>
        <sz val="12"/>
        <color theme="1"/>
        <rFont val="Calibri"/>
        <family val="2"/>
      </rPr>
      <t>*2</t>
    </r>
  </si>
  <si>
    <t>TNA，CLARINS</t>
  </si>
  <si>
    <r>
      <rPr>
        <sz val="12"/>
        <color theme="1"/>
        <rFont val="宋体"/>
        <family val="3"/>
        <charset val="134"/>
      </rPr>
      <t>，</t>
    </r>
    <r>
      <rPr>
        <sz val="12"/>
        <color theme="1"/>
        <rFont val="Calibri"/>
        <family val="2"/>
      </rPr>
      <t>5ML</t>
    </r>
  </si>
  <si>
    <t>余林珍</t>
  </si>
  <si>
    <t>广东省佛山市顺德区大良嘉兆台5座108瑜心工作室</t>
  </si>
  <si>
    <t>441223199110221920</t>
  </si>
  <si>
    <t>余林珍441223199110221920</t>
  </si>
  <si>
    <t>9769148331597</t>
  </si>
  <si>
    <t>SC20200019256</t>
  </si>
  <si>
    <r>
      <rPr>
        <sz val="12"/>
        <color theme="1"/>
        <rFont val="宋体"/>
        <family val="3"/>
        <charset val="134"/>
      </rPr>
      <t>裤子</t>
    </r>
    <r>
      <rPr>
        <sz val="12"/>
        <color theme="1"/>
        <rFont val="Calibri"/>
        <family val="2"/>
      </rPr>
      <t>*3</t>
    </r>
    <r>
      <rPr>
        <sz val="12"/>
        <color theme="1"/>
        <rFont val="宋体"/>
        <family val="3"/>
        <charset val="134"/>
      </rPr>
      <t>，背心</t>
    </r>
    <r>
      <rPr>
        <sz val="12"/>
        <color theme="1"/>
        <rFont val="Calibri"/>
        <family val="2"/>
      </rPr>
      <t>*2</t>
    </r>
    <r>
      <rPr>
        <sz val="12"/>
        <color theme="1"/>
        <rFont val="宋体"/>
        <family val="3"/>
        <charset val="134"/>
      </rPr>
      <t>，腰包</t>
    </r>
    <r>
      <rPr>
        <sz val="12"/>
        <color theme="1"/>
        <rFont val="Calibri"/>
        <family val="2"/>
      </rPr>
      <t>*1</t>
    </r>
  </si>
  <si>
    <t>LULULEMON，LULULEMON，LULULEMON</t>
  </si>
  <si>
    <t>赵彦</t>
  </si>
  <si>
    <t>广东省深圳市南山区南海大道海典居2栋15E</t>
  </si>
  <si>
    <t>曹友红</t>
  </si>
  <si>
    <t>320121197807130521</t>
  </si>
  <si>
    <t>曹友红320121197807130521</t>
  </si>
  <si>
    <t>9769148349197</t>
  </si>
  <si>
    <t>SC20200034398</t>
  </si>
  <si>
    <r>
      <rPr>
        <sz val="12"/>
        <color theme="1"/>
        <rFont val="宋体"/>
        <family val="3"/>
        <charset val="134"/>
      </rPr>
      <t>项链</t>
    </r>
    <r>
      <rPr>
        <sz val="12"/>
        <color theme="1"/>
        <rFont val="Calibri"/>
        <family val="2"/>
      </rPr>
      <t>*1</t>
    </r>
  </si>
  <si>
    <t>SWAROVSKI</t>
  </si>
  <si>
    <t>聂鑫鑫</t>
  </si>
  <si>
    <t>天津市南开区汾水道彩霞里5号楼2门401</t>
  </si>
  <si>
    <t>邓晋秀</t>
  </si>
  <si>
    <t>320211195709232544</t>
  </si>
  <si>
    <t>邓晋秀320211195709232544</t>
  </si>
  <si>
    <t>9769148499697</t>
  </si>
  <si>
    <t>SC20200035449</t>
  </si>
  <si>
    <r>
      <rPr>
        <sz val="12"/>
        <color theme="1"/>
        <rFont val="宋体"/>
        <family val="3"/>
        <charset val="134"/>
      </rPr>
      <t>精华</t>
    </r>
    <r>
      <rPr>
        <sz val="12"/>
        <color theme="1"/>
        <rFont val="Calibri"/>
        <family val="2"/>
      </rPr>
      <t>*15</t>
    </r>
  </si>
  <si>
    <t>THE ORDINARY</t>
  </si>
  <si>
    <t>陈永榕</t>
  </si>
  <si>
    <t>福建省福州市鼓楼区杨桥路19号衣锦华庭1期1-206</t>
  </si>
  <si>
    <t>任芸</t>
  </si>
  <si>
    <t>福建省福州市鼓楼区上浦路100号望龙芳庭7#601</t>
  </si>
  <si>
    <t>510402199211033845</t>
  </si>
  <si>
    <t>任芸510402199211033845</t>
  </si>
  <si>
    <t>9769148601197</t>
  </si>
  <si>
    <t>SC20200020787</t>
  </si>
  <si>
    <r>
      <rPr>
        <sz val="12"/>
        <color theme="1"/>
        <rFont val="宋体"/>
        <family val="3"/>
        <charset val="134"/>
      </rPr>
      <t>控油爽肤水</t>
    </r>
    <r>
      <rPr>
        <sz val="12"/>
        <color theme="1"/>
        <rFont val="Calibri"/>
        <family val="2"/>
      </rPr>
      <t>*3</t>
    </r>
    <r>
      <rPr>
        <sz val="12"/>
        <color theme="1"/>
        <rFont val="宋体"/>
        <family val="3"/>
        <charset val="134"/>
      </rPr>
      <t>，防晒霜</t>
    </r>
    <r>
      <rPr>
        <sz val="12"/>
        <color theme="1"/>
        <rFont val="Calibri"/>
        <family val="2"/>
      </rPr>
      <t>*11</t>
    </r>
  </si>
  <si>
    <t>NUSKIN，NUSKIN</t>
  </si>
  <si>
    <t>山东省德州市德城区市教育局科对面信托家园</t>
  </si>
  <si>
    <t>321324198810100169</t>
  </si>
  <si>
    <t>葛苏园321324198810100169</t>
  </si>
  <si>
    <t>9769148610097</t>
  </si>
  <si>
    <t>SC20200020780</t>
  </si>
  <si>
    <t>郭林</t>
  </si>
  <si>
    <t>山东省德州市庆云县渤海路街道刘家大院南100米</t>
  </si>
  <si>
    <t>季瑛</t>
  </si>
  <si>
    <t>310106197506081660</t>
  </si>
  <si>
    <t>季瑛310106197506081660</t>
  </si>
  <si>
    <t>9769148648497</t>
  </si>
  <si>
    <t>SC03312300005</t>
  </si>
  <si>
    <r>
      <rPr>
        <sz val="12"/>
        <color rgb="FF000000"/>
        <rFont val="宋体"/>
        <family val="3"/>
        <charset val="134"/>
      </rPr>
      <t>益生菌</t>
    </r>
    <r>
      <rPr>
        <sz val="12"/>
        <color rgb="FF000000"/>
        <rFont val="Calibri"/>
        <family val="2"/>
      </rPr>
      <t>*12</t>
    </r>
  </si>
  <si>
    <t>FLORA</t>
  </si>
  <si>
    <t>63G</t>
  </si>
  <si>
    <t>刘同发</t>
  </si>
  <si>
    <t>广东省深圳市龙岗区园山街道安居路27号安居园c栋102</t>
  </si>
  <si>
    <t>顾洪</t>
  </si>
  <si>
    <t>广东省深圳市龙岗区中心城愉龙路东方沁园1幢5单元511</t>
  </si>
  <si>
    <t>330103198011280421</t>
  </si>
  <si>
    <t>顾洪330103198011280421</t>
  </si>
  <si>
    <t>9769148649897</t>
  </si>
  <si>
    <t>SC03424700009</t>
  </si>
  <si>
    <t>黄舒</t>
  </si>
  <si>
    <t>辽宁省营口市鲅鱼圈港内嘉里粮油（营口）有限公司贸易部</t>
  </si>
  <si>
    <t>350104198203301522</t>
  </si>
  <si>
    <t>黄舒350104198203301522</t>
  </si>
  <si>
    <t>9769148650797</t>
  </si>
  <si>
    <t>SC03424700013</t>
  </si>
  <si>
    <t>李丽芬</t>
  </si>
  <si>
    <t>辽宁省大连市甘井子区中华东路600号大连公安局出入境管理局</t>
  </si>
  <si>
    <t>440181197807305428</t>
  </si>
  <si>
    <t>李丽芬440181197807305428</t>
  </si>
  <si>
    <t>9769148651597</t>
  </si>
  <si>
    <t>SC20200035230</t>
  </si>
  <si>
    <r>
      <rPr>
        <sz val="12"/>
        <color theme="1"/>
        <rFont val="宋体"/>
        <family val="3"/>
        <charset val="134"/>
      </rPr>
      <t>血压仪</t>
    </r>
    <r>
      <rPr>
        <sz val="12"/>
        <color theme="1"/>
        <rFont val="Calibri"/>
        <family val="2"/>
      </rPr>
      <t>*1</t>
    </r>
  </si>
  <si>
    <t>OMRON</t>
  </si>
  <si>
    <t>沈怡</t>
  </si>
  <si>
    <t>江苏省苏州市姑苏区西环路嘉业阳光城104-304</t>
  </si>
  <si>
    <t>310112197111180522</t>
  </si>
  <si>
    <t>沈怡310112197111180522</t>
  </si>
  <si>
    <t>9769148339097</t>
  </si>
  <si>
    <t>SC20190098549</t>
  </si>
  <si>
    <r>
      <rPr>
        <sz val="12"/>
        <color theme="1"/>
        <rFont val="宋体"/>
        <family val="3"/>
        <charset val="134"/>
      </rPr>
      <t>妇康宁</t>
    </r>
    <r>
      <rPr>
        <sz val="12"/>
        <color theme="1"/>
        <rFont val="Calibri"/>
        <family val="2"/>
      </rPr>
      <t>*10</t>
    </r>
  </si>
  <si>
    <r>
      <rPr>
        <sz val="12"/>
        <color theme="1"/>
        <rFont val="Calibri"/>
        <family val="2"/>
      </rPr>
      <t>84</t>
    </r>
    <r>
      <rPr>
        <sz val="12"/>
        <color theme="1"/>
        <rFont val="宋体"/>
        <family val="3"/>
        <charset val="134"/>
      </rPr>
      <t>粒</t>
    </r>
  </si>
  <si>
    <t>陈德莲</t>
  </si>
  <si>
    <t>浙江省温州市瓯海区南白象街道国宾一号北区12-3单元1806</t>
  </si>
  <si>
    <t>林依滔</t>
  </si>
  <si>
    <t>浙江省温州市瓯海区三垟大道新京都家园4幢1326号</t>
  </si>
  <si>
    <t>350182198002172217</t>
  </si>
  <si>
    <t>林依滔350182198002172217</t>
  </si>
  <si>
    <t>9769148445297</t>
  </si>
  <si>
    <t>SC20180072530</t>
  </si>
  <si>
    <r>
      <rPr>
        <sz val="12"/>
        <color theme="1"/>
        <rFont val="宋体"/>
        <family val="3"/>
        <charset val="134"/>
      </rPr>
      <t>益生菌</t>
    </r>
    <r>
      <rPr>
        <sz val="12"/>
        <color theme="1"/>
        <rFont val="Calibri"/>
        <family val="2"/>
      </rPr>
      <t>*3</t>
    </r>
    <r>
      <rPr>
        <sz val="12"/>
        <color theme="1"/>
        <rFont val="宋体"/>
        <family val="3"/>
        <charset val="134"/>
      </rPr>
      <t>，健骼宁</t>
    </r>
    <r>
      <rPr>
        <sz val="12"/>
        <color theme="1"/>
        <rFont val="Calibri"/>
        <family val="2"/>
      </rPr>
      <t>*3</t>
    </r>
    <r>
      <rPr>
        <sz val="12"/>
        <color theme="1"/>
        <rFont val="宋体"/>
        <family val="3"/>
        <charset val="134"/>
      </rPr>
      <t>，钙片</t>
    </r>
    <r>
      <rPr>
        <sz val="12"/>
        <color theme="1"/>
        <rFont val="Calibri"/>
        <family val="2"/>
      </rPr>
      <t>*2</t>
    </r>
    <r>
      <rPr>
        <sz val="12"/>
        <color theme="1"/>
        <rFont val="宋体"/>
        <family val="3"/>
        <charset val="134"/>
      </rPr>
      <t>，心脏宝</t>
    </r>
    <r>
      <rPr>
        <sz val="12"/>
        <color theme="1"/>
        <rFont val="Calibri"/>
        <family val="2"/>
      </rPr>
      <t>*2</t>
    </r>
  </si>
  <si>
    <r>
      <rPr>
        <sz val="12"/>
        <color theme="1"/>
        <rFont val="Calibri"/>
        <family val="2"/>
      </rPr>
      <t>14</t>
    </r>
    <r>
      <rPr>
        <sz val="12"/>
        <color theme="1"/>
        <rFont val="宋体"/>
        <family val="3"/>
        <charset val="134"/>
      </rPr>
      <t>条，</t>
    </r>
    <r>
      <rPr>
        <sz val="12"/>
        <color theme="1"/>
        <rFont val="Calibri"/>
        <family val="2"/>
      </rPr>
      <t>84</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</si>
  <si>
    <t>朱慧琦</t>
  </si>
  <si>
    <t>上海市普陀区顺义路100弄世纪同乐65号1801室</t>
  </si>
  <si>
    <t>罗馨梅</t>
  </si>
  <si>
    <t>上海市普陀区万里街道新村路2169号晋元高级中学西藏部高一（一）班</t>
  </si>
  <si>
    <t>441427198404240168</t>
  </si>
  <si>
    <t>罗馨梅441427198404240168</t>
  </si>
  <si>
    <t>9769148549297</t>
  </si>
  <si>
    <t>SC20200033711</t>
  </si>
  <si>
    <r>
      <rPr>
        <sz val="12"/>
        <color theme="1"/>
        <rFont val="宋体"/>
        <family val="3"/>
        <charset val="134"/>
      </rPr>
      <t>敷面膏</t>
    </r>
    <r>
      <rPr>
        <sz val="12"/>
        <color theme="1"/>
        <rFont val="Calibri"/>
        <family val="2"/>
      </rPr>
      <t>*3</t>
    </r>
    <r>
      <rPr>
        <sz val="12"/>
        <color theme="1"/>
        <rFont val="宋体"/>
        <family val="3"/>
        <charset val="134"/>
      </rPr>
      <t>，补水面膜</t>
    </r>
    <r>
      <rPr>
        <sz val="12"/>
        <color theme="1"/>
        <rFont val="Calibri"/>
        <family val="2"/>
      </rPr>
      <t>*1</t>
    </r>
    <r>
      <rPr>
        <sz val="12"/>
        <color theme="1"/>
        <rFont val="宋体"/>
        <family val="3"/>
        <charset val="134"/>
      </rPr>
      <t>，芦荟</t>
    </r>
    <r>
      <rPr>
        <sz val="12"/>
        <color theme="1"/>
        <rFont val="Calibri"/>
        <family val="2"/>
      </rPr>
      <t>*1</t>
    </r>
    <r>
      <rPr>
        <sz val="12"/>
        <color theme="1"/>
        <rFont val="宋体"/>
        <family val="3"/>
        <charset val="134"/>
      </rPr>
      <t>，洁面乳</t>
    </r>
    <r>
      <rPr>
        <sz val="12"/>
        <color theme="1"/>
        <rFont val="Calibri"/>
        <family val="2"/>
      </rPr>
      <t>*1</t>
    </r>
  </si>
  <si>
    <t>100ML，100ML，100ML，150ML</t>
  </si>
  <si>
    <t>左武华</t>
  </si>
  <si>
    <t>福建省福清市金辉华府福玉2号7号楼2003室</t>
  </si>
  <si>
    <t>320204196604150615</t>
  </si>
  <si>
    <t>左武华320204196604150615</t>
  </si>
  <si>
    <t>9769148436497</t>
  </si>
  <si>
    <t>SC20180072531</t>
  </si>
  <si>
    <r>
      <rPr>
        <sz val="12"/>
        <color theme="1"/>
        <rFont val="宋体"/>
        <family val="3"/>
        <charset val="134"/>
      </rPr>
      <t>益生菌</t>
    </r>
    <r>
      <rPr>
        <sz val="12"/>
        <color theme="1"/>
        <rFont val="Calibri"/>
        <family val="2"/>
      </rPr>
      <t>*3</t>
    </r>
    <r>
      <rPr>
        <sz val="12"/>
        <color theme="1"/>
        <rFont val="宋体"/>
        <family val="3"/>
        <charset val="134"/>
      </rPr>
      <t>，钙片</t>
    </r>
    <r>
      <rPr>
        <sz val="12"/>
        <color theme="1"/>
        <rFont val="Calibri"/>
        <family val="2"/>
      </rPr>
      <t>*3</t>
    </r>
    <r>
      <rPr>
        <sz val="12"/>
        <color theme="1"/>
        <rFont val="宋体"/>
        <family val="3"/>
        <charset val="134"/>
      </rPr>
      <t>，心脏宝</t>
    </r>
    <r>
      <rPr>
        <sz val="12"/>
        <color theme="1"/>
        <rFont val="Calibri"/>
        <family val="2"/>
      </rPr>
      <t>*1</t>
    </r>
    <r>
      <rPr>
        <sz val="12"/>
        <color theme="1"/>
        <rFont val="宋体"/>
        <family val="3"/>
        <charset val="134"/>
      </rPr>
      <t>，葡萄籽</t>
    </r>
    <r>
      <rPr>
        <sz val="12"/>
        <color theme="1"/>
        <rFont val="Calibri"/>
        <family val="2"/>
      </rPr>
      <t>*3</t>
    </r>
  </si>
  <si>
    <r>
      <rPr>
        <sz val="12"/>
        <color theme="1"/>
        <rFont val="Calibri"/>
        <family val="2"/>
      </rPr>
      <t>14</t>
    </r>
    <r>
      <rPr>
        <sz val="12"/>
        <color theme="1"/>
        <rFont val="宋体"/>
        <family val="3"/>
        <charset val="134"/>
      </rPr>
      <t>条，</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</si>
  <si>
    <t>屈盈</t>
  </si>
  <si>
    <t>210102198605224124</t>
  </si>
  <si>
    <t>屈盈210102198605224124</t>
  </si>
  <si>
    <t>9769148484697</t>
  </si>
  <si>
    <t>SC20200035523</t>
  </si>
  <si>
    <r>
      <rPr>
        <sz val="12"/>
        <color theme="1"/>
        <rFont val="宋体"/>
        <family val="3"/>
        <charset val="134"/>
      </rPr>
      <t>蓝珍珠</t>
    </r>
    <r>
      <rPr>
        <sz val="12"/>
        <color theme="1"/>
        <rFont val="Calibri"/>
        <family val="2"/>
      </rPr>
      <t>*2</t>
    </r>
    <r>
      <rPr>
        <sz val="12"/>
        <color theme="1"/>
        <rFont val="宋体"/>
        <family val="3"/>
        <charset val="134"/>
      </rPr>
      <t>，液体洁肤</t>
    </r>
    <r>
      <rPr>
        <sz val="12"/>
        <color theme="1"/>
        <rFont val="Calibri"/>
        <family val="2"/>
      </rPr>
      <t>*1</t>
    </r>
    <r>
      <rPr>
        <sz val="12"/>
        <color theme="1"/>
        <rFont val="宋体"/>
        <family val="3"/>
        <charset val="134"/>
      </rPr>
      <t>，洗发水</t>
    </r>
    <r>
      <rPr>
        <sz val="12"/>
        <color theme="1"/>
        <rFont val="Calibri"/>
        <family val="2"/>
      </rPr>
      <t>*1</t>
    </r>
    <r>
      <rPr>
        <sz val="12"/>
        <color theme="1"/>
        <rFont val="宋体"/>
        <family val="3"/>
        <charset val="134"/>
      </rPr>
      <t>，小茶沛</t>
    </r>
    <r>
      <rPr>
        <sz val="12"/>
        <color theme="1"/>
        <rFont val="Calibri"/>
        <family val="2"/>
      </rPr>
      <t>*2</t>
    </r>
  </si>
  <si>
    <t>陈涛</t>
  </si>
  <si>
    <t>河北省石家庄市桥西区友谊北大街75号欧尚酒庄</t>
  </si>
  <si>
    <t>高峰</t>
  </si>
  <si>
    <t>河北省石家庄市体育南大街怀特装饰城1号馆F区25号明禾吉利欧洲精品磁砖</t>
  </si>
  <si>
    <t>210102198811146913</t>
  </si>
  <si>
    <t>高峰210102198811146913</t>
  </si>
  <si>
    <t>9769148529997</t>
  </si>
  <si>
    <t>SC20160061414</t>
  </si>
  <si>
    <r>
      <rPr>
        <sz val="12"/>
        <color theme="1"/>
        <rFont val="宋体"/>
        <family val="3"/>
        <charset val="134"/>
      </rPr>
      <t>心脏宝</t>
    </r>
    <r>
      <rPr>
        <sz val="12"/>
        <color theme="1"/>
        <rFont val="Calibri"/>
        <family val="2"/>
      </rPr>
      <t>*3</t>
    </r>
  </si>
  <si>
    <t>梁旺</t>
  </si>
  <si>
    <t>广东省湛江市赤坎区沙湾街道海滨大道北111号之6御景名城1栋1602房</t>
  </si>
  <si>
    <t>谭静</t>
  </si>
  <si>
    <t>510902198611236185</t>
  </si>
  <si>
    <t>谭静510902198611236185</t>
  </si>
  <si>
    <t>9769148480197</t>
  </si>
  <si>
    <t>SC20200028744</t>
  </si>
  <si>
    <r>
      <rPr>
        <sz val="12"/>
        <color theme="1"/>
        <rFont val="宋体"/>
        <family val="3"/>
        <charset val="134"/>
      </rPr>
      <t>健骼宁</t>
    </r>
    <r>
      <rPr>
        <sz val="12"/>
        <color theme="1"/>
        <rFont val="Calibri"/>
        <family val="2"/>
      </rPr>
      <t>*10</t>
    </r>
  </si>
  <si>
    <t>高祝红</t>
  </si>
  <si>
    <t>江苏省南京市江宁区胜利路99号西楼605室</t>
  </si>
  <si>
    <t>王明茹</t>
  </si>
  <si>
    <t>220381197907256045</t>
  </si>
  <si>
    <t>王明茹220381197907256045</t>
  </si>
  <si>
    <t>9769148545897</t>
  </si>
  <si>
    <t>SC20200028739</t>
  </si>
  <si>
    <r>
      <rPr>
        <sz val="12"/>
        <color theme="1"/>
        <rFont val="宋体"/>
        <family val="3"/>
        <charset val="134"/>
      </rPr>
      <t>益生菌</t>
    </r>
    <r>
      <rPr>
        <sz val="12"/>
        <color theme="1"/>
        <rFont val="Calibri"/>
        <family val="2"/>
      </rPr>
      <t>*7</t>
    </r>
    <r>
      <rPr>
        <sz val="12"/>
        <color theme="1"/>
        <rFont val="宋体"/>
        <family val="3"/>
        <charset val="134"/>
      </rPr>
      <t>，钙镁片</t>
    </r>
    <r>
      <rPr>
        <sz val="12"/>
        <color theme="1"/>
        <rFont val="Calibri"/>
        <family val="2"/>
      </rPr>
      <t>*4</t>
    </r>
    <r>
      <rPr>
        <sz val="12"/>
        <color theme="1"/>
        <rFont val="宋体"/>
        <family val="3"/>
        <charset val="134"/>
      </rPr>
      <t>，舒肝宝</t>
    </r>
    <r>
      <rPr>
        <sz val="12"/>
        <color theme="1"/>
        <rFont val="Calibri"/>
        <family val="2"/>
      </rPr>
      <t>*2</t>
    </r>
  </si>
  <si>
    <r>
      <rPr>
        <sz val="12"/>
        <color theme="1"/>
        <rFont val="Calibri"/>
        <family val="2"/>
      </rPr>
      <t>14</t>
    </r>
    <r>
      <rPr>
        <sz val="12"/>
        <color theme="1"/>
        <rFont val="宋体"/>
        <family val="3"/>
        <charset val="134"/>
      </rPr>
      <t>条，</t>
    </r>
    <r>
      <rPr>
        <sz val="12"/>
        <color theme="1"/>
        <rFont val="Calibri"/>
        <family val="2"/>
      </rPr>
      <t>112</t>
    </r>
    <r>
      <rPr>
        <sz val="12"/>
        <color theme="1"/>
        <rFont val="宋体"/>
        <family val="3"/>
        <charset val="134"/>
      </rPr>
      <t>粒，</t>
    </r>
    <r>
      <rPr>
        <sz val="12"/>
        <color theme="1"/>
        <rFont val="Calibri"/>
        <family val="2"/>
      </rPr>
      <t>84</t>
    </r>
    <r>
      <rPr>
        <sz val="12"/>
        <color theme="1"/>
        <rFont val="宋体"/>
        <family val="3"/>
        <charset val="134"/>
      </rPr>
      <t>粒</t>
    </r>
  </si>
  <si>
    <t>师林</t>
  </si>
  <si>
    <t>北京市海淀区大有北里106楼1单元501号</t>
  </si>
  <si>
    <t>顾敏慧</t>
  </si>
  <si>
    <t>北京市海淀区万柳东路新起点嘉园12号楼2106室</t>
  </si>
  <si>
    <t>320582199112083929</t>
  </si>
  <si>
    <t>顾敏慧320582199112083929</t>
  </si>
  <si>
    <t>9769148316597</t>
  </si>
  <si>
    <t>SC20200035604</t>
  </si>
  <si>
    <r>
      <rPr>
        <sz val="12"/>
        <color theme="1"/>
        <rFont val="宋体"/>
        <family val="3"/>
        <charset val="134"/>
      </rPr>
      <t>美容仪</t>
    </r>
    <r>
      <rPr>
        <sz val="12"/>
        <color theme="1"/>
        <rFont val="Calibri"/>
        <family val="2"/>
      </rPr>
      <t>*1</t>
    </r>
  </si>
  <si>
    <t>NUFACE</t>
  </si>
  <si>
    <t>电子</t>
  </si>
  <si>
    <t>顾昌琴</t>
  </si>
  <si>
    <t>江苏省南京市江宁区武夷花园31栋106室</t>
  </si>
  <si>
    <t>王蕊</t>
  </si>
  <si>
    <t>110106198206303628</t>
  </si>
  <si>
    <t>王蕊110106198206303628</t>
  </si>
  <si>
    <t>9769148431697</t>
  </si>
  <si>
    <t>SC20200033602</t>
  </si>
  <si>
    <r>
      <rPr>
        <sz val="12"/>
        <color theme="1"/>
        <rFont val="宋体"/>
        <family val="3"/>
        <charset val="134"/>
      </rPr>
      <t>益生菌</t>
    </r>
    <r>
      <rPr>
        <sz val="12"/>
        <color theme="1"/>
        <rFont val="Calibri"/>
        <family val="2"/>
      </rPr>
      <t>*5</t>
    </r>
    <r>
      <rPr>
        <sz val="12"/>
        <color theme="1"/>
        <rFont val="宋体"/>
        <family val="3"/>
        <charset val="134"/>
      </rPr>
      <t>，消化酵素</t>
    </r>
    <r>
      <rPr>
        <sz val="12"/>
        <color theme="1"/>
        <rFont val="Calibri"/>
        <family val="2"/>
      </rPr>
      <t>*6</t>
    </r>
    <r>
      <rPr>
        <sz val="12"/>
        <color theme="1"/>
        <rFont val="宋体"/>
        <family val="3"/>
        <charset val="134"/>
      </rPr>
      <t>，健康包</t>
    </r>
    <r>
      <rPr>
        <sz val="12"/>
        <color theme="1"/>
        <rFont val="Calibri"/>
        <family val="2"/>
      </rPr>
      <t>*1</t>
    </r>
  </si>
  <si>
    <r>
      <rPr>
        <sz val="12"/>
        <color theme="1"/>
        <rFont val="Calibri"/>
        <family val="2"/>
      </rPr>
      <t>14</t>
    </r>
    <r>
      <rPr>
        <sz val="12"/>
        <color theme="1"/>
        <rFont val="宋体"/>
        <family val="3"/>
        <charset val="134"/>
      </rPr>
      <t>条，</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包</t>
    </r>
  </si>
  <si>
    <t>彭红</t>
  </si>
  <si>
    <t>浙江省宁波市海曙区高桥镇芦港村（厦通汽配）总经办</t>
  </si>
  <si>
    <t>于莲</t>
  </si>
  <si>
    <t>371021196411276604</t>
  </si>
  <si>
    <t>于莲371021196411276604</t>
  </si>
  <si>
    <t>9769148342697</t>
  </si>
  <si>
    <t>SC20200033594</t>
  </si>
  <si>
    <r>
      <rPr>
        <sz val="12"/>
        <color theme="1"/>
        <rFont val="宋体"/>
        <family val="3"/>
        <charset val="134"/>
      </rPr>
      <t>钙</t>
    </r>
    <r>
      <rPr>
        <sz val="12"/>
        <color theme="1"/>
        <rFont val="Calibri"/>
        <family val="2"/>
      </rPr>
      <t>*1</t>
    </r>
    <r>
      <rPr>
        <sz val="12"/>
        <color theme="1"/>
        <rFont val="宋体"/>
        <family val="3"/>
        <charset val="134"/>
      </rPr>
      <t>，肝宝</t>
    </r>
    <r>
      <rPr>
        <sz val="12"/>
        <color theme="1"/>
        <rFont val="Calibri"/>
        <family val="2"/>
      </rPr>
      <t>*2</t>
    </r>
    <r>
      <rPr>
        <sz val="12"/>
        <color theme="1"/>
        <rFont val="宋体"/>
        <family val="3"/>
        <charset val="134"/>
      </rPr>
      <t>，鱼油</t>
    </r>
    <r>
      <rPr>
        <sz val="12"/>
        <color theme="1"/>
        <rFont val="Calibri"/>
        <family val="2"/>
      </rPr>
      <t>*2</t>
    </r>
    <r>
      <rPr>
        <sz val="12"/>
        <color theme="1"/>
        <rFont val="宋体"/>
        <family val="3"/>
        <charset val="134"/>
      </rPr>
      <t>，健骼宁</t>
    </r>
    <r>
      <rPr>
        <sz val="12"/>
        <color theme="1"/>
        <rFont val="Calibri"/>
        <family val="2"/>
      </rPr>
      <t>*2</t>
    </r>
    <r>
      <rPr>
        <sz val="12"/>
        <color theme="1"/>
        <rFont val="宋体"/>
        <family val="3"/>
        <charset val="134"/>
      </rPr>
      <t>，视力宝</t>
    </r>
    <r>
      <rPr>
        <sz val="12"/>
        <color theme="1"/>
        <rFont val="Calibri"/>
        <family val="2"/>
      </rPr>
      <t>*3</t>
    </r>
  </si>
  <si>
    <r>
      <rPr>
        <sz val="12"/>
        <color theme="1"/>
        <rFont val="Calibri"/>
        <family val="2"/>
      </rPr>
      <t>112</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</si>
  <si>
    <t>俞菊梅</t>
  </si>
  <si>
    <t>浙江省宁波市鄞州区兴宁路57号李惠利医院供应科</t>
  </si>
  <si>
    <t>于红莲</t>
  </si>
  <si>
    <t>浙江省宁波市鄞州区（东方瑞市）（东区）4幢17号305室</t>
  </si>
  <si>
    <t>230405197709240625</t>
  </si>
  <si>
    <t>于红莲230405197709240625</t>
  </si>
  <si>
    <t>9769148318297</t>
  </si>
  <si>
    <t>SC20190078035</t>
  </si>
  <si>
    <r>
      <rPr>
        <sz val="12"/>
        <color theme="1"/>
        <rFont val="宋体"/>
        <family val="3"/>
        <charset val="134"/>
      </rPr>
      <t>奶腊</t>
    </r>
    <r>
      <rPr>
        <sz val="12"/>
        <color theme="1"/>
        <rFont val="Calibri"/>
        <family val="2"/>
      </rPr>
      <t>*1</t>
    </r>
    <r>
      <rPr>
        <sz val="12"/>
        <color theme="1"/>
        <rFont val="宋体"/>
        <family val="3"/>
        <charset val="134"/>
      </rPr>
      <t>，蛋白粉</t>
    </r>
    <r>
      <rPr>
        <sz val="12"/>
        <color theme="1"/>
        <rFont val="Calibri"/>
        <family val="2"/>
      </rPr>
      <t>*1</t>
    </r>
    <r>
      <rPr>
        <sz val="12"/>
        <color theme="1"/>
        <rFont val="宋体"/>
        <family val="3"/>
        <charset val="134"/>
      </rPr>
      <t>，儿童维生素</t>
    </r>
    <r>
      <rPr>
        <sz val="12"/>
        <color theme="1"/>
        <rFont val="Calibri"/>
        <family val="2"/>
      </rPr>
      <t>*1</t>
    </r>
    <r>
      <rPr>
        <sz val="12"/>
        <color theme="1"/>
        <rFont val="宋体"/>
        <family val="3"/>
        <charset val="134"/>
      </rPr>
      <t>，维生素</t>
    </r>
    <r>
      <rPr>
        <sz val="12"/>
        <color theme="1"/>
        <rFont val="Calibri"/>
        <family val="2"/>
      </rPr>
      <t>*1</t>
    </r>
    <r>
      <rPr>
        <sz val="12"/>
        <color theme="1"/>
        <rFont val="宋体"/>
        <family val="3"/>
        <charset val="134"/>
      </rPr>
      <t>，鱼油</t>
    </r>
    <r>
      <rPr>
        <sz val="12"/>
        <color theme="1"/>
        <rFont val="Calibri"/>
        <family val="2"/>
      </rPr>
      <t>*1</t>
    </r>
    <r>
      <rPr>
        <sz val="12"/>
        <color theme="1"/>
        <rFont val="宋体"/>
        <family val="3"/>
        <charset val="134"/>
      </rPr>
      <t>，胡萝卜素</t>
    </r>
    <r>
      <rPr>
        <sz val="12"/>
        <color theme="1"/>
        <rFont val="Calibri"/>
        <family val="2"/>
      </rPr>
      <t>*1</t>
    </r>
    <r>
      <rPr>
        <sz val="12"/>
        <color theme="1"/>
        <rFont val="宋体"/>
        <family val="3"/>
        <charset val="134"/>
      </rPr>
      <t>，维生素软糖</t>
    </r>
    <r>
      <rPr>
        <sz val="12"/>
        <color theme="1"/>
        <rFont val="Calibri"/>
        <family val="2"/>
      </rPr>
      <t>*1</t>
    </r>
  </si>
  <si>
    <t>AMWAY，AMWAY，AMWAY，AMWAY，AMWAY，AMWAY，AMWAY</t>
  </si>
  <si>
    <t>，，，，，，</t>
  </si>
  <si>
    <t>沈冠武</t>
  </si>
  <si>
    <t>广西省柳州市柳北区胜利街道胜利六村12栋2-701</t>
  </si>
  <si>
    <t>夏宇婷</t>
  </si>
  <si>
    <t>320113199203251225</t>
  </si>
  <si>
    <t>夏宇婷320113199203251225</t>
  </si>
  <si>
    <t>9769148320597</t>
  </si>
  <si>
    <t>SC20190091045</t>
  </si>
  <si>
    <r>
      <rPr>
        <sz val="12"/>
        <color theme="1"/>
        <rFont val="宋体"/>
        <family val="3"/>
        <charset val="134"/>
      </rPr>
      <t>定制包</t>
    </r>
    <r>
      <rPr>
        <sz val="12"/>
        <color theme="1"/>
        <rFont val="Calibri"/>
        <family val="2"/>
      </rPr>
      <t>*2</t>
    </r>
  </si>
  <si>
    <t>刘英杰</t>
  </si>
  <si>
    <t>辽宁省营口大石桥市振兴路中段兴雅居5-2-101</t>
  </si>
  <si>
    <t>马明月</t>
  </si>
  <si>
    <t>51160219900818560X</t>
  </si>
  <si>
    <t>马明月51160219900818560X</t>
  </si>
  <si>
    <t>9769148310397</t>
  </si>
  <si>
    <t>SC20200034577</t>
  </si>
  <si>
    <r>
      <rPr>
        <sz val="12"/>
        <color theme="1"/>
        <rFont val="宋体"/>
        <family val="3"/>
        <charset val="134"/>
      </rPr>
      <t>爽肤水</t>
    </r>
    <r>
      <rPr>
        <sz val="12"/>
        <color theme="1"/>
        <rFont val="Calibri"/>
        <family val="2"/>
      </rPr>
      <t>*2</t>
    </r>
    <r>
      <rPr>
        <sz val="12"/>
        <color theme="1"/>
        <rFont val="宋体"/>
        <family val="3"/>
        <charset val="134"/>
      </rPr>
      <t>，小样精华</t>
    </r>
    <r>
      <rPr>
        <sz val="12"/>
        <color theme="1"/>
        <rFont val="Calibri"/>
        <family val="2"/>
      </rPr>
      <t>*4</t>
    </r>
    <r>
      <rPr>
        <sz val="12"/>
        <color theme="1"/>
        <rFont val="宋体"/>
        <family val="3"/>
        <charset val="134"/>
      </rPr>
      <t>，小样精华</t>
    </r>
    <r>
      <rPr>
        <sz val="12"/>
        <color theme="1"/>
        <rFont val="Calibri"/>
        <family val="2"/>
      </rPr>
      <t>*2</t>
    </r>
    <r>
      <rPr>
        <sz val="12"/>
        <color theme="1"/>
        <rFont val="宋体"/>
        <family val="3"/>
        <charset val="134"/>
      </rPr>
      <t>，粉底液</t>
    </r>
    <r>
      <rPr>
        <sz val="12"/>
        <color theme="1"/>
        <rFont val="Calibri"/>
        <family val="2"/>
      </rPr>
      <t>*1</t>
    </r>
  </si>
  <si>
    <t>ESTEE LAUDER，ESTEE LAUDER，ESTEE LAUDER，ESTEE LAUDER</t>
  </si>
  <si>
    <t>400ML，7ML，3ML，30ML</t>
  </si>
  <si>
    <t>张伟</t>
  </si>
  <si>
    <t>河北省廊坊市香河县渠口镇</t>
  </si>
  <si>
    <t>芦婉清</t>
  </si>
  <si>
    <t>河北省廊坊市三河市燕郊天洋城四代南区18-4-301</t>
  </si>
  <si>
    <t>610104198404132642</t>
  </si>
  <si>
    <t>芦婉清610104198404132642</t>
  </si>
  <si>
    <t>9769148303297</t>
  </si>
  <si>
    <t>SC20200034573</t>
  </si>
  <si>
    <r>
      <rPr>
        <sz val="12"/>
        <color theme="1"/>
        <rFont val="宋体"/>
        <family val="3"/>
        <charset val="134"/>
      </rPr>
      <t>粉底液</t>
    </r>
    <r>
      <rPr>
        <sz val="12"/>
        <color theme="1"/>
        <rFont val="Calibri"/>
        <family val="2"/>
      </rPr>
      <t>*6</t>
    </r>
    <r>
      <rPr>
        <sz val="12"/>
        <color theme="1"/>
        <rFont val="宋体"/>
        <family val="3"/>
        <charset val="134"/>
      </rPr>
      <t>，小样精华</t>
    </r>
    <r>
      <rPr>
        <sz val="12"/>
        <color theme="1"/>
        <rFont val="Calibri"/>
        <family val="2"/>
      </rPr>
      <t>*3</t>
    </r>
  </si>
  <si>
    <t>张宏</t>
  </si>
  <si>
    <t>河北省廊坊市香河县渠口镇宣教寺村</t>
  </si>
  <si>
    <t>郭晓雪</t>
  </si>
  <si>
    <t>河北省廊坊市人民医院医务科</t>
  </si>
  <si>
    <t>220203198001010022</t>
  </si>
  <si>
    <t>郭晓雪220203198001010022</t>
  </si>
  <si>
    <t>9769148295597</t>
  </si>
  <si>
    <t>SC20200034581</t>
  </si>
  <si>
    <r>
      <rPr>
        <sz val="12"/>
        <color theme="1"/>
        <rFont val="宋体"/>
        <family val="3"/>
        <charset val="134"/>
      </rPr>
      <t>爽肤水</t>
    </r>
    <r>
      <rPr>
        <sz val="12"/>
        <color theme="1"/>
        <rFont val="Calibri"/>
        <family val="2"/>
      </rPr>
      <t>*2</t>
    </r>
    <r>
      <rPr>
        <sz val="12"/>
        <color theme="1"/>
        <rFont val="宋体"/>
        <family val="3"/>
        <charset val="134"/>
      </rPr>
      <t>，口红</t>
    </r>
    <r>
      <rPr>
        <sz val="12"/>
        <color theme="1"/>
        <rFont val="Calibri"/>
        <family val="2"/>
      </rPr>
      <t>*2</t>
    </r>
    <r>
      <rPr>
        <sz val="12"/>
        <color theme="1"/>
        <rFont val="宋体"/>
        <family val="3"/>
        <charset val="134"/>
      </rPr>
      <t>，唇釉</t>
    </r>
    <r>
      <rPr>
        <sz val="12"/>
        <color theme="1"/>
        <rFont val="Calibri"/>
        <family val="2"/>
      </rPr>
      <t>*2</t>
    </r>
    <r>
      <rPr>
        <sz val="12"/>
        <color theme="1"/>
        <rFont val="宋体"/>
        <family val="3"/>
        <charset val="134"/>
      </rPr>
      <t>，打底膏</t>
    </r>
    <r>
      <rPr>
        <sz val="12"/>
        <color theme="1"/>
        <rFont val="Calibri"/>
        <family val="2"/>
      </rPr>
      <t>*2</t>
    </r>
  </si>
  <si>
    <t>LANCOME，MAC，MAC，MAC</t>
  </si>
  <si>
    <t>400ML，2G，3ML，1.8G</t>
  </si>
  <si>
    <t>张莉</t>
  </si>
  <si>
    <t>孙白羽</t>
  </si>
  <si>
    <t>河北省廊坊市光明东道19号3号别墅富强公司</t>
  </si>
  <si>
    <t>210103196304290344</t>
  </si>
  <si>
    <t>孙白羽210103196304290344</t>
  </si>
  <si>
    <t>9769148353197</t>
  </si>
  <si>
    <t>SC20190091049</t>
  </si>
  <si>
    <r>
      <rPr>
        <sz val="12"/>
        <color theme="1"/>
        <rFont val="宋体"/>
        <family val="3"/>
        <charset val="134"/>
      </rPr>
      <t>益生菌</t>
    </r>
    <r>
      <rPr>
        <sz val="12"/>
        <color theme="1"/>
        <rFont val="Calibri"/>
        <family val="2"/>
      </rPr>
      <t>*6</t>
    </r>
    <r>
      <rPr>
        <sz val="12"/>
        <color theme="1"/>
        <rFont val="宋体"/>
        <family val="3"/>
        <charset val="134"/>
      </rPr>
      <t>，基本营养素</t>
    </r>
    <r>
      <rPr>
        <sz val="12"/>
        <color theme="1"/>
        <rFont val="Calibri"/>
        <family val="2"/>
      </rPr>
      <t>*2</t>
    </r>
  </si>
  <si>
    <r>
      <rPr>
        <sz val="12"/>
        <color theme="1"/>
        <rFont val="宋体"/>
        <family val="3"/>
        <charset val="134"/>
      </rPr>
      <t>，</t>
    </r>
    <r>
      <rPr>
        <sz val="12"/>
        <color theme="1"/>
        <rFont val="Calibri"/>
        <family val="2"/>
      </rPr>
      <t>112</t>
    </r>
    <r>
      <rPr>
        <sz val="12"/>
        <color theme="1"/>
        <rFont val="宋体"/>
        <family val="3"/>
        <charset val="134"/>
      </rPr>
      <t>粒</t>
    </r>
  </si>
  <si>
    <t>李怀利</t>
  </si>
  <si>
    <t>河北省保定市徐水区巨力路永兴信用社</t>
  </si>
  <si>
    <t>杨莉</t>
  </si>
  <si>
    <t>河北省保定市徐水区人民医院放射科</t>
  </si>
  <si>
    <t>510105198001260263</t>
  </si>
  <si>
    <t>杨莉510105198001260263</t>
  </si>
  <si>
    <t>9769148325397</t>
  </si>
  <si>
    <t>SC20200010033</t>
  </si>
  <si>
    <r>
      <rPr>
        <sz val="12"/>
        <color theme="1"/>
        <rFont val="宋体"/>
        <family val="3"/>
        <charset val="134"/>
      </rPr>
      <t>爽肤水</t>
    </r>
    <r>
      <rPr>
        <sz val="12"/>
        <color theme="1"/>
        <rFont val="Calibri"/>
        <family val="2"/>
      </rPr>
      <t>*1</t>
    </r>
  </si>
  <si>
    <t>VALMONT</t>
  </si>
  <si>
    <t>张斯雯</t>
  </si>
  <si>
    <t>黑龙江省齐齐哈尔市龙沙区公园路30号第一医院总务科</t>
  </si>
  <si>
    <t>杨俊</t>
  </si>
  <si>
    <t>320682198706084081</t>
  </si>
  <si>
    <t>杨俊320682198706084081</t>
  </si>
  <si>
    <t>9769116604397</t>
  </si>
  <si>
    <t>SC20180234198</t>
  </si>
  <si>
    <r>
      <rPr>
        <sz val="12"/>
        <color theme="1"/>
        <rFont val="宋体"/>
        <family val="3"/>
        <charset val="134"/>
      </rPr>
      <t>健康</t>
    </r>
    <r>
      <rPr>
        <sz val="12"/>
        <color theme="1"/>
        <rFont val="Calibri"/>
        <family val="2"/>
      </rPr>
      <t>100</t>
    </r>
    <r>
      <rPr>
        <sz val="12"/>
        <color theme="1"/>
        <rFont val="宋体"/>
        <family val="3"/>
        <charset val="134"/>
      </rPr>
      <t>套装</t>
    </r>
    <r>
      <rPr>
        <sz val="12"/>
        <color theme="1"/>
        <rFont val="Calibri"/>
        <family val="2"/>
      </rPr>
      <t>*3</t>
    </r>
  </si>
  <si>
    <t>朱起清</t>
  </si>
  <si>
    <t>北京市西城区木樨地南里公安大学宿舍东小区D座1807室</t>
  </si>
  <si>
    <t>陈高平</t>
  </si>
  <si>
    <t>北京市西城二七剧场路13号院1号楼504</t>
  </si>
  <si>
    <t>533223198603150015</t>
  </si>
  <si>
    <t>陈高平533223198603150015</t>
  </si>
  <si>
    <t>9769116601297</t>
  </si>
  <si>
    <t>SC20200035261</t>
  </si>
  <si>
    <t>基础如沛*2，眼霜*2，晚霜*1，辅酶*8</t>
  </si>
  <si>
    <t>60包，15ML，75ML，30粒</t>
  </si>
  <si>
    <t>钱凤英</t>
  </si>
  <si>
    <t>江苏省南京市栖霞区兴都花园87号38栋403</t>
  </si>
  <si>
    <t>张晨瑞</t>
  </si>
  <si>
    <t>65900119900219482X</t>
  </si>
  <si>
    <t>张晨瑞65900119900219482X</t>
  </si>
  <si>
    <t>9769116719997</t>
  </si>
  <si>
    <t>SC20200033068</t>
  </si>
  <si>
    <r>
      <rPr>
        <sz val="12"/>
        <color theme="1"/>
        <rFont val="宋体"/>
        <family val="3"/>
        <charset val="134"/>
      </rPr>
      <t>基本营养素</t>
    </r>
    <r>
      <rPr>
        <sz val="12"/>
        <color theme="1"/>
        <rFont val="Calibri"/>
        <family val="2"/>
      </rPr>
      <t>*4</t>
    </r>
    <r>
      <rPr>
        <sz val="12"/>
        <color theme="1"/>
        <rFont val="宋体"/>
        <family val="3"/>
        <charset val="134"/>
      </rPr>
      <t>，钙镁片</t>
    </r>
    <r>
      <rPr>
        <sz val="12"/>
        <color theme="1"/>
        <rFont val="Calibri"/>
        <family val="2"/>
      </rPr>
      <t>*2</t>
    </r>
    <r>
      <rPr>
        <sz val="12"/>
        <color theme="1"/>
        <rFont val="宋体"/>
        <family val="3"/>
        <charset val="134"/>
      </rPr>
      <t>，心宝</t>
    </r>
    <r>
      <rPr>
        <sz val="12"/>
        <color theme="1"/>
        <rFont val="Calibri"/>
        <family val="2"/>
      </rPr>
      <t>*3</t>
    </r>
    <r>
      <rPr>
        <sz val="12"/>
        <color theme="1"/>
        <rFont val="宋体"/>
        <family val="3"/>
        <charset val="134"/>
      </rPr>
      <t>，葡萄籽</t>
    </r>
    <r>
      <rPr>
        <sz val="12"/>
        <color theme="1"/>
        <rFont val="Calibri"/>
        <family val="2"/>
      </rPr>
      <t>*6</t>
    </r>
  </si>
  <si>
    <t>姚伟锋</t>
  </si>
  <si>
    <t>广东省广州市增城区新塘镇东坑三横路一号201</t>
  </si>
  <si>
    <t>赵亮</t>
  </si>
  <si>
    <t>广东省广州市增城区保利公馆湖滨街5号9栋1203</t>
  </si>
  <si>
    <t>220203197410111217</t>
  </si>
  <si>
    <t>赵亮220203197410111217</t>
  </si>
  <si>
    <t>9769116718597</t>
  </si>
  <si>
    <t>SC20200033072</t>
  </si>
  <si>
    <r>
      <rPr>
        <sz val="12"/>
        <color theme="1"/>
        <rFont val="宋体"/>
        <family val="3"/>
        <charset val="134"/>
      </rPr>
      <t>基本营养素</t>
    </r>
    <r>
      <rPr>
        <sz val="12"/>
        <color theme="1"/>
        <rFont val="Calibri"/>
        <family val="2"/>
      </rPr>
      <t>*4</t>
    </r>
    <r>
      <rPr>
        <sz val="12"/>
        <color theme="1"/>
        <rFont val="宋体"/>
        <family val="3"/>
        <charset val="134"/>
      </rPr>
      <t>，钙镁片</t>
    </r>
    <r>
      <rPr>
        <sz val="12"/>
        <color theme="1"/>
        <rFont val="Calibri"/>
        <family val="2"/>
      </rPr>
      <t>*2</t>
    </r>
    <r>
      <rPr>
        <sz val="12"/>
        <color theme="1"/>
        <rFont val="宋体"/>
        <family val="3"/>
        <charset val="134"/>
      </rPr>
      <t>，肝宝</t>
    </r>
    <r>
      <rPr>
        <sz val="12"/>
        <color theme="1"/>
        <rFont val="Calibri"/>
        <family val="2"/>
      </rPr>
      <t>*3</t>
    </r>
    <r>
      <rPr>
        <sz val="12"/>
        <color theme="1"/>
        <rFont val="宋体"/>
        <family val="3"/>
        <charset val="134"/>
      </rPr>
      <t>，葡萄籽</t>
    </r>
    <r>
      <rPr>
        <sz val="12"/>
        <color theme="1"/>
        <rFont val="Calibri"/>
        <family val="2"/>
      </rPr>
      <t>*2</t>
    </r>
    <r>
      <rPr>
        <sz val="12"/>
        <color theme="1"/>
        <rFont val="宋体"/>
        <family val="3"/>
        <charset val="134"/>
      </rPr>
      <t>，锐知宝</t>
    </r>
    <r>
      <rPr>
        <sz val="12"/>
        <color theme="1"/>
        <rFont val="Calibri"/>
        <family val="2"/>
      </rPr>
      <t>*3</t>
    </r>
    <r>
      <rPr>
        <sz val="12"/>
        <color theme="1"/>
        <rFont val="宋体"/>
        <family val="3"/>
        <charset val="134"/>
      </rPr>
      <t>，眠宁素</t>
    </r>
    <r>
      <rPr>
        <sz val="12"/>
        <color theme="1"/>
        <rFont val="Calibri"/>
        <family val="2"/>
      </rPr>
      <t>*1</t>
    </r>
  </si>
  <si>
    <t>，，，，，</t>
  </si>
  <si>
    <t>钟伟祥</t>
  </si>
  <si>
    <t>广东省广州市增城区新塘镇东洲村格水新村啰口一路20号</t>
  </si>
  <si>
    <t>何琳</t>
  </si>
  <si>
    <t>广东省广州市增城区新塘镇凤凰城凤馨苑15街5号1001</t>
  </si>
  <si>
    <t>430903198809170923</t>
  </si>
  <si>
    <t>何琳430903198809170923</t>
  </si>
  <si>
    <t>9769116709797</t>
  </si>
  <si>
    <t>SC20200033076</t>
  </si>
  <si>
    <r>
      <rPr>
        <sz val="12"/>
        <color theme="1"/>
        <rFont val="宋体"/>
        <family val="3"/>
        <charset val="134"/>
      </rPr>
      <t>基本营养素</t>
    </r>
    <r>
      <rPr>
        <sz val="12"/>
        <color theme="1"/>
        <rFont val="Calibri"/>
        <family val="2"/>
      </rPr>
      <t>*6</t>
    </r>
    <r>
      <rPr>
        <sz val="12"/>
        <color theme="1"/>
        <rFont val="宋体"/>
        <family val="3"/>
        <charset val="134"/>
      </rPr>
      <t>，肝宝</t>
    </r>
    <r>
      <rPr>
        <sz val="12"/>
        <color theme="1"/>
        <rFont val="Calibri"/>
        <family val="2"/>
      </rPr>
      <t>*3</t>
    </r>
    <r>
      <rPr>
        <sz val="12"/>
        <color theme="1"/>
        <rFont val="宋体"/>
        <family val="3"/>
        <charset val="134"/>
      </rPr>
      <t>，心宝</t>
    </r>
    <r>
      <rPr>
        <sz val="12"/>
        <color theme="1"/>
        <rFont val="Calibri"/>
        <family val="2"/>
      </rPr>
      <t>*3</t>
    </r>
    <r>
      <rPr>
        <sz val="12"/>
        <color theme="1"/>
        <rFont val="宋体"/>
        <family val="3"/>
        <charset val="134"/>
      </rPr>
      <t>，鱼油</t>
    </r>
    <r>
      <rPr>
        <sz val="12"/>
        <color theme="1"/>
        <rFont val="Calibri"/>
        <family val="2"/>
      </rPr>
      <t>*2</t>
    </r>
    <r>
      <rPr>
        <sz val="12"/>
        <color theme="1"/>
        <rFont val="宋体"/>
        <family val="3"/>
        <charset val="134"/>
      </rPr>
      <t>，葡萄籽</t>
    </r>
    <r>
      <rPr>
        <sz val="12"/>
        <color theme="1"/>
        <rFont val="Calibri"/>
        <family val="2"/>
      </rPr>
      <t>*1</t>
    </r>
  </si>
  <si>
    <t>刘建春</t>
  </si>
  <si>
    <t>广东省广州市增城区永宁街凤凰城凤馨苑二街10号1101房</t>
  </si>
  <si>
    <t>白莹</t>
  </si>
  <si>
    <t>广东省广州市增城区荔城街菜园中路42号</t>
  </si>
  <si>
    <t>210902198209170068</t>
  </si>
  <si>
    <t>白莹210902198209170068</t>
  </si>
  <si>
    <t>9769116725697</t>
  </si>
  <si>
    <t>SC20200033080</t>
  </si>
  <si>
    <r>
      <rPr>
        <sz val="12"/>
        <color theme="1"/>
        <rFont val="宋体"/>
        <family val="3"/>
        <charset val="134"/>
      </rPr>
      <t>钙镁片</t>
    </r>
    <r>
      <rPr>
        <sz val="12"/>
        <color theme="1"/>
        <rFont val="Calibri"/>
        <family val="2"/>
      </rPr>
      <t>*2</t>
    </r>
    <r>
      <rPr>
        <sz val="12"/>
        <color theme="1"/>
        <rFont val="宋体"/>
        <family val="3"/>
        <charset val="134"/>
      </rPr>
      <t>，葡萄籽</t>
    </r>
    <r>
      <rPr>
        <sz val="12"/>
        <color theme="1"/>
        <rFont val="Calibri"/>
        <family val="2"/>
      </rPr>
      <t>*6</t>
    </r>
    <r>
      <rPr>
        <sz val="12"/>
        <color theme="1"/>
        <rFont val="宋体"/>
        <family val="3"/>
        <charset val="134"/>
      </rPr>
      <t>，心宝</t>
    </r>
    <r>
      <rPr>
        <sz val="12"/>
        <color theme="1"/>
        <rFont val="Calibri"/>
        <family val="2"/>
      </rPr>
      <t>*4</t>
    </r>
    <r>
      <rPr>
        <sz val="12"/>
        <color theme="1"/>
        <rFont val="宋体"/>
        <family val="3"/>
        <charset val="134"/>
      </rPr>
      <t>，益生菌</t>
    </r>
    <r>
      <rPr>
        <sz val="12"/>
        <color theme="1"/>
        <rFont val="Calibri"/>
        <family val="2"/>
      </rPr>
      <t>*3</t>
    </r>
  </si>
  <si>
    <t>钟灼荣</t>
  </si>
  <si>
    <t>广东省广州市增城区新塘镇东洲村格水新村啰口一路20号2楼</t>
  </si>
  <si>
    <t>于健红</t>
  </si>
  <si>
    <t>广东省广州市增城区新塘镇水松路10号新塘医院</t>
  </si>
  <si>
    <t>130804197801230720</t>
  </si>
  <si>
    <t>于健红130804197801230720</t>
  </si>
  <si>
    <t>9769116619397</t>
  </si>
  <si>
    <t>SC20200033492</t>
  </si>
  <si>
    <r>
      <rPr>
        <sz val="12"/>
        <color theme="1"/>
        <rFont val="宋体"/>
        <family val="3"/>
        <charset val="134"/>
      </rPr>
      <t>心宝</t>
    </r>
    <r>
      <rPr>
        <sz val="12"/>
        <color theme="1"/>
        <rFont val="Calibri"/>
        <family val="2"/>
      </rPr>
      <t>*1</t>
    </r>
    <r>
      <rPr>
        <sz val="12"/>
        <color theme="1"/>
        <rFont val="宋体"/>
        <family val="3"/>
        <charset val="134"/>
      </rPr>
      <t>，基本营养素</t>
    </r>
    <r>
      <rPr>
        <sz val="12"/>
        <color theme="1"/>
        <rFont val="Calibri"/>
        <family val="2"/>
      </rPr>
      <t>*2</t>
    </r>
    <r>
      <rPr>
        <sz val="12"/>
        <color theme="1"/>
        <rFont val="宋体"/>
        <family val="3"/>
        <charset val="134"/>
      </rPr>
      <t>，肝宝</t>
    </r>
    <r>
      <rPr>
        <sz val="12"/>
        <color theme="1"/>
        <rFont val="Calibri"/>
        <family val="2"/>
      </rPr>
      <t>*1</t>
    </r>
    <r>
      <rPr>
        <sz val="12"/>
        <color theme="1"/>
        <rFont val="宋体"/>
        <family val="3"/>
        <charset val="134"/>
      </rPr>
      <t>，鱼油</t>
    </r>
    <r>
      <rPr>
        <sz val="12"/>
        <color theme="1"/>
        <rFont val="Calibri"/>
        <family val="2"/>
      </rPr>
      <t>*3</t>
    </r>
    <r>
      <rPr>
        <sz val="12"/>
        <color theme="1"/>
        <rFont val="宋体"/>
        <family val="3"/>
        <charset val="134"/>
      </rPr>
      <t>，维生素</t>
    </r>
    <r>
      <rPr>
        <sz val="12"/>
        <color theme="1"/>
        <rFont val="Calibri"/>
        <family val="2"/>
      </rPr>
      <t>*2</t>
    </r>
    <r>
      <rPr>
        <sz val="12"/>
        <color theme="1"/>
        <rFont val="宋体"/>
        <family val="3"/>
        <charset val="134"/>
      </rPr>
      <t>，钙</t>
    </r>
    <r>
      <rPr>
        <sz val="12"/>
        <color theme="1"/>
        <rFont val="Calibri"/>
        <family val="2"/>
      </rPr>
      <t>*2</t>
    </r>
  </si>
  <si>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112</t>
    </r>
    <r>
      <rPr>
        <sz val="12"/>
        <color theme="1"/>
        <rFont val="宋体"/>
        <family val="3"/>
        <charset val="134"/>
      </rPr>
      <t>粒</t>
    </r>
  </si>
  <si>
    <t>邵静伟</t>
  </si>
  <si>
    <t>陕西省渭山地区蒲城县尧山别院2号楼2单元</t>
  </si>
  <si>
    <t>612128196912310015</t>
  </si>
  <si>
    <t>邵静伟612128196912310015</t>
  </si>
  <si>
    <t>9769116616297</t>
  </si>
  <si>
    <t>SC20200018291</t>
  </si>
  <si>
    <t>维生素*1，女宝*2，心宝*4，维生素*2</t>
  </si>
  <si>
    <t>邓伟清</t>
  </si>
  <si>
    <t>广东省广州市越秀区永泰路52号华侨乐园金福楼207</t>
  </si>
  <si>
    <t>丁雪燕</t>
  </si>
  <si>
    <t>广东省广州市越秀区三育路44号大院会议中心</t>
  </si>
  <si>
    <t>500237198710118942</t>
  </si>
  <si>
    <t>丁雪燕500237198710118942</t>
  </si>
  <si>
    <t>9769116593597</t>
  </si>
  <si>
    <t>SC20200035179</t>
  </si>
  <si>
    <r>
      <rPr>
        <sz val="12"/>
        <color theme="1"/>
        <rFont val="宋体"/>
        <family val="3"/>
        <charset val="134"/>
      </rPr>
      <t>面膜</t>
    </r>
    <r>
      <rPr>
        <sz val="12"/>
        <color theme="1"/>
        <rFont val="Calibri"/>
        <family val="2"/>
      </rPr>
      <t>*1</t>
    </r>
    <r>
      <rPr>
        <sz val="12"/>
        <color theme="1"/>
        <rFont val="宋体"/>
        <family val="3"/>
        <charset val="134"/>
      </rPr>
      <t>，芦荟</t>
    </r>
    <r>
      <rPr>
        <sz val="12"/>
        <color theme="1"/>
        <rFont val="Calibri"/>
        <family val="2"/>
      </rPr>
      <t>*2</t>
    </r>
    <r>
      <rPr>
        <sz val="12"/>
        <color theme="1"/>
        <rFont val="宋体"/>
        <family val="3"/>
        <charset val="134"/>
      </rPr>
      <t>，项链</t>
    </r>
    <r>
      <rPr>
        <sz val="12"/>
        <color theme="1"/>
        <rFont val="Calibri"/>
        <family val="2"/>
      </rPr>
      <t>*2</t>
    </r>
  </si>
  <si>
    <t>WHEN，INFINITE ALOE，SWAROVSKI</t>
  </si>
  <si>
    <t>，57G，</t>
  </si>
  <si>
    <t>石文峰</t>
  </si>
  <si>
    <t>天津市和平区南京路诚基中心一号楼一门</t>
  </si>
  <si>
    <t>陈岫楠</t>
  </si>
  <si>
    <t>天津市和平区南门外大街第二南开中学门口速递易</t>
  </si>
  <si>
    <t>440509199601313668</t>
  </si>
  <si>
    <t>陈岫楠440509199601313668</t>
  </si>
  <si>
    <t>9769116651197</t>
  </si>
  <si>
    <t>SC20200035180</t>
  </si>
  <si>
    <r>
      <rPr>
        <sz val="12"/>
        <color theme="1"/>
        <rFont val="宋体"/>
        <family val="3"/>
        <charset val="134"/>
      </rPr>
      <t>染发</t>
    </r>
    <r>
      <rPr>
        <sz val="12"/>
        <color theme="1"/>
        <rFont val="Calibri"/>
        <family val="2"/>
      </rPr>
      <t>*5</t>
    </r>
    <r>
      <rPr>
        <sz val="12"/>
        <color theme="1"/>
        <rFont val="宋体"/>
        <family val="3"/>
        <charset val="134"/>
      </rPr>
      <t>，项链</t>
    </r>
    <r>
      <rPr>
        <sz val="12"/>
        <color theme="1"/>
        <rFont val="Calibri"/>
        <family val="2"/>
      </rPr>
      <t>*1</t>
    </r>
  </si>
  <si>
    <t>HERBATINT，SWAROVSKI</t>
  </si>
  <si>
    <t>张树耘</t>
  </si>
  <si>
    <t>天津市河东区华昌大街顺驰东屏园1-1-101</t>
  </si>
  <si>
    <t>冯莹</t>
  </si>
  <si>
    <t>110108199303184920</t>
  </si>
  <si>
    <t>冯莹110108199303184920</t>
  </si>
  <si>
    <t>9769148276597</t>
  </si>
  <si>
    <t>SC20190054786</t>
  </si>
  <si>
    <r>
      <rPr>
        <sz val="12"/>
        <color theme="1"/>
        <rFont val="宋体"/>
        <family val="3"/>
        <charset val="134"/>
      </rPr>
      <t>面膜</t>
    </r>
    <r>
      <rPr>
        <sz val="12"/>
        <color theme="1"/>
        <rFont val="Calibri"/>
        <family val="2"/>
      </rPr>
      <t>*1</t>
    </r>
    <r>
      <rPr>
        <sz val="12"/>
        <color theme="1"/>
        <rFont val="宋体"/>
        <family val="3"/>
        <charset val="134"/>
      </rPr>
      <t>，袜子</t>
    </r>
    <r>
      <rPr>
        <sz val="12"/>
        <color theme="1"/>
        <rFont val="Calibri"/>
        <family val="2"/>
      </rPr>
      <t>*1</t>
    </r>
    <r>
      <rPr>
        <sz val="12"/>
        <color theme="1"/>
        <rFont val="宋体"/>
        <family val="3"/>
        <charset val="134"/>
      </rPr>
      <t>，口红</t>
    </r>
    <r>
      <rPr>
        <sz val="12"/>
        <color theme="1"/>
        <rFont val="Calibri"/>
        <family val="2"/>
      </rPr>
      <t>*2</t>
    </r>
    <r>
      <rPr>
        <sz val="12"/>
        <color theme="1"/>
        <rFont val="宋体"/>
        <family val="3"/>
        <charset val="134"/>
      </rPr>
      <t>，精华</t>
    </r>
    <r>
      <rPr>
        <sz val="12"/>
        <color theme="1"/>
        <rFont val="Calibri"/>
        <family val="2"/>
      </rPr>
      <t>*2</t>
    </r>
    <r>
      <rPr>
        <sz val="12"/>
        <color theme="1"/>
        <rFont val="宋体"/>
        <family val="3"/>
        <charset val="134"/>
      </rPr>
      <t>，粉胶</t>
    </r>
    <r>
      <rPr>
        <sz val="12"/>
        <color theme="1"/>
        <rFont val="Calibri"/>
        <family val="2"/>
      </rPr>
      <t>*1</t>
    </r>
  </si>
  <si>
    <t>PETER THOMAS，SILKS，FORMULA，THE ORDINARY，ELIZABETH ARDEN</t>
  </si>
  <si>
    <t>闫智</t>
  </si>
  <si>
    <t>河南省郑州市建设路工农路交叉口保利百合1号楼</t>
  </si>
  <si>
    <t>何旋</t>
  </si>
  <si>
    <t>420106198008024444</t>
  </si>
  <si>
    <t>何旋420106198008024444</t>
  </si>
  <si>
    <t>9769116703597</t>
  </si>
  <si>
    <t>SC20190054533</t>
  </si>
  <si>
    <r>
      <rPr>
        <sz val="12"/>
        <color theme="1"/>
        <rFont val="宋体"/>
        <family val="3"/>
        <charset val="134"/>
      </rPr>
      <t>杯子</t>
    </r>
    <r>
      <rPr>
        <sz val="12"/>
        <color theme="1"/>
        <rFont val="Calibri"/>
        <family val="2"/>
      </rPr>
      <t>*1</t>
    </r>
    <r>
      <rPr>
        <sz val="12"/>
        <color theme="1"/>
        <rFont val="宋体"/>
        <family val="3"/>
        <charset val="134"/>
      </rPr>
      <t>，面霜小样</t>
    </r>
    <r>
      <rPr>
        <sz val="12"/>
        <color theme="1"/>
        <rFont val="Calibri"/>
        <family val="2"/>
      </rPr>
      <t>*2</t>
    </r>
  </si>
  <si>
    <t>CONTIGO，LAMER</t>
  </si>
  <si>
    <t>，7ML</t>
  </si>
  <si>
    <t>苏泽颖</t>
  </si>
  <si>
    <t>河南省郑州市郑东新区福禄路16号高速奥兰花园西门</t>
  </si>
  <si>
    <t>410883198902100324</t>
  </si>
  <si>
    <t>苏泽颖410883198902100324</t>
  </si>
  <si>
    <t>9769148284597</t>
  </si>
  <si>
    <t>SC20190054790</t>
  </si>
  <si>
    <r>
      <rPr>
        <sz val="12"/>
        <color theme="1"/>
        <rFont val="宋体"/>
        <family val="3"/>
        <charset val="134"/>
      </rPr>
      <t>口红</t>
    </r>
    <r>
      <rPr>
        <sz val="12"/>
        <color theme="1"/>
        <rFont val="Calibri"/>
        <family val="2"/>
      </rPr>
      <t>*1</t>
    </r>
    <r>
      <rPr>
        <sz val="12"/>
        <color theme="1"/>
        <rFont val="宋体"/>
        <family val="3"/>
        <charset val="134"/>
      </rPr>
      <t>，精华</t>
    </r>
    <r>
      <rPr>
        <sz val="12"/>
        <color theme="1"/>
        <rFont val="Calibri"/>
        <family val="2"/>
      </rPr>
      <t>*1</t>
    </r>
    <r>
      <rPr>
        <sz val="12"/>
        <color theme="1"/>
        <rFont val="宋体"/>
        <family val="3"/>
        <charset val="134"/>
      </rPr>
      <t>，口红</t>
    </r>
    <r>
      <rPr>
        <sz val="12"/>
        <color theme="1"/>
        <rFont val="Calibri"/>
        <family val="2"/>
      </rPr>
      <t>*2</t>
    </r>
    <r>
      <rPr>
        <sz val="12"/>
        <color theme="1"/>
        <rFont val="宋体"/>
        <family val="3"/>
        <charset val="134"/>
      </rPr>
      <t>，身体乳</t>
    </r>
    <r>
      <rPr>
        <sz val="12"/>
        <color theme="1"/>
        <rFont val="Calibri"/>
        <family val="2"/>
      </rPr>
      <t>*1</t>
    </r>
    <r>
      <rPr>
        <sz val="12"/>
        <color theme="1"/>
        <rFont val="宋体"/>
        <family val="3"/>
        <charset val="134"/>
      </rPr>
      <t>，袜子</t>
    </r>
    <r>
      <rPr>
        <sz val="12"/>
        <color theme="1"/>
        <rFont val="Calibri"/>
        <family val="2"/>
      </rPr>
      <t>*3</t>
    </r>
    <r>
      <rPr>
        <sz val="12"/>
        <color theme="1"/>
        <rFont val="宋体"/>
        <family val="3"/>
        <charset val="134"/>
      </rPr>
      <t>，面霜</t>
    </r>
    <r>
      <rPr>
        <sz val="12"/>
        <color theme="1"/>
        <rFont val="Calibri"/>
        <family val="2"/>
      </rPr>
      <t>*1</t>
    </r>
  </si>
  <si>
    <t>YSL，KIEHL'S，FORMULA，CLARINS，SILKS，ELIZABETH ARDEN</t>
  </si>
  <si>
    <t>熊雁冰</t>
  </si>
  <si>
    <t>河南省郑州市郑东新区商鼎路56-5号路劲.东方陆港C座709</t>
  </si>
  <si>
    <t>柯金金</t>
  </si>
  <si>
    <t>河南省郑州市郑东新区CBD商务外环中油新奥大厦5楼</t>
  </si>
  <si>
    <t>330327199202102923</t>
  </si>
  <si>
    <t>柯金金330327199202102923</t>
  </si>
  <si>
    <t>9769148279197</t>
  </si>
  <si>
    <t>SC20190054822</t>
  </si>
  <si>
    <r>
      <rPr>
        <sz val="12"/>
        <color theme="1"/>
        <rFont val="宋体"/>
        <family val="3"/>
        <charset val="134"/>
      </rPr>
      <t>口红</t>
    </r>
    <r>
      <rPr>
        <sz val="12"/>
        <color theme="1"/>
        <rFont val="Calibri"/>
        <family val="2"/>
      </rPr>
      <t>*1</t>
    </r>
    <r>
      <rPr>
        <sz val="12"/>
        <color theme="1"/>
        <rFont val="宋体"/>
        <family val="3"/>
        <charset val="134"/>
      </rPr>
      <t>，口红</t>
    </r>
    <r>
      <rPr>
        <sz val="12"/>
        <color theme="1"/>
        <rFont val="Calibri"/>
        <family val="2"/>
      </rPr>
      <t>*1</t>
    </r>
    <r>
      <rPr>
        <sz val="12"/>
        <color theme="1"/>
        <rFont val="宋体"/>
        <family val="3"/>
        <charset val="134"/>
      </rPr>
      <t>，面膜</t>
    </r>
    <r>
      <rPr>
        <sz val="12"/>
        <color theme="1"/>
        <rFont val="Calibri"/>
        <family val="2"/>
      </rPr>
      <t>*1</t>
    </r>
    <r>
      <rPr>
        <sz val="12"/>
        <color theme="1"/>
        <rFont val="宋体"/>
        <family val="3"/>
        <charset val="134"/>
      </rPr>
      <t>，面霜小样</t>
    </r>
    <r>
      <rPr>
        <sz val="12"/>
        <color theme="1"/>
        <rFont val="Calibri"/>
        <family val="2"/>
      </rPr>
      <t>*1</t>
    </r>
    <r>
      <rPr>
        <sz val="12"/>
        <color theme="1"/>
        <rFont val="宋体"/>
        <family val="3"/>
        <charset val="134"/>
      </rPr>
      <t>，精华</t>
    </r>
    <r>
      <rPr>
        <sz val="12"/>
        <color theme="1"/>
        <rFont val="Calibri"/>
        <family val="2"/>
      </rPr>
      <t>*1</t>
    </r>
    <r>
      <rPr>
        <sz val="12"/>
        <color theme="1"/>
        <rFont val="宋体"/>
        <family val="3"/>
        <charset val="134"/>
      </rPr>
      <t>，面霜小样</t>
    </r>
    <r>
      <rPr>
        <sz val="12"/>
        <color theme="1"/>
        <rFont val="Calibri"/>
        <family val="2"/>
      </rPr>
      <t>*1</t>
    </r>
    <r>
      <rPr>
        <sz val="12"/>
        <color theme="1"/>
        <rFont val="宋体"/>
        <family val="3"/>
        <charset val="134"/>
      </rPr>
      <t>，精华小样</t>
    </r>
    <r>
      <rPr>
        <sz val="12"/>
        <color theme="1"/>
        <rFont val="Calibri"/>
        <family val="2"/>
      </rPr>
      <t>*1</t>
    </r>
  </si>
  <si>
    <t>TF，CHANEL，FILORGA，LANCOME，LANCOME，ESTEE LAUDER，ESTEE LAUDER</t>
  </si>
  <si>
    <t>，，，15ML，20ML，，</t>
  </si>
  <si>
    <t>娇娇</t>
  </si>
  <si>
    <t>河南省新乡市封丘县北干道世纪缘珠宝</t>
  </si>
  <si>
    <t>李雨亭</t>
  </si>
  <si>
    <t>500235199207280020</t>
  </si>
  <si>
    <t>李雨亭500235199207280020</t>
  </si>
  <si>
    <t>9769116720897</t>
  </si>
  <si>
    <t>SC20190054508</t>
  </si>
  <si>
    <r>
      <rPr>
        <sz val="12"/>
        <color theme="1"/>
        <rFont val="宋体"/>
        <family val="3"/>
        <charset val="134"/>
      </rPr>
      <t>磨砂膏</t>
    </r>
    <r>
      <rPr>
        <sz val="12"/>
        <color theme="1"/>
        <rFont val="Calibri"/>
        <family val="2"/>
      </rPr>
      <t>*1</t>
    </r>
    <r>
      <rPr>
        <sz val="12"/>
        <color theme="1"/>
        <rFont val="宋体"/>
        <family val="3"/>
        <charset val="134"/>
      </rPr>
      <t>，精华</t>
    </r>
    <r>
      <rPr>
        <sz val="12"/>
        <color theme="1"/>
        <rFont val="Calibri"/>
        <family val="2"/>
      </rPr>
      <t>*1</t>
    </r>
    <r>
      <rPr>
        <sz val="12"/>
        <color theme="1"/>
        <rFont val="宋体"/>
        <family val="3"/>
        <charset val="134"/>
      </rPr>
      <t>，口红</t>
    </r>
    <r>
      <rPr>
        <sz val="12"/>
        <color theme="1"/>
        <rFont val="Calibri"/>
        <family val="2"/>
      </rPr>
      <t>*1</t>
    </r>
    <r>
      <rPr>
        <sz val="12"/>
        <color theme="1"/>
        <rFont val="宋体"/>
        <family val="3"/>
        <charset val="134"/>
      </rPr>
      <t>，精华</t>
    </r>
    <r>
      <rPr>
        <sz val="12"/>
        <color theme="1"/>
        <rFont val="Calibri"/>
        <family val="2"/>
      </rPr>
      <t>*2</t>
    </r>
    <r>
      <rPr>
        <sz val="12"/>
        <color theme="1"/>
        <rFont val="宋体"/>
        <family val="3"/>
        <charset val="134"/>
      </rPr>
      <t>，面霜小样</t>
    </r>
    <r>
      <rPr>
        <sz val="12"/>
        <color theme="1"/>
        <rFont val="Calibri"/>
        <family val="2"/>
      </rPr>
      <t>*1</t>
    </r>
    <r>
      <rPr>
        <sz val="12"/>
        <color theme="1"/>
        <rFont val="宋体"/>
        <family val="3"/>
        <charset val="134"/>
      </rPr>
      <t>，卸妆水小样</t>
    </r>
    <r>
      <rPr>
        <sz val="12"/>
        <color theme="1"/>
        <rFont val="Calibri"/>
        <family val="2"/>
      </rPr>
      <t>*1</t>
    </r>
    <r>
      <rPr>
        <sz val="12"/>
        <color theme="1"/>
        <rFont val="宋体"/>
        <family val="3"/>
        <charset val="134"/>
      </rPr>
      <t>，口红小样</t>
    </r>
    <r>
      <rPr>
        <sz val="12"/>
        <color theme="1"/>
        <rFont val="Calibri"/>
        <family val="2"/>
      </rPr>
      <t>*1</t>
    </r>
  </si>
  <si>
    <t>CLARINS，ESTEE LAUDER，FORMULA，THE ORDINARY，LANCOME，LANCOME，LANCOME</t>
  </si>
  <si>
    <t>，，，，15ML，50ML，</t>
  </si>
  <si>
    <t>王先森</t>
  </si>
  <si>
    <t>河南省郑州市二七区大学南路绿地滨湖国际城5区</t>
  </si>
  <si>
    <t>刘艳菊</t>
  </si>
  <si>
    <t>430103197010201567</t>
  </si>
  <si>
    <t>刘艳菊430103197010201567</t>
  </si>
  <si>
    <t>9769116694097</t>
  </si>
  <si>
    <t>SC20180079199</t>
  </si>
  <si>
    <r>
      <rPr>
        <sz val="12"/>
        <color theme="1"/>
        <rFont val="宋体"/>
        <family val="3"/>
        <charset val="134"/>
      </rPr>
      <t>面霜</t>
    </r>
    <r>
      <rPr>
        <sz val="12"/>
        <color theme="1"/>
        <rFont val="Calibri"/>
        <family val="2"/>
      </rPr>
      <t>*2</t>
    </r>
    <r>
      <rPr>
        <sz val="12"/>
        <color theme="1"/>
        <rFont val="宋体"/>
        <family val="3"/>
        <charset val="134"/>
      </rPr>
      <t>，口红</t>
    </r>
    <r>
      <rPr>
        <sz val="12"/>
        <color theme="1"/>
        <rFont val="Calibri"/>
        <family val="2"/>
      </rPr>
      <t>*1</t>
    </r>
    <r>
      <rPr>
        <sz val="12"/>
        <color theme="1"/>
        <rFont val="宋体"/>
        <family val="3"/>
        <charset val="134"/>
      </rPr>
      <t>，爽肤水</t>
    </r>
    <r>
      <rPr>
        <sz val="12"/>
        <color theme="1"/>
        <rFont val="Calibri"/>
        <family val="2"/>
      </rPr>
      <t>*1</t>
    </r>
    <r>
      <rPr>
        <sz val="12"/>
        <color theme="1"/>
        <rFont val="宋体"/>
        <family val="3"/>
        <charset val="134"/>
      </rPr>
      <t>，面膜</t>
    </r>
    <r>
      <rPr>
        <sz val="12"/>
        <color theme="1"/>
        <rFont val="Calibri"/>
        <family val="2"/>
      </rPr>
      <t>*1</t>
    </r>
  </si>
  <si>
    <t>ELIZABETH ARDEN，MAC，SKII，PETER THOMAS</t>
  </si>
  <si>
    <t>75ML，，，</t>
  </si>
  <si>
    <t>茶晶</t>
  </si>
  <si>
    <t>北京市朝阳区芳园南里西区6-1-302</t>
  </si>
  <si>
    <t>牛兆娟</t>
  </si>
  <si>
    <t>370214198210214146</t>
  </si>
  <si>
    <t>牛兆娟370214198210214146</t>
  </si>
  <si>
    <t>9769116624797</t>
  </si>
  <si>
    <t>sc20200022246</t>
  </si>
  <si>
    <r>
      <rPr>
        <sz val="12"/>
        <color theme="1"/>
        <rFont val="宋体"/>
        <family val="3"/>
        <charset val="134"/>
      </rPr>
      <t>基础</t>
    </r>
    <r>
      <rPr>
        <sz val="12"/>
        <color theme="1"/>
        <rFont val="Calibri"/>
        <family val="2"/>
      </rPr>
      <t>*2</t>
    </r>
    <r>
      <rPr>
        <sz val="12"/>
        <color theme="1"/>
        <rFont val="宋体"/>
        <family val="3"/>
        <charset val="134"/>
      </rPr>
      <t>，鱼油</t>
    </r>
    <r>
      <rPr>
        <sz val="12"/>
        <color theme="1"/>
        <rFont val="Calibri"/>
        <family val="2"/>
      </rPr>
      <t>*1</t>
    </r>
    <r>
      <rPr>
        <sz val="12"/>
        <color theme="1"/>
        <rFont val="宋体"/>
        <family val="3"/>
        <charset val="134"/>
      </rPr>
      <t>，视力宝</t>
    </r>
    <r>
      <rPr>
        <sz val="12"/>
        <color theme="1"/>
        <rFont val="Calibri"/>
        <family val="2"/>
      </rPr>
      <t>*4</t>
    </r>
    <r>
      <rPr>
        <sz val="12"/>
        <color theme="1"/>
        <rFont val="宋体"/>
        <family val="3"/>
        <charset val="134"/>
      </rPr>
      <t>，钙</t>
    </r>
    <r>
      <rPr>
        <sz val="12"/>
        <color theme="1"/>
        <rFont val="Calibri"/>
        <family val="2"/>
      </rPr>
      <t>*5</t>
    </r>
  </si>
  <si>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28</t>
    </r>
    <r>
      <rPr>
        <sz val="12"/>
        <color theme="1"/>
        <rFont val="宋体"/>
        <family val="3"/>
        <charset val="134"/>
      </rPr>
      <t>粒，</t>
    </r>
    <r>
      <rPr>
        <sz val="12"/>
        <color theme="1"/>
        <rFont val="Calibri"/>
        <family val="2"/>
      </rPr>
      <t>112</t>
    </r>
    <r>
      <rPr>
        <sz val="12"/>
        <color theme="1"/>
        <rFont val="宋体"/>
        <family val="3"/>
        <charset val="134"/>
      </rPr>
      <t>粒</t>
    </r>
  </si>
  <si>
    <t>王帆</t>
  </si>
  <si>
    <t>河北省廊坊市广阳区康庄道宏泰花园3号楼2单元201</t>
  </si>
  <si>
    <t>庄浩杰</t>
  </si>
  <si>
    <t>445281199005151059</t>
  </si>
  <si>
    <t>庄浩杰445281199005151059</t>
  </si>
  <si>
    <t>9769148297897</t>
  </si>
  <si>
    <t>sc20200038107</t>
  </si>
  <si>
    <r>
      <rPr>
        <sz val="12"/>
        <color theme="1"/>
        <rFont val="宋体"/>
        <family val="3"/>
        <charset val="134"/>
      </rPr>
      <t>蓝珍珠</t>
    </r>
    <r>
      <rPr>
        <sz val="12"/>
        <color theme="1"/>
        <rFont val="Calibri"/>
        <family val="2"/>
      </rPr>
      <t>*2</t>
    </r>
    <r>
      <rPr>
        <sz val="12"/>
        <color theme="1"/>
        <rFont val="宋体"/>
        <family val="3"/>
        <charset val="134"/>
      </rPr>
      <t>，面霜</t>
    </r>
    <r>
      <rPr>
        <sz val="12"/>
        <color theme="1"/>
        <rFont val="Calibri"/>
        <family val="2"/>
      </rPr>
      <t>*1</t>
    </r>
  </si>
  <si>
    <t>代明星</t>
  </si>
  <si>
    <t>宁夏银川市金凤区香溪美地27号楼1单元301室</t>
  </si>
  <si>
    <t>宋雅琳</t>
  </si>
  <si>
    <t>370705198507281025</t>
  </si>
  <si>
    <t>宋雅琳370705198507281025</t>
  </si>
  <si>
    <t>9769148306397</t>
  </si>
  <si>
    <t>sc20200038115</t>
  </si>
  <si>
    <r>
      <rPr>
        <sz val="12"/>
        <color theme="1"/>
        <rFont val="宋体"/>
        <family val="3"/>
        <charset val="134"/>
      </rPr>
      <t>复合粉</t>
    </r>
    <r>
      <rPr>
        <sz val="12"/>
        <color theme="1"/>
        <rFont val="Calibri"/>
        <family val="2"/>
      </rPr>
      <t>*8</t>
    </r>
  </si>
  <si>
    <t>MANNATECH</t>
  </si>
  <si>
    <t>120G</t>
  </si>
  <si>
    <t>巨美娜</t>
  </si>
  <si>
    <t>四川省成都市青羊区青田坝817小区</t>
  </si>
  <si>
    <t>田佳锐</t>
  </si>
  <si>
    <t>四川省成都市青羊区下南大街6号天府绿洲裙楼三楼</t>
  </si>
  <si>
    <t>42900619811018907X</t>
  </si>
  <si>
    <t>田佳锐42900619811018907X</t>
  </si>
  <si>
    <t>9769116608897</t>
  </si>
  <si>
    <t>sc20200033615</t>
  </si>
  <si>
    <r>
      <rPr>
        <sz val="12"/>
        <color theme="1"/>
        <rFont val="宋体"/>
        <family val="3"/>
        <charset val="134"/>
      </rPr>
      <t>牙膏</t>
    </r>
    <r>
      <rPr>
        <sz val="12"/>
        <color theme="1"/>
        <rFont val="Calibri"/>
        <family val="2"/>
      </rPr>
      <t>*5</t>
    </r>
    <r>
      <rPr>
        <sz val="12"/>
        <color theme="1"/>
        <rFont val="宋体"/>
        <family val="3"/>
        <charset val="134"/>
      </rPr>
      <t>，肝宝</t>
    </r>
    <r>
      <rPr>
        <sz val="12"/>
        <color theme="1"/>
        <rFont val="Calibri"/>
        <family val="2"/>
      </rPr>
      <t>*2</t>
    </r>
    <r>
      <rPr>
        <sz val="12"/>
        <color theme="1"/>
        <rFont val="宋体"/>
        <family val="3"/>
        <charset val="134"/>
      </rPr>
      <t>，维生素</t>
    </r>
    <r>
      <rPr>
        <sz val="12"/>
        <color theme="1"/>
        <rFont val="Calibri"/>
        <family val="2"/>
      </rPr>
      <t>*2</t>
    </r>
  </si>
  <si>
    <r>
      <rPr>
        <sz val="12"/>
        <color theme="1"/>
        <rFont val="宋体"/>
        <family val="3"/>
        <charset val="134"/>
      </rPr>
      <t>，</t>
    </r>
    <r>
      <rPr>
        <sz val="12"/>
        <color theme="1"/>
        <rFont val="Calibri"/>
        <family val="2"/>
      </rPr>
      <t>84</t>
    </r>
    <r>
      <rPr>
        <sz val="12"/>
        <color theme="1"/>
        <rFont val="宋体"/>
        <family val="3"/>
        <charset val="134"/>
      </rPr>
      <t>粒，</t>
    </r>
    <r>
      <rPr>
        <sz val="12"/>
        <color theme="1"/>
        <rFont val="Calibri"/>
        <family val="2"/>
      </rPr>
      <t>112</t>
    </r>
    <r>
      <rPr>
        <sz val="12"/>
        <color theme="1"/>
        <rFont val="宋体"/>
        <family val="3"/>
        <charset val="134"/>
      </rPr>
      <t>粒</t>
    </r>
  </si>
  <si>
    <t>黄晓莺</t>
  </si>
  <si>
    <t>湖北省武汉市江岸区建设大道1055号晋合世界A1-702</t>
  </si>
  <si>
    <t>王冬梅</t>
  </si>
  <si>
    <t>220302197101260429</t>
  </si>
  <si>
    <t>王冬梅220302197101260429</t>
  </si>
  <si>
    <t>9769116623397</t>
  </si>
  <si>
    <t>sc20200035434</t>
  </si>
  <si>
    <r>
      <rPr>
        <sz val="12"/>
        <color theme="1"/>
        <rFont val="宋体"/>
        <family val="3"/>
        <charset val="134"/>
      </rPr>
      <t>冰河泥</t>
    </r>
    <r>
      <rPr>
        <sz val="12"/>
        <color theme="1"/>
        <rFont val="Calibri"/>
        <family val="2"/>
      </rPr>
      <t>*1</t>
    </r>
    <r>
      <rPr>
        <sz val="12"/>
        <color theme="1"/>
        <rFont val="宋体"/>
        <family val="3"/>
        <charset val="134"/>
      </rPr>
      <t>，芦荟胶</t>
    </r>
    <r>
      <rPr>
        <sz val="12"/>
        <color theme="1"/>
        <rFont val="Calibri"/>
        <family val="2"/>
      </rPr>
      <t>*2</t>
    </r>
    <r>
      <rPr>
        <sz val="12"/>
        <color theme="1"/>
        <rFont val="宋体"/>
        <family val="3"/>
        <charset val="134"/>
      </rPr>
      <t>，蓝珍珠</t>
    </r>
    <r>
      <rPr>
        <sz val="12"/>
        <color theme="1"/>
        <rFont val="Calibri"/>
        <family val="2"/>
      </rPr>
      <t>*2</t>
    </r>
    <r>
      <rPr>
        <sz val="12"/>
        <color theme="1"/>
        <rFont val="宋体"/>
        <family val="3"/>
        <charset val="134"/>
      </rPr>
      <t>，蓝珍珠面霜</t>
    </r>
    <r>
      <rPr>
        <sz val="12"/>
        <color theme="1"/>
        <rFont val="Calibri"/>
        <family val="2"/>
      </rPr>
      <t>*1</t>
    </r>
    <r>
      <rPr>
        <sz val="12"/>
        <color theme="1"/>
        <rFont val="宋体"/>
        <family val="3"/>
        <charset val="134"/>
      </rPr>
      <t>，</t>
    </r>
    <r>
      <rPr>
        <sz val="12"/>
        <color theme="1"/>
        <rFont val="Calibri"/>
        <family val="2"/>
      </rPr>
      <t>LUMI</t>
    </r>
    <r>
      <rPr>
        <sz val="12"/>
        <color theme="1"/>
        <rFont val="宋体"/>
        <family val="3"/>
        <charset val="134"/>
      </rPr>
      <t>导头</t>
    </r>
    <r>
      <rPr>
        <sz val="12"/>
        <color theme="1"/>
        <rFont val="Calibri"/>
        <family val="2"/>
      </rPr>
      <t>*1</t>
    </r>
    <r>
      <rPr>
        <sz val="12"/>
        <color theme="1"/>
        <rFont val="宋体"/>
        <family val="3"/>
        <charset val="134"/>
      </rPr>
      <t>，修复精华</t>
    </r>
    <r>
      <rPr>
        <sz val="12"/>
        <color theme="1"/>
        <rFont val="Calibri"/>
        <family val="2"/>
      </rPr>
      <t>*1</t>
    </r>
  </si>
  <si>
    <t>200G，200G，120粒，60ML，，30ML</t>
  </si>
  <si>
    <t>陈聪</t>
  </si>
  <si>
    <t>广东省深圳市福田区景田北天健花园13栋501</t>
  </si>
  <si>
    <t>420822198705085523</t>
  </si>
  <si>
    <t>陈聪420822198705085523</t>
  </si>
  <si>
    <t>9769116618097</t>
  </si>
  <si>
    <t>sc20200034494</t>
  </si>
  <si>
    <r>
      <rPr>
        <sz val="12"/>
        <color theme="1"/>
        <rFont val="宋体"/>
        <family val="3"/>
        <charset val="134"/>
      </rPr>
      <t>蓝珍珠</t>
    </r>
    <r>
      <rPr>
        <sz val="12"/>
        <color theme="1"/>
        <rFont val="Calibri"/>
        <family val="2"/>
      </rPr>
      <t>*2</t>
    </r>
    <r>
      <rPr>
        <sz val="12"/>
        <color theme="1"/>
        <rFont val="宋体"/>
        <family val="3"/>
        <charset val="134"/>
      </rPr>
      <t>，蓝珍珠面霜</t>
    </r>
    <r>
      <rPr>
        <sz val="12"/>
        <color theme="1"/>
        <rFont val="Calibri"/>
        <family val="2"/>
      </rPr>
      <t>*1</t>
    </r>
    <r>
      <rPr>
        <sz val="12"/>
        <color theme="1"/>
        <rFont val="宋体"/>
        <family val="3"/>
        <charset val="134"/>
      </rPr>
      <t>，芦荟胶</t>
    </r>
    <r>
      <rPr>
        <sz val="12"/>
        <color theme="1"/>
        <rFont val="Calibri"/>
        <family val="2"/>
      </rPr>
      <t>*1</t>
    </r>
    <r>
      <rPr>
        <sz val="12"/>
        <color theme="1"/>
        <rFont val="宋体"/>
        <family val="3"/>
        <charset val="134"/>
      </rPr>
      <t>，修复精华</t>
    </r>
    <r>
      <rPr>
        <sz val="12"/>
        <color theme="1"/>
        <rFont val="Calibri"/>
        <family val="2"/>
      </rPr>
      <t>*1</t>
    </r>
    <r>
      <rPr>
        <sz val="12"/>
        <color theme="1"/>
        <rFont val="宋体"/>
        <family val="3"/>
        <charset val="134"/>
      </rPr>
      <t>，高保湿霜</t>
    </r>
    <r>
      <rPr>
        <sz val="12"/>
        <color theme="1"/>
        <rFont val="Calibri"/>
        <family val="2"/>
      </rPr>
      <t>*1</t>
    </r>
  </si>
  <si>
    <t>NUSKIN，NUSKIN，NUSKIN，NUSKIN，NUSKIN</t>
  </si>
  <si>
    <t>120粒，60ML，100ML，30ML，75ML</t>
  </si>
  <si>
    <t>范婷婷</t>
  </si>
  <si>
    <t>广东省深圳市福田区福源花园三区北海苑1102</t>
  </si>
  <si>
    <t>511381198405200265</t>
  </si>
  <si>
    <t>范婷婷511381198405200265</t>
  </si>
  <si>
    <t>9769148293397</t>
  </si>
  <si>
    <t>SC20200038112</t>
  </si>
  <si>
    <r>
      <rPr>
        <sz val="12"/>
        <color theme="1"/>
        <rFont val="宋体"/>
        <family val="3"/>
        <charset val="134"/>
      </rPr>
      <t>代餐粉</t>
    </r>
    <r>
      <rPr>
        <sz val="12"/>
        <color theme="1"/>
        <rFont val="Calibri"/>
        <family val="2"/>
      </rPr>
      <t>*1</t>
    </r>
    <r>
      <rPr>
        <sz val="12"/>
        <color theme="1"/>
        <rFont val="宋体"/>
        <family val="3"/>
        <charset val="134"/>
      </rPr>
      <t>盒</t>
    </r>
  </si>
  <si>
    <r>
      <rPr>
        <sz val="12"/>
        <color theme="1"/>
        <rFont val="Calibri"/>
        <family val="2"/>
      </rPr>
      <t>28</t>
    </r>
    <r>
      <rPr>
        <sz val="12"/>
        <color theme="1"/>
        <rFont val="宋体"/>
        <family val="3"/>
        <charset val="134"/>
      </rPr>
      <t>包</t>
    </r>
  </si>
  <si>
    <t>沈敏</t>
  </si>
  <si>
    <t>上海市长宁路1277弄14号401室</t>
  </si>
  <si>
    <t>公珣</t>
  </si>
  <si>
    <t>上海上海市长宁区仙霞新村街道茅台路575弄1号30118930529835</t>
  </si>
  <si>
    <t>230105198908121344</t>
  </si>
  <si>
    <t>公珣230105198908121344</t>
  </si>
  <si>
    <t>9769116699897</t>
  </si>
  <si>
    <t>SC20200033771</t>
  </si>
  <si>
    <r>
      <rPr>
        <sz val="12"/>
        <color theme="1"/>
        <rFont val="宋体"/>
        <family val="3"/>
        <charset val="134"/>
      </rPr>
      <t>精油</t>
    </r>
    <r>
      <rPr>
        <sz val="12"/>
        <color theme="1"/>
        <rFont val="Calibri"/>
        <family val="2"/>
      </rPr>
      <t>*6</t>
    </r>
  </si>
  <si>
    <t>MOROCCANOIL</t>
  </si>
  <si>
    <t>200ML</t>
  </si>
  <si>
    <t>刘浩远</t>
  </si>
  <si>
    <t>天津市东丽区空港经济开发区西九道4号空客交付中心</t>
  </si>
  <si>
    <t>胡静</t>
  </si>
  <si>
    <t>河北省天津市东丽区军粮城工业园区丽兴园315室</t>
  </si>
  <si>
    <t>340828198001190120</t>
  </si>
  <si>
    <t>胡静340828198001190120</t>
  </si>
  <si>
    <t>9769148652497</t>
  </si>
  <si>
    <t>SC02475000009</t>
  </si>
  <si>
    <r>
      <rPr>
        <sz val="12"/>
        <color theme="1"/>
        <rFont val="宋体"/>
        <family val="3"/>
        <charset val="134"/>
      </rPr>
      <t>芦荟胶</t>
    </r>
    <r>
      <rPr>
        <sz val="12"/>
        <color theme="1"/>
        <rFont val="Calibri"/>
        <family val="2"/>
      </rPr>
      <t>*14</t>
    </r>
  </si>
  <si>
    <t>100ML</t>
  </si>
  <si>
    <t>梁梓文</t>
  </si>
  <si>
    <t>广东省深圳市宝安区福永街道办新和东四巷3号驿马国际集运仓</t>
  </si>
  <si>
    <t>闻春丹</t>
  </si>
  <si>
    <t>广东省深圳市宝安中心区新湖路宏发领域2栋1103</t>
  </si>
  <si>
    <t>231005196206271029</t>
  </si>
  <si>
    <t>闻春丹231005196206271029</t>
  </si>
  <si>
    <t>9769148631797</t>
  </si>
  <si>
    <t>SC20200035086</t>
  </si>
  <si>
    <r>
      <rPr>
        <sz val="12"/>
        <color theme="1"/>
        <rFont val="宋体"/>
        <family val="3"/>
        <charset val="134"/>
      </rPr>
      <t>维生素</t>
    </r>
    <r>
      <rPr>
        <sz val="12"/>
        <color theme="1"/>
        <rFont val="Calibri"/>
        <family val="2"/>
      </rPr>
      <t>*4</t>
    </r>
    <r>
      <rPr>
        <sz val="12"/>
        <color theme="1"/>
        <rFont val="宋体"/>
        <family val="3"/>
        <charset val="134"/>
      </rPr>
      <t>，心脏宝</t>
    </r>
    <r>
      <rPr>
        <sz val="12"/>
        <color theme="1"/>
        <rFont val="Calibri"/>
        <family val="2"/>
      </rPr>
      <t>*2</t>
    </r>
    <r>
      <rPr>
        <sz val="12"/>
        <color theme="1"/>
        <rFont val="宋体"/>
        <family val="3"/>
        <charset val="134"/>
      </rPr>
      <t>，妇康宁</t>
    </r>
    <r>
      <rPr>
        <sz val="12"/>
        <color theme="1"/>
        <rFont val="Calibri"/>
        <family val="2"/>
      </rPr>
      <t>*2</t>
    </r>
    <r>
      <rPr>
        <sz val="12"/>
        <color theme="1"/>
        <rFont val="宋体"/>
        <family val="3"/>
        <charset val="134"/>
      </rPr>
      <t>，安睡宝</t>
    </r>
    <r>
      <rPr>
        <sz val="12"/>
        <color theme="1"/>
        <rFont val="Calibri"/>
        <family val="2"/>
      </rPr>
      <t>*4</t>
    </r>
  </si>
  <si>
    <r>
      <rPr>
        <sz val="12"/>
        <color theme="1"/>
        <rFont val="Calibri"/>
        <family val="2"/>
      </rPr>
      <t>168</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</si>
  <si>
    <t>蔺雨</t>
  </si>
  <si>
    <t>黑龙江省哈尔滨市道里区富力江湾新城2号楼一单元1202</t>
  </si>
  <si>
    <t>徐苏文</t>
  </si>
  <si>
    <t>黑龙江省哈尔滨市道里区（爱建）安宁街215号新湖明珠B座3单元702室</t>
  </si>
  <si>
    <t>320819197210204424</t>
  </si>
  <si>
    <t>徐苏文320819197210204424</t>
  </si>
  <si>
    <t>9769148624697</t>
  </si>
  <si>
    <t>SC20200022198</t>
  </si>
  <si>
    <r>
      <rPr>
        <sz val="12"/>
        <color theme="1"/>
        <rFont val="宋体"/>
        <family val="3"/>
        <charset val="134"/>
      </rPr>
      <t>五日清肠</t>
    </r>
    <r>
      <rPr>
        <sz val="12"/>
        <color theme="1"/>
        <rFont val="Calibri"/>
        <family val="2"/>
      </rPr>
      <t>*1</t>
    </r>
    <r>
      <rPr>
        <sz val="12"/>
        <color theme="1"/>
        <rFont val="宋体"/>
        <family val="3"/>
        <charset val="134"/>
      </rPr>
      <t>，维骨力</t>
    </r>
    <r>
      <rPr>
        <sz val="12"/>
        <color theme="1"/>
        <rFont val="Calibri"/>
        <family val="2"/>
      </rPr>
      <t>*4</t>
    </r>
    <r>
      <rPr>
        <sz val="12"/>
        <color theme="1"/>
        <rFont val="宋体"/>
        <family val="3"/>
        <charset val="134"/>
      </rPr>
      <t>，眠宁素</t>
    </r>
    <r>
      <rPr>
        <sz val="12"/>
        <color theme="1"/>
        <rFont val="Calibri"/>
        <family val="2"/>
      </rPr>
      <t>*2</t>
    </r>
    <r>
      <rPr>
        <sz val="12"/>
        <color theme="1"/>
        <rFont val="宋体"/>
        <family val="3"/>
        <charset val="134"/>
      </rPr>
      <t>，肝宝</t>
    </r>
    <r>
      <rPr>
        <sz val="12"/>
        <color theme="1"/>
        <rFont val="Calibri"/>
        <family val="2"/>
      </rPr>
      <t>*1</t>
    </r>
  </si>
  <si>
    <r>
      <rPr>
        <sz val="12"/>
        <color theme="1"/>
        <rFont val="Calibri"/>
        <family val="2"/>
      </rPr>
      <t>15</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</si>
  <si>
    <t>陈眉倩</t>
  </si>
  <si>
    <t>河北省廊坊市三河市东方小区18号楼4单元</t>
  </si>
  <si>
    <t>330184198502200084</t>
  </si>
  <si>
    <t>陈眉倩330184198502200084</t>
  </si>
  <si>
    <t>9769148561797</t>
  </si>
  <si>
    <t>SC20200000776</t>
  </si>
  <si>
    <r>
      <rPr>
        <sz val="12"/>
        <color theme="1"/>
        <rFont val="宋体"/>
        <family val="3"/>
        <charset val="134"/>
      </rPr>
      <t>营养餐</t>
    </r>
    <r>
      <rPr>
        <sz val="12"/>
        <color theme="1"/>
        <rFont val="Calibri"/>
        <family val="2"/>
      </rPr>
      <t>*4</t>
    </r>
    <r>
      <rPr>
        <sz val="12"/>
        <color theme="1"/>
        <rFont val="宋体"/>
        <family val="3"/>
        <charset val="134"/>
      </rPr>
      <t>，儿童营养素</t>
    </r>
    <r>
      <rPr>
        <sz val="12"/>
        <color theme="1"/>
        <rFont val="Calibri"/>
        <family val="2"/>
      </rPr>
      <t>*1</t>
    </r>
    <r>
      <rPr>
        <sz val="12"/>
        <color theme="1"/>
        <rFont val="宋体"/>
        <family val="3"/>
        <charset val="134"/>
      </rPr>
      <t>，维生素</t>
    </r>
    <r>
      <rPr>
        <sz val="12"/>
        <color theme="1"/>
        <rFont val="Calibri"/>
        <family val="2"/>
      </rPr>
      <t>*5</t>
    </r>
  </si>
  <si>
    <r>
      <rPr>
        <sz val="12"/>
        <color theme="1"/>
        <rFont val="宋体"/>
        <family val="3"/>
        <charset val="134"/>
      </rPr>
      <t>，</t>
    </r>
    <r>
      <rPr>
        <sz val="12"/>
        <color theme="1"/>
        <rFont val="Calibri"/>
        <family val="2"/>
      </rPr>
      <t>56</t>
    </r>
    <r>
      <rPr>
        <sz val="12"/>
        <color theme="1"/>
        <rFont val="宋体"/>
        <family val="3"/>
        <charset val="134"/>
      </rPr>
      <t>粒，</t>
    </r>
    <r>
      <rPr>
        <sz val="12"/>
        <color theme="1"/>
        <rFont val="Calibri"/>
        <family val="2"/>
      </rPr>
      <t>168</t>
    </r>
    <r>
      <rPr>
        <sz val="12"/>
        <color theme="1"/>
        <rFont val="宋体"/>
        <family val="3"/>
        <charset val="134"/>
      </rPr>
      <t>粒</t>
    </r>
  </si>
  <si>
    <t>张晓丽</t>
  </si>
  <si>
    <t>新疆昌吉州阜康市头宫南村</t>
  </si>
  <si>
    <t>周洋</t>
  </si>
  <si>
    <t>新疆昌吉市红旗路和谐阳光水岸1号楼3单元201室</t>
  </si>
  <si>
    <t>150104199404080022</t>
  </si>
  <si>
    <t>周洋150104199404080022</t>
  </si>
  <si>
    <t>9769148632597</t>
  </si>
  <si>
    <t>SC20200029078</t>
  </si>
  <si>
    <r>
      <rPr>
        <sz val="12"/>
        <color theme="1"/>
        <rFont val="宋体"/>
        <family val="3"/>
        <charset val="134"/>
      </rPr>
      <t>维生素</t>
    </r>
    <r>
      <rPr>
        <sz val="12"/>
        <color theme="1"/>
        <rFont val="Calibri"/>
        <family val="2"/>
      </rPr>
      <t>C*1</t>
    </r>
    <r>
      <rPr>
        <sz val="12"/>
        <color theme="1"/>
        <rFont val="宋体"/>
        <family val="3"/>
        <charset val="134"/>
      </rPr>
      <t>，鱼油</t>
    </r>
    <r>
      <rPr>
        <sz val="12"/>
        <color theme="1"/>
        <rFont val="Calibri"/>
        <family val="2"/>
      </rPr>
      <t>*1</t>
    </r>
    <r>
      <rPr>
        <sz val="12"/>
        <color theme="1"/>
        <rFont val="宋体"/>
        <family val="3"/>
        <charset val="134"/>
      </rPr>
      <t>，心脏宝</t>
    </r>
    <r>
      <rPr>
        <sz val="12"/>
        <color theme="1"/>
        <rFont val="Calibri"/>
        <family val="2"/>
      </rPr>
      <t>*2</t>
    </r>
    <r>
      <rPr>
        <sz val="12"/>
        <color theme="1"/>
        <rFont val="宋体"/>
        <family val="3"/>
        <charset val="134"/>
      </rPr>
      <t>，肝宝</t>
    </r>
    <r>
      <rPr>
        <sz val="12"/>
        <color theme="1"/>
        <rFont val="Calibri"/>
        <family val="2"/>
      </rPr>
      <t>*1</t>
    </r>
    <r>
      <rPr>
        <sz val="12"/>
        <color theme="1"/>
        <rFont val="宋体"/>
        <family val="3"/>
        <charset val="134"/>
      </rPr>
      <t>，钙片</t>
    </r>
    <r>
      <rPr>
        <sz val="12"/>
        <color theme="1"/>
        <rFont val="Calibri"/>
        <family val="2"/>
      </rPr>
      <t>*1</t>
    </r>
    <r>
      <rPr>
        <sz val="12"/>
        <color theme="1"/>
        <rFont val="宋体"/>
        <family val="3"/>
        <charset val="134"/>
      </rPr>
      <t>，视力宝</t>
    </r>
    <r>
      <rPr>
        <sz val="12"/>
        <color theme="1"/>
        <rFont val="Calibri"/>
        <family val="2"/>
      </rPr>
      <t>*3</t>
    </r>
    <r>
      <rPr>
        <sz val="12"/>
        <color theme="1"/>
        <rFont val="宋体"/>
        <family val="3"/>
        <charset val="134"/>
      </rPr>
      <t>，葡萄籽</t>
    </r>
    <r>
      <rPr>
        <sz val="12"/>
        <color theme="1"/>
        <rFont val="Calibri"/>
        <family val="2"/>
      </rPr>
      <t>*1</t>
    </r>
  </si>
  <si>
    <t>USANA，USANA，USANA，USANA，USANA，USANA，USANA</t>
  </si>
  <si>
    <t>刘越中</t>
  </si>
  <si>
    <t>海南省陵水县英州镇清水湾大道碧海帆影小区C1-2501室</t>
  </si>
  <si>
    <t>周亮</t>
  </si>
  <si>
    <t>海南省陵水县新村镇新品路042号</t>
  </si>
  <si>
    <t>310105197911050423</t>
  </si>
  <si>
    <t>周亮310105197911050423</t>
  </si>
  <si>
    <t>9769148595797</t>
  </si>
  <si>
    <t>SC20200034016</t>
  </si>
  <si>
    <r>
      <rPr>
        <sz val="12"/>
        <color theme="1"/>
        <rFont val="宋体"/>
        <family val="3"/>
        <charset val="134"/>
      </rPr>
      <t>身体乳</t>
    </r>
    <r>
      <rPr>
        <sz val="12"/>
        <color theme="1"/>
        <rFont val="Calibri"/>
        <family val="2"/>
      </rPr>
      <t>*2</t>
    </r>
    <r>
      <rPr>
        <sz val="12"/>
        <color theme="1"/>
        <rFont val="宋体"/>
        <family val="3"/>
        <charset val="134"/>
      </rPr>
      <t>，身体油</t>
    </r>
    <r>
      <rPr>
        <sz val="12"/>
        <color theme="1"/>
        <rFont val="Calibri"/>
        <family val="2"/>
      </rPr>
      <t>*2</t>
    </r>
    <r>
      <rPr>
        <sz val="12"/>
        <color theme="1"/>
        <rFont val="宋体"/>
        <family val="3"/>
        <charset val="134"/>
      </rPr>
      <t>，乳液</t>
    </r>
    <r>
      <rPr>
        <sz val="12"/>
        <color theme="1"/>
        <rFont val="Calibri"/>
        <family val="2"/>
      </rPr>
      <t>*1</t>
    </r>
    <r>
      <rPr>
        <sz val="12"/>
        <color theme="1"/>
        <rFont val="宋体"/>
        <family val="3"/>
        <charset val="134"/>
      </rPr>
      <t>，防晒霜</t>
    </r>
    <r>
      <rPr>
        <sz val="12"/>
        <color theme="1"/>
        <rFont val="Calibri"/>
        <family val="2"/>
      </rPr>
      <t>*1</t>
    </r>
  </si>
  <si>
    <t>CLARINS，CLARINS，CLARINS，LANCOME</t>
  </si>
  <si>
    <t>王涛</t>
  </si>
  <si>
    <t>四川省广安市广安区城南明发国际广场(市公安局侧门)</t>
  </si>
  <si>
    <t>郭然然</t>
  </si>
  <si>
    <t>四川省广安市广安区万盛东路118号神龙时代晶华</t>
  </si>
  <si>
    <t>410725198801145428</t>
  </si>
  <si>
    <t>郭然然410725198801145428</t>
  </si>
  <si>
    <t>9769148585597</t>
  </si>
  <si>
    <t>SC20200013786</t>
  </si>
  <si>
    <r>
      <rPr>
        <sz val="12"/>
        <color theme="1"/>
        <rFont val="宋体"/>
        <family val="3"/>
        <charset val="134"/>
      </rPr>
      <t>视力宝</t>
    </r>
    <r>
      <rPr>
        <sz val="12"/>
        <color theme="1"/>
        <rFont val="Calibri"/>
        <family val="2"/>
      </rPr>
      <t>*4</t>
    </r>
    <r>
      <rPr>
        <sz val="12"/>
        <color theme="1"/>
        <rFont val="宋体"/>
        <family val="3"/>
        <charset val="134"/>
      </rPr>
      <t>，心脏宝</t>
    </r>
    <r>
      <rPr>
        <sz val="12"/>
        <color theme="1"/>
        <rFont val="Calibri"/>
        <family val="2"/>
      </rPr>
      <t>*4</t>
    </r>
    <r>
      <rPr>
        <sz val="12"/>
        <color theme="1"/>
        <rFont val="宋体"/>
        <family val="3"/>
        <charset val="134"/>
      </rPr>
      <t>，健骼宁</t>
    </r>
    <r>
      <rPr>
        <sz val="12"/>
        <color theme="1"/>
        <rFont val="Calibri"/>
        <family val="2"/>
      </rPr>
      <t>*4</t>
    </r>
  </si>
  <si>
    <r>
      <rPr>
        <sz val="12"/>
        <color theme="1"/>
        <rFont val="Calibri"/>
        <family val="2"/>
      </rPr>
      <t>28</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</si>
  <si>
    <t>周传军</t>
  </si>
  <si>
    <t>山东省烟台市芝罘区机场路2号</t>
  </si>
  <si>
    <t>王越</t>
  </si>
  <si>
    <t>山东省烟台市芝罘区万达公馆3-2-1401</t>
  </si>
  <si>
    <t>220104198004118216</t>
  </si>
  <si>
    <t>王越220104198004118216</t>
  </si>
  <si>
    <t>9769148582497</t>
  </si>
  <si>
    <t>SC20200033878</t>
  </si>
  <si>
    <r>
      <rPr>
        <sz val="12"/>
        <color theme="1"/>
        <rFont val="宋体"/>
        <family val="3"/>
        <charset val="134"/>
      </rPr>
      <t>眼精华</t>
    </r>
    <r>
      <rPr>
        <sz val="12"/>
        <color theme="1"/>
        <rFont val="Calibri"/>
        <family val="2"/>
      </rPr>
      <t>*5</t>
    </r>
  </si>
  <si>
    <t>ELIZABETH ARDEN</t>
  </si>
  <si>
    <t xml:space="preserve">石文峰 </t>
  </si>
  <si>
    <t>天津市和平区南马路11号创新大厦A座2318</t>
  </si>
  <si>
    <t>370214198810114595</t>
  </si>
  <si>
    <t>石文峰 370214198810114595</t>
  </si>
  <si>
    <t>9769148576797</t>
  </si>
  <si>
    <t>SC20190102637</t>
  </si>
  <si>
    <r>
      <rPr>
        <sz val="12"/>
        <color theme="1"/>
        <rFont val="宋体"/>
        <family val="3"/>
        <charset val="134"/>
      </rPr>
      <t>小样眼影</t>
    </r>
    <r>
      <rPr>
        <sz val="12"/>
        <color theme="1"/>
        <rFont val="Calibri"/>
        <family val="2"/>
      </rPr>
      <t>*2</t>
    </r>
    <r>
      <rPr>
        <sz val="12"/>
        <color theme="1"/>
        <rFont val="宋体"/>
        <family val="3"/>
        <charset val="134"/>
      </rPr>
      <t>，小样口红</t>
    </r>
    <r>
      <rPr>
        <sz val="12"/>
        <color theme="1"/>
        <rFont val="Calibri"/>
        <family val="2"/>
      </rPr>
      <t>*3</t>
    </r>
    <r>
      <rPr>
        <sz val="12"/>
        <color theme="1"/>
        <rFont val="宋体"/>
        <family val="3"/>
        <charset val="134"/>
      </rPr>
      <t>，小样睫毛</t>
    </r>
    <r>
      <rPr>
        <sz val="12"/>
        <color theme="1"/>
        <rFont val="Calibri"/>
        <family val="2"/>
      </rPr>
      <t>*6</t>
    </r>
    <r>
      <rPr>
        <sz val="12"/>
        <color theme="1"/>
        <rFont val="宋体"/>
        <family val="3"/>
        <charset val="134"/>
      </rPr>
      <t>，小样卸妆</t>
    </r>
    <r>
      <rPr>
        <sz val="12"/>
        <color theme="1"/>
        <rFont val="Calibri"/>
        <family val="2"/>
      </rPr>
      <t>*4</t>
    </r>
    <r>
      <rPr>
        <sz val="12"/>
        <color theme="1"/>
        <rFont val="宋体"/>
        <family val="3"/>
        <charset val="134"/>
      </rPr>
      <t>，小样面膜</t>
    </r>
    <r>
      <rPr>
        <sz val="12"/>
        <color theme="1"/>
        <rFont val="Calibri"/>
        <family val="2"/>
      </rPr>
      <t>*1</t>
    </r>
  </si>
  <si>
    <t>ESTEE LAUDER，LANCOME，LANCOME，LANCOME，LANCOME</t>
  </si>
  <si>
    <r>
      <rPr>
        <sz val="12"/>
        <color theme="1"/>
        <rFont val="宋体"/>
        <family val="3"/>
        <charset val="134"/>
      </rPr>
      <t>，，，，</t>
    </r>
    <r>
      <rPr>
        <sz val="12"/>
        <color theme="1"/>
        <rFont val="Calibri"/>
        <family val="2"/>
      </rPr>
      <t>15ML</t>
    </r>
  </si>
  <si>
    <t>罗飞</t>
  </si>
  <si>
    <t>天津市和平区南京路诚基中心三号楼</t>
  </si>
  <si>
    <t>王磊</t>
  </si>
  <si>
    <t>360102198210025377</t>
  </si>
  <si>
    <t>王磊360102198210025377</t>
  </si>
  <si>
    <t>9769148580797</t>
  </si>
  <si>
    <t>SC20200032959</t>
  </si>
  <si>
    <r>
      <rPr>
        <sz val="12"/>
        <color theme="1"/>
        <rFont val="宋体"/>
        <family val="3"/>
        <charset val="134"/>
      </rPr>
      <t>蜗牛霜</t>
    </r>
    <r>
      <rPr>
        <sz val="12"/>
        <color theme="1"/>
        <rFont val="Calibri"/>
        <family val="2"/>
      </rPr>
      <t>*1</t>
    </r>
    <r>
      <rPr>
        <sz val="12"/>
        <color theme="1"/>
        <rFont val="宋体"/>
        <family val="3"/>
        <charset val="134"/>
      </rPr>
      <t>，口红</t>
    </r>
    <r>
      <rPr>
        <sz val="12"/>
        <color theme="1"/>
        <rFont val="Calibri"/>
        <family val="2"/>
      </rPr>
      <t>*5</t>
    </r>
  </si>
  <si>
    <t>MIZON，YSL</t>
  </si>
  <si>
    <t>虞鑫</t>
  </si>
  <si>
    <t>天津市和平区南京路诚基中心商业街A1141</t>
  </si>
  <si>
    <t>张颖</t>
  </si>
  <si>
    <t>天津市和平区保定道21号4楼金盾中心</t>
  </si>
  <si>
    <t>230106197705140846</t>
  </si>
  <si>
    <t>张颖230106197705140846</t>
  </si>
  <si>
    <t>9769148626397</t>
  </si>
  <si>
    <t>SC20200032361</t>
  </si>
  <si>
    <r>
      <rPr>
        <sz val="12"/>
        <color theme="1"/>
        <rFont val="宋体"/>
        <family val="3"/>
        <charset val="134"/>
      </rPr>
      <t>小黑瓶</t>
    </r>
    <r>
      <rPr>
        <sz val="12"/>
        <color theme="1"/>
        <rFont val="Calibri"/>
        <family val="2"/>
      </rPr>
      <t>*3</t>
    </r>
  </si>
  <si>
    <t>30ML+7ML*4+1ML*2</t>
  </si>
  <si>
    <t>石文英</t>
  </si>
  <si>
    <t>易礼秋</t>
  </si>
  <si>
    <t>天津市和平区保定道松寿里2-401</t>
  </si>
  <si>
    <t>44022519720823794X</t>
  </si>
  <si>
    <t>易礼秋44022519720823794X</t>
  </si>
  <si>
    <t>9769148589097</t>
  </si>
  <si>
    <t>SC20190102279</t>
  </si>
  <si>
    <r>
      <rPr>
        <sz val="12"/>
        <color theme="1"/>
        <rFont val="宋体"/>
        <family val="3"/>
        <charset val="134"/>
      </rPr>
      <t>视力宝</t>
    </r>
    <r>
      <rPr>
        <sz val="12"/>
        <color theme="1"/>
        <rFont val="Calibri"/>
        <family val="2"/>
      </rPr>
      <t>*2</t>
    </r>
    <r>
      <rPr>
        <sz val="12"/>
        <color theme="1"/>
        <rFont val="宋体"/>
        <family val="3"/>
        <charset val="134"/>
      </rPr>
      <t>，酵素</t>
    </r>
    <r>
      <rPr>
        <sz val="12"/>
        <color theme="1"/>
        <rFont val="Calibri"/>
        <family val="2"/>
      </rPr>
      <t>*1</t>
    </r>
    <r>
      <rPr>
        <sz val="12"/>
        <color theme="1"/>
        <rFont val="宋体"/>
        <family val="3"/>
        <charset val="134"/>
      </rPr>
      <t>，维生素</t>
    </r>
    <r>
      <rPr>
        <sz val="12"/>
        <color theme="1"/>
        <rFont val="Calibri"/>
        <family val="2"/>
      </rPr>
      <t>C*1</t>
    </r>
    <r>
      <rPr>
        <sz val="12"/>
        <color theme="1"/>
        <rFont val="宋体"/>
        <family val="3"/>
        <charset val="134"/>
      </rPr>
      <t>，鱼油</t>
    </r>
    <r>
      <rPr>
        <sz val="12"/>
        <color theme="1"/>
        <rFont val="Calibri"/>
        <family val="2"/>
      </rPr>
      <t>*1</t>
    </r>
    <r>
      <rPr>
        <sz val="12"/>
        <color theme="1"/>
        <rFont val="宋体"/>
        <family val="3"/>
        <charset val="134"/>
      </rPr>
      <t>，益生菌</t>
    </r>
    <r>
      <rPr>
        <sz val="12"/>
        <color theme="1"/>
        <rFont val="Calibri"/>
        <family val="2"/>
      </rPr>
      <t>*4</t>
    </r>
    <r>
      <rPr>
        <sz val="12"/>
        <color theme="1"/>
        <rFont val="宋体"/>
        <family val="3"/>
        <charset val="134"/>
      </rPr>
      <t>，健康包</t>
    </r>
    <r>
      <rPr>
        <sz val="12"/>
        <color theme="1"/>
        <rFont val="Calibri"/>
        <family val="2"/>
      </rPr>
      <t>*1</t>
    </r>
  </si>
  <si>
    <r>
      <rPr>
        <sz val="12"/>
        <color theme="1"/>
        <rFont val="Calibri"/>
        <family val="2"/>
      </rPr>
      <t>28</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14</t>
    </r>
    <r>
      <rPr>
        <sz val="12"/>
        <color theme="1"/>
        <rFont val="宋体"/>
        <family val="3"/>
        <charset val="134"/>
      </rPr>
      <t>条，</t>
    </r>
    <r>
      <rPr>
        <sz val="12"/>
        <color theme="1"/>
        <rFont val="Calibri"/>
        <family val="2"/>
      </rPr>
      <t>56</t>
    </r>
    <r>
      <rPr>
        <sz val="12"/>
        <color theme="1"/>
        <rFont val="宋体"/>
        <family val="3"/>
        <charset val="134"/>
      </rPr>
      <t>袋</t>
    </r>
  </si>
  <si>
    <t>王春虹</t>
  </si>
  <si>
    <t>北京市海淀区远大西路远大园1区4-3-B1F</t>
  </si>
  <si>
    <t>梁健聪</t>
  </si>
  <si>
    <t>440181198107038124</t>
  </si>
  <si>
    <t>梁健聪440181198107038124</t>
  </si>
  <si>
    <t>9769148653897</t>
  </si>
  <si>
    <t>SC02349000007</t>
  </si>
  <si>
    <t>基础如沛*1，长青配方*2，芦荟*1，晚霜*7</t>
  </si>
  <si>
    <r>
      <rPr>
        <sz val="12"/>
        <color rgb="FF000000"/>
        <rFont val="Calibri"/>
        <family val="2"/>
      </rPr>
      <t>60</t>
    </r>
    <r>
      <rPr>
        <sz val="12"/>
        <color rgb="FF000000"/>
        <rFont val="宋体"/>
        <family val="3"/>
        <charset val="134"/>
      </rPr>
      <t>包，</t>
    </r>
    <r>
      <rPr>
        <sz val="12"/>
        <color rgb="FF000000"/>
        <rFont val="Calibri"/>
        <family val="2"/>
      </rPr>
      <t>120</t>
    </r>
    <r>
      <rPr>
        <sz val="12"/>
        <color rgb="FF000000"/>
        <rFont val="宋体"/>
        <family val="3"/>
        <charset val="134"/>
      </rPr>
      <t>粒，</t>
    </r>
    <r>
      <rPr>
        <sz val="12"/>
        <color rgb="FF000000"/>
        <rFont val="Calibri"/>
        <family val="2"/>
      </rPr>
      <t>100ML</t>
    </r>
    <r>
      <rPr>
        <sz val="12"/>
        <color rgb="FF000000"/>
        <rFont val="宋体"/>
        <family val="3"/>
        <charset val="134"/>
      </rPr>
      <t>，</t>
    </r>
    <r>
      <rPr>
        <sz val="12"/>
        <color rgb="FF000000"/>
        <rFont val="Calibri"/>
        <family val="2"/>
      </rPr>
      <t>75ML</t>
    </r>
  </si>
  <si>
    <t>郑子斐</t>
  </si>
  <si>
    <t>广东省深圳市宝安区福永街道办新和东四巷3号一楼驿马国际集运仓</t>
  </si>
  <si>
    <t>胡至钒</t>
  </si>
  <si>
    <t>350303198912311023</t>
  </si>
  <si>
    <t>胡至钒350303198912311023</t>
  </si>
  <si>
    <t>9769148654197</t>
  </si>
  <si>
    <t>SC03290200004</t>
  </si>
  <si>
    <t>长青配方*2，平方复配*2，辅酶*5，骨配方*1</t>
  </si>
  <si>
    <r>
      <rPr>
        <sz val="12"/>
        <color theme="1"/>
        <rFont val="Calibri"/>
        <family val="2"/>
      </rPr>
      <t>120</t>
    </r>
    <r>
      <rPr>
        <sz val="12"/>
        <color theme="1"/>
        <rFont val="宋体"/>
        <family val="3"/>
        <charset val="134"/>
      </rPr>
      <t>粒，</t>
    </r>
    <r>
      <rPr>
        <sz val="12"/>
        <color theme="1"/>
        <rFont val="Calibri"/>
        <family val="2"/>
      </rPr>
      <t>240</t>
    </r>
    <r>
      <rPr>
        <sz val="12"/>
        <color theme="1"/>
        <rFont val="宋体"/>
        <family val="3"/>
        <charset val="134"/>
      </rPr>
      <t>粒，</t>
    </r>
    <r>
      <rPr>
        <sz val="12"/>
        <color theme="1"/>
        <rFont val="Calibri"/>
        <family val="2"/>
      </rPr>
      <t>30</t>
    </r>
    <r>
      <rPr>
        <sz val="12"/>
        <color theme="1"/>
        <rFont val="宋体"/>
        <family val="3"/>
        <charset val="134"/>
      </rPr>
      <t>粒，</t>
    </r>
    <r>
      <rPr>
        <sz val="12"/>
        <color theme="1"/>
        <rFont val="Calibri"/>
        <family val="2"/>
      </rPr>
      <t>180</t>
    </r>
    <r>
      <rPr>
        <sz val="12"/>
        <color theme="1"/>
        <rFont val="宋体"/>
        <family val="3"/>
        <charset val="134"/>
      </rPr>
      <t>粒</t>
    </r>
  </si>
  <si>
    <t>侯少梅</t>
  </si>
  <si>
    <t>北京市朝阳区东坝南一街2号院11号楼2单元201</t>
  </si>
  <si>
    <t>张容</t>
  </si>
  <si>
    <t>北京市朝阳区SOHO尚都北塔A座2256马泷齿科北京皓康门诊部</t>
  </si>
  <si>
    <t>352201198110161629</t>
  </si>
  <si>
    <t>张容352201198110161629</t>
  </si>
  <si>
    <t>9769148655597</t>
  </si>
  <si>
    <t>SC02384300002</t>
  </si>
  <si>
    <t>基础如沛*2</t>
  </si>
  <si>
    <t>吴在舟</t>
  </si>
  <si>
    <t xml:space="preserve">广州市南沙区南沙街道怡山大道50号  </t>
  </si>
  <si>
    <t>刘静蕊</t>
  </si>
  <si>
    <t>广东省广州市先烈中路69号东山广场2505-08室</t>
  </si>
  <si>
    <t>500109198711082346</t>
  </si>
  <si>
    <t>刘静蕊500109198711082346</t>
  </si>
  <si>
    <t>9769148656997</t>
  </si>
  <si>
    <t>SC02384300006</t>
  </si>
  <si>
    <t>李秀娟</t>
  </si>
  <si>
    <t>广州市南沙区江美路6号（南横地铁口边）南横公寓</t>
  </si>
  <si>
    <t>杨赜徽</t>
  </si>
  <si>
    <t>452123198602125823</t>
  </si>
  <si>
    <t>杨赜徽452123198602125823</t>
  </si>
  <si>
    <t>9769148657297</t>
  </si>
  <si>
    <t>SC02384300010</t>
  </si>
  <si>
    <t>李立华</t>
  </si>
  <si>
    <t xml:space="preserve">广州市南沙区南沙街南横村顷二街   </t>
  </si>
  <si>
    <t>陈浈针</t>
  </si>
  <si>
    <t>320683198910130627</t>
  </si>
  <si>
    <t>陈浈针320683198910130627</t>
  </si>
  <si>
    <t>9769148658697</t>
  </si>
  <si>
    <t>SC03424700022</t>
  </si>
  <si>
    <t>石亮亮</t>
  </si>
  <si>
    <t>辽宁省营口市鲅鱼圈区熊岳镇西八三泵站岳阳卖店</t>
  </si>
  <si>
    <t>210402198005302420</t>
  </si>
  <si>
    <t>石亮亮210402198005302420</t>
  </si>
  <si>
    <t>9769148659097</t>
  </si>
  <si>
    <t>SC03424700026</t>
  </si>
  <si>
    <t>付金国</t>
  </si>
  <si>
    <t>辽宁省大连市甘井子区营城子镇对门沟村</t>
  </si>
  <si>
    <t>钟向东</t>
  </si>
  <si>
    <t>440102196810104838</t>
  </si>
  <si>
    <t>钟向东440102196810104838</t>
  </si>
  <si>
    <t>9769148660997</t>
  </si>
  <si>
    <t>SC11527700004</t>
  </si>
  <si>
    <t>蒋欣吉</t>
  </si>
  <si>
    <t>浙江省杭州市拱墅区世纪新筑8-2-1201</t>
  </si>
  <si>
    <t>320683198411010049</t>
  </si>
  <si>
    <t>蒋欣吉320683198411010049</t>
  </si>
  <si>
    <t>9769148566597</t>
  </si>
  <si>
    <t>SC20200032034</t>
  </si>
  <si>
    <t>敷面膏*2，舒纹精华*5，磨砂膏*6</t>
  </si>
  <si>
    <t>NUSKIN，NUSKIN，NUSKIN</t>
  </si>
  <si>
    <r>
      <rPr>
        <sz val="12"/>
        <color theme="1"/>
        <rFont val="宋体"/>
        <family val="3"/>
        <charset val="134"/>
      </rPr>
      <t>，，</t>
    </r>
  </si>
  <si>
    <t>李群</t>
  </si>
  <si>
    <t>山东省德州市禹城市汉槐街福秀水城5号楼</t>
  </si>
  <si>
    <t>53252219710428032X</t>
  </si>
  <si>
    <t>李群53252219710428032X</t>
  </si>
  <si>
    <t>9769148661297</t>
  </si>
  <si>
    <t>SC02384300014</t>
  </si>
  <si>
    <t xml:space="preserve">邓玫 </t>
  </si>
  <si>
    <t>广州市南沙区南沙街道林荫大街10号</t>
  </si>
  <si>
    <t>曾梦瑶</t>
  </si>
  <si>
    <t>420521199604075328</t>
  </si>
  <si>
    <t>曾梦瑶420521199604075328</t>
  </si>
  <si>
    <t>9769148662697</t>
  </si>
  <si>
    <t>SC02384300018</t>
  </si>
  <si>
    <t xml:space="preserve">何任荣 </t>
  </si>
  <si>
    <t xml:space="preserve">广州市南沙区南沙街道云岭大街16号  </t>
  </si>
  <si>
    <t>邓璐</t>
  </si>
  <si>
    <t>广东省广州市前进路基立大道北嘉汇街17号嘉汇华庭C座603室</t>
  </si>
  <si>
    <t>520102198410144020</t>
  </si>
  <si>
    <t>邓璐520102198410144020</t>
  </si>
  <si>
    <t>9769148663097</t>
  </si>
  <si>
    <t>SC02384100009</t>
  </si>
  <si>
    <r>
      <rPr>
        <sz val="12"/>
        <color theme="1"/>
        <rFont val="宋体"/>
        <family val="3"/>
        <charset val="134"/>
      </rPr>
      <t>紧肤水</t>
    </r>
    <r>
      <rPr>
        <sz val="12"/>
        <color theme="1"/>
        <rFont val="Calibri"/>
        <family val="2"/>
      </rPr>
      <t>*5</t>
    </r>
    <r>
      <rPr>
        <sz val="12"/>
        <color theme="1"/>
        <rFont val="宋体"/>
        <family val="3"/>
        <charset val="134"/>
      </rPr>
      <t>，紧肤粉</t>
    </r>
    <r>
      <rPr>
        <sz val="12"/>
        <color theme="1"/>
        <rFont val="Calibri"/>
        <family val="2"/>
      </rPr>
      <t>*5</t>
    </r>
  </si>
  <si>
    <t xml:space="preserve">李翔  </t>
  </si>
  <si>
    <t xml:space="preserve">广州市南沙区南沙街道湖岸东二街1号 </t>
  </si>
  <si>
    <t>顾静</t>
  </si>
  <si>
    <t>广东省广州市从化区街口街中蓝东二巷1幢601房</t>
  </si>
  <si>
    <t>320705198112223606</t>
  </si>
  <si>
    <t>顾静320705198112223606</t>
  </si>
  <si>
    <t>9769148664397</t>
  </si>
  <si>
    <t>SC02384100013</t>
  </si>
  <si>
    <t>刘炎</t>
  </si>
  <si>
    <t xml:space="preserve">广州市南沙区南沙奥园  </t>
  </si>
  <si>
    <t>郭娜</t>
  </si>
  <si>
    <t>广东省广州市从化区江浦街广州城建职业学院</t>
  </si>
  <si>
    <t>230826198907230223</t>
  </si>
  <si>
    <t>郭娜230826198907230223</t>
  </si>
  <si>
    <t>9769148665797</t>
  </si>
  <si>
    <t>SC02384100017</t>
  </si>
  <si>
    <t>吴刚</t>
  </si>
  <si>
    <t xml:space="preserve">广东省广州市南沙区南沙澳园4区 15栋 </t>
  </si>
  <si>
    <t>谭曼莉</t>
  </si>
  <si>
    <t>广东省广州市南沙区东涌镇西樵工业园普腾科技</t>
  </si>
  <si>
    <t>430426198903163524</t>
  </si>
  <si>
    <t>谭曼莉430426198903163524</t>
  </si>
  <si>
    <t>9769148600897</t>
  </si>
  <si>
    <t>SC20200020789</t>
  </si>
  <si>
    <t>耿远</t>
  </si>
  <si>
    <t>山东省德州市庆云县渤海路街道彩云居南</t>
  </si>
  <si>
    <t>刘海亮</t>
  </si>
  <si>
    <t>500228198611106157</t>
  </si>
  <si>
    <t>刘海亮500228198611106157</t>
  </si>
  <si>
    <t>9769148666597</t>
  </si>
  <si>
    <t>SC03312300003</t>
  </si>
  <si>
    <t>黄婷婷</t>
  </si>
  <si>
    <t>广东省深圳市龙岗区中心城爱心路53号龙岗区人民医院住院部十五楼康复科</t>
  </si>
  <si>
    <t>352231198807080325</t>
  </si>
  <si>
    <t>黄婷婷352231198807080325</t>
  </si>
  <si>
    <t>9769148667497</t>
  </si>
  <si>
    <t>SC03424700019</t>
  </si>
  <si>
    <t>李莉</t>
  </si>
  <si>
    <t>辽宁省大连市甘井子区中华西路119号工商银行</t>
  </si>
  <si>
    <t>210682198511245468</t>
  </si>
  <si>
    <t>李莉210682198511245468</t>
  </si>
  <si>
    <t>9769148668897</t>
  </si>
  <si>
    <t>SC03424700023</t>
  </si>
  <si>
    <t>林元芬</t>
  </si>
  <si>
    <t>辽宁省营口市鲅鱼圈区F区24号楼1单元101</t>
  </si>
  <si>
    <t>450111198511070348</t>
  </si>
  <si>
    <t>林元芬450111198511070348</t>
  </si>
  <si>
    <t>9769148669197</t>
  </si>
  <si>
    <t>SC03424700027</t>
  </si>
  <si>
    <t>罗雪蕾</t>
  </si>
  <si>
    <t>辽宁省营口市鲅鱼圈港四号门竹香居宾馆</t>
  </si>
  <si>
    <t>441900198301270062</t>
  </si>
  <si>
    <t>罗雪蕾441900198301270062</t>
  </si>
  <si>
    <t>9769148670597</t>
  </si>
  <si>
    <t>SC11527700005</t>
  </si>
  <si>
    <t>浙江省杭州市拱墅区丰登街上尚庭10-1702</t>
  </si>
  <si>
    <t>140322197507230057</t>
  </si>
  <si>
    <t>吴亚卓140322197507230057</t>
  </si>
  <si>
    <t>9769148562597</t>
  </si>
  <si>
    <t>SC20200017470</t>
  </si>
  <si>
    <t>郭爱敏</t>
  </si>
  <si>
    <t>山东省德州市庆云县渤海路街道地税家园斜对过</t>
  </si>
  <si>
    <t>山东省德州市德城区华兴路14号华兴欣苑11号楼二单元702</t>
  </si>
  <si>
    <t>360722199311134815</t>
  </si>
  <si>
    <t>郭爱敏360722199311134815</t>
  </si>
  <si>
    <t>9769148567997</t>
  </si>
  <si>
    <t>SC20200017436</t>
  </si>
  <si>
    <t>杨文</t>
  </si>
  <si>
    <t>山东省德州市德城区嘉诚尚东C10</t>
  </si>
  <si>
    <t>511521198904285827</t>
  </si>
  <si>
    <t>杨文511521198904285827</t>
  </si>
  <si>
    <t>9769148564897</t>
  </si>
  <si>
    <t>SC20200017437</t>
  </si>
  <si>
    <t>山东省德州市禹城市通衢路2731号</t>
  </si>
  <si>
    <t>341125199701192539</t>
  </si>
  <si>
    <t>郭林341125199701192539</t>
  </si>
  <si>
    <t>9769148299597</t>
  </si>
  <si>
    <t>MM2020100770</t>
  </si>
  <si>
    <t>211303198804151640</t>
  </si>
  <si>
    <t>白雨211303198804151640</t>
  </si>
  <si>
    <t>9769116645497</t>
  </si>
  <si>
    <t>MM2020100776</t>
  </si>
  <si>
    <r>
      <rPr>
        <sz val="12"/>
        <color rgb="FF000000"/>
        <rFont val="Heiti SC Light"/>
        <family val="1"/>
      </rPr>
      <t>眼胶</t>
    </r>
    <r>
      <rPr>
        <sz val="12"/>
        <color rgb="FF000000"/>
        <rFont val="Arial"/>
        <family val="2"/>
      </rPr>
      <t>*3</t>
    </r>
  </si>
  <si>
    <t>周蕴</t>
  </si>
  <si>
    <t>330825198211076528</t>
  </si>
  <si>
    <t>周蕴330825198211076528</t>
  </si>
  <si>
    <t>9769148671497</t>
  </si>
  <si>
    <t>SC02384300003</t>
  </si>
  <si>
    <t xml:space="preserve">彭琼芳 </t>
  </si>
  <si>
    <t xml:space="preserve">广州市南沙区南沙街道养生街1号   </t>
  </si>
  <si>
    <t>谭丽华</t>
  </si>
  <si>
    <t>广东省广州市从化明珠工业园明珠大道南26号</t>
  </si>
  <si>
    <t>441322198701015525</t>
  </si>
  <si>
    <t>谭丽华441322198701015525</t>
  </si>
  <si>
    <t>9769148672897</t>
  </si>
  <si>
    <t>SC02384300007</t>
  </si>
  <si>
    <t xml:space="preserve">广州市南沙区南沙街环市大道南20号 </t>
  </si>
  <si>
    <t>王韶华</t>
  </si>
  <si>
    <t>广东省广州市南沙区港前大道时代南湾三期9号楼1单元1203</t>
  </si>
  <si>
    <t>410822198801062012</t>
  </si>
  <si>
    <t>王韶华410822198801062012</t>
  </si>
  <si>
    <t>9769148673197</t>
  </si>
  <si>
    <t>SC02384300011</t>
  </si>
  <si>
    <t>王瑞</t>
  </si>
  <si>
    <t>广东省广州市化从城大道莱茵水岸乔茵水岸乔茵苑2101房</t>
  </si>
  <si>
    <t>340103198504032022</t>
  </si>
  <si>
    <t>王瑞340103198504032022</t>
  </si>
  <si>
    <t>9769148280597</t>
  </si>
  <si>
    <t>MM2020100781</t>
  </si>
  <si>
    <t>面胶*1，眼胶*2</t>
  </si>
  <si>
    <t>Arden，Arden</t>
  </si>
  <si>
    <t>刘奇</t>
  </si>
  <si>
    <t>江西省南昌市青山湖区万科金域国际22栋</t>
  </si>
  <si>
    <t>马涵飞</t>
  </si>
  <si>
    <t>江西省南昌市青云谱区万科润园44栋一单元102</t>
  </si>
  <si>
    <t>330683198901303225</t>
  </si>
  <si>
    <t>马涵飞330683198901303225</t>
  </si>
  <si>
    <t>9769148278897</t>
  </si>
  <si>
    <t>MM2020100785</t>
  </si>
  <si>
    <t>眼胶*2，面霜*1</t>
  </si>
  <si>
    <t>孙彩燕</t>
  </si>
  <si>
    <t>上海市闵行区七莘路2358弄3号302室</t>
  </si>
  <si>
    <t>钟静</t>
  </si>
  <si>
    <t>上海市闵行区七宝镇七宝青年路188号402室</t>
  </si>
  <si>
    <t>450702198004058420</t>
  </si>
  <si>
    <t>钟静450702198004058420</t>
  </si>
  <si>
    <t>9769148286297</t>
  </si>
  <si>
    <t>MM2020100800</t>
  </si>
  <si>
    <t>渠时光</t>
  </si>
  <si>
    <t xml:space="preserve">江苏省 徐州市 丰县 赵庄镇中心花园高中部家属院  </t>
  </si>
  <si>
    <t>赵玉梅</t>
  </si>
  <si>
    <t>江苏省徐州市丰县中阳里街道人民中路8号丰县县委大院</t>
  </si>
  <si>
    <t>413001195702062520</t>
  </si>
  <si>
    <t>赵玉梅413001195702062520</t>
  </si>
  <si>
    <t>9769148674597</t>
  </si>
  <si>
    <t>SC20200033709</t>
  </si>
  <si>
    <r>
      <rPr>
        <sz val="12"/>
        <color theme="1"/>
        <rFont val="宋体"/>
        <family val="3"/>
        <charset val="134"/>
      </rPr>
      <t>补水面膜</t>
    </r>
    <r>
      <rPr>
        <sz val="12"/>
        <color theme="1"/>
        <rFont val="Calibri"/>
        <family val="2"/>
      </rPr>
      <t>*7</t>
    </r>
    <r>
      <rPr>
        <sz val="12"/>
        <color theme="1"/>
        <rFont val="宋体"/>
        <family val="3"/>
        <charset val="134"/>
      </rPr>
      <t>，抗皱</t>
    </r>
    <r>
      <rPr>
        <sz val="12"/>
        <color theme="1"/>
        <rFont val="Calibri"/>
        <family val="2"/>
      </rPr>
      <t>*3</t>
    </r>
    <r>
      <rPr>
        <sz val="12"/>
        <color theme="1"/>
        <rFont val="宋体"/>
        <family val="3"/>
        <charset val="134"/>
      </rPr>
      <t>，蓝珍珠</t>
    </r>
    <r>
      <rPr>
        <sz val="12"/>
        <color theme="1"/>
        <rFont val="Calibri"/>
        <family val="2"/>
      </rPr>
      <t>*2</t>
    </r>
    <r>
      <rPr>
        <sz val="12"/>
        <color theme="1"/>
        <rFont val="宋体"/>
        <family val="3"/>
        <charset val="134"/>
      </rPr>
      <t>，晚霜</t>
    </r>
    <r>
      <rPr>
        <sz val="12"/>
        <color theme="1"/>
        <rFont val="Calibri"/>
        <family val="2"/>
      </rPr>
      <t>*2</t>
    </r>
  </si>
  <si>
    <t>100ML，30ML，60粒，75ML</t>
  </si>
  <si>
    <t>郑远</t>
  </si>
  <si>
    <t>山东省德州市庆云县水立方商务会所东100米</t>
  </si>
  <si>
    <t>向洁</t>
  </si>
  <si>
    <t>山东省日照市莒县振兴东路46号供电公司东门</t>
  </si>
  <si>
    <t>511023198106230042</t>
  </si>
  <si>
    <t>向洁511023198106230042</t>
  </si>
  <si>
    <t>9769148675997</t>
  </si>
  <si>
    <t>SC03262500002</t>
  </si>
  <si>
    <t>刘利平</t>
  </si>
  <si>
    <t>杨丽</t>
  </si>
  <si>
    <t>山东省日照市东港区艳阳路安泰星河港湾3号楼2单元2902</t>
  </si>
  <si>
    <t>510183198509178323</t>
  </si>
  <si>
    <t>杨丽510183198509178323</t>
  </si>
  <si>
    <t>9769148676297</t>
  </si>
  <si>
    <t>SC02399700003</t>
  </si>
  <si>
    <r>
      <rPr>
        <sz val="12"/>
        <color theme="1"/>
        <rFont val="宋体"/>
        <family val="3"/>
        <charset val="134"/>
      </rPr>
      <t>补水面膜</t>
    </r>
    <r>
      <rPr>
        <sz val="12"/>
        <color theme="1"/>
        <rFont val="Calibri"/>
        <family val="2"/>
      </rPr>
      <t>*10</t>
    </r>
    <r>
      <rPr>
        <sz val="12"/>
        <color theme="1"/>
        <rFont val="宋体"/>
        <family val="3"/>
        <charset val="134"/>
      </rPr>
      <t>，抗皱</t>
    </r>
    <r>
      <rPr>
        <sz val="12"/>
        <color theme="1"/>
        <rFont val="Calibri"/>
        <family val="2"/>
      </rPr>
      <t>*6</t>
    </r>
  </si>
  <si>
    <t>100ML，30ML</t>
  </si>
  <si>
    <t>刘巧</t>
  </si>
  <si>
    <t>山东省德州市庆云县天庆广场胡同</t>
  </si>
  <si>
    <t>张春媛</t>
  </si>
  <si>
    <t>山东省曲阜市国老街7号杏坛世家</t>
  </si>
  <si>
    <t>120112197210252127</t>
  </si>
  <si>
    <t>张春媛120112197210252127</t>
  </si>
  <si>
    <t>9769148677697</t>
  </si>
  <si>
    <t>SC03262400003</t>
  </si>
  <si>
    <r>
      <rPr>
        <sz val="12"/>
        <color theme="1"/>
        <rFont val="宋体"/>
        <family val="3"/>
        <charset val="134"/>
      </rPr>
      <t>补水面膜</t>
    </r>
    <r>
      <rPr>
        <sz val="12"/>
        <color theme="1"/>
        <rFont val="Calibri"/>
        <family val="2"/>
      </rPr>
      <t>*2</t>
    </r>
    <r>
      <rPr>
        <sz val="12"/>
        <color theme="1"/>
        <rFont val="宋体"/>
        <family val="3"/>
        <charset val="134"/>
      </rPr>
      <t>，抗皱</t>
    </r>
    <r>
      <rPr>
        <sz val="12"/>
        <color theme="1"/>
        <rFont val="Calibri"/>
        <family val="2"/>
      </rPr>
      <t>*1</t>
    </r>
    <r>
      <rPr>
        <sz val="12"/>
        <color theme="1"/>
        <rFont val="宋体"/>
        <family val="3"/>
        <charset val="134"/>
      </rPr>
      <t>，晚霜</t>
    </r>
    <r>
      <rPr>
        <sz val="12"/>
        <color theme="1"/>
        <rFont val="Calibri"/>
        <family val="2"/>
      </rPr>
      <t>*6</t>
    </r>
    <r>
      <rPr>
        <sz val="12"/>
        <color theme="1"/>
        <rFont val="宋体"/>
        <family val="3"/>
        <charset val="134"/>
      </rPr>
      <t>，面霜</t>
    </r>
    <r>
      <rPr>
        <sz val="12"/>
        <color theme="1"/>
        <rFont val="Calibri"/>
        <family val="2"/>
      </rPr>
      <t>*2</t>
    </r>
  </si>
  <si>
    <t>100ML，30ML，75ML，50ML</t>
  </si>
  <si>
    <t>孙菲</t>
  </si>
  <si>
    <t>赵珉</t>
  </si>
  <si>
    <t>山东省德州市第二人民医院收费处</t>
  </si>
  <si>
    <t>320282198603204878</t>
  </si>
  <si>
    <t>赵珉320282198603204878</t>
  </si>
  <si>
    <t>9769148678097</t>
  </si>
  <si>
    <t>SC03467700004</t>
  </si>
  <si>
    <r>
      <rPr>
        <sz val="12"/>
        <color theme="1"/>
        <rFont val="宋体"/>
        <family val="3"/>
        <charset val="134"/>
      </rPr>
      <t>塑料杯</t>
    </r>
    <r>
      <rPr>
        <sz val="12"/>
        <color theme="1"/>
        <rFont val="Calibri"/>
        <family val="2"/>
      </rPr>
      <t>*6</t>
    </r>
  </si>
  <si>
    <t>STARBUCKS</t>
  </si>
  <si>
    <t>赵汇强</t>
  </si>
  <si>
    <t>15075171210‬</t>
  </si>
  <si>
    <t>河北省石家庄市光华路博雅庄园</t>
  </si>
  <si>
    <t>包寒</t>
  </si>
  <si>
    <t>230224198311191328</t>
  </si>
  <si>
    <t>包寒230224198311191328</t>
  </si>
  <si>
    <t>9769148679397</t>
  </si>
  <si>
    <t>SC03467700008</t>
  </si>
  <si>
    <t>邹珂</t>
  </si>
  <si>
    <t xml:space="preserve">‭13810953888‬ </t>
  </si>
  <si>
    <t>河北省石家庄市光华路御景园小区3-2-301</t>
  </si>
  <si>
    <t>陈雪芳</t>
  </si>
  <si>
    <t>河北省石家庄市东开发区天山大街199号博仕名筑3-1-502</t>
  </si>
  <si>
    <t>440804196210252029</t>
  </si>
  <si>
    <t>陈雪芳440804196210252029</t>
  </si>
  <si>
    <t>9769148680297</t>
  </si>
  <si>
    <t>SC03298100004</t>
  </si>
  <si>
    <r>
      <rPr>
        <sz val="12"/>
        <color theme="1"/>
        <rFont val="Calibri"/>
        <family val="2"/>
      </rPr>
      <t>蓝莓素*5</t>
    </r>
    <r>
      <rPr>
        <sz val="12"/>
        <color theme="1"/>
        <rFont val="宋体"/>
        <family val="3"/>
        <charset val="134"/>
      </rPr>
      <t>，综合营养素</t>
    </r>
    <r>
      <rPr>
        <sz val="12"/>
        <color theme="1"/>
        <rFont val="Calibri"/>
        <family val="2"/>
      </rPr>
      <t>*10</t>
    </r>
  </si>
  <si>
    <t>E.EXCEL，E.EXCEL</t>
  </si>
  <si>
    <r>
      <rPr>
        <sz val="12"/>
        <color theme="1"/>
        <rFont val="Calibri"/>
        <family val="2"/>
      </rPr>
      <t>60</t>
    </r>
    <r>
      <rPr>
        <sz val="12"/>
        <color theme="1"/>
        <rFont val="宋体"/>
        <family val="3"/>
        <charset val="134"/>
      </rPr>
      <t>粒，</t>
    </r>
    <r>
      <rPr>
        <sz val="12"/>
        <color theme="1"/>
        <rFont val="Calibri"/>
        <family val="2"/>
      </rPr>
      <t>100</t>
    </r>
    <r>
      <rPr>
        <sz val="12"/>
        <color theme="1"/>
        <rFont val="宋体"/>
        <family val="3"/>
        <charset val="134"/>
      </rPr>
      <t>粒</t>
    </r>
  </si>
  <si>
    <t xml:space="preserve">梁延伦 </t>
  </si>
  <si>
    <t>辽宁省鞍山市铁东区站前街道国际明珠4526室</t>
  </si>
  <si>
    <t>冯珍</t>
  </si>
  <si>
    <t>辽宁省鞍山市铁东区二一九路50号</t>
  </si>
  <si>
    <t>610302198702244042</t>
  </si>
  <si>
    <t>冯珍610302198702244042</t>
  </si>
  <si>
    <t>9769148681697</t>
  </si>
  <si>
    <t>SC03298200003</t>
  </si>
  <si>
    <t>蓝莓素*5，舒缓神经胶囊*10</t>
  </si>
  <si>
    <t>王义明</t>
  </si>
  <si>
    <t>辽宁省丹东市元宝区中富街32号楼2504</t>
  </si>
  <si>
    <t>何玉兰</t>
  </si>
  <si>
    <t>510212196610243522</t>
  </si>
  <si>
    <t>何玉兰510212196610243522</t>
  </si>
  <si>
    <t>9769148682097</t>
  </si>
  <si>
    <t>SC03261100002</t>
  </si>
  <si>
    <t>呼吸系统胶囊*15</t>
  </si>
  <si>
    <t>E.EXCEL</t>
  </si>
  <si>
    <r>
      <rPr>
        <sz val="12"/>
        <color theme="1"/>
        <rFont val="Calibri"/>
        <family val="2"/>
      </rPr>
      <t>100</t>
    </r>
    <r>
      <rPr>
        <sz val="12"/>
        <color theme="1"/>
        <rFont val="宋体"/>
        <family val="3"/>
        <charset val="134"/>
      </rPr>
      <t>粒</t>
    </r>
  </si>
  <si>
    <t>潘云芝</t>
  </si>
  <si>
    <t>辽宁省丹东市元宝区官电街31-1-2红酒汇专卖</t>
  </si>
  <si>
    <t>孔维佳</t>
  </si>
  <si>
    <t>429005198707228266</t>
  </si>
  <si>
    <t>孔维佳429005198707228266</t>
  </si>
  <si>
    <t>9769148635197</t>
  </si>
  <si>
    <t>SC20200033697</t>
  </si>
  <si>
    <r>
      <rPr>
        <sz val="12"/>
        <color theme="1"/>
        <rFont val="Calibri"/>
        <family val="2"/>
      </rPr>
      <t>呼吸系统胶囊*4</t>
    </r>
    <r>
      <rPr>
        <sz val="12"/>
        <color theme="1"/>
        <rFont val="宋体"/>
        <family val="3"/>
        <charset val="134"/>
      </rPr>
      <t>，综合营养素</t>
    </r>
    <r>
      <rPr>
        <sz val="12"/>
        <color theme="1"/>
        <rFont val="Calibri"/>
        <family val="2"/>
      </rPr>
      <t>*10</t>
    </r>
  </si>
  <si>
    <r>
      <rPr>
        <sz val="12"/>
        <color theme="1"/>
        <rFont val="Calibri"/>
        <family val="2"/>
      </rPr>
      <t>100</t>
    </r>
    <r>
      <rPr>
        <sz val="12"/>
        <color theme="1"/>
        <rFont val="宋体"/>
        <family val="3"/>
        <charset val="134"/>
      </rPr>
      <t>粒，</t>
    </r>
    <r>
      <rPr>
        <sz val="12"/>
        <color theme="1"/>
        <rFont val="Calibri"/>
        <family val="2"/>
      </rPr>
      <t>100</t>
    </r>
    <r>
      <rPr>
        <sz val="12"/>
        <color theme="1"/>
        <rFont val="宋体"/>
        <family val="3"/>
        <charset val="134"/>
      </rPr>
      <t>粒</t>
    </r>
  </si>
  <si>
    <t>刘燕贻</t>
  </si>
  <si>
    <t>辽宁省丹东市元宝区七道街道新华街2号6-315（原城隍庙小区22-6-315）</t>
  </si>
  <si>
    <t>110103196304031269</t>
  </si>
  <si>
    <t>刘燕贻110103196304031269</t>
  </si>
  <si>
    <t>9769148433397</t>
  </si>
  <si>
    <t>SC20200022015</t>
  </si>
  <si>
    <r>
      <rPr>
        <sz val="12"/>
        <color theme="1"/>
        <rFont val="宋体"/>
        <family val="3"/>
        <charset val="134"/>
      </rPr>
      <t>多维</t>
    </r>
    <r>
      <rPr>
        <sz val="12"/>
        <color theme="1"/>
        <rFont val="Calibri"/>
        <family val="2"/>
      </rPr>
      <t>*6</t>
    </r>
    <r>
      <rPr>
        <sz val="12"/>
        <color theme="1"/>
        <rFont val="宋体"/>
        <family val="3"/>
        <charset val="134"/>
      </rPr>
      <t>，儿童营养素</t>
    </r>
    <r>
      <rPr>
        <sz val="12"/>
        <color theme="1"/>
        <rFont val="Calibri"/>
        <family val="2"/>
      </rPr>
      <t>*2</t>
    </r>
  </si>
  <si>
    <t>IRONKIDS，PLATINUM</t>
  </si>
  <si>
    <t>刘洁雯</t>
  </si>
  <si>
    <t>山西省临汾市尧都区滨河路御景水城3号楼1302</t>
  </si>
  <si>
    <t>宋艳梅</t>
  </si>
  <si>
    <t>山西省临汾市尧都区东关大十字一号（农行机构业务部）</t>
  </si>
  <si>
    <t>220211197112270041</t>
  </si>
  <si>
    <t>宋艳梅220211197112270041</t>
  </si>
  <si>
    <t>9769148437897</t>
  </si>
  <si>
    <t>SC20200022025</t>
  </si>
  <si>
    <r>
      <rPr>
        <sz val="12"/>
        <color theme="1"/>
        <rFont val="宋体"/>
        <family val="3"/>
        <charset val="134"/>
      </rPr>
      <t>益生菌</t>
    </r>
    <r>
      <rPr>
        <sz val="12"/>
        <color theme="1"/>
        <rFont val="Calibri"/>
        <family val="2"/>
      </rPr>
      <t>*16</t>
    </r>
  </si>
  <si>
    <t>王卫平</t>
  </si>
  <si>
    <t>江苏省苏州市吴中区胥口镇东山大道10722号三幢二楼</t>
  </si>
  <si>
    <t>江苏省苏州市吴中东路101号苏州东吴医药有限公司</t>
  </si>
  <si>
    <t>370283197909181518</t>
  </si>
  <si>
    <t>王卫平370283197909181518</t>
  </si>
  <si>
    <t>9769148514997</t>
  </si>
  <si>
    <t>SC20200022022</t>
  </si>
  <si>
    <r>
      <rPr>
        <sz val="12"/>
        <color theme="1"/>
        <rFont val="宋体"/>
        <family val="3"/>
        <charset val="134"/>
      </rPr>
      <t>益生益</t>
    </r>
    <r>
      <rPr>
        <sz val="12"/>
        <color theme="1"/>
        <rFont val="Calibri"/>
        <family val="2"/>
      </rPr>
      <t>*16</t>
    </r>
  </si>
  <si>
    <t>冷青发</t>
  </si>
  <si>
    <t>370283197908302031</t>
  </si>
  <si>
    <t>冷青发370283197908302031</t>
  </si>
  <si>
    <t>9769148497997</t>
  </si>
  <si>
    <t>SC20200022018</t>
  </si>
  <si>
    <r>
      <rPr>
        <sz val="12"/>
        <color theme="1"/>
        <rFont val="宋体"/>
        <family val="3"/>
        <charset val="134"/>
      </rPr>
      <t>护心胶囊</t>
    </r>
    <r>
      <rPr>
        <sz val="12"/>
        <color theme="1"/>
        <rFont val="Calibri"/>
        <family val="2"/>
      </rPr>
      <t>*10</t>
    </r>
  </si>
  <si>
    <t>AOR</t>
  </si>
  <si>
    <r>
      <rPr>
        <sz val="12"/>
        <color theme="1"/>
        <rFont val="Calibri"/>
        <family val="2"/>
      </rPr>
      <t>120</t>
    </r>
    <r>
      <rPr>
        <sz val="12"/>
        <color theme="1"/>
        <rFont val="宋体"/>
        <family val="3"/>
        <charset val="134"/>
      </rPr>
      <t>粒</t>
    </r>
  </si>
  <si>
    <t>张雅婷</t>
  </si>
  <si>
    <t>山西省晋中市榆次区安宁大街田森嘉园A区东2号楼1单元1001</t>
  </si>
  <si>
    <t>500102199108031747</t>
  </si>
  <si>
    <t>张雅婷500102199108031747</t>
  </si>
  <si>
    <t>9769148486397</t>
  </si>
  <si>
    <t>SC20200035443</t>
  </si>
  <si>
    <r>
      <rPr>
        <sz val="12"/>
        <color theme="1"/>
        <rFont val="宋体"/>
        <family val="3"/>
        <charset val="134"/>
      </rPr>
      <t>粉胶</t>
    </r>
    <r>
      <rPr>
        <sz val="12"/>
        <color theme="1"/>
        <rFont val="Calibri"/>
        <family val="2"/>
      </rPr>
      <t>*4</t>
    </r>
    <r>
      <rPr>
        <sz val="12"/>
        <color theme="1"/>
        <rFont val="宋体"/>
        <family val="3"/>
        <charset val="134"/>
      </rPr>
      <t>，金胶</t>
    </r>
    <r>
      <rPr>
        <sz val="12"/>
        <color theme="1"/>
        <rFont val="Calibri"/>
        <family val="2"/>
      </rPr>
      <t>*2</t>
    </r>
  </si>
  <si>
    <t>ELIZABETH ARDEN，ELIZABETH ARDEN</t>
  </si>
  <si>
    <t>王红玲</t>
  </si>
  <si>
    <t>上海市长宁区淞虹路855弄11号1001室</t>
  </si>
  <si>
    <t>王恩慈</t>
  </si>
  <si>
    <t>350600198812190049</t>
  </si>
  <si>
    <t>王恩慈350600198812190049</t>
  </si>
  <si>
    <t>9769148554697</t>
  </si>
  <si>
    <t>SC20200033632</t>
  </si>
  <si>
    <t>河北省廊坊市三河市燕郊开发区中核二三公司西苑E栈</t>
  </si>
  <si>
    <t>460027198206224723</t>
  </si>
  <si>
    <t>张伟460027198206224723</t>
  </si>
  <si>
    <t>9769148555097</t>
  </si>
  <si>
    <t>SC20200033643</t>
  </si>
  <si>
    <r>
      <rPr>
        <sz val="12"/>
        <color theme="1"/>
        <rFont val="宋体"/>
        <family val="3"/>
        <charset val="134"/>
      </rPr>
      <t>面霜</t>
    </r>
    <r>
      <rPr>
        <sz val="12"/>
        <color theme="1"/>
        <rFont val="Calibri"/>
        <family val="2"/>
      </rPr>
      <t>*2</t>
    </r>
    <r>
      <rPr>
        <sz val="12"/>
        <color theme="1"/>
        <rFont val="宋体"/>
        <family val="3"/>
        <charset val="134"/>
      </rPr>
      <t>，爽肤水</t>
    </r>
    <r>
      <rPr>
        <sz val="12"/>
        <color theme="1"/>
        <rFont val="Calibri"/>
        <family val="2"/>
      </rPr>
      <t>*3</t>
    </r>
    <r>
      <rPr>
        <sz val="12"/>
        <color theme="1"/>
        <rFont val="宋体"/>
        <family val="3"/>
        <charset val="134"/>
      </rPr>
      <t>，牙刷头</t>
    </r>
    <r>
      <rPr>
        <sz val="12"/>
        <color theme="1"/>
        <rFont val="Calibri"/>
        <family val="2"/>
      </rPr>
      <t>*1</t>
    </r>
  </si>
  <si>
    <t>OLAY，LANCOME，PHILIPS</t>
  </si>
  <si>
    <t>50ML*2，400ML，5支</t>
  </si>
  <si>
    <t>江雪峰</t>
  </si>
  <si>
    <t>河北省廊坊市三河市燕郊开发区冶金西区19号楼2单元501</t>
  </si>
  <si>
    <t>440583198401092839</t>
  </si>
  <si>
    <t>江雪峰440583198401092839</t>
  </si>
  <si>
    <t>9769148461197</t>
  </si>
  <si>
    <t>SC20200033088</t>
  </si>
  <si>
    <r>
      <rPr>
        <sz val="12"/>
        <color theme="1"/>
        <rFont val="宋体"/>
        <family val="3"/>
        <charset val="134"/>
      </rPr>
      <t>鱼油</t>
    </r>
    <r>
      <rPr>
        <sz val="12"/>
        <color theme="1"/>
        <rFont val="Calibri"/>
        <family val="2"/>
      </rPr>
      <t>*7</t>
    </r>
    <r>
      <rPr>
        <sz val="12"/>
        <color theme="1"/>
        <rFont val="宋体"/>
        <family val="3"/>
        <charset val="134"/>
      </rPr>
      <t>，咀嚼钙</t>
    </r>
    <r>
      <rPr>
        <sz val="12"/>
        <color theme="1"/>
        <rFont val="Calibri"/>
        <family val="2"/>
      </rPr>
      <t>*1</t>
    </r>
    <r>
      <rPr>
        <sz val="12"/>
        <color theme="1"/>
        <rFont val="宋体"/>
        <family val="3"/>
        <charset val="134"/>
      </rPr>
      <t>，葡萄籽</t>
    </r>
    <r>
      <rPr>
        <sz val="12"/>
        <color theme="1"/>
        <rFont val="Calibri"/>
        <family val="2"/>
      </rPr>
      <t>*1</t>
    </r>
  </si>
  <si>
    <t>何永霞</t>
  </si>
  <si>
    <t>甘肃省兰州市安宁区安宁庭院7号楼</t>
  </si>
  <si>
    <t>620102197209275829</t>
  </si>
  <si>
    <t>何永霞620102197209275829</t>
  </si>
  <si>
    <t>9769148544497</t>
  </si>
  <si>
    <t>SC20200034665</t>
  </si>
  <si>
    <r>
      <rPr>
        <sz val="12"/>
        <color theme="1"/>
        <rFont val="宋体"/>
        <family val="3"/>
        <charset val="134"/>
      </rPr>
      <t>精华素</t>
    </r>
    <r>
      <rPr>
        <sz val="12"/>
        <color theme="1"/>
        <rFont val="Calibri"/>
        <family val="2"/>
      </rPr>
      <t>*5</t>
    </r>
  </si>
  <si>
    <t>JEUNESSE</t>
  </si>
  <si>
    <t>15ML</t>
  </si>
  <si>
    <t>蒋兴辉</t>
  </si>
  <si>
    <t>四川省成都市高新区神仙树北路元通一巷9号28栋</t>
  </si>
  <si>
    <t>王志伟</t>
  </si>
  <si>
    <t>四川省成都市高新区一路1号京川集团</t>
  </si>
  <si>
    <t>440104198010030035</t>
  </si>
  <si>
    <t>王志伟440104198010030035</t>
  </si>
  <si>
    <t>9769148538797</t>
  </si>
  <si>
    <t>SC20200034662</t>
  </si>
  <si>
    <t>刘娟</t>
  </si>
  <si>
    <t>广东省中山市石岐起湾道盛景园11-302</t>
  </si>
  <si>
    <t>赵亚军</t>
  </si>
  <si>
    <t>广东省中山市西区翠景花园一期四幢翠景卫生站药房</t>
  </si>
  <si>
    <t>510724199404212422</t>
  </si>
  <si>
    <t>赵亚军510724199404212422</t>
  </si>
  <si>
    <t>9769148542797</t>
  </si>
  <si>
    <t>SC20200034653</t>
  </si>
  <si>
    <r>
      <rPr>
        <sz val="12"/>
        <color theme="1"/>
        <rFont val="宋体"/>
        <family val="3"/>
        <charset val="134"/>
      </rPr>
      <t>精华素</t>
    </r>
    <r>
      <rPr>
        <sz val="12"/>
        <color theme="1"/>
        <rFont val="Calibri"/>
        <family val="2"/>
      </rPr>
      <t>*3</t>
    </r>
    <r>
      <rPr>
        <sz val="12"/>
        <color theme="1"/>
        <rFont val="宋体"/>
        <family val="3"/>
        <charset val="134"/>
      </rPr>
      <t>，面膜</t>
    </r>
    <r>
      <rPr>
        <sz val="12"/>
        <color theme="1"/>
        <rFont val="Calibri"/>
        <family val="2"/>
      </rPr>
      <t>*1</t>
    </r>
    <r>
      <rPr>
        <sz val="12"/>
        <color theme="1"/>
        <rFont val="宋体"/>
        <family val="3"/>
        <charset val="134"/>
      </rPr>
      <t>，洗面奶</t>
    </r>
    <r>
      <rPr>
        <sz val="12"/>
        <color theme="1"/>
        <rFont val="Calibri"/>
        <family val="2"/>
      </rPr>
      <t>*1</t>
    </r>
  </si>
  <si>
    <t>JEUNESSE，JEUNESSE，JEUNESSE</t>
  </si>
  <si>
    <t>15ML，118ML，90ML</t>
  </si>
  <si>
    <t>广东省中山市西区翠景花园翠景湾29幢1104</t>
  </si>
  <si>
    <t>142226197509010623</t>
  </si>
  <si>
    <t>刘娟142226197509010623</t>
  </si>
  <si>
    <t>9769148420597</t>
  </si>
  <si>
    <t>SC20200033040</t>
  </si>
  <si>
    <r>
      <rPr>
        <sz val="12"/>
        <color theme="1"/>
        <rFont val="宋体"/>
        <family val="3"/>
        <charset val="134"/>
      </rPr>
      <t>健康包</t>
    </r>
    <r>
      <rPr>
        <sz val="12"/>
        <color theme="1"/>
        <rFont val="Calibri"/>
        <family val="2"/>
      </rPr>
      <t>*2</t>
    </r>
    <r>
      <rPr>
        <sz val="12"/>
        <color theme="1"/>
        <rFont val="宋体"/>
        <family val="3"/>
        <charset val="134"/>
      </rPr>
      <t>，益生菌</t>
    </r>
    <r>
      <rPr>
        <sz val="12"/>
        <color theme="1"/>
        <rFont val="Calibri"/>
        <family val="2"/>
      </rPr>
      <t>*2</t>
    </r>
    <r>
      <rPr>
        <sz val="12"/>
        <color theme="1"/>
        <rFont val="宋体"/>
        <family val="3"/>
        <charset val="134"/>
      </rPr>
      <t>，锐知宝</t>
    </r>
    <r>
      <rPr>
        <sz val="12"/>
        <color theme="1"/>
        <rFont val="Calibri"/>
        <family val="2"/>
      </rPr>
      <t>*3</t>
    </r>
    <r>
      <rPr>
        <sz val="12"/>
        <color theme="1"/>
        <rFont val="宋体"/>
        <family val="3"/>
        <charset val="134"/>
      </rPr>
      <t>，心宝</t>
    </r>
    <r>
      <rPr>
        <sz val="12"/>
        <color theme="1"/>
        <rFont val="Calibri"/>
        <family val="2"/>
      </rPr>
      <t>*1</t>
    </r>
    <r>
      <rPr>
        <sz val="12"/>
        <color theme="1"/>
        <rFont val="宋体"/>
        <family val="3"/>
        <charset val="134"/>
      </rPr>
      <t>，青少年营养素</t>
    </r>
    <r>
      <rPr>
        <sz val="12"/>
        <color theme="1"/>
        <rFont val="Calibri"/>
        <family val="2"/>
      </rPr>
      <t>*3</t>
    </r>
  </si>
  <si>
    <t>钟玉枝</t>
  </si>
  <si>
    <t>广东省广州市增城区新塘镇西洲村宁西旧街七巷1号</t>
  </si>
  <si>
    <t>陈小玲</t>
  </si>
  <si>
    <t>广东省广州市增城区翡翠绿洲湖绣苑6栋1301</t>
  </si>
  <si>
    <t>440301196708143624</t>
  </si>
  <si>
    <t>陈小玲440301196708143624</t>
  </si>
  <si>
    <t>9769148432097</t>
  </si>
  <si>
    <t>SC20200033044</t>
  </si>
  <si>
    <t>广东省广州市增城区新塘镇凤馨苑11街2座104</t>
  </si>
  <si>
    <t>440183198611045238</t>
  </si>
  <si>
    <t>钟伟祥440183198611045238</t>
  </si>
  <si>
    <t>9769148470097</t>
  </si>
  <si>
    <t>SC20200033048</t>
  </si>
  <si>
    <t>谌焰金</t>
  </si>
  <si>
    <t>广东省广州市增城区东坑三横路一号（斑澜广告）</t>
  </si>
  <si>
    <t>徐婷婷</t>
  </si>
  <si>
    <t>330206199001221726</t>
  </si>
  <si>
    <t>徐婷婷330206199001221726</t>
  </si>
  <si>
    <t>9769148354597</t>
  </si>
  <si>
    <t>SC20200034683</t>
  </si>
  <si>
    <r>
      <rPr>
        <sz val="12"/>
        <color theme="1"/>
        <rFont val="宋体"/>
        <family val="3"/>
        <charset val="134"/>
      </rPr>
      <t>鱼油</t>
    </r>
    <r>
      <rPr>
        <sz val="12"/>
        <color theme="1"/>
        <rFont val="Calibri"/>
        <family val="2"/>
      </rPr>
      <t>*8</t>
    </r>
    <r>
      <rPr>
        <sz val="12"/>
        <color theme="1"/>
        <rFont val="宋体"/>
        <family val="3"/>
        <charset val="134"/>
      </rPr>
      <t>，健骨宁</t>
    </r>
    <r>
      <rPr>
        <sz val="12"/>
        <color theme="1"/>
        <rFont val="Calibri"/>
        <family val="2"/>
      </rPr>
      <t>*2</t>
    </r>
  </si>
  <si>
    <t>张军</t>
  </si>
  <si>
    <t>330402196508011527</t>
  </si>
  <si>
    <t>张军330402196508011527</t>
  </si>
  <si>
    <t>9769148414397</t>
  </si>
  <si>
    <t>SC20200034100</t>
  </si>
  <si>
    <r>
      <rPr>
        <sz val="12"/>
        <color theme="1"/>
        <rFont val="宋体"/>
        <family val="3"/>
        <charset val="134"/>
      </rPr>
      <t>鞋子</t>
    </r>
    <r>
      <rPr>
        <sz val="12"/>
        <color theme="1"/>
        <rFont val="Calibri"/>
        <family val="2"/>
      </rPr>
      <t>*1</t>
    </r>
    <r>
      <rPr>
        <sz val="12"/>
        <color theme="1"/>
        <rFont val="宋体"/>
        <family val="3"/>
        <charset val="134"/>
      </rPr>
      <t>，粉饼</t>
    </r>
    <r>
      <rPr>
        <sz val="12"/>
        <color theme="1"/>
        <rFont val="Calibri"/>
        <family val="2"/>
      </rPr>
      <t>*1</t>
    </r>
  </si>
  <si>
    <t>FILA，CHANEL</t>
  </si>
  <si>
    <r>
      <rPr>
        <sz val="12"/>
        <color theme="1"/>
        <rFont val="Calibri"/>
        <family val="2"/>
      </rPr>
      <t>6</t>
    </r>
    <r>
      <rPr>
        <sz val="12"/>
        <color theme="1"/>
        <rFont val="宋体"/>
        <family val="3"/>
        <charset val="134"/>
      </rPr>
      <t>码黑色，</t>
    </r>
  </si>
  <si>
    <t>丁延荟</t>
  </si>
  <si>
    <t>山东省潍坊市潍城区脑科医院门诊楼(原十笏园售楼处)二楼慢保门诊</t>
  </si>
  <si>
    <t>370702197609205126</t>
  </si>
  <si>
    <t>丁延荟370702197609205126</t>
  </si>
  <si>
    <t>9769116642397</t>
  </si>
  <si>
    <t>SC20200034777</t>
  </si>
  <si>
    <t>Jasmine</t>
  </si>
  <si>
    <t>山西省太原市杏花岭区府西街21号光大银行</t>
  </si>
  <si>
    <t>易翔</t>
  </si>
  <si>
    <t>362226198712290910</t>
  </si>
  <si>
    <t>易翔362226198712290910</t>
  </si>
  <si>
    <t>9769148388597</t>
  </si>
  <si>
    <t>SC20200034767</t>
  </si>
  <si>
    <r>
      <rPr>
        <sz val="12"/>
        <color theme="1"/>
        <rFont val="宋体"/>
        <family val="3"/>
        <charset val="134"/>
      </rPr>
      <t>化妆盒</t>
    </r>
    <r>
      <rPr>
        <sz val="12"/>
        <color theme="1"/>
        <rFont val="Calibri"/>
        <family val="2"/>
      </rPr>
      <t>*2</t>
    </r>
  </si>
  <si>
    <t>SEPHORA</t>
  </si>
  <si>
    <t>贾书文</t>
  </si>
  <si>
    <t>北京市石景山区景阳东街58号院燕保京原家园8号楼3层307室</t>
  </si>
  <si>
    <t>张瑞珠</t>
  </si>
  <si>
    <t>342201198606080441</t>
  </si>
  <si>
    <t>张瑞珠342201198606080441</t>
  </si>
  <si>
    <t>9769148509597</t>
  </si>
  <si>
    <t>SC20200033757</t>
  </si>
  <si>
    <r>
      <rPr>
        <sz val="12"/>
        <color theme="1"/>
        <rFont val="宋体"/>
        <family val="3"/>
        <charset val="134"/>
      </rPr>
      <t>咀嚼钙</t>
    </r>
    <r>
      <rPr>
        <sz val="12"/>
        <color theme="1"/>
        <rFont val="Calibri"/>
        <family val="2"/>
      </rPr>
      <t>*1</t>
    </r>
    <r>
      <rPr>
        <sz val="12"/>
        <color theme="1"/>
        <rFont val="宋体"/>
        <family val="3"/>
        <charset val="134"/>
      </rPr>
      <t>，酵素</t>
    </r>
    <r>
      <rPr>
        <sz val="12"/>
        <color theme="1"/>
        <rFont val="Calibri"/>
        <family val="2"/>
      </rPr>
      <t>*4</t>
    </r>
    <r>
      <rPr>
        <sz val="12"/>
        <color theme="1"/>
        <rFont val="宋体"/>
        <family val="3"/>
        <charset val="134"/>
      </rPr>
      <t>，心脏宝</t>
    </r>
    <r>
      <rPr>
        <sz val="12"/>
        <color theme="1"/>
        <rFont val="Calibri"/>
        <family val="2"/>
      </rPr>
      <t>*6</t>
    </r>
    <r>
      <rPr>
        <sz val="12"/>
        <color theme="1"/>
        <rFont val="宋体"/>
        <family val="3"/>
        <charset val="134"/>
      </rPr>
      <t>，视力宝</t>
    </r>
    <r>
      <rPr>
        <sz val="12"/>
        <color theme="1"/>
        <rFont val="Calibri"/>
        <family val="2"/>
      </rPr>
      <t>*3</t>
    </r>
  </si>
  <si>
    <t>仲早立</t>
  </si>
  <si>
    <t>北京市海淀区上地东路1号盈创动力Z601</t>
  </si>
  <si>
    <t>320482198810207319</t>
  </si>
  <si>
    <t>仲早立320482198810207319</t>
  </si>
  <si>
    <t>9769148401597</t>
  </si>
  <si>
    <t>SC20200033755</t>
  </si>
  <si>
    <r>
      <rPr>
        <sz val="12"/>
        <color theme="1"/>
        <rFont val="宋体"/>
        <family val="3"/>
        <charset val="134"/>
      </rPr>
      <t>酵素</t>
    </r>
    <r>
      <rPr>
        <sz val="12"/>
        <color theme="1"/>
        <rFont val="Calibri"/>
        <family val="2"/>
      </rPr>
      <t>*3</t>
    </r>
    <r>
      <rPr>
        <sz val="12"/>
        <color theme="1"/>
        <rFont val="宋体"/>
        <family val="3"/>
        <charset val="134"/>
      </rPr>
      <t>，男宝</t>
    </r>
    <r>
      <rPr>
        <sz val="12"/>
        <color theme="1"/>
        <rFont val="Calibri"/>
        <family val="2"/>
      </rPr>
      <t>*3</t>
    </r>
    <r>
      <rPr>
        <sz val="12"/>
        <color theme="1"/>
        <rFont val="宋体"/>
        <family val="3"/>
        <charset val="134"/>
      </rPr>
      <t>，维生素</t>
    </r>
    <r>
      <rPr>
        <sz val="12"/>
        <color theme="1"/>
        <rFont val="Calibri"/>
        <family val="2"/>
      </rPr>
      <t>*3</t>
    </r>
    <r>
      <rPr>
        <sz val="12"/>
        <color theme="1"/>
        <rFont val="宋体"/>
        <family val="3"/>
        <charset val="134"/>
      </rPr>
      <t>，基本</t>
    </r>
    <r>
      <rPr>
        <sz val="12"/>
        <color theme="1"/>
        <rFont val="Calibri"/>
        <family val="2"/>
      </rPr>
      <t>V*2</t>
    </r>
    <r>
      <rPr>
        <sz val="12"/>
        <color theme="1"/>
        <rFont val="宋体"/>
        <family val="3"/>
        <charset val="134"/>
      </rPr>
      <t>，基本</t>
    </r>
    <r>
      <rPr>
        <sz val="12"/>
        <color theme="1"/>
        <rFont val="Calibri"/>
        <family val="2"/>
      </rPr>
      <t>M*2</t>
    </r>
  </si>
  <si>
    <t>宗琰</t>
  </si>
  <si>
    <t>广东省深圳市南山区南光路168号荟芳园D-7H</t>
  </si>
  <si>
    <t>陈浏燕</t>
  </si>
  <si>
    <t>320522198110091625</t>
  </si>
  <si>
    <t>陈浏燕320522198110091625</t>
  </si>
  <si>
    <t>9769116654297</t>
  </si>
  <si>
    <t>SC20200034803</t>
  </si>
  <si>
    <r>
      <rPr>
        <sz val="12"/>
        <color theme="1"/>
        <rFont val="SimSun"/>
        <charset val="134"/>
      </rPr>
      <t>综合营养</t>
    </r>
    <r>
      <rPr>
        <sz val="12"/>
        <color theme="1"/>
        <rFont val="Calibri"/>
        <family val="2"/>
      </rPr>
      <t>*2</t>
    </r>
    <r>
      <rPr>
        <sz val="12"/>
        <color theme="1"/>
        <rFont val="宋体"/>
        <family val="3"/>
        <charset val="134"/>
      </rPr>
      <t>，鱼油</t>
    </r>
    <r>
      <rPr>
        <sz val="12"/>
        <color theme="1"/>
        <rFont val="Calibri"/>
        <family val="2"/>
      </rPr>
      <t>*10</t>
    </r>
  </si>
  <si>
    <t>ALLYSIAN，ALLYSIAN</t>
  </si>
  <si>
    <t>560G，90粒</t>
  </si>
  <si>
    <t>姚桂丽</t>
  </si>
  <si>
    <t>广东省广州市番禺区祈福新村D区22街1号1楼</t>
  </si>
  <si>
    <t>樊志杰</t>
  </si>
  <si>
    <t>广东省广州市番禺区万丰路16号</t>
  </si>
  <si>
    <t>53030219881020032X</t>
  </si>
  <si>
    <t>樊志杰53030219881020032X</t>
  </si>
  <si>
    <t>9769148376697</t>
  </si>
  <si>
    <t>SC20200034633</t>
  </si>
  <si>
    <r>
      <rPr>
        <sz val="12"/>
        <color theme="1"/>
        <rFont val="宋体"/>
        <family val="3"/>
        <charset val="134"/>
      </rPr>
      <t>健康包</t>
    </r>
    <r>
      <rPr>
        <sz val="12"/>
        <color theme="1"/>
        <rFont val="Calibri"/>
        <family val="2"/>
      </rPr>
      <t>*3</t>
    </r>
  </si>
  <si>
    <t>路秀丽</t>
  </si>
  <si>
    <t>上海市奉贤区南桥德政路299弄34号102室</t>
  </si>
  <si>
    <t>210181196404178340</t>
  </si>
  <si>
    <t>路秀丽210181196404178340</t>
  </si>
  <si>
    <t>9769148402497</t>
  </si>
  <si>
    <t>SC20200034685</t>
  </si>
  <si>
    <t>大蓝胶*3，脸胶*2，敷面膏*1，保湿喷雾*2，芦荟胶*2，精华*1</t>
  </si>
  <si>
    <t>崔杜鹃</t>
  </si>
  <si>
    <t>河南省商丘市夏邑县龙湖明珠东区16-502</t>
  </si>
  <si>
    <t>龙妍静</t>
  </si>
  <si>
    <t>河南省商丘市团结路天伦小区警务室</t>
  </si>
  <si>
    <t>510422199304190028</t>
  </si>
  <si>
    <t>龙妍静510422199304190028</t>
  </si>
  <si>
    <t>9769116639797</t>
  </si>
  <si>
    <t>SC20200034912</t>
  </si>
  <si>
    <r>
      <rPr>
        <sz val="12"/>
        <color theme="1"/>
        <rFont val="宋体"/>
        <family val="3"/>
        <charset val="134"/>
      </rPr>
      <t>健康包</t>
    </r>
    <r>
      <rPr>
        <sz val="12"/>
        <color theme="1"/>
        <rFont val="Calibri"/>
        <family val="2"/>
      </rPr>
      <t>*2</t>
    </r>
    <r>
      <rPr>
        <sz val="12"/>
        <color theme="1"/>
        <rFont val="宋体"/>
        <family val="3"/>
        <charset val="134"/>
      </rPr>
      <t>，益生菌</t>
    </r>
    <r>
      <rPr>
        <sz val="12"/>
        <color theme="1"/>
        <rFont val="Calibri"/>
        <family val="2"/>
      </rPr>
      <t>*8</t>
    </r>
  </si>
  <si>
    <t>余莺</t>
  </si>
  <si>
    <t>江苏省无锡市太湖新城经济开发区尚锦城120号华庄街道</t>
  </si>
  <si>
    <t>韩诗琪</t>
  </si>
  <si>
    <t>江苏省无锡市太湖大道2008号中邦城市花园7号楼</t>
  </si>
  <si>
    <t>320705199210220024</t>
  </si>
  <si>
    <t>韩诗琪320705199210220024</t>
  </si>
  <si>
    <t>9769116598997</t>
  </si>
  <si>
    <t>SC20190079091</t>
  </si>
  <si>
    <r>
      <rPr>
        <sz val="12"/>
        <color theme="1"/>
        <rFont val="宋体"/>
        <family val="3"/>
        <charset val="134"/>
      </rPr>
      <t>粉水</t>
    </r>
    <r>
      <rPr>
        <sz val="12"/>
        <color theme="1"/>
        <rFont val="Calibri"/>
        <family val="2"/>
      </rPr>
      <t>*3</t>
    </r>
    <r>
      <rPr>
        <sz val="12"/>
        <color theme="1"/>
        <rFont val="宋体"/>
        <family val="3"/>
        <charset val="134"/>
      </rPr>
      <t>，面霜</t>
    </r>
    <r>
      <rPr>
        <sz val="12"/>
        <color theme="1"/>
        <rFont val="Calibri"/>
        <family val="2"/>
      </rPr>
      <t>*1</t>
    </r>
    <r>
      <rPr>
        <sz val="12"/>
        <color theme="1"/>
        <rFont val="宋体"/>
        <family val="3"/>
        <charset val="134"/>
      </rPr>
      <t>，面霜</t>
    </r>
    <r>
      <rPr>
        <sz val="12"/>
        <color theme="1"/>
        <rFont val="Calibri"/>
        <family val="2"/>
      </rPr>
      <t>*2</t>
    </r>
    <r>
      <rPr>
        <sz val="12"/>
        <color theme="1"/>
        <rFont val="宋体"/>
        <family val="3"/>
        <charset val="134"/>
      </rPr>
      <t>，眼霜</t>
    </r>
    <r>
      <rPr>
        <sz val="12"/>
        <color theme="1"/>
        <rFont val="Calibri"/>
        <family val="2"/>
      </rPr>
      <t>*2</t>
    </r>
    <r>
      <rPr>
        <sz val="12"/>
        <color theme="1"/>
        <rFont val="宋体"/>
        <family val="3"/>
        <charset val="134"/>
      </rPr>
      <t>，化妆包</t>
    </r>
    <r>
      <rPr>
        <sz val="12"/>
        <color theme="1"/>
        <rFont val="Calibri"/>
        <family val="2"/>
      </rPr>
      <t>*1</t>
    </r>
    <r>
      <rPr>
        <sz val="12"/>
        <color theme="1"/>
        <rFont val="宋体"/>
        <family val="3"/>
        <charset val="134"/>
      </rPr>
      <t>，口红</t>
    </r>
    <r>
      <rPr>
        <sz val="12"/>
        <color theme="1"/>
        <rFont val="Calibri"/>
        <family val="2"/>
      </rPr>
      <t>*1</t>
    </r>
  </si>
  <si>
    <t>LANCOME，LANCOME，LANCOME，LANCOME，LANCOME，LANCOME</t>
  </si>
  <si>
    <t>400ML，30ML，5ML，5ML，，</t>
  </si>
  <si>
    <t>郅景月</t>
  </si>
  <si>
    <t>山西省太原市小店区小店真武路汾东花园</t>
  </si>
  <si>
    <t>蒋文文</t>
  </si>
  <si>
    <t>320121198610240342</t>
  </si>
  <si>
    <t>蒋文文320121198610240342</t>
  </si>
  <si>
    <t>9769116682597</t>
  </si>
  <si>
    <t>SC20200034810</t>
  </si>
  <si>
    <r>
      <rPr>
        <sz val="12"/>
        <color theme="1"/>
        <rFont val="宋体"/>
        <family val="3"/>
        <charset val="134"/>
      </rPr>
      <t>蓝珍珠</t>
    </r>
    <r>
      <rPr>
        <sz val="12"/>
        <color theme="1"/>
        <rFont val="Calibri"/>
        <family val="2"/>
      </rPr>
      <t>*6</t>
    </r>
    <r>
      <rPr>
        <sz val="12"/>
        <color theme="1"/>
        <rFont val="宋体"/>
        <family val="3"/>
        <charset val="134"/>
      </rPr>
      <t>，蓝珍珠面霜</t>
    </r>
    <r>
      <rPr>
        <sz val="12"/>
        <color theme="1"/>
        <rFont val="Calibri"/>
        <family val="2"/>
      </rPr>
      <t>*2</t>
    </r>
    <r>
      <rPr>
        <sz val="12"/>
        <color theme="1"/>
        <rFont val="宋体"/>
        <family val="3"/>
        <charset val="134"/>
      </rPr>
      <t>，脸胶</t>
    </r>
    <r>
      <rPr>
        <sz val="12"/>
        <color theme="1"/>
        <rFont val="Calibri"/>
        <family val="2"/>
      </rPr>
      <t>*1</t>
    </r>
    <r>
      <rPr>
        <sz val="12"/>
        <color theme="1"/>
        <rFont val="宋体"/>
        <family val="3"/>
        <charset val="134"/>
      </rPr>
      <t>，导头</t>
    </r>
    <r>
      <rPr>
        <sz val="12"/>
        <color theme="1"/>
        <rFont val="Calibri"/>
        <family val="2"/>
      </rPr>
      <t>*2</t>
    </r>
  </si>
  <si>
    <t>范晓燕</t>
  </si>
  <si>
    <t>上海市徐汇区陕西南路186弄9号</t>
  </si>
  <si>
    <t>陈泽浩</t>
  </si>
  <si>
    <t>上海市徐汇区三江路88弄2号701室</t>
  </si>
  <si>
    <t>445102197905241914</t>
  </si>
  <si>
    <t>陈泽浩445102197905241914</t>
  </si>
  <si>
    <t>9769116674697</t>
  </si>
  <si>
    <t>SC20200025952</t>
  </si>
  <si>
    <r>
      <rPr>
        <sz val="12"/>
        <color theme="1"/>
        <rFont val="宋体"/>
        <family val="3"/>
        <charset val="134"/>
      </rPr>
      <t>心脏宝</t>
    </r>
    <r>
      <rPr>
        <sz val="12"/>
        <color theme="1"/>
        <rFont val="Calibri"/>
        <family val="2"/>
      </rPr>
      <t>*6</t>
    </r>
    <r>
      <rPr>
        <sz val="12"/>
        <color theme="1"/>
        <rFont val="宋体"/>
        <family val="3"/>
        <charset val="134"/>
      </rPr>
      <t>，视力宝</t>
    </r>
    <r>
      <rPr>
        <sz val="12"/>
        <color theme="1"/>
        <rFont val="Calibri"/>
        <family val="2"/>
      </rPr>
      <t>*3</t>
    </r>
    <r>
      <rPr>
        <sz val="12"/>
        <color theme="1"/>
        <rFont val="宋体"/>
        <family val="3"/>
        <charset val="134"/>
      </rPr>
      <t>，葡萄籽精华</t>
    </r>
    <r>
      <rPr>
        <sz val="12"/>
        <color theme="1"/>
        <rFont val="Calibri"/>
        <family val="2"/>
      </rPr>
      <t>*2</t>
    </r>
    <r>
      <rPr>
        <sz val="12"/>
        <color theme="1"/>
        <rFont val="宋体"/>
        <family val="3"/>
        <charset val="134"/>
      </rPr>
      <t>，钙镁片</t>
    </r>
    <r>
      <rPr>
        <sz val="12"/>
        <color theme="1"/>
        <rFont val="Calibri"/>
        <family val="2"/>
      </rPr>
      <t>*1</t>
    </r>
  </si>
  <si>
    <r>
      <rPr>
        <sz val="12"/>
        <color theme="1"/>
        <rFont val="Calibri"/>
        <family val="2"/>
      </rPr>
      <t>56</t>
    </r>
    <r>
      <rPr>
        <sz val="12"/>
        <color theme="1"/>
        <rFont val="宋体"/>
        <family val="3"/>
        <charset val="134"/>
      </rPr>
      <t>粒，</t>
    </r>
    <r>
      <rPr>
        <sz val="12"/>
        <color theme="1"/>
        <rFont val="Calibri"/>
        <family val="2"/>
      </rPr>
      <t>28</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</si>
  <si>
    <t>余惠玲</t>
  </si>
  <si>
    <t>云南省昆明市五华区虹山东路9号板筑翠园菜鸟站</t>
  </si>
  <si>
    <t>王文雪</t>
  </si>
  <si>
    <t>371424199310170020</t>
  </si>
  <si>
    <t>王文雪371424199310170020</t>
  </si>
  <si>
    <t>9769116636697</t>
  </si>
  <si>
    <t>SC20200025953</t>
  </si>
  <si>
    <r>
      <rPr>
        <sz val="12"/>
        <color theme="1"/>
        <rFont val="宋体"/>
        <family val="3"/>
        <charset val="134"/>
      </rPr>
      <t>钙镁片</t>
    </r>
    <r>
      <rPr>
        <sz val="12"/>
        <color theme="1"/>
        <rFont val="Calibri"/>
        <family val="2"/>
      </rPr>
      <t>*2</t>
    </r>
    <r>
      <rPr>
        <sz val="12"/>
        <color theme="1"/>
        <rFont val="宋体"/>
        <family val="3"/>
        <charset val="134"/>
      </rPr>
      <t>，视力宝</t>
    </r>
    <r>
      <rPr>
        <sz val="12"/>
        <color theme="1"/>
        <rFont val="Calibri"/>
        <family val="2"/>
      </rPr>
      <t>*3</t>
    </r>
    <r>
      <rPr>
        <sz val="12"/>
        <color theme="1"/>
        <rFont val="宋体"/>
        <family val="3"/>
        <charset val="134"/>
      </rPr>
      <t>，葡萄籽</t>
    </r>
    <r>
      <rPr>
        <sz val="12"/>
        <color theme="1"/>
        <rFont val="Calibri"/>
        <family val="2"/>
      </rPr>
      <t>*5</t>
    </r>
    <r>
      <rPr>
        <sz val="12"/>
        <color theme="1"/>
        <rFont val="宋体"/>
        <family val="3"/>
        <charset val="134"/>
      </rPr>
      <t>，心脏宝</t>
    </r>
    <r>
      <rPr>
        <sz val="12"/>
        <color theme="1"/>
        <rFont val="Calibri"/>
        <family val="2"/>
      </rPr>
      <t>*2</t>
    </r>
  </si>
  <si>
    <r>
      <rPr>
        <sz val="12"/>
        <color theme="1"/>
        <rFont val="Calibri"/>
        <family val="2"/>
      </rPr>
      <t>112</t>
    </r>
    <r>
      <rPr>
        <sz val="12"/>
        <color theme="1"/>
        <rFont val="宋体"/>
        <family val="3"/>
        <charset val="134"/>
      </rPr>
      <t>粒，</t>
    </r>
    <r>
      <rPr>
        <sz val="12"/>
        <color theme="1"/>
        <rFont val="Calibri"/>
        <family val="2"/>
      </rPr>
      <t>28</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</si>
  <si>
    <t>云南省昆明市五华区丰宁街道红菱路267号</t>
  </si>
  <si>
    <t>532331199602232229</t>
  </si>
  <si>
    <t>余沁532331199602232229</t>
  </si>
  <si>
    <t>9769116638397</t>
  </si>
  <si>
    <t>SC20190114739</t>
  </si>
  <si>
    <r>
      <rPr>
        <sz val="12"/>
        <color theme="1"/>
        <rFont val="宋体"/>
        <family val="3"/>
        <charset val="134"/>
      </rPr>
      <t>眼霜</t>
    </r>
    <r>
      <rPr>
        <sz val="12"/>
        <color theme="1"/>
        <rFont val="Calibri"/>
        <family val="2"/>
      </rPr>
      <t>*1</t>
    </r>
    <r>
      <rPr>
        <sz val="12"/>
        <color theme="1"/>
        <rFont val="宋体"/>
        <family val="3"/>
        <charset val="134"/>
      </rPr>
      <t>，面霜</t>
    </r>
    <r>
      <rPr>
        <sz val="12"/>
        <color theme="1"/>
        <rFont val="Calibri"/>
        <family val="2"/>
      </rPr>
      <t>*2</t>
    </r>
    <r>
      <rPr>
        <sz val="12"/>
        <color theme="1"/>
        <rFont val="宋体"/>
        <family val="3"/>
        <charset val="134"/>
      </rPr>
      <t>，化妆包</t>
    </r>
    <r>
      <rPr>
        <sz val="12"/>
        <color theme="1"/>
        <rFont val="Calibri"/>
        <family val="2"/>
      </rPr>
      <t>*1</t>
    </r>
    <r>
      <rPr>
        <sz val="12"/>
        <color theme="1"/>
        <rFont val="宋体"/>
        <family val="3"/>
        <charset val="134"/>
      </rPr>
      <t>，面霜</t>
    </r>
    <r>
      <rPr>
        <sz val="12"/>
        <color theme="1"/>
        <rFont val="Calibri"/>
        <family val="2"/>
      </rPr>
      <t>*2</t>
    </r>
    <r>
      <rPr>
        <sz val="12"/>
        <color theme="1"/>
        <rFont val="宋体"/>
        <family val="3"/>
        <charset val="134"/>
      </rPr>
      <t>，眼霜</t>
    </r>
    <r>
      <rPr>
        <sz val="12"/>
        <color theme="1"/>
        <rFont val="Calibri"/>
        <family val="2"/>
      </rPr>
      <t>*2</t>
    </r>
    <r>
      <rPr>
        <sz val="12"/>
        <color theme="1"/>
        <rFont val="宋体"/>
        <family val="3"/>
        <charset val="134"/>
      </rPr>
      <t>，口红</t>
    </r>
    <r>
      <rPr>
        <sz val="12"/>
        <color theme="1"/>
        <rFont val="Calibri"/>
        <family val="2"/>
      </rPr>
      <t>*1</t>
    </r>
  </si>
  <si>
    <t>ESTEE LAUDER，ESTEE LAUDER，ESTEE LAUDER，ESTEE LAUDER，ESTEE LAUDER，ESTEE LAUDER</t>
  </si>
  <si>
    <t>15ML，30ML，，，，</t>
  </si>
  <si>
    <t>顾春芬</t>
  </si>
  <si>
    <t>云南省曲靖市陆良县国土资源局</t>
  </si>
  <si>
    <t>李晓婷</t>
  </si>
  <si>
    <t>532328198911230021</t>
  </si>
  <si>
    <t>李晓婷532328198911230021</t>
  </si>
  <si>
    <t>9769148371897</t>
  </si>
  <si>
    <t>SC20200034098</t>
  </si>
  <si>
    <r>
      <rPr>
        <sz val="12"/>
        <color theme="1"/>
        <rFont val="宋体"/>
        <family val="3"/>
        <charset val="134"/>
      </rPr>
      <t>口红套</t>
    </r>
    <r>
      <rPr>
        <sz val="12"/>
        <color theme="1"/>
        <rFont val="Calibri"/>
        <family val="2"/>
      </rPr>
      <t>*2</t>
    </r>
    <r>
      <rPr>
        <sz val="12"/>
        <color theme="1"/>
        <rFont val="宋体"/>
        <family val="3"/>
        <charset val="134"/>
      </rPr>
      <t>，双萃</t>
    </r>
    <r>
      <rPr>
        <sz val="12"/>
        <color theme="1"/>
        <rFont val="Calibri"/>
        <family val="2"/>
      </rPr>
      <t>*1</t>
    </r>
    <r>
      <rPr>
        <sz val="12"/>
        <color theme="1"/>
        <rFont val="宋体"/>
        <family val="3"/>
        <charset val="134"/>
      </rPr>
      <t>，粉水</t>
    </r>
    <r>
      <rPr>
        <sz val="12"/>
        <color theme="1"/>
        <rFont val="Calibri"/>
        <family val="2"/>
      </rPr>
      <t>*1</t>
    </r>
    <r>
      <rPr>
        <sz val="12"/>
        <color theme="1"/>
        <rFont val="宋体"/>
        <family val="3"/>
        <charset val="134"/>
      </rPr>
      <t>，红腰子</t>
    </r>
    <r>
      <rPr>
        <sz val="12"/>
        <color theme="1"/>
        <rFont val="Calibri"/>
        <family val="2"/>
      </rPr>
      <t>*2</t>
    </r>
    <r>
      <rPr>
        <sz val="12"/>
        <color theme="1"/>
        <rFont val="宋体"/>
        <family val="3"/>
        <charset val="134"/>
      </rPr>
      <t>，防晒</t>
    </r>
    <r>
      <rPr>
        <sz val="12"/>
        <color theme="1"/>
        <rFont val="Calibri"/>
        <family val="2"/>
      </rPr>
      <t>*1</t>
    </r>
  </si>
  <si>
    <t>MAC，CLARINS，ESTEE LAUDER，SHISEIDO，SHISEIDO</t>
  </si>
  <si>
    <t>曾琳</t>
  </si>
  <si>
    <t>四川省自贡市自流井区红旗乡华商公园里1期6栋</t>
  </si>
  <si>
    <t>513430198611010021</t>
  </si>
  <si>
    <t>曾琳513430198611010021</t>
  </si>
  <si>
    <t>9769148411297</t>
  </si>
  <si>
    <t>SC20200034091</t>
  </si>
  <si>
    <t>王玲</t>
  </si>
  <si>
    <t>西藏自治区拉萨市柳梧新区国际总部城12栋2单元平安保险</t>
  </si>
  <si>
    <t>李倩</t>
  </si>
  <si>
    <t>西藏自治区发展和改革委员会西藏自治区拉萨市北京中路22号</t>
  </si>
  <si>
    <t>310104198610120844</t>
  </si>
  <si>
    <t>李倩310104198610120844</t>
  </si>
  <si>
    <t>9769116673297</t>
  </si>
  <si>
    <t>SC20200019265</t>
  </si>
  <si>
    <r>
      <rPr>
        <sz val="12"/>
        <color theme="1"/>
        <rFont val="宋体"/>
        <family val="3"/>
        <charset val="134"/>
      </rPr>
      <t>裤子</t>
    </r>
    <r>
      <rPr>
        <sz val="12"/>
        <color theme="1"/>
        <rFont val="Calibri"/>
        <family val="2"/>
      </rPr>
      <t>*1</t>
    </r>
    <r>
      <rPr>
        <sz val="12"/>
        <color theme="1"/>
        <rFont val="宋体"/>
        <family val="3"/>
        <charset val="134"/>
      </rPr>
      <t>，背心</t>
    </r>
    <r>
      <rPr>
        <sz val="12"/>
        <color theme="1"/>
        <rFont val="Calibri"/>
        <family val="2"/>
      </rPr>
      <t>*1</t>
    </r>
  </si>
  <si>
    <t>曾蓉</t>
  </si>
  <si>
    <t>四川省攀枝花市东区新源路5号</t>
  </si>
  <si>
    <t>510202196305201286</t>
  </si>
  <si>
    <t>曾蓉510202196305201286</t>
  </si>
  <si>
    <t>9769116664497</t>
  </si>
  <si>
    <t>SC20200019272</t>
  </si>
  <si>
    <r>
      <rPr>
        <sz val="12"/>
        <color theme="1"/>
        <rFont val="宋体"/>
        <family val="3"/>
        <charset val="134"/>
      </rPr>
      <t>羽绒服</t>
    </r>
    <r>
      <rPr>
        <sz val="12"/>
        <color theme="1"/>
        <rFont val="Calibri"/>
        <family val="2"/>
      </rPr>
      <t>*1</t>
    </r>
    <r>
      <rPr>
        <sz val="12"/>
        <color theme="1"/>
        <rFont val="宋体"/>
        <family val="3"/>
        <charset val="134"/>
      </rPr>
      <t>，背心</t>
    </r>
    <r>
      <rPr>
        <sz val="12"/>
        <color theme="1"/>
        <rFont val="Calibri"/>
        <family val="2"/>
      </rPr>
      <t>*1</t>
    </r>
    <r>
      <rPr>
        <sz val="12"/>
        <color theme="1"/>
        <rFont val="宋体"/>
        <family val="3"/>
        <charset val="134"/>
      </rPr>
      <t>，裤子</t>
    </r>
    <r>
      <rPr>
        <sz val="12"/>
        <color theme="1"/>
        <rFont val="Calibri"/>
        <family val="2"/>
      </rPr>
      <t>*3</t>
    </r>
    <r>
      <rPr>
        <sz val="12"/>
        <color theme="1"/>
        <rFont val="宋体"/>
        <family val="3"/>
        <charset val="134"/>
      </rPr>
      <t>，汗巾</t>
    </r>
    <r>
      <rPr>
        <sz val="12"/>
        <color theme="1"/>
        <rFont val="Calibri"/>
        <family val="2"/>
      </rPr>
      <t>*1</t>
    </r>
  </si>
  <si>
    <t>LULULEMON，LULULEMON，LULULEMON，LULULEMON</t>
  </si>
  <si>
    <t>崔晓燕</t>
  </si>
  <si>
    <t>重庆市沙坪坝区小新街43号</t>
  </si>
  <si>
    <t>刘珊</t>
  </si>
  <si>
    <t>11010819860411004X</t>
  </si>
  <si>
    <t>刘珊11010819860411004X</t>
  </si>
  <si>
    <t>9769116661397</t>
  </si>
  <si>
    <t>SC20200019276</t>
  </si>
  <si>
    <r>
      <rPr>
        <sz val="12"/>
        <color theme="1"/>
        <rFont val="宋体"/>
        <family val="3"/>
        <charset val="134"/>
      </rPr>
      <t>背心</t>
    </r>
    <r>
      <rPr>
        <sz val="12"/>
        <color theme="1"/>
        <rFont val="Calibri"/>
        <family val="2"/>
      </rPr>
      <t>*4</t>
    </r>
    <r>
      <rPr>
        <sz val="12"/>
        <color theme="1"/>
        <rFont val="宋体"/>
        <family val="3"/>
        <charset val="134"/>
      </rPr>
      <t>，裤子</t>
    </r>
    <r>
      <rPr>
        <sz val="12"/>
        <color theme="1"/>
        <rFont val="Calibri"/>
        <family val="2"/>
      </rPr>
      <t>*1</t>
    </r>
  </si>
  <si>
    <t>曹露燕</t>
  </si>
  <si>
    <t>江苏省无锡江阴市青年广场10号二楼恋瑜伽馆</t>
  </si>
  <si>
    <t>321084198203292824</t>
  </si>
  <si>
    <t>曹露燕321084198203292824</t>
  </si>
  <si>
    <t>9769148683397</t>
  </si>
  <si>
    <t>SC02384100021</t>
  </si>
  <si>
    <t xml:space="preserve">广东省广州市南沙区南沙澳园4区5栋 </t>
  </si>
  <si>
    <t>高红</t>
  </si>
  <si>
    <t>广东省广州市南沙区大岗镇豪岗大道1010号</t>
  </si>
  <si>
    <t>210902196807262545</t>
  </si>
  <si>
    <t>高红210902196807262545</t>
  </si>
  <si>
    <t>9769148606097</t>
  </si>
  <si>
    <t>SC20200023924</t>
  </si>
  <si>
    <r>
      <rPr>
        <sz val="12"/>
        <color theme="1"/>
        <rFont val="宋体"/>
        <family val="3"/>
        <charset val="134"/>
      </rPr>
      <t>清爽啫喱</t>
    </r>
    <r>
      <rPr>
        <sz val="12"/>
        <color theme="1"/>
        <rFont val="Calibri"/>
        <family val="2"/>
      </rPr>
      <t>*3</t>
    </r>
    <r>
      <rPr>
        <sz val="12"/>
        <color theme="1"/>
        <rFont val="宋体"/>
        <family val="3"/>
        <charset val="134"/>
      </rPr>
      <t>，防晒霜</t>
    </r>
    <r>
      <rPr>
        <sz val="12"/>
        <color theme="1"/>
        <rFont val="Calibri"/>
        <family val="2"/>
      </rPr>
      <t>*11</t>
    </r>
  </si>
  <si>
    <t>解柏</t>
  </si>
  <si>
    <t>山东省德州市庆云县天庆嘉园6号楼</t>
  </si>
  <si>
    <t>山东省枣庄市台儿庄车站花园八号楼一单元401</t>
  </si>
  <si>
    <t>610326199107090013</t>
  </si>
  <si>
    <t>解柏610326199107090013</t>
  </si>
  <si>
    <t>9769148617597</t>
  </si>
  <si>
    <t>SC20200020803</t>
  </si>
  <si>
    <t>耿玉称</t>
  </si>
  <si>
    <t>山东省德州市庆云县渤海路街道药监局南</t>
  </si>
  <si>
    <t>丁钰</t>
  </si>
  <si>
    <t>山东省日照市威海路28号日照市妇幼保健院</t>
  </si>
  <si>
    <t>341224197909156844</t>
  </si>
  <si>
    <t>丁钰341224197909156844</t>
  </si>
  <si>
    <t>9769148616197</t>
  </si>
  <si>
    <t>SC20200020800</t>
  </si>
  <si>
    <t>金茂</t>
  </si>
  <si>
    <t>山东省德州市庆云县彩云居南50米</t>
  </si>
  <si>
    <t>张锦燕</t>
  </si>
  <si>
    <t>山东省日照市济南路信合苑小区2号楼一单元</t>
  </si>
  <si>
    <t>445122198906283227</t>
  </si>
  <si>
    <t>张锦燕445122198906283227</t>
  </si>
  <si>
    <t>9769116644597</t>
  </si>
  <si>
    <t>SC20200031115</t>
  </si>
  <si>
    <r>
      <rPr>
        <sz val="12"/>
        <color theme="1"/>
        <rFont val="宋体"/>
        <family val="3"/>
        <charset val="134"/>
      </rPr>
      <t>裤子</t>
    </r>
    <r>
      <rPr>
        <sz val="12"/>
        <color theme="1"/>
        <rFont val="Calibri"/>
        <family val="2"/>
      </rPr>
      <t>*2</t>
    </r>
    <r>
      <rPr>
        <sz val="12"/>
        <color theme="1"/>
        <rFont val="宋体"/>
        <family val="3"/>
        <charset val="134"/>
      </rPr>
      <t>，</t>
    </r>
    <r>
      <rPr>
        <sz val="12"/>
        <color theme="1"/>
        <rFont val="Calibri"/>
        <family val="2"/>
      </rPr>
      <t>T</t>
    </r>
    <r>
      <rPr>
        <sz val="12"/>
        <color theme="1"/>
        <rFont val="宋体"/>
        <family val="3"/>
        <charset val="134"/>
      </rPr>
      <t>恤</t>
    </r>
    <r>
      <rPr>
        <sz val="12"/>
        <color theme="1"/>
        <rFont val="Calibri"/>
        <family val="2"/>
      </rPr>
      <t>*2</t>
    </r>
    <r>
      <rPr>
        <sz val="12"/>
        <color theme="1"/>
        <rFont val="宋体"/>
        <family val="3"/>
        <charset val="134"/>
      </rPr>
      <t>，内衣</t>
    </r>
    <r>
      <rPr>
        <sz val="12"/>
        <color theme="1"/>
        <rFont val="Calibri"/>
        <family val="2"/>
      </rPr>
      <t>*1</t>
    </r>
    <r>
      <rPr>
        <sz val="12"/>
        <color theme="1"/>
        <rFont val="宋体"/>
        <family val="3"/>
        <charset val="134"/>
      </rPr>
      <t>，发圈</t>
    </r>
    <r>
      <rPr>
        <sz val="12"/>
        <color theme="1"/>
        <rFont val="Calibri"/>
        <family val="2"/>
      </rPr>
      <t>*1</t>
    </r>
  </si>
  <si>
    <t>谭承德</t>
  </si>
  <si>
    <t>湖南省长沙市雨花区香樟路528号省女子监狱宿舍6栋206</t>
  </si>
  <si>
    <t>吴骏腾</t>
  </si>
  <si>
    <t>湖南省长沙市雨花区万家丽路118号省环保厅</t>
  </si>
  <si>
    <t>500107199008252413</t>
  </si>
  <si>
    <t>吴骏腾500107199008252413</t>
  </si>
  <si>
    <t>9769148369597</t>
  </si>
  <si>
    <t>SC20200034039</t>
  </si>
  <si>
    <r>
      <rPr>
        <sz val="12"/>
        <color theme="1"/>
        <rFont val="宋体"/>
        <family val="3"/>
        <charset val="134"/>
      </rPr>
      <t>内裤</t>
    </r>
    <r>
      <rPr>
        <sz val="12"/>
        <color theme="1"/>
        <rFont val="Calibri"/>
        <family val="2"/>
      </rPr>
      <t>*2</t>
    </r>
    <r>
      <rPr>
        <sz val="12"/>
        <color theme="1"/>
        <rFont val="宋体"/>
        <family val="3"/>
        <charset val="134"/>
      </rPr>
      <t>，打底衫</t>
    </r>
    <r>
      <rPr>
        <sz val="12"/>
        <color theme="1"/>
        <rFont val="Calibri"/>
        <family val="2"/>
      </rPr>
      <t>*1</t>
    </r>
    <r>
      <rPr>
        <sz val="12"/>
        <color theme="1"/>
        <rFont val="宋体"/>
        <family val="3"/>
        <charset val="134"/>
      </rPr>
      <t>，面霜</t>
    </r>
    <r>
      <rPr>
        <sz val="12"/>
        <color theme="1"/>
        <rFont val="Calibri"/>
        <family val="2"/>
      </rPr>
      <t>*1</t>
    </r>
    <r>
      <rPr>
        <sz val="12"/>
        <color theme="1"/>
        <rFont val="宋体"/>
        <family val="3"/>
        <charset val="134"/>
      </rPr>
      <t>，粉水</t>
    </r>
    <r>
      <rPr>
        <sz val="12"/>
        <color theme="1"/>
        <rFont val="Calibri"/>
        <family val="2"/>
      </rPr>
      <t>*1</t>
    </r>
  </si>
  <si>
    <t>CHAMPION，CHAMPION，CLARINS，ESTEE LAUDER</t>
  </si>
  <si>
    <t>M，M，，</t>
  </si>
  <si>
    <t>陈凌凡</t>
  </si>
  <si>
    <t>四川省成都市温江区天乡路鹭湖宫七区A区1801</t>
  </si>
  <si>
    <t>510402198812180029</t>
  </si>
  <si>
    <t>陈凌凡510402198812180029</t>
  </si>
  <si>
    <t>9769148368197</t>
  </si>
  <si>
    <t>SC20200034038</t>
  </si>
  <si>
    <r>
      <rPr>
        <sz val="12"/>
        <color theme="1"/>
        <rFont val="宋体"/>
        <family val="3"/>
        <charset val="134"/>
      </rPr>
      <t>蓝水</t>
    </r>
    <r>
      <rPr>
        <sz val="12"/>
        <color theme="1"/>
        <rFont val="Calibri"/>
        <family val="2"/>
      </rPr>
      <t>*1</t>
    </r>
    <r>
      <rPr>
        <sz val="12"/>
        <color theme="1"/>
        <rFont val="宋体"/>
        <family val="3"/>
        <charset val="134"/>
      </rPr>
      <t>，粉水</t>
    </r>
    <r>
      <rPr>
        <sz val="12"/>
        <color theme="1"/>
        <rFont val="Calibri"/>
        <family val="2"/>
      </rPr>
      <t>*1</t>
    </r>
    <r>
      <rPr>
        <sz val="12"/>
        <color theme="1"/>
        <rFont val="宋体"/>
        <family val="3"/>
        <charset val="134"/>
      </rPr>
      <t>，精华</t>
    </r>
    <r>
      <rPr>
        <sz val="12"/>
        <color theme="1"/>
        <rFont val="Calibri"/>
        <family val="2"/>
      </rPr>
      <t>*2</t>
    </r>
    <r>
      <rPr>
        <sz val="12"/>
        <color theme="1"/>
        <rFont val="宋体"/>
        <family val="3"/>
        <charset val="134"/>
      </rPr>
      <t>，上衣</t>
    </r>
    <r>
      <rPr>
        <sz val="12"/>
        <color theme="1"/>
        <rFont val="Calibri"/>
        <family val="2"/>
      </rPr>
      <t>*1</t>
    </r>
  </si>
  <si>
    <t>ESTEE LAUDER，ESTEE LAUDER，CLARINS，TOMMY</t>
  </si>
  <si>
    <t>杨珣</t>
  </si>
  <si>
    <t xml:space="preserve">北京市房山区长阳首创新悦都二区7号楼三单元1502 </t>
  </si>
  <si>
    <t>52222919830222002x</t>
  </si>
  <si>
    <t>杨珣52222919830222002x</t>
  </si>
  <si>
    <t>9769148374997</t>
  </si>
  <si>
    <t>SC20200034092</t>
  </si>
  <si>
    <r>
      <rPr>
        <sz val="12"/>
        <color theme="1"/>
        <rFont val="宋体"/>
        <family val="3"/>
        <charset val="134"/>
      </rPr>
      <t>蓝水</t>
    </r>
    <r>
      <rPr>
        <sz val="12"/>
        <color theme="1"/>
        <rFont val="Calibri"/>
        <family val="2"/>
      </rPr>
      <t>*1</t>
    </r>
    <r>
      <rPr>
        <sz val="12"/>
        <color theme="1"/>
        <rFont val="宋体"/>
        <family val="3"/>
        <charset val="134"/>
      </rPr>
      <t>，口红</t>
    </r>
    <r>
      <rPr>
        <sz val="12"/>
        <color theme="1"/>
        <rFont val="Calibri"/>
        <family val="2"/>
      </rPr>
      <t>*1</t>
    </r>
    <r>
      <rPr>
        <sz val="12"/>
        <color theme="1"/>
        <rFont val="宋体"/>
        <family val="3"/>
        <charset val="134"/>
      </rPr>
      <t>，口红</t>
    </r>
    <r>
      <rPr>
        <sz val="12"/>
        <color theme="1"/>
        <rFont val="Calibri"/>
        <family val="2"/>
      </rPr>
      <t>*1</t>
    </r>
    <r>
      <rPr>
        <sz val="12"/>
        <color theme="1"/>
        <rFont val="宋体"/>
        <family val="3"/>
        <charset val="134"/>
      </rPr>
      <t>，洗面奶</t>
    </r>
    <r>
      <rPr>
        <sz val="12"/>
        <color theme="1"/>
        <rFont val="Calibri"/>
        <family val="2"/>
      </rPr>
      <t>*1</t>
    </r>
  </si>
  <si>
    <t>ESTEE LAUDER，MAC，MAC，CHANEL</t>
  </si>
  <si>
    <t>王雪</t>
  </si>
  <si>
    <t>北京市朝阳区双井街道百子湾南二路74号院1号楼乐成公馆1-2-601</t>
  </si>
  <si>
    <t>650106198501150826</t>
  </si>
  <si>
    <t>王雪650106198501150826</t>
  </si>
  <si>
    <t>9769148407297</t>
  </si>
  <si>
    <t>SC20200034093</t>
  </si>
  <si>
    <r>
      <rPr>
        <sz val="12"/>
        <color theme="1"/>
        <rFont val="宋体"/>
        <family val="3"/>
        <charset val="134"/>
      </rPr>
      <t>粉水</t>
    </r>
    <r>
      <rPr>
        <sz val="12"/>
        <color theme="1"/>
        <rFont val="Calibri"/>
        <family val="2"/>
      </rPr>
      <t>*1</t>
    </r>
    <r>
      <rPr>
        <sz val="12"/>
        <color theme="1"/>
        <rFont val="宋体"/>
        <family val="3"/>
        <charset val="134"/>
      </rPr>
      <t>，防晒</t>
    </r>
    <r>
      <rPr>
        <sz val="12"/>
        <color theme="1"/>
        <rFont val="Calibri"/>
        <family val="2"/>
      </rPr>
      <t>*1</t>
    </r>
  </si>
  <si>
    <t>ESTEE LAUDER，CLARINS</t>
  </si>
  <si>
    <t>李青青</t>
  </si>
  <si>
    <t>四川省广安市广安区中桥街道中桥街道凌云东路169号环宇世纪城17-31-6</t>
  </si>
  <si>
    <t>511002198906281225</t>
  </si>
  <si>
    <t>李青青511002198906281225</t>
  </si>
  <si>
    <t>9769116681797</t>
  </si>
  <si>
    <t>SC20200024639</t>
  </si>
  <si>
    <t>钙镁片*1，妇康宁*2，视力宝*1，维生素*1，葡萄籽*5，肝宝*3</t>
  </si>
  <si>
    <t>曹黎宁</t>
  </si>
  <si>
    <t>江苏省常州市长江中路259号朗诗国际街区13-2-1702</t>
  </si>
  <si>
    <t>320404197611270426</t>
  </si>
  <si>
    <t>曹黎宁320404197611270426</t>
  </si>
  <si>
    <t>9769148520697</t>
  </si>
  <si>
    <t>SC20200000115</t>
  </si>
  <si>
    <t>丁广支</t>
  </si>
  <si>
    <t>河北省唐山市遵化市东环区建园六条保险家属楼2-302</t>
  </si>
  <si>
    <t>孟梅</t>
  </si>
  <si>
    <t>421087199402227926</t>
  </si>
  <si>
    <t>孟梅421087199402227926</t>
  </si>
  <si>
    <t>9769148535697</t>
  </si>
  <si>
    <t>SC20200009971</t>
  </si>
  <si>
    <r>
      <rPr>
        <sz val="12"/>
        <color theme="1"/>
        <rFont val="宋体"/>
        <family val="3"/>
        <charset val="134"/>
      </rPr>
      <t>消化酵素</t>
    </r>
    <r>
      <rPr>
        <sz val="12"/>
        <color theme="1"/>
        <rFont val="Calibri"/>
        <family val="2"/>
      </rPr>
      <t>*10</t>
    </r>
  </si>
  <si>
    <r>
      <rPr>
        <sz val="12"/>
        <color theme="1"/>
        <rFont val="Calibri"/>
        <family val="2"/>
      </rPr>
      <t>56</t>
    </r>
    <r>
      <rPr>
        <sz val="12"/>
        <color theme="1"/>
        <rFont val="宋体"/>
        <family val="3"/>
        <charset val="134"/>
      </rPr>
      <t>粒</t>
    </r>
  </si>
  <si>
    <t>闫秀琴</t>
  </si>
  <si>
    <t>山东省烟台市福山区经济技术开发区金城小区12-4-102</t>
  </si>
  <si>
    <t>130903196805010367</t>
  </si>
  <si>
    <t>闫秀琴130903196805010367</t>
  </si>
  <si>
    <t>9769148507897</t>
  </si>
  <si>
    <t>SC20200035525</t>
  </si>
  <si>
    <t>广东省佛山市南海区万达广场sohoD座1908室</t>
  </si>
  <si>
    <t>440104197211100760</t>
  </si>
  <si>
    <t>潘德如440104197211100760</t>
  </si>
  <si>
    <t>9769148434797</t>
  </si>
  <si>
    <t>SC20190109963</t>
  </si>
  <si>
    <r>
      <rPr>
        <sz val="12"/>
        <color theme="1"/>
        <rFont val="宋体"/>
        <family val="3"/>
        <charset val="134"/>
      </rPr>
      <t>维生素</t>
    </r>
    <r>
      <rPr>
        <sz val="12"/>
        <color theme="1"/>
        <rFont val="Calibri"/>
        <family val="2"/>
      </rPr>
      <t>*2</t>
    </r>
    <r>
      <rPr>
        <sz val="12"/>
        <color theme="1"/>
        <rFont val="宋体"/>
        <family val="3"/>
        <charset val="134"/>
      </rPr>
      <t>，健康包</t>
    </r>
    <r>
      <rPr>
        <sz val="12"/>
        <color theme="1"/>
        <rFont val="Calibri"/>
        <family val="2"/>
      </rPr>
      <t>*2</t>
    </r>
  </si>
  <si>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包</t>
    </r>
  </si>
  <si>
    <t>邓新妹</t>
  </si>
  <si>
    <t>广东省广州市海珠区工业大道南新业路54号之一505</t>
  </si>
  <si>
    <t>颜榕青</t>
  </si>
  <si>
    <t>350103196812170227</t>
  </si>
  <si>
    <t>颜榕青350103196812170227</t>
  </si>
  <si>
    <t>9769148530897</t>
  </si>
  <si>
    <t>SC20200035521</t>
  </si>
  <si>
    <r>
      <rPr>
        <sz val="12"/>
        <color theme="1"/>
        <rFont val="宋体"/>
        <family val="3"/>
        <charset val="134"/>
      </rPr>
      <t>蓝珍珠</t>
    </r>
    <r>
      <rPr>
        <sz val="12"/>
        <color theme="1"/>
        <rFont val="Calibri"/>
        <family val="2"/>
      </rPr>
      <t>*4</t>
    </r>
    <r>
      <rPr>
        <sz val="12"/>
        <color theme="1"/>
        <rFont val="宋体"/>
        <family val="3"/>
        <charset val="134"/>
      </rPr>
      <t>，面霜</t>
    </r>
    <r>
      <rPr>
        <sz val="12"/>
        <color theme="1"/>
        <rFont val="Calibri"/>
        <family val="2"/>
      </rPr>
      <t>*2</t>
    </r>
  </si>
  <si>
    <t>宋敏</t>
  </si>
  <si>
    <t>辽宁省盘锦市兴隆台区实验中学南100米鹤祥大院4单元401室</t>
  </si>
  <si>
    <t>211103197267030028</t>
  </si>
  <si>
    <t>宋敏211103197267030028</t>
  </si>
  <si>
    <t>9769148423197</t>
  </si>
  <si>
    <t>SC20200035426</t>
  </si>
  <si>
    <t>长青配方*2，鱼油*2，爽肤水*2，肌修精华*2</t>
  </si>
  <si>
    <t>余娟</t>
  </si>
  <si>
    <t>北京市朝阳区工体东路康堡花园A座1单元1601室</t>
  </si>
  <si>
    <t>聂晨苗</t>
  </si>
  <si>
    <t>北京市朝阳区三丰北里1号悠唐国际A座17层海关</t>
  </si>
  <si>
    <t>321102199611120023</t>
  </si>
  <si>
    <t>聂晨苗321102199611120023</t>
  </si>
  <si>
    <t>9769148522397</t>
  </si>
  <si>
    <t>SC20200034353</t>
  </si>
  <si>
    <r>
      <rPr>
        <sz val="12"/>
        <color theme="1"/>
        <rFont val="宋体"/>
        <family val="3"/>
        <charset val="134"/>
      </rPr>
      <t>咖啡</t>
    </r>
    <r>
      <rPr>
        <sz val="12"/>
        <color theme="1"/>
        <rFont val="Calibri"/>
        <family val="2"/>
      </rPr>
      <t>*1</t>
    </r>
    <r>
      <rPr>
        <sz val="12"/>
        <color theme="1"/>
        <rFont val="宋体"/>
        <family val="3"/>
        <charset val="134"/>
      </rPr>
      <t>，项链</t>
    </r>
    <r>
      <rPr>
        <sz val="12"/>
        <color theme="1"/>
        <rFont val="Calibri"/>
        <family val="2"/>
      </rPr>
      <t>*1</t>
    </r>
    <r>
      <rPr>
        <sz val="12"/>
        <color theme="1"/>
        <rFont val="宋体"/>
        <family val="3"/>
        <charset val="134"/>
      </rPr>
      <t>，皮绳</t>
    </r>
    <r>
      <rPr>
        <sz val="12"/>
        <color theme="1"/>
        <rFont val="Calibri"/>
        <family val="2"/>
      </rPr>
      <t>*1</t>
    </r>
  </si>
  <si>
    <t>ZAVIDA，SWAROVSKI，SWAROVSKI</t>
  </si>
  <si>
    <t>食用</t>
  </si>
  <si>
    <t>李雪</t>
  </si>
  <si>
    <t>天津市河西区梅江海逸长洲恋海园小区1-1103</t>
  </si>
  <si>
    <t>530181198301172628</t>
  </si>
  <si>
    <t>李雪530181198301172628</t>
  </si>
  <si>
    <t>9769148608797</t>
  </si>
  <si>
    <t>SC20200020788</t>
  </si>
  <si>
    <t>山东省日照市岚山区轿顶山花园23-3-301</t>
  </si>
  <si>
    <t>340321197907301492</t>
  </si>
  <si>
    <t>耿玉称340321197907301492</t>
  </si>
  <si>
    <t>9769148605697</t>
  </si>
  <si>
    <t>SC20200020790</t>
  </si>
  <si>
    <t>龚娜</t>
  </si>
  <si>
    <t>山东省德州市庆云县渤海路街道金厦花园南</t>
  </si>
  <si>
    <t>山东省德州市德百物流批发城D1-07湘益茯茶</t>
  </si>
  <si>
    <t>360122199511020502</t>
  </si>
  <si>
    <t>龚娜360122199511020502</t>
  </si>
  <si>
    <t>9769148684797</t>
  </si>
  <si>
    <t>SC03312300006</t>
  </si>
  <si>
    <t>施星星</t>
  </si>
  <si>
    <t>广东省深圳市龙岗区中心城碧湖花园B栋1303</t>
  </si>
  <si>
    <t>320105198111041648</t>
  </si>
  <si>
    <t>施星星320105198111041648</t>
  </si>
  <si>
    <t>9769148685597</t>
  </si>
  <si>
    <t>SC03424700010</t>
  </si>
  <si>
    <t>辽宁省营口市鲅鱼圈区红旺家园2号楼1单元503</t>
  </si>
  <si>
    <t>210804196803131086</t>
  </si>
  <si>
    <t>贺丽萍210804196803131086</t>
  </si>
  <si>
    <t>9769148686497</t>
  </si>
  <si>
    <t>SC03424700014</t>
  </si>
  <si>
    <t>万梅祝</t>
  </si>
  <si>
    <t>辽宁省大连市甘井子区万科城市之光小区B区15号楼1-101</t>
  </si>
  <si>
    <t>340222198906075724</t>
  </si>
  <si>
    <t>万梅祝340222198906075724</t>
  </si>
  <si>
    <t>9769148687897</t>
  </si>
  <si>
    <t>SC20200034363</t>
  </si>
  <si>
    <r>
      <rPr>
        <sz val="12"/>
        <color theme="1"/>
        <rFont val="宋体"/>
        <family val="3"/>
        <charset val="134"/>
      </rPr>
      <t>血压计</t>
    </r>
    <r>
      <rPr>
        <sz val="12"/>
        <color theme="1"/>
        <rFont val="Calibri"/>
        <family val="2"/>
      </rPr>
      <t>*1</t>
    </r>
  </si>
  <si>
    <t>张弘</t>
  </si>
  <si>
    <t>天津市河西区永安道罗马花园一期A座2门2301</t>
  </si>
  <si>
    <t>110108196706176446</t>
  </si>
  <si>
    <t>张弘110108196706176446</t>
  </si>
  <si>
    <t>9769148539597</t>
  </si>
  <si>
    <t>SC20190065644</t>
  </si>
  <si>
    <r>
      <rPr>
        <sz val="12"/>
        <color theme="1"/>
        <rFont val="宋体"/>
        <family val="3"/>
        <charset val="134"/>
      </rPr>
      <t>项链</t>
    </r>
    <r>
      <rPr>
        <sz val="12"/>
        <color theme="1"/>
        <rFont val="Calibri"/>
        <family val="2"/>
      </rPr>
      <t>*1</t>
    </r>
    <r>
      <rPr>
        <sz val="12"/>
        <color theme="1"/>
        <rFont val="宋体"/>
        <family val="3"/>
        <charset val="134"/>
      </rPr>
      <t>，眼霜</t>
    </r>
    <r>
      <rPr>
        <sz val="12"/>
        <color theme="1"/>
        <rFont val="Calibri"/>
        <family val="2"/>
      </rPr>
      <t>*1</t>
    </r>
    <r>
      <rPr>
        <sz val="12"/>
        <color theme="1"/>
        <rFont val="宋体"/>
        <family val="3"/>
        <charset val="134"/>
      </rPr>
      <t>，晚霜</t>
    </r>
    <r>
      <rPr>
        <sz val="12"/>
        <color theme="1"/>
        <rFont val="Calibri"/>
        <family val="2"/>
      </rPr>
      <t>*1</t>
    </r>
    <r>
      <rPr>
        <sz val="12"/>
        <color theme="1"/>
        <rFont val="宋体"/>
        <family val="3"/>
        <charset val="134"/>
      </rPr>
      <t>，妆前乳</t>
    </r>
    <r>
      <rPr>
        <sz val="12"/>
        <color theme="1"/>
        <rFont val="Calibri"/>
        <family val="2"/>
      </rPr>
      <t>*1</t>
    </r>
  </si>
  <si>
    <t>SWAROVSKI，ELIZABETH ARDEN，ELIZABETH ARDEN，ELIZABETH ARDEN</t>
  </si>
  <si>
    <t>，15ML，50ML，15ML</t>
  </si>
  <si>
    <t>王龙华</t>
  </si>
  <si>
    <t>河北省秦皇岛市海港区海滨路街道海滨路51号秦皇岛海关查验三科</t>
  </si>
  <si>
    <t>120101197509093029</t>
  </si>
  <si>
    <t>王龙华120101197509093029</t>
  </si>
  <si>
    <t>9769148637997</t>
  </si>
  <si>
    <t>SC20190073908</t>
  </si>
  <si>
    <r>
      <rPr>
        <sz val="12"/>
        <color theme="1"/>
        <rFont val="宋体"/>
        <family val="3"/>
        <charset val="134"/>
      </rPr>
      <t>益生菌</t>
    </r>
    <r>
      <rPr>
        <sz val="12"/>
        <color theme="1"/>
        <rFont val="Calibri"/>
        <family val="2"/>
      </rPr>
      <t>*10</t>
    </r>
    <r>
      <rPr>
        <sz val="12"/>
        <color theme="1"/>
        <rFont val="宋体"/>
        <family val="3"/>
        <charset val="134"/>
      </rPr>
      <t>，心脏宝</t>
    </r>
    <r>
      <rPr>
        <sz val="12"/>
        <color theme="1"/>
        <rFont val="Calibri"/>
        <family val="2"/>
      </rPr>
      <t>*1</t>
    </r>
  </si>
  <si>
    <t>李婷婷</t>
  </si>
  <si>
    <t>浙江省宁波市御玺园20幢1804室</t>
  </si>
  <si>
    <t>340823198709151520</t>
  </si>
  <si>
    <t>李婷婷340823198709151520</t>
  </si>
  <si>
    <t>9769116614597</t>
  </si>
  <si>
    <t>SC20200021472</t>
  </si>
  <si>
    <r>
      <rPr>
        <sz val="12"/>
        <color theme="1"/>
        <rFont val="宋体"/>
        <family val="3"/>
        <charset val="134"/>
      </rPr>
      <t>健康包</t>
    </r>
    <r>
      <rPr>
        <sz val="12"/>
        <color theme="1"/>
        <rFont val="Calibri"/>
        <family val="2"/>
      </rPr>
      <t>*2</t>
    </r>
    <r>
      <rPr>
        <sz val="12"/>
        <color theme="1"/>
        <rFont val="宋体"/>
        <family val="3"/>
        <charset val="134"/>
      </rPr>
      <t>，口腔益生菌</t>
    </r>
    <r>
      <rPr>
        <sz val="12"/>
        <color theme="1"/>
        <rFont val="Calibri"/>
        <family val="2"/>
      </rPr>
      <t>*1</t>
    </r>
    <r>
      <rPr>
        <sz val="12"/>
        <color theme="1"/>
        <rFont val="宋体"/>
        <family val="3"/>
        <charset val="134"/>
      </rPr>
      <t>，酵素</t>
    </r>
    <r>
      <rPr>
        <sz val="12"/>
        <color theme="1"/>
        <rFont val="Calibri"/>
        <family val="2"/>
      </rPr>
      <t>*1</t>
    </r>
    <r>
      <rPr>
        <sz val="12"/>
        <color theme="1"/>
        <rFont val="宋体"/>
        <family val="3"/>
        <charset val="134"/>
      </rPr>
      <t>，日霜</t>
    </r>
    <r>
      <rPr>
        <sz val="12"/>
        <color theme="1"/>
        <rFont val="Calibri"/>
        <family val="2"/>
      </rPr>
      <t>*1</t>
    </r>
  </si>
  <si>
    <r>
      <rPr>
        <sz val="12"/>
        <color theme="1"/>
        <rFont val="Calibri"/>
        <family val="2"/>
      </rPr>
      <t>56</t>
    </r>
    <r>
      <rPr>
        <sz val="12"/>
        <color theme="1"/>
        <rFont val="宋体"/>
        <family val="3"/>
        <charset val="134"/>
      </rPr>
      <t>包，</t>
    </r>
    <r>
      <rPr>
        <sz val="12"/>
        <color theme="1"/>
        <rFont val="Calibri"/>
        <family val="2"/>
      </rPr>
      <t>30</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28G</t>
    </r>
  </si>
  <si>
    <t>吉玉环</t>
  </si>
  <si>
    <t>内蒙古呼和浩特市赛罕区乌兰察布东路蒙幼东巷蒙吉利小区十五楼</t>
  </si>
  <si>
    <t>王育佳</t>
  </si>
  <si>
    <t>440583198408271610</t>
  </si>
  <si>
    <t>王育佳440583198408271610</t>
  </si>
  <si>
    <t>9769148496597</t>
  </si>
  <si>
    <t>SC20200025517</t>
  </si>
  <si>
    <r>
      <rPr>
        <sz val="12"/>
        <color theme="1"/>
        <rFont val="宋体"/>
        <family val="3"/>
        <charset val="134"/>
      </rPr>
      <t>粉底</t>
    </r>
    <r>
      <rPr>
        <sz val="12"/>
        <color theme="1"/>
        <rFont val="Calibri"/>
        <family val="2"/>
      </rPr>
      <t>*3</t>
    </r>
    <r>
      <rPr>
        <sz val="12"/>
        <color theme="1"/>
        <rFont val="宋体"/>
        <family val="3"/>
        <charset val="134"/>
      </rPr>
      <t>，面霜套装</t>
    </r>
    <r>
      <rPr>
        <sz val="12"/>
        <color theme="1"/>
        <rFont val="Calibri"/>
        <family val="2"/>
      </rPr>
      <t>*1</t>
    </r>
    <r>
      <rPr>
        <sz val="12"/>
        <color theme="1"/>
        <rFont val="宋体"/>
        <family val="3"/>
        <charset val="134"/>
      </rPr>
      <t>，面霜</t>
    </r>
    <r>
      <rPr>
        <sz val="12"/>
        <color theme="1"/>
        <rFont val="Calibri"/>
        <family val="2"/>
      </rPr>
      <t>*2</t>
    </r>
    <r>
      <rPr>
        <sz val="12"/>
        <color theme="1"/>
        <rFont val="宋体"/>
        <family val="3"/>
        <charset val="134"/>
      </rPr>
      <t>，钥匙扣</t>
    </r>
    <r>
      <rPr>
        <sz val="12"/>
        <color theme="1"/>
        <rFont val="Calibri"/>
        <family val="2"/>
      </rPr>
      <t>*1</t>
    </r>
    <r>
      <rPr>
        <sz val="12"/>
        <color theme="1"/>
        <rFont val="宋体"/>
        <family val="3"/>
        <charset val="134"/>
      </rPr>
      <t>，睫毛膏</t>
    </r>
    <r>
      <rPr>
        <sz val="12"/>
        <color theme="1"/>
        <rFont val="Calibri"/>
        <family val="2"/>
      </rPr>
      <t>*2</t>
    </r>
    <r>
      <rPr>
        <sz val="12"/>
        <color theme="1"/>
        <rFont val="宋体"/>
        <family val="3"/>
        <charset val="134"/>
      </rPr>
      <t>，眉笔</t>
    </r>
    <r>
      <rPr>
        <sz val="12"/>
        <color theme="1"/>
        <rFont val="Calibri"/>
        <family val="2"/>
      </rPr>
      <t>*1</t>
    </r>
  </si>
  <si>
    <t>ESTEE LAUDER，ESTEE LAUDER，CLINIQUE，COACH，MAC，MAC</t>
  </si>
  <si>
    <t>罗彩燕</t>
  </si>
  <si>
    <t>广东省云浮市云城区兴云西路108号卓成骏景园2幢</t>
  </si>
  <si>
    <t>徐淋淋</t>
  </si>
  <si>
    <t>广东省云浮市云城区世纪大道三河洲花园三期32栋21楼</t>
  </si>
  <si>
    <t>320683199106254121</t>
  </si>
  <si>
    <t>徐淋淋320683199106254121</t>
  </si>
  <si>
    <t>9769148337297</t>
  </si>
  <si>
    <t>SC20200007940</t>
  </si>
  <si>
    <r>
      <rPr>
        <sz val="12"/>
        <color theme="1"/>
        <rFont val="宋体"/>
        <family val="3"/>
        <charset val="134"/>
      </rPr>
      <t>钙片</t>
    </r>
    <r>
      <rPr>
        <sz val="12"/>
        <color theme="1"/>
        <rFont val="Calibri"/>
        <family val="2"/>
      </rPr>
      <t>*6</t>
    </r>
    <r>
      <rPr>
        <sz val="12"/>
        <color theme="1"/>
        <rFont val="宋体"/>
        <family val="3"/>
        <charset val="134"/>
      </rPr>
      <t>，健骼宁</t>
    </r>
    <r>
      <rPr>
        <sz val="12"/>
        <color theme="1"/>
        <rFont val="Calibri"/>
        <family val="2"/>
      </rPr>
      <t>*4</t>
    </r>
    <r>
      <rPr>
        <sz val="12"/>
        <color theme="1"/>
        <rFont val="宋体"/>
        <family val="3"/>
        <charset val="134"/>
      </rPr>
      <t>，纤维素</t>
    </r>
    <r>
      <rPr>
        <sz val="12"/>
        <color theme="1"/>
        <rFont val="Calibri"/>
        <family val="2"/>
      </rPr>
      <t>*1</t>
    </r>
  </si>
  <si>
    <r>
      <rPr>
        <sz val="12"/>
        <color theme="1"/>
        <rFont val="Calibri"/>
        <family val="2"/>
      </rPr>
      <t>112</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392G</t>
    </r>
  </si>
  <si>
    <t>叶丽云</t>
  </si>
  <si>
    <t>湖南省衡阳市蒸湘区华兴街道芙蓉路22号人行花园7栋1205</t>
  </si>
  <si>
    <t>350622195711010023</t>
  </si>
  <si>
    <t>叶丽云350622195711010023</t>
  </si>
  <si>
    <t>9769148382397</t>
  </si>
  <si>
    <t>SC20190081997</t>
  </si>
  <si>
    <r>
      <rPr>
        <sz val="12"/>
        <color theme="1"/>
        <rFont val="宋体"/>
        <family val="3"/>
        <charset val="134"/>
      </rPr>
      <t>健康包</t>
    </r>
    <r>
      <rPr>
        <sz val="12"/>
        <color theme="1"/>
        <rFont val="Calibri"/>
        <family val="2"/>
      </rPr>
      <t>*2</t>
    </r>
    <r>
      <rPr>
        <sz val="12"/>
        <color theme="1"/>
        <rFont val="宋体"/>
        <family val="3"/>
        <charset val="134"/>
      </rPr>
      <t>，益生菌</t>
    </r>
    <r>
      <rPr>
        <sz val="12"/>
        <color theme="1"/>
        <rFont val="Calibri"/>
        <family val="2"/>
      </rPr>
      <t>*2</t>
    </r>
  </si>
  <si>
    <t>钟有权</t>
  </si>
  <si>
    <t>广西贵港市港北区达开路西宏桂广场1幢2903</t>
  </si>
  <si>
    <t>郭成成</t>
  </si>
  <si>
    <t>广西贵港市港北区贵城街道国际大酒店后面霸王虾店</t>
  </si>
  <si>
    <t>330724198604054811</t>
  </si>
  <si>
    <t>郭成成330724198604054811</t>
  </si>
  <si>
    <t>9769148511897</t>
  </si>
  <si>
    <t>SC20200034551</t>
  </si>
  <si>
    <r>
      <rPr>
        <sz val="12"/>
        <color theme="1"/>
        <rFont val="宋体"/>
        <family val="3"/>
        <charset val="134"/>
      </rPr>
      <t>打底裤</t>
    </r>
    <r>
      <rPr>
        <sz val="12"/>
        <color theme="1"/>
        <rFont val="Calibri"/>
        <family val="2"/>
      </rPr>
      <t>*8</t>
    </r>
  </si>
  <si>
    <t>TNA</t>
  </si>
  <si>
    <t>吴佳洪</t>
  </si>
  <si>
    <t>江苏省苏州市姑苏区三香路53号锦亭大厦1801</t>
  </si>
  <si>
    <t>张祁焕</t>
  </si>
  <si>
    <t>江苏省苏州市姑苏区三香路183号家乐福二楼英派斯健身</t>
  </si>
  <si>
    <t>130683198812050329</t>
  </si>
  <si>
    <t>张祁焕130683198812050329</t>
  </si>
  <si>
    <t>9769148516697</t>
  </si>
  <si>
    <t>SC20160061413</t>
  </si>
  <si>
    <r>
      <rPr>
        <sz val="12"/>
        <color theme="1"/>
        <rFont val="宋体"/>
        <family val="3"/>
        <charset val="134"/>
      </rPr>
      <t>基本营养素</t>
    </r>
    <r>
      <rPr>
        <sz val="12"/>
        <color theme="1"/>
        <rFont val="Calibri"/>
        <family val="2"/>
      </rPr>
      <t>*2</t>
    </r>
    <r>
      <rPr>
        <sz val="12"/>
        <color theme="1"/>
        <rFont val="宋体"/>
        <family val="3"/>
        <charset val="134"/>
      </rPr>
      <t>，钙镁片</t>
    </r>
    <r>
      <rPr>
        <sz val="12"/>
        <color theme="1"/>
        <rFont val="Calibri"/>
        <family val="2"/>
      </rPr>
      <t>*2</t>
    </r>
    <r>
      <rPr>
        <sz val="12"/>
        <color theme="1"/>
        <rFont val="宋体"/>
        <family val="3"/>
        <charset val="134"/>
      </rPr>
      <t>，益生菌</t>
    </r>
    <r>
      <rPr>
        <sz val="12"/>
        <color theme="1"/>
        <rFont val="Calibri"/>
        <family val="2"/>
      </rPr>
      <t>*2</t>
    </r>
    <r>
      <rPr>
        <sz val="12"/>
        <color theme="1"/>
        <rFont val="宋体"/>
        <family val="3"/>
        <charset val="134"/>
      </rPr>
      <t>，葡萄籽</t>
    </r>
    <r>
      <rPr>
        <sz val="12"/>
        <color theme="1"/>
        <rFont val="Calibri"/>
        <family val="2"/>
      </rPr>
      <t>*2</t>
    </r>
    <r>
      <rPr>
        <sz val="12"/>
        <color theme="1"/>
        <rFont val="宋体"/>
        <family val="3"/>
        <charset val="134"/>
      </rPr>
      <t>，肝宝</t>
    </r>
    <r>
      <rPr>
        <sz val="12"/>
        <color theme="1"/>
        <rFont val="Calibri"/>
        <family val="2"/>
      </rPr>
      <t>*2</t>
    </r>
    <r>
      <rPr>
        <sz val="12"/>
        <color theme="1"/>
        <rFont val="宋体"/>
        <family val="3"/>
        <charset val="134"/>
      </rPr>
      <t>，鱼油</t>
    </r>
    <r>
      <rPr>
        <sz val="12"/>
        <color theme="1"/>
        <rFont val="Calibri"/>
        <family val="2"/>
      </rPr>
      <t>*2</t>
    </r>
  </si>
  <si>
    <t>陈小梅</t>
  </si>
  <si>
    <t>广东省中山市博爱四路优雅翠园31幢702</t>
  </si>
  <si>
    <t>320621197802145326</t>
  </si>
  <si>
    <t>陈小梅320621197802145326</t>
  </si>
  <si>
    <t>9769148464297</t>
  </si>
  <si>
    <t>SC20200028737</t>
  </si>
  <si>
    <r>
      <rPr>
        <sz val="12"/>
        <color theme="1"/>
        <rFont val="宋体"/>
        <family val="3"/>
        <charset val="134"/>
      </rPr>
      <t>益生菌</t>
    </r>
    <r>
      <rPr>
        <sz val="12"/>
        <color theme="1"/>
        <rFont val="Calibri"/>
        <family val="2"/>
      </rPr>
      <t>*3</t>
    </r>
    <r>
      <rPr>
        <sz val="12"/>
        <color theme="1"/>
        <rFont val="宋体"/>
        <family val="3"/>
        <charset val="134"/>
      </rPr>
      <t>，维生素</t>
    </r>
    <r>
      <rPr>
        <sz val="12"/>
        <color theme="1"/>
        <rFont val="Calibri"/>
        <family val="2"/>
      </rPr>
      <t>*4</t>
    </r>
    <r>
      <rPr>
        <sz val="12"/>
        <color theme="1"/>
        <rFont val="宋体"/>
        <family val="3"/>
        <charset val="134"/>
      </rPr>
      <t>，舒肝宝</t>
    </r>
    <r>
      <rPr>
        <sz val="12"/>
        <color theme="1"/>
        <rFont val="Calibri"/>
        <family val="2"/>
      </rPr>
      <t>*2</t>
    </r>
    <r>
      <rPr>
        <sz val="12"/>
        <color theme="1"/>
        <rFont val="宋体"/>
        <family val="3"/>
        <charset val="134"/>
      </rPr>
      <t>，鱼油</t>
    </r>
    <r>
      <rPr>
        <sz val="12"/>
        <color theme="1"/>
        <rFont val="Calibri"/>
        <family val="2"/>
      </rPr>
      <t>*4</t>
    </r>
  </si>
  <si>
    <r>
      <rPr>
        <sz val="12"/>
        <color theme="1"/>
        <rFont val="Calibri"/>
        <family val="2"/>
      </rPr>
      <t>14</t>
    </r>
    <r>
      <rPr>
        <sz val="12"/>
        <color theme="1"/>
        <rFont val="宋体"/>
        <family val="3"/>
        <charset val="134"/>
      </rPr>
      <t>条，</t>
    </r>
    <r>
      <rPr>
        <sz val="12"/>
        <color theme="1"/>
        <rFont val="Calibri"/>
        <family val="2"/>
      </rPr>
      <t>112</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</si>
  <si>
    <t>黄晓静</t>
  </si>
  <si>
    <t>北京市海淀区万柳中路31号华夏银行</t>
  </si>
  <si>
    <t>441422198810170028</t>
  </si>
  <si>
    <t>黄晓静441422198810170028</t>
  </si>
  <si>
    <t>9769116637097</t>
  </si>
  <si>
    <t>SC20190022112</t>
  </si>
  <si>
    <r>
      <rPr>
        <sz val="12"/>
        <color theme="1"/>
        <rFont val="宋体"/>
        <family val="3"/>
        <charset val="134"/>
      </rPr>
      <t>湿凝霜</t>
    </r>
    <r>
      <rPr>
        <sz val="12"/>
        <color theme="1"/>
        <rFont val="Calibri"/>
        <family val="2"/>
      </rPr>
      <t>*1</t>
    </r>
    <r>
      <rPr>
        <sz val="12"/>
        <color theme="1"/>
        <rFont val="宋体"/>
        <family val="3"/>
        <charset val="134"/>
      </rPr>
      <t>，面霜</t>
    </r>
    <r>
      <rPr>
        <sz val="12"/>
        <color theme="1"/>
        <rFont val="Calibri"/>
        <family val="2"/>
      </rPr>
      <t>*1</t>
    </r>
    <r>
      <rPr>
        <sz val="12"/>
        <color theme="1"/>
        <rFont val="宋体"/>
        <family val="3"/>
        <charset val="134"/>
      </rPr>
      <t>，磨砂膏</t>
    </r>
    <r>
      <rPr>
        <sz val="12"/>
        <color theme="1"/>
        <rFont val="Calibri"/>
        <family val="2"/>
      </rPr>
      <t>*1</t>
    </r>
    <r>
      <rPr>
        <sz val="12"/>
        <color theme="1"/>
        <rFont val="宋体"/>
        <family val="3"/>
        <charset val="134"/>
      </rPr>
      <t>，洗面奶</t>
    </r>
    <r>
      <rPr>
        <sz val="12"/>
        <color theme="1"/>
        <rFont val="Calibri"/>
        <family val="2"/>
      </rPr>
      <t>*1</t>
    </r>
    <r>
      <rPr>
        <sz val="12"/>
        <color theme="1"/>
        <rFont val="宋体"/>
        <family val="3"/>
        <charset val="134"/>
      </rPr>
      <t>，洁面啫喱</t>
    </r>
    <r>
      <rPr>
        <sz val="12"/>
        <color theme="1"/>
        <rFont val="Calibri"/>
        <family val="2"/>
      </rPr>
      <t>*1</t>
    </r>
  </si>
  <si>
    <t>何丹娜</t>
  </si>
  <si>
    <t>广东省深圳市龙岗区南湾街道桂芳园冬青阁B102</t>
  </si>
  <si>
    <t>441502198204182627</t>
  </si>
  <si>
    <t>何丹娜441502198204182627</t>
  </si>
  <si>
    <t>9769148317997</t>
  </si>
  <si>
    <t>SC20200035605</t>
  </si>
  <si>
    <r>
      <rPr>
        <sz val="12"/>
        <color theme="1"/>
        <rFont val="宋体"/>
        <family val="3"/>
        <charset val="134"/>
      </rPr>
      <t>蛋白粉</t>
    </r>
    <r>
      <rPr>
        <sz val="12"/>
        <color theme="1"/>
        <rFont val="Calibri"/>
        <family val="2"/>
      </rPr>
      <t>*3</t>
    </r>
  </si>
  <si>
    <t>龙星宇</t>
  </si>
  <si>
    <t>江苏省苏州市高新区浒墅关上河郡79栋1605(到楼下打电话）</t>
  </si>
  <si>
    <t>450481199009193828</t>
  </si>
  <si>
    <t>龙星宇450481199009193828</t>
  </si>
  <si>
    <t>9769148335597</t>
  </si>
  <si>
    <t>SC20200033604</t>
  </si>
  <si>
    <r>
      <rPr>
        <sz val="12"/>
        <color theme="1"/>
        <rFont val="宋体"/>
        <family val="3"/>
        <charset val="134"/>
      </rPr>
      <t>基本营养素</t>
    </r>
    <r>
      <rPr>
        <sz val="12"/>
        <color theme="1"/>
        <rFont val="Calibri"/>
        <family val="2"/>
      </rPr>
      <t>*4</t>
    </r>
    <r>
      <rPr>
        <sz val="12"/>
        <color theme="1"/>
        <rFont val="宋体"/>
        <family val="3"/>
        <charset val="134"/>
      </rPr>
      <t>，舒肝宝</t>
    </r>
    <r>
      <rPr>
        <sz val="12"/>
        <color theme="1"/>
        <rFont val="Calibri"/>
        <family val="2"/>
      </rPr>
      <t>*6</t>
    </r>
    <r>
      <rPr>
        <sz val="12"/>
        <color theme="1"/>
        <rFont val="宋体"/>
        <family val="3"/>
        <charset val="134"/>
      </rPr>
      <t>，鱼油</t>
    </r>
    <r>
      <rPr>
        <sz val="12"/>
        <color theme="1"/>
        <rFont val="Calibri"/>
        <family val="2"/>
      </rPr>
      <t>*2</t>
    </r>
  </si>
  <si>
    <r>
      <rPr>
        <sz val="12"/>
        <color theme="1"/>
        <rFont val="Calibri"/>
        <family val="2"/>
      </rPr>
      <t>112</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</si>
  <si>
    <t>王玉宇</t>
  </si>
  <si>
    <t>辽宁省沈阳市和平区南京南街182号甲沈阳水务世创工程集团</t>
  </si>
  <si>
    <t>王小倩</t>
  </si>
  <si>
    <t>辽宁省沈阳市和平区中兴街18号22-2</t>
  </si>
  <si>
    <t>210204198502103520</t>
  </si>
  <si>
    <t>王小倩210204198502103520</t>
  </si>
  <si>
    <t>9769148348897</t>
  </si>
  <si>
    <t>SC20200033593</t>
  </si>
  <si>
    <r>
      <rPr>
        <sz val="12"/>
        <color theme="1"/>
        <rFont val="宋体"/>
        <family val="3"/>
        <charset val="134"/>
      </rPr>
      <t>钙</t>
    </r>
    <r>
      <rPr>
        <sz val="12"/>
        <color theme="1"/>
        <rFont val="Calibri"/>
        <family val="2"/>
      </rPr>
      <t>*1</t>
    </r>
    <r>
      <rPr>
        <sz val="12"/>
        <color theme="1"/>
        <rFont val="宋体"/>
        <family val="3"/>
        <charset val="134"/>
      </rPr>
      <t>，鱼油</t>
    </r>
    <r>
      <rPr>
        <sz val="12"/>
        <color theme="1"/>
        <rFont val="Calibri"/>
        <family val="2"/>
      </rPr>
      <t>*2</t>
    </r>
    <r>
      <rPr>
        <sz val="12"/>
        <color theme="1"/>
        <rFont val="宋体"/>
        <family val="3"/>
        <charset val="134"/>
      </rPr>
      <t>，健骼宁</t>
    </r>
    <r>
      <rPr>
        <sz val="12"/>
        <color theme="1"/>
        <rFont val="Calibri"/>
        <family val="2"/>
      </rPr>
      <t>*2</t>
    </r>
    <r>
      <rPr>
        <sz val="12"/>
        <color theme="1"/>
        <rFont val="宋体"/>
        <family val="3"/>
        <charset val="134"/>
      </rPr>
      <t>，维生素</t>
    </r>
    <r>
      <rPr>
        <sz val="12"/>
        <color theme="1"/>
        <rFont val="Calibri"/>
        <family val="2"/>
      </rPr>
      <t>*5</t>
    </r>
  </si>
  <si>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168</t>
    </r>
    <r>
      <rPr>
        <sz val="12"/>
        <color theme="1"/>
        <rFont val="宋体"/>
        <family val="3"/>
        <charset val="134"/>
      </rPr>
      <t>粒</t>
    </r>
  </si>
  <si>
    <t>浙江省宁波市鄞州区万达公寓西区一号楼C座2906室</t>
  </si>
  <si>
    <t>330204195102100041</t>
  </si>
  <si>
    <t>俞菊梅330204195102100041</t>
  </si>
  <si>
    <t>9769148322297</t>
  </si>
  <si>
    <t>SC20190091047</t>
  </si>
  <si>
    <r>
      <rPr>
        <sz val="12"/>
        <color theme="1"/>
        <rFont val="宋体"/>
        <family val="3"/>
        <charset val="134"/>
      </rPr>
      <t>儿童服装</t>
    </r>
    <r>
      <rPr>
        <sz val="12"/>
        <color theme="1"/>
        <rFont val="Calibri"/>
        <family val="2"/>
      </rPr>
      <t>*4</t>
    </r>
    <r>
      <rPr>
        <sz val="12"/>
        <color theme="1"/>
        <rFont val="宋体"/>
        <family val="3"/>
        <charset val="134"/>
      </rPr>
      <t>，童鞋</t>
    </r>
    <r>
      <rPr>
        <sz val="12"/>
        <color theme="1"/>
        <rFont val="Calibri"/>
        <family val="2"/>
      </rPr>
      <t>*1</t>
    </r>
  </si>
  <si>
    <t>JUSTICE，VANS</t>
  </si>
  <si>
    <t>朱淼</t>
  </si>
  <si>
    <t>北京市朝阳区下甸甲3号院1号楼尚8国际广告园C座3层303A</t>
  </si>
  <si>
    <t>郑悦</t>
  </si>
  <si>
    <t>北京市朝阳区三环到四环之间首城国际B区13号楼2单元1103</t>
  </si>
  <si>
    <t>350105198112151529</t>
  </si>
  <si>
    <t>郑悦350105198112151529</t>
  </si>
  <si>
    <t>9769148319697</t>
  </si>
  <si>
    <t>SC20190091042</t>
  </si>
  <si>
    <r>
      <rPr>
        <sz val="12"/>
        <color theme="1"/>
        <rFont val="宋体"/>
        <family val="3"/>
        <charset val="134"/>
      </rPr>
      <t>益生菌</t>
    </r>
    <r>
      <rPr>
        <sz val="12"/>
        <color theme="1"/>
        <rFont val="Calibri"/>
        <family val="2"/>
      </rPr>
      <t>*6</t>
    </r>
    <r>
      <rPr>
        <sz val="12"/>
        <color theme="1"/>
        <rFont val="宋体"/>
        <family val="3"/>
        <charset val="134"/>
      </rPr>
      <t>，钙镁片</t>
    </r>
    <r>
      <rPr>
        <sz val="12"/>
        <color theme="1"/>
        <rFont val="Calibri"/>
        <family val="2"/>
      </rPr>
      <t>*2</t>
    </r>
    <r>
      <rPr>
        <sz val="12"/>
        <color theme="1"/>
        <rFont val="宋体"/>
        <family val="3"/>
        <charset val="134"/>
      </rPr>
      <t>，鱼油</t>
    </r>
    <r>
      <rPr>
        <sz val="12"/>
        <color theme="1"/>
        <rFont val="Calibri"/>
        <family val="2"/>
      </rPr>
      <t>*1</t>
    </r>
  </si>
  <si>
    <r>
      <rPr>
        <sz val="12"/>
        <color theme="1"/>
        <rFont val="宋体"/>
        <family val="3"/>
        <charset val="134"/>
      </rPr>
      <t>，</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</si>
  <si>
    <t>河北省保定市徐水区农村信用合作联社（留村信用社）</t>
  </si>
  <si>
    <t>132423197109040014</t>
  </si>
  <si>
    <t>李怀利132423197109040014</t>
  </si>
  <si>
    <t>9769148308597</t>
  </si>
  <si>
    <t>SC20200034571</t>
  </si>
  <si>
    <t>30ML，3ML</t>
  </si>
  <si>
    <t>刘硕</t>
  </si>
  <si>
    <t>河北省廊坊市香河县宣教寺村</t>
  </si>
  <si>
    <t>曹筱芸</t>
  </si>
  <si>
    <t>310104198308026021</t>
  </si>
  <si>
    <t>曹筱芸310104198308026021</t>
  </si>
  <si>
    <t>9769148302997</t>
  </si>
  <si>
    <t>SC20200034579</t>
  </si>
  <si>
    <t>王晓莉</t>
  </si>
  <si>
    <t>河北省廊坊市和平丽景小区18号楼</t>
  </si>
  <si>
    <t>440882198310110085</t>
  </si>
  <si>
    <t>王晓莉440882198310110085</t>
  </si>
  <si>
    <t>9769116735897</t>
  </si>
  <si>
    <t>SC20200034576</t>
  </si>
  <si>
    <r>
      <rPr>
        <sz val="12"/>
        <color theme="1"/>
        <rFont val="宋体"/>
        <family val="3"/>
        <charset val="134"/>
      </rPr>
      <t>防晒</t>
    </r>
    <r>
      <rPr>
        <sz val="12"/>
        <color theme="1"/>
        <rFont val="Calibri"/>
        <family val="2"/>
      </rPr>
      <t>*3</t>
    </r>
    <r>
      <rPr>
        <sz val="12"/>
        <color theme="1"/>
        <rFont val="宋体"/>
        <family val="3"/>
        <charset val="134"/>
      </rPr>
      <t>，精华</t>
    </r>
    <r>
      <rPr>
        <sz val="12"/>
        <color theme="1"/>
        <rFont val="Calibri"/>
        <family val="2"/>
      </rPr>
      <t>*1</t>
    </r>
    <r>
      <rPr>
        <sz val="12"/>
        <color theme="1"/>
        <rFont val="宋体"/>
        <family val="3"/>
        <charset val="134"/>
      </rPr>
      <t>，口红</t>
    </r>
    <r>
      <rPr>
        <sz val="12"/>
        <color theme="1"/>
        <rFont val="Calibri"/>
        <family val="2"/>
      </rPr>
      <t>*3</t>
    </r>
    <r>
      <rPr>
        <sz val="12"/>
        <color theme="1"/>
        <rFont val="宋体"/>
        <family val="3"/>
        <charset val="134"/>
      </rPr>
      <t>，唇釉</t>
    </r>
    <r>
      <rPr>
        <sz val="12"/>
        <color theme="1"/>
        <rFont val="Calibri"/>
        <family val="2"/>
      </rPr>
      <t>*3</t>
    </r>
    <r>
      <rPr>
        <sz val="12"/>
        <color theme="1"/>
        <rFont val="宋体"/>
        <family val="3"/>
        <charset val="134"/>
      </rPr>
      <t>，打底膏</t>
    </r>
    <r>
      <rPr>
        <sz val="12"/>
        <color theme="1"/>
        <rFont val="Calibri"/>
        <family val="2"/>
      </rPr>
      <t>*3</t>
    </r>
  </si>
  <si>
    <t>LANCOME，CLARINS，MAC，MAC，MAC</t>
  </si>
  <si>
    <t>30ML，50ML，3G，3ML，1.8G</t>
  </si>
  <si>
    <t>丛婷</t>
  </si>
  <si>
    <t>河北省廊坊市三河市燕郊开发区天子庄园天子酒店201室</t>
  </si>
  <si>
    <t>210102198202014421</t>
  </si>
  <si>
    <t>丛婷210102198202014421</t>
  </si>
  <si>
    <t>9769148343097</t>
  </si>
  <si>
    <t>SC20190091051</t>
  </si>
  <si>
    <r>
      <rPr>
        <sz val="12"/>
        <color theme="1"/>
        <rFont val="宋体"/>
        <family val="3"/>
        <charset val="134"/>
      </rPr>
      <t>维生素</t>
    </r>
    <r>
      <rPr>
        <sz val="12"/>
        <color theme="1"/>
        <rFont val="Calibri"/>
        <family val="2"/>
      </rPr>
      <t>*4</t>
    </r>
    <r>
      <rPr>
        <sz val="12"/>
        <color theme="1"/>
        <rFont val="宋体"/>
        <family val="3"/>
        <charset val="134"/>
      </rPr>
      <t>，心脏宝</t>
    </r>
    <r>
      <rPr>
        <sz val="12"/>
        <color theme="1"/>
        <rFont val="Calibri"/>
        <family val="2"/>
      </rPr>
      <t>*3</t>
    </r>
    <r>
      <rPr>
        <sz val="12"/>
        <color theme="1"/>
        <rFont val="宋体"/>
        <family val="3"/>
        <charset val="134"/>
      </rPr>
      <t>，锐知宝</t>
    </r>
    <r>
      <rPr>
        <sz val="12"/>
        <color theme="1"/>
        <rFont val="Calibri"/>
        <family val="2"/>
      </rPr>
      <t>*2</t>
    </r>
    <r>
      <rPr>
        <sz val="12"/>
        <color theme="1"/>
        <rFont val="宋体"/>
        <family val="3"/>
        <charset val="134"/>
      </rPr>
      <t>，心脏宝</t>
    </r>
    <r>
      <rPr>
        <sz val="12"/>
        <color theme="1"/>
        <rFont val="Calibri"/>
        <family val="2"/>
      </rPr>
      <t>*1</t>
    </r>
  </si>
  <si>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</si>
  <si>
    <t>张海莲</t>
  </si>
  <si>
    <t>河北省保定市徐水区复兴西路基地处社区服务中心</t>
  </si>
  <si>
    <t>110223198601133544</t>
  </si>
  <si>
    <t>张海莲110223198601133544</t>
  </si>
  <si>
    <t>9769148329897</t>
  </si>
  <si>
    <t>SC20200019772</t>
  </si>
  <si>
    <r>
      <rPr>
        <sz val="12"/>
        <color theme="1"/>
        <rFont val="宋体"/>
        <family val="3"/>
        <charset val="134"/>
      </rPr>
      <t>护肝片</t>
    </r>
    <r>
      <rPr>
        <sz val="12"/>
        <color theme="1"/>
        <rFont val="Calibri"/>
        <family val="2"/>
      </rPr>
      <t>*1</t>
    </r>
    <r>
      <rPr>
        <sz val="12"/>
        <color theme="1"/>
        <rFont val="宋体"/>
        <family val="3"/>
        <charset val="134"/>
      </rPr>
      <t>，打底裤</t>
    </r>
    <r>
      <rPr>
        <sz val="12"/>
        <color theme="1"/>
        <rFont val="Calibri"/>
        <family val="2"/>
      </rPr>
      <t>*2</t>
    </r>
  </si>
  <si>
    <t>PURE-LE，TNA</t>
  </si>
  <si>
    <r>
      <rPr>
        <sz val="12"/>
        <color theme="1"/>
        <rFont val="Calibri"/>
        <family val="2"/>
      </rPr>
      <t>200</t>
    </r>
    <r>
      <rPr>
        <sz val="12"/>
        <color theme="1"/>
        <rFont val="宋体"/>
        <family val="3"/>
        <charset val="134"/>
      </rPr>
      <t>粒，</t>
    </r>
  </si>
  <si>
    <t>董子欣</t>
  </si>
  <si>
    <t>北京市海淀区北蜂窝中路甲8号院塔1号楼805</t>
  </si>
  <si>
    <t>葛雯君</t>
  </si>
  <si>
    <t>330102198004150948</t>
  </si>
  <si>
    <t>葛雯君330102198004150948</t>
  </si>
  <si>
    <t>9769116633597</t>
  </si>
  <si>
    <t>SC20200034918</t>
  </si>
  <si>
    <t>SPA机*1，舒纹精华精华*1，脸胶*1，头发精华*1</t>
  </si>
  <si>
    <t>冯美</t>
  </si>
  <si>
    <t>广东省中山市板芙镇板芙北路25号</t>
  </si>
  <si>
    <t>黄铠雄</t>
  </si>
  <si>
    <t>350521198702073016</t>
  </si>
  <si>
    <t>黄铠雄350521198702073016</t>
  </si>
  <si>
    <t>9769116710697</t>
  </si>
  <si>
    <t>SC20200033085</t>
  </si>
  <si>
    <r>
      <rPr>
        <sz val="12"/>
        <color theme="1"/>
        <rFont val="宋体"/>
        <family val="3"/>
        <charset val="134"/>
      </rPr>
      <t>肝宝</t>
    </r>
    <r>
      <rPr>
        <sz val="12"/>
        <color theme="1"/>
        <rFont val="Calibri"/>
        <family val="2"/>
      </rPr>
      <t>*7</t>
    </r>
    <r>
      <rPr>
        <sz val="12"/>
        <color theme="1"/>
        <rFont val="宋体"/>
        <family val="3"/>
        <charset val="134"/>
      </rPr>
      <t>，视力宝</t>
    </r>
    <r>
      <rPr>
        <sz val="12"/>
        <color theme="1"/>
        <rFont val="Calibri"/>
        <family val="2"/>
      </rPr>
      <t>*6</t>
    </r>
  </si>
  <si>
    <t>胡莉</t>
  </si>
  <si>
    <t>湖南省长沙市开福区藏珑小区3-8栋302</t>
  </si>
  <si>
    <t>510103195610185143</t>
  </si>
  <si>
    <t>胡莉510103195610185143</t>
  </si>
  <si>
    <t>9769116732797</t>
  </si>
  <si>
    <t>SC20200033069</t>
  </si>
  <si>
    <t>李嘉瑶</t>
  </si>
  <si>
    <t>广东省广州市增城区凤凰城凤馨苑四街二号901</t>
  </si>
  <si>
    <t>430723199705110044</t>
  </si>
  <si>
    <t>李嘉瑶430723199705110044</t>
  </si>
  <si>
    <t>9769116728797</t>
  </si>
  <si>
    <t>SC20200033073</t>
  </si>
  <si>
    <r>
      <rPr>
        <sz val="12"/>
        <color theme="1"/>
        <rFont val="宋体"/>
        <family val="3"/>
        <charset val="134"/>
      </rPr>
      <t>基本营养素</t>
    </r>
    <r>
      <rPr>
        <sz val="12"/>
        <color theme="1"/>
        <rFont val="Calibri"/>
        <family val="2"/>
      </rPr>
      <t>*4</t>
    </r>
    <r>
      <rPr>
        <sz val="12"/>
        <color theme="1"/>
        <rFont val="宋体"/>
        <family val="3"/>
        <charset val="134"/>
      </rPr>
      <t>，钙镁片</t>
    </r>
    <r>
      <rPr>
        <sz val="12"/>
        <color theme="1"/>
        <rFont val="Calibri"/>
        <family val="2"/>
      </rPr>
      <t>*2</t>
    </r>
    <r>
      <rPr>
        <sz val="12"/>
        <color theme="1"/>
        <rFont val="宋体"/>
        <family val="3"/>
        <charset val="134"/>
      </rPr>
      <t>，心宝</t>
    </r>
    <r>
      <rPr>
        <sz val="12"/>
        <color theme="1"/>
        <rFont val="Calibri"/>
        <family val="2"/>
      </rPr>
      <t>*3</t>
    </r>
    <r>
      <rPr>
        <sz val="12"/>
        <color theme="1"/>
        <rFont val="宋体"/>
        <family val="3"/>
        <charset val="134"/>
      </rPr>
      <t>，肝宝</t>
    </r>
    <r>
      <rPr>
        <sz val="12"/>
        <color theme="1"/>
        <rFont val="Calibri"/>
        <family val="2"/>
      </rPr>
      <t>*3</t>
    </r>
    <r>
      <rPr>
        <sz val="12"/>
        <color theme="1"/>
        <rFont val="宋体"/>
        <family val="3"/>
        <charset val="134"/>
      </rPr>
      <t>，保列健</t>
    </r>
    <r>
      <rPr>
        <sz val="12"/>
        <color theme="1"/>
        <rFont val="Calibri"/>
        <family val="2"/>
      </rPr>
      <t>*4</t>
    </r>
  </si>
  <si>
    <t>林婧旻</t>
  </si>
  <si>
    <t>广东省广州市增城区新塘镇保利东江首府A5栋</t>
  </si>
  <si>
    <t>330702198512010426</t>
  </si>
  <si>
    <t>林婧旻330702198512010426</t>
  </si>
  <si>
    <t>9769116696797</t>
  </si>
  <si>
    <t>SC20200033077</t>
  </si>
  <si>
    <r>
      <rPr>
        <sz val="12"/>
        <color theme="1"/>
        <rFont val="宋体"/>
        <family val="3"/>
        <charset val="134"/>
      </rPr>
      <t>健康包</t>
    </r>
    <r>
      <rPr>
        <sz val="12"/>
        <color theme="1"/>
        <rFont val="Calibri"/>
        <family val="2"/>
      </rPr>
      <t>*2</t>
    </r>
    <r>
      <rPr>
        <sz val="12"/>
        <color theme="1"/>
        <rFont val="宋体"/>
        <family val="3"/>
        <charset val="134"/>
      </rPr>
      <t>，益生菌</t>
    </r>
    <r>
      <rPr>
        <sz val="12"/>
        <color theme="1"/>
        <rFont val="Calibri"/>
        <family val="2"/>
      </rPr>
      <t>*2</t>
    </r>
    <r>
      <rPr>
        <sz val="12"/>
        <color theme="1"/>
        <rFont val="宋体"/>
        <family val="3"/>
        <charset val="134"/>
      </rPr>
      <t>，钙镁片</t>
    </r>
    <r>
      <rPr>
        <sz val="12"/>
        <color theme="1"/>
        <rFont val="Calibri"/>
        <family val="2"/>
      </rPr>
      <t>*1</t>
    </r>
    <r>
      <rPr>
        <sz val="12"/>
        <color theme="1"/>
        <rFont val="宋体"/>
        <family val="3"/>
        <charset val="134"/>
      </rPr>
      <t>，心宝</t>
    </r>
    <r>
      <rPr>
        <sz val="12"/>
        <color theme="1"/>
        <rFont val="Calibri"/>
        <family val="2"/>
      </rPr>
      <t>*2</t>
    </r>
    <r>
      <rPr>
        <sz val="12"/>
        <color theme="1"/>
        <rFont val="宋体"/>
        <family val="3"/>
        <charset val="134"/>
      </rPr>
      <t>，肝宝</t>
    </r>
    <r>
      <rPr>
        <sz val="12"/>
        <color theme="1"/>
        <rFont val="Calibri"/>
        <family val="2"/>
      </rPr>
      <t>*2</t>
    </r>
    <r>
      <rPr>
        <sz val="12"/>
        <color theme="1"/>
        <rFont val="宋体"/>
        <family val="3"/>
        <charset val="134"/>
      </rPr>
      <t>，葡萄籽</t>
    </r>
    <r>
      <rPr>
        <sz val="12"/>
        <color theme="1"/>
        <rFont val="Calibri"/>
        <family val="2"/>
      </rPr>
      <t>*1</t>
    </r>
  </si>
  <si>
    <t>许凤</t>
  </si>
  <si>
    <t>广东省广州市增城区新塘镇大敦乡富菀A3602房</t>
  </si>
  <si>
    <t>430223199307109526</t>
  </si>
  <si>
    <t>许凤430223199307109526</t>
  </si>
  <si>
    <t>9769116727397</t>
  </si>
  <si>
    <t>SC20200033081</t>
  </si>
  <si>
    <r>
      <rPr>
        <sz val="12"/>
        <color theme="1"/>
        <rFont val="宋体"/>
        <family val="3"/>
        <charset val="134"/>
      </rPr>
      <t>鱼油</t>
    </r>
    <r>
      <rPr>
        <sz val="12"/>
        <color theme="1"/>
        <rFont val="Calibri"/>
        <family val="2"/>
      </rPr>
      <t>*3</t>
    </r>
    <r>
      <rPr>
        <sz val="12"/>
        <color theme="1"/>
        <rFont val="宋体"/>
        <family val="3"/>
        <charset val="134"/>
      </rPr>
      <t>，健骼宁</t>
    </r>
    <r>
      <rPr>
        <sz val="12"/>
        <color theme="1"/>
        <rFont val="Calibri"/>
        <family val="2"/>
      </rPr>
      <t>*1</t>
    </r>
    <r>
      <rPr>
        <sz val="12"/>
        <color theme="1"/>
        <rFont val="宋体"/>
        <family val="3"/>
        <charset val="134"/>
      </rPr>
      <t>，葡萄籽</t>
    </r>
    <r>
      <rPr>
        <sz val="12"/>
        <color theme="1"/>
        <rFont val="Calibri"/>
        <family val="2"/>
      </rPr>
      <t>*6</t>
    </r>
    <r>
      <rPr>
        <sz val="12"/>
        <color theme="1"/>
        <rFont val="宋体"/>
        <family val="3"/>
        <charset val="134"/>
      </rPr>
      <t>，心宝</t>
    </r>
    <r>
      <rPr>
        <sz val="12"/>
        <color theme="1"/>
        <rFont val="Calibri"/>
        <family val="2"/>
      </rPr>
      <t>*3</t>
    </r>
    <r>
      <rPr>
        <sz val="12"/>
        <color theme="1"/>
        <rFont val="宋体"/>
        <family val="3"/>
        <charset val="134"/>
      </rPr>
      <t>，益生菌</t>
    </r>
    <r>
      <rPr>
        <sz val="12"/>
        <color theme="1"/>
        <rFont val="Calibri"/>
        <family val="2"/>
      </rPr>
      <t>*2</t>
    </r>
  </si>
  <si>
    <t>广东省广州市增城区新塘镇凤凰城凤翔苑18街92号</t>
  </si>
  <si>
    <t>440183198811266924</t>
  </si>
  <si>
    <t>黄倩沄440183198811266924</t>
  </si>
  <si>
    <t>9769116660097</t>
  </si>
  <si>
    <t>SC20200035049</t>
  </si>
  <si>
    <r>
      <rPr>
        <sz val="12"/>
        <color theme="1"/>
        <rFont val="宋体"/>
        <family val="3"/>
        <charset val="134"/>
      </rPr>
      <t>活力奥米加</t>
    </r>
    <r>
      <rPr>
        <sz val="12"/>
        <color theme="1"/>
        <rFont val="Calibri"/>
        <family val="2"/>
      </rPr>
      <t>*7</t>
    </r>
    <r>
      <rPr>
        <sz val="12"/>
        <color theme="1"/>
        <rFont val="宋体"/>
        <family val="3"/>
        <charset val="134"/>
      </rPr>
      <t>，葡萄籽</t>
    </r>
    <r>
      <rPr>
        <sz val="12"/>
        <color theme="1"/>
        <rFont val="Calibri"/>
        <family val="2"/>
      </rPr>
      <t>*4</t>
    </r>
    <r>
      <rPr>
        <sz val="12"/>
        <color theme="1"/>
        <rFont val="宋体"/>
        <family val="3"/>
        <charset val="134"/>
      </rPr>
      <t>，健骼宁</t>
    </r>
    <r>
      <rPr>
        <sz val="12"/>
        <color theme="1"/>
        <rFont val="Calibri"/>
        <family val="2"/>
      </rPr>
      <t>*1</t>
    </r>
  </si>
  <si>
    <t>于业婷</t>
  </si>
  <si>
    <t>辽宁省大连市沙河口区锦绣路16号1-4-2</t>
  </si>
  <si>
    <t>陆正扬</t>
  </si>
  <si>
    <t>31011019850330563X</t>
  </si>
  <si>
    <t>陆正扬31011019850330563X</t>
  </si>
  <si>
    <t>9769116603097</t>
  </si>
  <si>
    <t>SC20200035238</t>
  </si>
  <si>
    <r>
      <rPr>
        <sz val="12"/>
        <color theme="1"/>
        <rFont val="宋体"/>
        <family val="3"/>
        <charset val="134"/>
      </rPr>
      <t>粉胶</t>
    </r>
    <r>
      <rPr>
        <sz val="12"/>
        <color theme="1"/>
        <rFont val="Calibri"/>
        <family val="2"/>
      </rPr>
      <t>*2</t>
    </r>
    <r>
      <rPr>
        <sz val="12"/>
        <color theme="1"/>
        <rFont val="宋体"/>
        <family val="3"/>
        <charset val="134"/>
      </rPr>
      <t>，袜子</t>
    </r>
    <r>
      <rPr>
        <sz val="12"/>
        <color theme="1"/>
        <rFont val="Calibri"/>
        <family val="2"/>
      </rPr>
      <t>*4</t>
    </r>
    <r>
      <rPr>
        <sz val="12"/>
        <color theme="1"/>
        <rFont val="宋体"/>
        <family val="3"/>
        <charset val="134"/>
      </rPr>
      <t>，精华</t>
    </r>
    <r>
      <rPr>
        <sz val="12"/>
        <color theme="1"/>
        <rFont val="Calibri"/>
        <family val="2"/>
      </rPr>
      <t>*1</t>
    </r>
  </si>
  <si>
    <t>ELIZABETH ARDEN，COLE HAAN，ESTEE LAUDER</t>
  </si>
  <si>
    <t>60粒，，50ML</t>
  </si>
  <si>
    <t>吴沁蓉</t>
  </si>
  <si>
    <t>江苏苏州工业园区琼姬路69号万科见滨园99-305（放三期门卫）</t>
  </si>
  <si>
    <t>432401197309033022</t>
  </si>
  <si>
    <t>吴沁蓉432401197309033022</t>
  </si>
  <si>
    <t>9769116711097</t>
  </si>
  <si>
    <t>SC20200035115</t>
  </si>
  <si>
    <r>
      <rPr>
        <sz val="12"/>
        <color theme="1"/>
        <rFont val="宋体"/>
        <family val="3"/>
        <charset val="134"/>
      </rPr>
      <t>晚霜</t>
    </r>
    <r>
      <rPr>
        <sz val="12"/>
        <color theme="1"/>
        <rFont val="Calibri"/>
        <family val="2"/>
      </rPr>
      <t>*2</t>
    </r>
    <r>
      <rPr>
        <sz val="12"/>
        <color theme="1"/>
        <rFont val="宋体"/>
        <family val="3"/>
        <charset val="134"/>
      </rPr>
      <t>，天鹅</t>
    </r>
    <r>
      <rPr>
        <sz val="12"/>
        <color theme="1"/>
        <rFont val="Calibri"/>
        <family val="2"/>
      </rPr>
      <t>*1</t>
    </r>
  </si>
  <si>
    <t>ELIZABETH ARDEN，SWAROVSKI</t>
  </si>
  <si>
    <t>50ML，</t>
  </si>
  <si>
    <t>王宏</t>
  </si>
  <si>
    <t>天津市河西区解放南路279号利和大厦6楼</t>
  </si>
  <si>
    <t>钱洁静</t>
  </si>
  <si>
    <t>310103197201240027</t>
  </si>
  <si>
    <t>钱洁静310103197201240027</t>
  </si>
  <si>
    <t>9769116736197</t>
  </si>
  <si>
    <t>SC20190054828</t>
  </si>
  <si>
    <r>
      <rPr>
        <sz val="12"/>
        <color theme="1"/>
        <rFont val="宋体"/>
        <family val="3"/>
        <charset val="134"/>
      </rPr>
      <t>杯子</t>
    </r>
    <r>
      <rPr>
        <sz val="12"/>
        <color theme="1"/>
        <rFont val="Calibri"/>
        <family val="2"/>
      </rPr>
      <t>*1</t>
    </r>
    <r>
      <rPr>
        <sz val="12"/>
        <color theme="1"/>
        <rFont val="宋体"/>
        <family val="3"/>
        <charset val="134"/>
      </rPr>
      <t>，洁面</t>
    </r>
    <r>
      <rPr>
        <sz val="12"/>
        <color theme="1"/>
        <rFont val="Calibri"/>
        <family val="2"/>
      </rPr>
      <t>*1</t>
    </r>
    <r>
      <rPr>
        <sz val="12"/>
        <color theme="1"/>
        <rFont val="宋体"/>
        <family val="3"/>
        <charset val="134"/>
      </rPr>
      <t>，袜子</t>
    </r>
    <r>
      <rPr>
        <sz val="12"/>
        <color theme="1"/>
        <rFont val="Calibri"/>
        <family val="2"/>
      </rPr>
      <t>*1</t>
    </r>
    <r>
      <rPr>
        <sz val="12"/>
        <color theme="1"/>
        <rFont val="宋体"/>
        <family val="3"/>
        <charset val="134"/>
      </rPr>
      <t>，洁面小样</t>
    </r>
    <r>
      <rPr>
        <sz val="12"/>
        <color theme="1"/>
        <rFont val="Calibri"/>
        <family val="2"/>
      </rPr>
      <t>*1</t>
    </r>
    <r>
      <rPr>
        <sz val="12"/>
        <color theme="1"/>
        <rFont val="宋体"/>
        <family val="3"/>
        <charset val="134"/>
      </rPr>
      <t>，口红小样</t>
    </r>
    <r>
      <rPr>
        <sz val="12"/>
        <color theme="1"/>
        <rFont val="Calibri"/>
        <family val="2"/>
      </rPr>
      <t>*1</t>
    </r>
    <r>
      <rPr>
        <sz val="12"/>
        <color theme="1"/>
        <rFont val="宋体"/>
        <family val="3"/>
        <charset val="134"/>
      </rPr>
      <t>，精华小样</t>
    </r>
    <r>
      <rPr>
        <sz val="12"/>
        <color theme="1"/>
        <rFont val="Calibri"/>
        <family val="2"/>
      </rPr>
      <t>*1</t>
    </r>
  </si>
  <si>
    <t>CONTIGO，ESTEE LAUDER，SILKS，ELIZABETH ARDEN，ELIZABETH ARDEN，ELIZABETH ARDEN</t>
  </si>
  <si>
    <t>，，，50ML，，7粒</t>
  </si>
  <si>
    <t>刘欣</t>
  </si>
  <si>
    <t>河南省郑州市南三环芳草小区3号楼</t>
  </si>
  <si>
    <t>511112197707260927</t>
  </si>
  <si>
    <t>刘欣511112197707260927</t>
  </si>
  <si>
    <t>9769116734497</t>
  </si>
  <si>
    <t>SC20190054531</t>
  </si>
  <si>
    <r>
      <rPr>
        <sz val="12"/>
        <color theme="1"/>
        <rFont val="宋体"/>
        <family val="3"/>
        <charset val="134"/>
      </rPr>
      <t>杯子</t>
    </r>
    <r>
      <rPr>
        <sz val="12"/>
        <color theme="1"/>
        <rFont val="Calibri"/>
        <family val="2"/>
      </rPr>
      <t>*1</t>
    </r>
    <r>
      <rPr>
        <sz val="12"/>
        <color theme="1"/>
        <rFont val="宋体"/>
        <family val="3"/>
        <charset val="134"/>
      </rPr>
      <t>，口红</t>
    </r>
    <r>
      <rPr>
        <sz val="12"/>
        <color theme="1"/>
        <rFont val="Calibri"/>
        <family val="2"/>
      </rPr>
      <t>*1</t>
    </r>
  </si>
  <si>
    <t>CONTIGO，ESTEE LAUDER</t>
  </si>
  <si>
    <t>郭晨</t>
  </si>
  <si>
    <t>河南省郑州市惠济区迎宾路永威迎宾府17-1403</t>
  </si>
  <si>
    <t>35011119851026506X</t>
  </si>
  <si>
    <t>郭晨35011119851026506X</t>
  </si>
  <si>
    <t>9769148291697</t>
  </si>
  <si>
    <t>SC20190054538</t>
  </si>
  <si>
    <t>果果</t>
  </si>
  <si>
    <t>北京市昌平区小汤山金科帕提欧1号楼</t>
  </si>
  <si>
    <t>孙阳</t>
  </si>
  <si>
    <t>北京市昌平区回龙观街道回龙观通达园6#15单元401</t>
  </si>
  <si>
    <t>130681198602050619</t>
  </si>
  <si>
    <t>孙阳130681198602050619</t>
  </si>
  <si>
    <t>9769116716897</t>
  </si>
  <si>
    <t>SC20200034987</t>
  </si>
  <si>
    <r>
      <rPr>
        <sz val="12"/>
        <color theme="1"/>
        <rFont val="宋体"/>
        <family val="3"/>
        <charset val="134"/>
      </rPr>
      <t>化妆水</t>
    </r>
    <r>
      <rPr>
        <sz val="12"/>
        <color theme="1"/>
        <rFont val="Calibri"/>
        <family val="2"/>
      </rPr>
      <t>*2</t>
    </r>
    <r>
      <rPr>
        <sz val="12"/>
        <color theme="1"/>
        <rFont val="宋体"/>
        <family val="3"/>
        <charset val="134"/>
      </rPr>
      <t>，面霜小样</t>
    </r>
    <r>
      <rPr>
        <sz val="12"/>
        <color theme="1"/>
        <rFont val="Calibri"/>
        <family val="2"/>
      </rPr>
      <t>*5</t>
    </r>
  </si>
  <si>
    <t>LAMER，LAMER</t>
  </si>
  <si>
    <t>王莹莹</t>
  </si>
  <si>
    <t>河南省郑州市金水区南阳路96号家天下12号楼1单元9楼西</t>
  </si>
  <si>
    <t>庞彬彬</t>
  </si>
  <si>
    <t>河南省郑州市金水区15号河南省外侨办705</t>
  </si>
  <si>
    <t>450104198607010055</t>
  </si>
  <si>
    <t>庞彬彬450104198607010055</t>
  </si>
  <si>
    <t>9769148273097</t>
  </si>
  <si>
    <t>SC20190054530</t>
  </si>
  <si>
    <r>
      <rPr>
        <sz val="12"/>
        <color theme="1"/>
        <rFont val="宋体"/>
        <family val="3"/>
        <charset val="134"/>
      </rPr>
      <t>杯子</t>
    </r>
    <r>
      <rPr>
        <sz val="12"/>
        <color theme="1"/>
        <rFont val="Calibri"/>
        <family val="2"/>
      </rPr>
      <t>*1</t>
    </r>
    <r>
      <rPr>
        <sz val="12"/>
        <color theme="1"/>
        <rFont val="宋体"/>
        <family val="3"/>
        <charset val="134"/>
      </rPr>
      <t>，口红</t>
    </r>
    <r>
      <rPr>
        <sz val="12"/>
        <color theme="1"/>
        <rFont val="Calibri"/>
        <family val="2"/>
      </rPr>
      <t>*2</t>
    </r>
  </si>
  <si>
    <t>CONTIGO，FORMULA</t>
  </si>
  <si>
    <t>小红花</t>
  </si>
  <si>
    <t>河南省郑州市黄河路与商鼎路交叉口立体世界小区1号楼</t>
  </si>
  <si>
    <t>王朦晨</t>
  </si>
  <si>
    <t>210104198010023123</t>
  </si>
  <si>
    <t>王朦晨210104198010023123</t>
  </si>
  <si>
    <t>9769116717197</t>
  </si>
  <si>
    <t>SC20200034985</t>
  </si>
  <si>
    <r>
      <rPr>
        <sz val="12"/>
        <color theme="1"/>
        <rFont val="宋体"/>
        <family val="3"/>
        <charset val="134"/>
      </rPr>
      <t>化妆水</t>
    </r>
    <r>
      <rPr>
        <sz val="12"/>
        <color theme="1"/>
        <rFont val="Calibri"/>
        <family val="2"/>
      </rPr>
      <t>*3</t>
    </r>
  </si>
  <si>
    <t>LAMER</t>
  </si>
  <si>
    <t>赵华</t>
  </si>
  <si>
    <t>河南省郑州市金水区东风路文博东路蓝堡湾2期9号楼2单元704</t>
  </si>
  <si>
    <t>220723198107200425</t>
  </si>
  <si>
    <t>赵华220723198107200425</t>
  </si>
  <si>
    <t>9769148292097</t>
  </si>
  <si>
    <t>SC20200030209</t>
  </si>
  <si>
    <r>
      <rPr>
        <sz val="12"/>
        <color theme="1"/>
        <rFont val="宋体"/>
        <family val="3"/>
        <charset val="134"/>
      </rPr>
      <t>手包</t>
    </r>
    <r>
      <rPr>
        <sz val="12"/>
        <color theme="1"/>
        <rFont val="Calibri"/>
        <family val="2"/>
      </rPr>
      <t>*</t>
    </r>
  </si>
  <si>
    <t>刘成</t>
  </si>
  <si>
    <t>黑龙江省牡丹江市东安区景福公馆</t>
  </si>
  <si>
    <t>武盼盼</t>
  </si>
  <si>
    <t>410323199309195060</t>
  </si>
  <si>
    <t>武盼盼410323199309195060</t>
  </si>
  <si>
    <t>9769116596197</t>
  </si>
  <si>
    <t>sc20200022243</t>
  </si>
  <si>
    <r>
      <rPr>
        <sz val="12"/>
        <color theme="1"/>
        <rFont val="宋体"/>
        <family val="3"/>
        <charset val="134"/>
      </rPr>
      <t>男宝</t>
    </r>
    <r>
      <rPr>
        <sz val="12"/>
        <color theme="1"/>
        <rFont val="Calibri"/>
        <family val="2"/>
      </rPr>
      <t>*1</t>
    </r>
    <r>
      <rPr>
        <sz val="12"/>
        <color theme="1"/>
        <rFont val="宋体"/>
        <family val="3"/>
        <charset val="134"/>
      </rPr>
      <t>，眠宁素</t>
    </r>
    <r>
      <rPr>
        <sz val="12"/>
        <color theme="1"/>
        <rFont val="Calibri"/>
        <family val="2"/>
      </rPr>
      <t>*1</t>
    </r>
    <r>
      <rPr>
        <sz val="12"/>
        <color theme="1"/>
        <rFont val="宋体"/>
        <family val="3"/>
        <charset val="134"/>
      </rPr>
      <t>，健骼宁</t>
    </r>
    <r>
      <rPr>
        <sz val="12"/>
        <color theme="1"/>
        <rFont val="Calibri"/>
        <family val="2"/>
      </rPr>
      <t>*2</t>
    </r>
    <r>
      <rPr>
        <sz val="12"/>
        <color theme="1"/>
        <rFont val="宋体"/>
        <family val="3"/>
        <charset val="134"/>
      </rPr>
      <t>，维生素</t>
    </r>
    <r>
      <rPr>
        <sz val="12"/>
        <color theme="1"/>
        <rFont val="Calibri"/>
        <family val="2"/>
      </rPr>
      <t>*2</t>
    </r>
    <r>
      <rPr>
        <sz val="12"/>
        <color theme="1"/>
        <rFont val="宋体"/>
        <family val="3"/>
        <charset val="134"/>
      </rPr>
      <t>，葡萄籽</t>
    </r>
    <r>
      <rPr>
        <sz val="12"/>
        <color theme="1"/>
        <rFont val="Calibri"/>
        <family val="2"/>
      </rPr>
      <t>*2</t>
    </r>
    <r>
      <rPr>
        <sz val="12"/>
        <color theme="1"/>
        <rFont val="宋体"/>
        <family val="3"/>
        <charset val="134"/>
      </rPr>
      <t>，晚霜</t>
    </r>
    <r>
      <rPr>
        <sz val="12"/>
        <color theme="1"/>
        <rFont val="Calibri"/>
        <family val="2"/>
      </rPr>
      <t>*1</t>
    </r>
    <r>
      <rPr>
        <sz val="12"/>
        <color theme="1"/>
        <rFont val="宋体"/>
        <family val="3"/>
        <charset val="134"/>
      </rPr>
      <t>，爽肤水</t>
    </r>
    <r>
      <rPr>
        <sz val="12"/>
        <color theme="1"/>
        <rFont val="Calibri"/>
        <family val="2"/>
      </rPr>
      <t>*1</t>
    </r>
    <r>
      <rPr>
        <sz val="12"/>
        <color theme="1"/>
        <rFont val="宋体"/>
        <family val="3"/>
        <charset val="134"/>
      </rPr>
      <t>，化妆包</t>
    </r>
    <r>
      <rPr>
        <sz val="12"/>
        <color theme="1"/>
        <rFont val="Calibri"/>
        <family val="2"/>
      </rPr>
      <t>*1</t>
    </r>
  </si>
  <si>
    <r>
      <rPr>
        <sz val="12"/>
        <color theme="1"/>
        <rFont val="Calibri"/>
        <family val="2"/>
      </rPr>
      <t>28</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</si>
  <si>
    <t>河北省廊坊市三河市四季阳光小区5号楼1单元501</t>
  </si>
  <si>
    <t>132801197309274628</t>
  </si>
  <si>
    <t>王帆132801197309274628</t>
  </si>
  <si>
    <t>9769148296497</t>
  </si>
  <si>
    <t>sc20200038108</t>
  </si>
  <si>
    <r>
      <rPr>
        <sz val="12"/>
        <color theme="1"/>
        <rFont val="宋体"/>
        <family val="3"/>
        <charset val="134"/>
      </rPr>
      <t>眼配方</t>
    </r>
    <r>
      <rPr>
        <sz val="12"/>
        <color theme="1"/>
        <rFont val="Calibri"/>
        <family val="2"/>
      </rPr>
      <t>*3</t>
    </r>
  </si>
  <si>
    <r>
      <rPr>
        <sz val="12"/>
        <color theme="1"/>
        <rFont val="Calibri"/>
        <family val="2"/>
      </rPr>
      <t>60</t>
    </r>
    <r>
      <rPr>
        <sz val="12"/>
        <color theme="1"/>
        <rFont val="宋体"/>
        <family val="3"/>
        <charset val="134"/>
      </rPr>
      <t>粒</t>
    </r>
  </si>
  <si>
    <t>申华</t>
  </si>
  <si>
    <t>宁夏回族自治区石嘴山市惠农区育才路泰和苑14号楼</t>
  </si>
  <si>
    <t>袁琴琴</t>
  </si>
  <si>
    <t>320683199112131427</t>
  </si>
  <si>
    <t>袁琴琴320683199112131427</t>
  </si>
  <si>
    <t>9769148294797</t>
  </si>
  <si>
    <t>sc20200038116</t>
  </si>
  <si>
    <r>
      <rPr>
        <sz val="12"/>
        <color theme="1"/>
        <rFont val="宋体"/>
        <family val="3"/>
        <charset val="134"/>
      </rPr>
      <t>益生菌</t>
    </r>
    <r>
      <rPr>
        <sz val="12"/>
        <color theme="1"/>
        <rFont val="Calibri"/>
        <family val="2"/>
      </rPr>
      <t>*8</t>
    </r>
  </si>
  <si>
    <r>
      <rPr>
        <sz val="12"/>
        <color theme="1"/>
        <rFont val="Calibri"/>
        <family val="2"/>
      </rPr>
      <t>30</t>
    </r>
    <r>
      <rPr>
        <sz val="12"/>
        <color theme="1"/>
        <rFont val="宋体"/>
        <family val="3"/>
        <charset val="134"/>
      </rPr>
      <t>包</t>
    </r>
  </si>
  <si>
    <t>王妍</t>
  </si>
  <si>
    <t>四川省成都市青羊区下同仁路126号</t>
  </si>
  <si>
    <t>110107198601230621</t>
  </si>
  <si>
    <t>王妍110107198601230621</t>
  </si>
  <si>
    <t>9769116625597</t>
  </si>
  <si>
    <t>sc20200033611</t>
  </si>
  <si>
    <r>
      <rPr>
        <sz val="12"/>
        <color theme="1"/>
        <rFont val="宋体"/>
        <family val="3"/>
        <charset val="134"/>
      </rPr>
      <t>基本营养素</t>
    </r>
    <r>
      <rPr>
        <sz val="12"/>
        <color theme="1"/>
        <rFont val="Calibri"/>
        <family val="2"/>
      </rPr>
      <t>*2</t>
    </r>
    <r>
      <rPr>
        <sz val="12"/>
        <color theme="1"/>
        <rFont val="宋体"/>
        <family val="3"/>
        <charset val="134"/>
      </rPr>
      <t>，舒宝</t>
    </r>
    <r>
      <rPr>
        <sz val="12"/>
        <color theme="1"/>
        <rFont val="Calibri"/>
        <family val="2"/>
      </rPr>
      <t>*1</t>
    </r>
    <r>
      <rPr>
        <sz val="12"/>
        <color theme="1"/>
        <rFont val="宋体"/>
        <family val="3"/>
        <charset val="134"/>
      </rPr>
      <t>，葡萄籽</t>
    </r>
    <r>
      <rPr>
        <sz val="12"/>
        <color theme="1"/>
        <rFont val="Calibri"/>
        <family val="2"/>
      </rPr>
      <t>*1</t>
    </r>
    <r>
      <rPr>
        <sz val="12"/>
        <color theme="1"/>
        <rFont val="宋体"/>
        <family val="3"/>
        <charset val="134"/>
      </rPr>
      <t>，维生素</t>
    </r>
    <r>
      <rPr>
        <sz val="12"/>
        <color theme="1"/>
        <rFont val="Calibri"/>
        <family val="2"/>
      </rPr>
      <t>*1</t>
    </r>
    <r>
      <rPr>
        <sz val="12"/>
        <color theme="1"/>
        <rFont val="宋体"/>
        <family val="3"/>
        <charset val="134"/>
      </rPr>
      <t>，视力宝</t>
    </r>
    <r>
      <rPr>
        <sz val="12"/>
        <color theme="1"/>
        <rFont val="Calibri"/>
        <family val="2"/>
      </rPr>
      <t>*5</t>
    </r>
    <r>
      <rPr>
        <sz val="12"/>
        <color theme="1"/>
        <rFont val="宋体"/>
        <family val="3"/>
        <charset val="134"/>
      </rPr>
      <t>，心脏宝</t>
    </r>
    <r>
      <rPr>
        <sz val="12"/>
        <color theme="1"/>
        <rFont val="Calibri"/>
        <family val="2"/>
      </rPr>
      <t>*1</t>
    </r>
  </si>
  <si>
    <r>
      <rPr>
        <sz val="12"/>
        <color theme="1"/>
        <rFont val="Calibri"/>
        <family val="2"/>
      </rPr>
      <t>112</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28</t>
    </r>
    <r>
      <rPr>
        <sz val="12"/>
        <color theme="1"/>
        <rFont val="宋体"/>
        <family val="3"/>
        <charset val="134"/>
      </rPr>
      <t>粒，</t>
    </r>
    <r>
      <rPr>
        <sz val="12"/>
        <color theme="1"/>
        <rFont val="Calibri"/>
        <family val="2"/>
      </rPr>
      <t>56</t>
    </r>
    <r>
      <rPr>
        <sz val="12"/>
        <color theme="1"/>
        <rFont val="宋体"/>
        <family val="3"/>
        <charset val="134"/>
      </rPr>
      <t>粒</t>
    </r>
  </si>
  <si>
    <t>董水娟</t>
  </si>
  <si>
    <t>浙江省宁波市江东区兴宁路李惠利医院总务科</t>
  </si>
  <si>
    <t>朱国珍</t>
  </si>
  <si>
    <t>浙江省宁波市江东区万兴小区12-201</t>
  </si>
  <si>
    <t>110222195505275729</t>
  </si>
  <si>
    <t>朱国珍110222195505275729</t>
  </si>
  <si>
    <t>9769116628197</t>
  </si>
  <si>
    <t>sc20200034496</t>
  </si>
  <si>
    <r>
      <rPr>
        <sz val="12"/>
        <color theme="1"/>
        <rFont val="宋体"/>
        <family val="3"/>
        <charset val="134"/>
      </rPr>
      <t>身体乳</t>
    </r>
    <r>
      <rPr>
        <sz val="12"/>
        <color theme="1"/>
        <rFont val="Calibri"/>
        <family val="2"/>
      </rPr>
      <t>*2</t>
    </r>
  </si>
  <si>
    <t>125G</t>
  </si>
  <si>
    <t>曾沃昌</t>
  </si>
  <si>
    <t>广东省东莞市黄江镇社贝村社贝三街35号</t>
  </si>
  <si>
    <t>陈焕炯</t>
  </si>
  <si>
    <t>330282198309076934</t>
  </si>
  <si>
    <t>陈焕炯330282198309076934</t>
  </si>
  <si>
    <t>9769148290297</t>
  </si>
  <si>
    <t>sc20190023318</t>
  </si>
  <si>
    <r>
      <rPr>
        <sz val="12"/>
        <color theme="1"/>
        <rFont val="宋体"/>
        <family val="3"/>
        <charset val="134"/>
      </rPr>
      <t>蛋白粉</t>
    </r>
    <r>
      <rPr>
        <sz val="12"/>
        <color theme="1"/>
        <rFont val="Calibri"/>
        <family val="2"/>
      </rPr>
      <t>*4</t>
    </r>
  </si>
  <si>
    <t>595G</t>
  </si>
  <si>
    <t>钟金兰</t>
  </si>
  <si>
    <t>广东省广州市荔湾区龙溪大道花园中环街芳村花园13号1502房</t>
  </si>
  <si>
    <t>董泽华</t>
  </si>
  <si>
    <t>230223198108070268</t>
  </si>
  <si>
    <t>董泽华230223198108070268</t>
  </si>
  <si>
    <t>9769116723997</t>
  </si>
  <si>
    <t>SC20200038110</t>
  </si>
  <si>
    <r>
      <rPr>
        <sz val="12"/>
        <color theme="1"/>
        <rFont val="宋体"/>
        <family val="3"/>
        <charset val="134"/>
      </rPr>
      <t>视力宝</t>
    </r>
    <r>
      <rPr>
        <sz val="12"/>
        <color theme="1"/>
        <rFont val="Calibri"/>
        <family val="2"/>
      </rPr>
      <t>*2</t>
    </r>
    <r>
      <rPr>
        <sz val="12"/>
        <color theme="1"/>
        <rFont val="宋体"/>
        <family val="3"/>
        <charset val="134"/>
      </rPr>
      <t>，消化酵素</t>
    </r>
    <r>
      <rPr>
        <sz val="12"/>
        <color theme="1"/>
        <rFont val="Calibri"/>
        <family val="2"/>
      </rPr>
      <t>*2</t>
    </r>
    <r>
      <rPr>
        <sz val="12"/>
        <color theme="1"/>
        <rFont val="宋体"/>
        <family val="3"/>
        <charset val="134"/>
      </rPr>
      <t>，健骼宁</t>
    </r>
    <r>
      <rPr>
        <sz val="12"/>
        <color theme="1"/>
        <rFont val="Calibri"/>
        <family val="2"/>
      </rPr>
      <t>*2</t>
    </r>
    <r>
      <rPr>
        <sz val="12"/>
        <color theme="1"/>
        <rFont val="宋体"/>
        <family val="3"/>
        <charset val="134"/>
      </rPr>
      <t>，辅酶</t>
    </r>
    <r>
      <rPr>
        <sz val="12"/>
        <color theme="1"/>
        <rFont val="Calibri"/>
        <family val="2"/>
      </rPr>
      <t>*2</t>
    </r>
    <r>
      <rPr>
        <sz val="12"/>
        <color theme="1"/>
        <rFont val="宋体"/>
        <family val="3"/>
        <charset val="134"/>
      </rPr>
      <t>，代餐</t>
    </r>
    <r>
      <rPr>
        <sz val="12"/>
        <color theme="1"/>
        <rFont val="Calibri"/>
        <family val="2"/>
      </rPr>
      <t>1</t>
    </r>
    <r>
      <rPr>
        <sz val="12"/>
        <color theme="1"/>
        <rFont val="宋体"/>
        <family val="3"/>
        <charset val="134"/>
      </rPr>
      <t>，面膜</t>
    </r>
    <r>
      <rPr>
        <sz val="12"/>
        <color theme="1"/>
        <rFont val="Calibri"/>
        <family val="2"/>
      </rPr>
      <t>*1</t>
    </r>
  </si>
  <si>
    <r>
      <rPr>
        <sz val="12"/>
        <color theme="1"/>
        <rFont val="Calibri"/>
        <family val="2"/>
      </rPr>
      <t>28</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336G</t>
    </r>
    <r>
      <rPr>
        <sz val="12"/>
        <color theme="1"/>
        <rFont val="宋体"/>
        <family val="3"/>
        <charset val="134"/>
      </rPr>
      <t>，</t>
    </r>
    <r>
      <rPr>
        <sz val="12"/>
        <color theme="1"/>
        <rFont val="Calibri"/>
        <family val="2"/>
      </rPr>
      <t>80G</t>
    </r>
  </si>
  <si>
    <t>黄丽烨</t>
  </si>
  <si>
    <t>上海上海市长宁区长宁支路139号-1</t>
  </si>
  <si>
    <t>442000199108151287</t>
  </si>
  <si>
    <t>黄丽烨442000199108151287</t>
  </si>
  <si>
    <t>9769116700497</t>
  </si>
  <si>
    <t>SC20200031006</t>
  </si>
  <si>
    <t>河北省天津市东丽区新世嘉大厦海伦多兰少儿英语</t>
  </si>
  <si>
    <t>150103197204192016</t>
  </si>
  <si>
    <t>刘浩远150103197204192016</t>
  </si>
  <si>
    <t>9769148688197</t>
  </si>
  <si>
    <t>SC02475000010</t>
  </si>
  <si>
    <t>郭晓蒙</t>
  </si>
  <si>
    <t>广东省深圳市宝安中心区海秀路熙龙湾花园一期7B1102</t>
  </si>
  <si>
    <t>120103198807044265</t>
  </si>
  <si>
    <t>郭晓蒙120103198807044265</t>
  </si>
  <si>
    <t>9769148622997</t>
  </si>
  <si>
    <t>SC20200035085</t>
  </si>
  <si>
    <r>
      <rPr>
        <sz val="12"/>
        <color theme="1"/>
        <rFont val="宋体"/>
        <family val="3"/>
        <charset val="134"/>
      </rPr>
      <t>锐智宝</t>
    </r>
    <r>
      <rPr>
        <sz val="12"/>
        <color theme="1"/>
        <rFont val="Calibri"/>
        <family val="2"/>
      </rPr>
      <t>*3</t>
    </r>
    <r>
      <rPr>
        <sz val="12"/>
        <color theme="1"/>
        <rFont val="宋体"/>
        <family val="3"/>
        <charset val="134"/>
      </rPr>
      <t>，安睡宝</t>
    </r>
    <r>
      <rPr>
        <sz val="12"/>
        <color theme="1"/>
        <rFont val="Calibri"/>
        <family val="2"/>
      </rPr>
      <t>*5</t>
    </r>
    <r>
      <rPr>
        <sz val="12"/>
        <color theme="1"/>
        <rFont val="宋体"/>
        <family val="3"/>
        <charset val="134"/>
      </rPr>
      <t>，男宝</t>
    </r>
    <r>
      <rPr>
        <sz val="12"/>
        <color theme="1"/>
        <rFont val="Calibri"/>
        <family val="2"/>
      </rPr>
      <t>*1</t>
    </r>
    <r>
      <rPr>
        <sz val="12"/>
        <color theme="1"/>
        <rFont val="宋体"/>
        <family val="3"/>
        <charset val="134"/>
      </rPr>
      <t>，心脏宝</t>
    </r>
    <r>
      <rPr>
        <sz val="12"/>
        <color theme="1"/>
        <rFont val="Calibri"/>
        <family val="2"/>
      </rPr>
      <t>*1</t>
    </r>
    <r>
      <rPr>
        <sz val="12"/>
        <color theme="1"/>
        <rFont val="宋体"/>
        <family val="3"/>
        <charset val="134"/>
      </rPr>
      <t>，维生素</t>
    </r>
    <r>
      <rPr>
        <sz val="12"/>
        <color theme="1"/>
        <rFont val="Calibri"/>
        <family val="2"/>
      </rPr>
      <t>*2</t>
    </r>
  </si>
  <si>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28</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168</t>
    </r>
    <r>
      <rPr>
        <sz val="12"/>
        <color theme="1"/>
        <rFont val="宋体"/>
        <family val="3"/>
        <charset val="134"/>
      </rPr>
      <t>粒</t>
    </r>
  </si>
  <si>
    <t>江榕</t>
  </si>
  <si>
    <t>黑龙江省哈尔滨市道里区上游街60-11单元301室</t>
  </si>
  <si>
    <t>350111199104125031</t>
  </si>
  <si>
    <t>江榕350111199104125031</t>
  </si>
  <si>
    <t>9769148556397</t>
  </si>
  <si>
    <t>SC20200022201</t>
  </si>
  <si>
    <r>
      <rPr>
        <sz val="12"/>
        <color theme="1"/>
        <rFont val="宋体"/>
        <family val="3"/>
        <charset val="134"/>
      </rPr>
      <t>鱼油</t>
    </r>
    <r>
      <rPr>
        <sz val="12"/>
        <color theme="1"/>
        <rFont val="Calibri"/>
        <family val="2"/>
      </rPr>
      <t>*4</t>
    </r>
    <r>
      <rPr>
        <sz val="12"/>
        <color theme="1"/>
        <rFont val="宋体"/>
        <family val="3"/>
        <charset val="134"/>
      </rPr>
      <t>，健骼宁</t>
    </r>
    <r>
      <rPr>
        <sz val="12"/>
        <color theme="1"/>
        <rFont val="Calibri"/>
        <family val="2"/>
      </rPr>
      <t>*3</t>
    </r>
    <r>
      <rPr>
        <sz val="12"/>
        <color theme="1"/>
        <rFont val="宋体"/>
        <family val="3"/>
        <charset val="134"/>
      </rPr>
      <t>，肝宝</t>
    </r>
    <r>
      <rPr>
        <sz val="12"/>
        <color theme="1"/>
        <rFont val="Calibri"/>
        <family val="2"/>
      </rPr>
      <t>*1</t>
    </r>
    <r>
      <rPr>
        <sz val="12"/>
        <color theme="1"/>
        <rFont val="宋体"/>
        <family val="3"/>
        <charset val="134"/>
      </rPr>
      <t>，纤维素</t>
    </r>
    <r>
      <rPr>
        <sz val="12"/>
        <color theme="1"/>
        <rFont val="Calibri"/>
        <family val="2"/>
      </rPr>
      <t>*1</t>
    </r>
    <r>
      <rPr>
        <sz val="12"/>
        <color theme="1"/>
        <rFont val="宋体"/>
        <family val="3"/>
        <charset val="134"/>
      </rPr>
      <t>，蛋白粉</t>
    </r>
    <r>
      <rPr>
        <sz val="12"/>
        <color theme="1"/>
        <rFont val="Calibri"/>
        <family val="2"/>
      </rPr>
      <t>*2</t>
    </r>
  </si>
  <si>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84</t>
    </r>
    <r>
      <rPr>
        <sz val="12"/>
        <color theme="1"/>
        <rFont val="宋体"/>
        <family val="3"/>
        <charset val="134"/>
      </rPr>
      <t>粒，，</t>
    </r>
  </si>
  <si>
    <t>范帼俊</t>
  </si>
  <si>
    <t>河北省廊坊市三河市燕郊夏威夷南岸底商308号908铁板烧</t>
  </si>
  <si>
    <t>420704198904015079</t>
  </si>
  <si>
    <t>范帼俊420704198904015079</t>
  </si>
  <si>
    <t>9769148619297</t>
  </si>
  <si>
    <t>SC20200035052</t>
  </si>
  <si>
    <r>
      <rPr>
        <sz val="12"/>
        <color theme="1"/>
        <rFont val="宋体"/>
        <family val="3"/>
        <charset val="134"/>
      </rPr>
      <t>代餐</t>
    </r>
    <r>
      <rPr>
        <sz val="12"/>
        <color theme="1"/>
        <rFont val="Calibri"/>
        <family val="2"/>
      </rPr>
      <t>*2</t>
    </r>
    <r>
      <rPr>
        <sz val="12"/>
        <color theme="1"/>
        <rFont val="宋体"/>
        <family val="3"/>
        <charset val="134"/>
      </rPr>
      <t>，纤维素</t>
    </r>
    <r>
      <rPr>
        <sz val="12"/>
        <color theme="1"/>
        <rFont val="Calibri"/>
        <family val="2"/>
      </rPr>
      <t>*2</t>
    </r>
    <r>
      <rPr>
        <sz val="12"/>
        <color theme="1"/>
        <rFont val="宋体"/>
        <family val="3"/>
        <charset val="134"/>
      </rPr>
      <t>，肝宝</t>
    </r>
    <r>
      <rPr>
        <sz val="12"/>
        <color theme="1"/>
        <rFont val="Calibri"/>
        <family val="2"/>
      </rPr>
      <t>*1</t>
    </r>
    <r>
      <rPr>
        <sz val="12"/>
        <color theme="1"/>
        <rFont val="宋体"/>
        <family val="3"/>
        <charset val="134"/>
      </rPr>
      <t>，鱼油</t>
    </r>
    <r>
      <rPr>
        <sz val="12"/>
        <color theme="1"/>
        <rFont val="Calibri"/>
        <family val="2"/>
      </rPr>
      <t>*2</t>
    </r>
    <r>
      <rPr>
        <sz val="12"/>
        <color theme="1"/>
        <rFont val="宋体"/>
        <family val="3"/>
        <charset val="134"/>
      </rPr>
      <t>，钙</t>
    </r>
    <r>
      <rPr>
        <sz val="12"/>
        <color theme="1"/>
        <rFont val="Calibri"/>
        <family val="2"/>
      </rPr>
      <t>*1</t>
    </r>
    <r>
      <rPr>
        <sz val="12"/>
        <color theme="1"/>
        <rFont val="宋体"/>
        <family val="3"/>
        <charset val="134"/>
      </rPr>
      <t>，儿童营养</t>
    </r>
    <r>
      <rPr>
        <sz val="12"/>
        <color theme="1"/>
        <rFont val="Calibri"/>
        <family val="2"/>
      </rPr>
      <t>*2</t>
    </r>
  </si>
  <si>
    <r>
      <rPr>
        <sz val="12"/>
        <color theme="1"/>
        <rFont val="宋体"/>
        <family val="3"/>
        <charset val="134"/>
      </rPr>
      <t>，，</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</si>
  <si>
    <t>陈朝丽</t>
  </si>
  <si>
    <t>新疆昌吉市健康东路君悦海棠A区18-1-202</t>
  </si>
  <si>
    <t>460022198010135823</t>
  </si>
  <si>
    <t>陈朝丽460022198010135823</t>
  </si>
  <si>
    <t>9769148581597</t>
  </si>
  <si>
    <t>SC20200029077</t>
  </si>
  <si>
    <r>
      <rPr>
        <sz val="12"/>
        <color theme="1"/>
        <rFont val="宋体"/>
        <family val="3"/>
        <charset val="134"/>
      </rPr>
      <t>基本营养素</t>
    </r>
    <r>
      <rPr>
        <sz val="12"/>
        <color theme="1"/>
        <rFont val="Calibri"/>
        <family val="2"/>
      </rPr>
      <t>*2</t>
    </r>
    <r>
      <rPr>
        <sz val="12"/>
        <color theme="1"/>
        <rFont val="宋体"/>
        <family val="3"/>
        <charset val="134"/>
      </rPr>
      <t>，肝宝</t>
    </r>
    <r>
      <rPr>
        <sz val="12"/>
        <color theme="1"/>
        <rFont val="Calibri"/>
        <family val="2"/>
      </rPr>
      <t>*1</t>
    </r>
    <r>
      <rPr>
        <sz val="12"/>
        <color theme="1"/>
        <rFont val="宋体"/>
        <family val="3"/>
        <charset val="134"/>
      </rPr>
      <t>，视力宝</t>
    </r>
    <r>
      <rPr>
        <sz val="12"/>
        <color theme="1"/>
        <rFont val="Calibri"/>
        <family val="2"/>
      </rPr>
      <t>*2</t>
    </r>
    <r>
      <rPr>
        <sz val="12"/>
        <color theme="1"/>
        <rFont val="宋体"/>
        <family val="3"/>
        <charset val="134"/>
      </rPr>
      <t>，锐知宝</t>
    </r>
    <r>
      <rPr>
        <sz val="12"/>
        <color theme="1"/>
        <rFont val="Calibri"/>
        <family val="2"/>
      </rPr>
      <t>*1</t>
    </r>
    <r>
      <rPr>
        <sz val="12"/>
        <color theme="1"/>
        <rFont val="宋体"/>
        <family val="3"/>
        <charset val="134"/>
      </rPr>
      <t>，女宝</t>
    </r>
    <r>
      <rPr>
        <sz val="12"/>
        <color theme="1"/>
        <rFont val="Calibri"/>
        <family val="2"/>
      </rPr>
      <t>*1</t>
    </r>
    <r>
      <rPr>
        <sz val="12"/>
        <color theme="1"/>
        <rFont val="宋体"/>
        <family val="3"/>
        <charset val="134"/>
      </rPr>
      <t>，维生素</t>
    </r>
    <r>
      <rPr>
        <sz val="12"/>
        <color theme="1"/>
        <rFont val="Calibri"/>
        <family val="2"/>
      </rPr>
      <t>C*1</t>
    </r>
    <r>
      <rPr>
        <sz val="12"/>
        <color theme="1"/>
        <rFont val="宋体"/>
        <family val="3"/>
        <charset val="134"/>
      </rPr>
      <t>，男宝</t>
    </r>
    <r>
      <rPr>
        <sz val="12"/>
        <color theme="1"/>
        <rFont val="Calibri"/>
        <family val="2"/>
      </rPr>
      <t>*1</t>
    </r>
    <r>
      <rPr>
        <sz val="12"/>
        <color theme="1"/>
        <rFont val="宋体"/>
        <family val="3"/>
        <charset val="134"/>
      </rPr>
      <t>，葡萄籽</t>
    </r>
    <r>
      <rPr>
        <sz val="12"/>
        <color theme="1"/>
        <rFont val="Calibri"/>
        <family val="2"/>
      </rPr>
      <t>*1</t>
    </r>
  </si>
  <si>
    <t>曾雪琴</t>
  </si>
  <si>
    <t>海南省陵水县椰林镇椰林南干道231号住房和城乡建设局</t>
  </si>
  <si>
    <t>362421198710080425</t>
  </si>
  <si>
    <t>曾雪琴362421198710080425</t>
  </si>
  <si>
    <t>9769148597497</t>
  </si>
  <si>
    <t>SC20200034017</t>
  </si>
  <si>
    <r>
      <rPr>
        <sz val="12"/>
        <color theme="1"/>
        <rFont val="宋体"/>
        <family val="3"/>
        <charset val="134"/>
      </rPr>
      <t>粉水</t>
    </r>
    <r>
      <rPr>
        <sz val="12"/>
        <color theme="1"/>
        <rFont val="Calibri"/>
        <family val="2"/>
      </rPr>
      <t>*6</t>
    </r>
  </si>
  <si>
    <t>ESTEE LAUDER</t>
  </si>
  <si>
    <t>贾晓烨</t>
  </si>
  <si>
    <t>四川省广安市广安区中天国际4栋3105</t>
  </si>
  <si>
    <t>370725198610145289</t>
  </si>
  <si>
    <t>贾晓烨370725198610145289</t>
  </si>
  <si>
    <t>9769148584197</t>
  </si>
  <si>
    <t>SC20200031590</t>
  </si>
  <si>
    <r>
      <rPr>
        <sz val="12"/>
        <color theme="1"/>
        <rFont val="宋体"/>
        <family val="3"/>
        <charset val="134"/>
      </rPr>
      <t>基本营养素</t>
    </r>
    <r>
      <rPr>
        <sz val="12"/>
        <color theme="1"/>
        <rFont val="Calibri"/>
        <family val="2"/>
      </rPr>
      <t>*4</t>
    </r>
    <r>
      <rPr>
        <sz val="12"/>
        <color theme="1"/>
        <rFont val="宋体"/>
        <family val="3"/>
        <charset val="134"/>
      </rPr>
      <t>，眠宁素</t>
    </r>
    <r>
      <rPr>
        <sz val="12"/>
        <color theme="1"/>
        <rFont val="Calibri"/>
        <family val="2"/>
      </rPr>
      <t>*4</t>
    </r>
    <r>
      <rPr>
        <sz val="12"/>
        <color theme="1"/>
        <rFont val="宋体"/>
        <family val="3"/>
        <charset val="134"/>
      </rPr>
      <t>，心脏宝</t>
    </r>
    <r>
      <rPr>
        <sz val="12"/>
        <color theme="1"/>
        <rFont val="Calibri"/>
        <family val="2"/>
      </rPr>
      <t>*4</t>
    </r>
  </si>
  <si>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</si>
  <si>
    <t>叶绮婷</t>
  </si>
  <si>
    <t>山东省烟台市芝罘区世学路188号捷斯瑞驰汽修</t>
  </si>
  <si>
    <t>440111199004171542</t>
  </si>
  <si>
    <t>叶绮婷440111199004171542</t>
  </si>
  <si>
    <t>9769148573697</t>
  </si>
  <si>
    <t>SC20200033881</t>
  </si>
  <si>
    <r>
      <rPr>
        <sz val="12"/>
        <color theme="1"/>
        <rFont val="宋体"/>
        <family val="3"/>
        <charset val="134"/>
      </rPr>
      <t>痔疮膏</t>
    </r>
    <r>
      <rPr>
        <sz val="12"/>
        <color theme="1"/>
        <rFont val="Calibri"/>
        <family val="2"/>
      </rPr>
      <t>*14</t>
    </r>
    <r>
      <rPr>
        <sz val="12"/>
        <color theme="1"/>
        <rFont val="宋体"/>
        <family val="3"/>
        <charset val="134"/>
      </rPr>
      <t>，褪黑素</t>
    </r>
    <r>
      <rPr>
        <sz val="12"/>
        <color theme="1"/>
        <rFont val="Calibri"/>
        <family val="2"/>
      </rPr>
      <t>*4</t>
    </r>
  </si>
  <si>
    <t>ANUSOL，WEBBER</t>
  </si>
  <si>
    <t>吴涛</t>
  </si>
  <si>
    <t>天津市和平区万全道云台花园1-5-606</t>
  </si>
  <si>
    <t>620502198612222352</t>
  </si>
  <si>
    <t>吴涛620502198612222352</t>
  </si>
  <si>
    <t>9769148590997</t>
  </si>
  <si>
    <t>SC20200032413</t>
  </si>
  <si>
    <r>
      <rPr>
        <sz val="12"/>
        <color theme="1"/>
        <rFont val="宋体"/>
        <family val="3"/>
        <charset val="134"/>
      </rPr>
      <t>卸妆小样</t>
    </r>
    <r>
      <rPr>
        <sz val="12"/>
        <color theme="1"/>
        <rFont val="Calibri"/>
        <family val="2"/>
      </rPr>
      <t>*2</t>
    </r>
    <r>
      <rPr>
        <sz val="12"/>
        <color theme="1"/>
        <rFont val="宋体"/>
        <family val="3"/>
        <charset val="134"/>
      </rPr>
      <t>，睫毛小样</t>
    </r>
    <r>
      <rPr>
        <sz val="12"/>
        <color theme="1"/>
        <rFont val="Calibri"/>
        <family val="2"/>
      </rPr>
      <t>*4</t>
    </r>
    <r>
      <rPr>
        <sz val="12"/>
        <color theme="1"/>
        <rFont val="宋体"/>
        <family val="3"/>
        <charset val="134"/>
      </rPr>
      <t>，口红小样</t>
    </r>
    <r>
      <rPr>
        <sz val="12"/>
        <color theme="1"/>
        <rFont val="Calibri"/>
        <family val="2"/>
      </rPr>
      <t>*2</t>
    </r>
    <r>
      <rPr>
        <sz val="12"/>
        <color theme="1"/>
        <rFont val="宋体"/>
        <family val="3"/>
        <charset val="134"/>
      </rPr>
      <t>，眼影小样</t>
    </r>
    <r>
      <rPr>
        <sz val="12"/>
        <color theme="1"/>
        <rFont val="Calibri"/>
        <family val="2"/>
      </rPr>
      <t>*1</t>
    </r>
  </si>
  <si>
    <t>LANCOME，LANCOME，LANCOME，ESTEE LAUDER</t>
  </si>
  <si>
    <t>天津市和平区兰州道金德园1-1107</t>
  </si>
  <si>
    <t>330724199603091623</t>
  </si>
  <si>
    <t>虞鑫330724199603091623</t>
  </si>
  <si>
    <t>9769148578497</t>
  </si>
  <si>
    <t>SC20200032958</t>
  </si>
  <si>
    <t>刘丽君</t>
  </si>
  <si>
    <t>天津市和平区卫津路乐昌里14门301</t>
  </si>
  <si>
    <t>420525199206090026</t>
  </si>
  <si>
    <t>刘丽君420525199206090026</t>
  </si>
  <si>
    <t>9769148623297</t>
  </si>
  <si>
    <t>SC20200032693</t>
  </si>
  <si>
    <r>
      <rPr>
        <sz val="12"/>
        <color theme="1"/>
        <rFont val="宋体"/>
        <family val="3"/>
        <charset val="134"/>
      </rPr>
      <t>颈霜</t>
    </r>
    <r>
      <rPr>
        <sz val="12"/>
        <color theme="1"/>
        <rFont val="Calibri"/>
        <family val="2"/>
      </rPr>
      <t>*4</t>
    </r>
  </si>
  <si>
    <t>STRIVECTIN</t>
  </si>
  <si>
    <t>李彤</t>
  </si>
  <si>
    <t>天津市和平区劝业场街滨江道126号</t>
  </si>
  <si>
    <t>120103197903250312</t>
  </si>
  <si>
    <t>李彤120103197903250312</t>
  </si>
  <si>
    <t>9769148689597</t>
  </si>
  <si>
    <t>SC02349000004</t>
  </si>
  <si>
    <t>广东省深圳市宝安中心区宝安大道2125-1号广安大厦202</t>
  </si>
  <si>
    <t>430303193710242020</t>
  </si>
  <si>
    <t>郑子斐430303193710242020</t>
  </si>
  <si>
    <t>9769148621597</t>
  </si>
  <si>
    <t>SC20200033988</t>
  </si>
  <si>
    <r>
      <rPr>
        <sz val="12"/>
        <color theme="1"/>
        <rFont val="宋体"/>
        <family val="3"/>
        <charset val="134"/>
      </rPr>
      <t>健康包</t>
    </r>
    <r>
      <rPr>
        <sz val="12"/>
        <color theme="1"/>
        <rFont val="Calibri"/>
        <family val="2"/>
      </rPr>
      <t>*1</t>
    </r>
    <r>
      <rPr>
        <sz val="12"/>
        <color theme="1"/>
        <rFont val="宋体"/>
        <family val="3"/>
        <charset val="134"/>
      </rPr>
      <t>，钙</t>
    </r>
    <r>
      <rPr>
        <sz val="12"/>
        <color theme="1"/>
        <rFont val="Calibri"/>
        <family val="2"/>
      </rPr>
      <t>*3</t>
    </r>
    <r>
      <rPr>
        <sz val="12"/>
        <color theme="1"/>
        <rFont val="宋体"/>
        <family val="3"/>
        <charset val="134"/>
      </rPr>
      <t>，维生素</t>
    </r>
    <r>
      <rPr>
        <sz val="12"/>
        <color theme="1"/>
        <rFont val="Calibri"/>
        <family val="2"/>
      </rPr>
      <t>C*1</t>
    </r>
    <r>
      <rPr>
        <sz val="12"/>
        <color theme="1"/>
        <rFont val="宋体"/>
        <family val="3"/>
        <charset val="134"/>
      </rPr>
      <t>，维生素</t>
    </r>
    <r>
      <rPr>
        <sz val="12"/>
        <color theme="1"/>
        <rFont val="Calibri"/>
        <family val="2"/>
      </rPr>
      <t>D*3</t>
    </r>
    <r>
      <rPr>
        <sz val="12"/>
        <color theme="1"/>
        <rFont val="宋体"/>
        <family val="3"/>
        <charset val="134"/>
      </rPr>
      <t>，锐知宝</t>
    </r>
    <r>
      <rPr>
        <sz val="12"/>
        <color theme="1"/>
        <rFont val="Calibri"/>
        <family val="2"/>
      </rPr>
      <t>*2</t>
    </r>
    <r>
      <rPr>
        <sz val="12"/>
        <color theme="1"/>
        <rFont val="宋体"/>
        <family val="3"/>
        <charset val="134"/>
      </rPr>
      <t>，男宝</t>
    </r>
    <r>
      <rPr>
        <sz val="12"/>
        <color theme="1"/>
        <rFont val="Calibri"/>
        <family val="2"/>
      </rPr>
      <t>*1</t>
    </r>
  </si>
  <si>
    <t>北京市海淀区远大西路远大园1区1号楼2-1G</t>
  </si>
  <si>
    <t>北京市海淀区万柳镇万柳阳春光华小区5号楼1306室</t>
  </si>
  <si>
    <t>310227198608301822</t>
  </si>
  <si>
    <t>王春虹310227198608301822</t>
  </si>
  <si>
    <t>9769148690497</t>
  </si>
  <si>
    <t>SC03290200005</t>
  </si>
  <si>
    <t>刘立平</t>
  </si>
  <si>
    <t>北京市朝阳区万方家园61号楼2单元401</t>
  </si>
  <si>
    <t>210621196405010823</t>
  </si>
  <si>
    <t>刘立平210621196405010823</t>
  </si>
  <si>
    <t>9769148691897</t>
  </si>
  <si>
    <t>SC02384300015</t>
  </si>
  <si>
    <t>马艳娟</t>
  </si>
  <si>
    <t>广东省广州市从化区街口街府前路18号富怡珠宝</t>
  </si>
  <si>
    <t>210112197909173440</t>
  </si>
  <si>
    <t>马艳娟210112197909173440</t>
  </si>
  <si>
    <t>9769148692197</t>
  </si>
  <si>
    <t>SC02384300019</t>
  </si>
  <si>
    <t>马娜</t>
  </si>
  <si>
    <t>广东省广州市先烈南路17号北座509</t>
  </si>
  <si>
    <t>342623199612186861</t>
  </si>
  <si>
    <t>马娜342623199612186861</t>
  </si>
  <si>
    <t>9769148693597</t>
  </si>
  <si>
    <t>SC02384100010</t>
  </si>
  <si>
    <t>广东省广州市从化区城郊镇横江美都工业园（天天快递自取）</t>
  </si>
  <si>
    <t>422130197312035823</t>
  </si>
  <si>
    <t>李秀娟422130197312035823</t>
  </si>
  <si>
    <t>9769148694997</t>
  </si>
  <si>
    <t>SC02384100014</t>
  </si>
  <si>
    <t xml:space="preserve">广东省广州市南沙区南沙澳园4区 12栋 </t>
  </si>
  <si>
    <t>广东省广州市南沙区万顷镇十涌东上路5号</t>
  </si>
  <si>
    <t>421127194509300018</t>
  </si>
  <si>
    <t>吴在舟421127194509300018</t>
  </si>
  <si>
    <t>9769148695297</t>
  </si>
  <si>
    <t>SC02384100018</t>
  </si>
  <si>
    <t xml:space="preserve">广东省广州市南沙区南沙澳园4区 10栋 </t>
  </si>
  <si>
    <t>张丽亚</t>
  </si>
  <si>
    <t>广东省广州市南沙区万顷沙镇沙尾一村九涌西路26号</t>
  </si>
  <si>
    <t>130106198205083022</t>
  </si>
  <si>
    <t>张丽亚130106198205083022</t>
  </si>
  <si>
    <t>9769148583897</t>
  </si>
  <si>
    <t>SC20200032229</t>
  </si>
  <si>
    <r>
      <rPr>
        <sz val="12"/>
        <color theme="1"/>
        <rFont val="宋体"/>
        <family val="3"/>
        <charset val="134"/>
      </rPr>
      <t>湿凝霜</t>
    </r>
    <r>
      <rPr>
        <sz val="12"/>
        <color theme="1"/>
        <rFont val="Calibri"/>
        <family val="2"/>
      </rPr>
      <t>*2</t>
    </r>
    <r>
      <rPr>
        <sz val="12"/>
        <color theme="1"/>
        <rFont val="宋体"/>
        <family val="3"/>
        <charset val="134"/>
      </rPr>
      <t>，滋润补湿霜</t>
    </r>
    <r>
      <rPr>
        <sz val="12"/>
        <color theme="1"/>
        <rFont val="Calibri"/>
        <family val="2"/>
      </rPr>
      <t>*6</t>
    </r>
    <r>
      <rPr>
        <sz val="12"/>
        <color theme="1"/>
        <rFont val="宋体"/>
        <family val="3"/>
        <charset val="134"/>
      </rPr>
      <t>，修护晚霜</t>
    </r>
    <r>
      <rPr>
        <sz val="12"/>
        <color theme="1"/>
        <rFont val="Calibri"/>
        <family val="2"/>
      </rPr>
      <t>*1</t>
    </r>
  </si>
  <si>
    <t>申德军</t>
  </si>
  <si>
    <t>广东省广州市从化区街口街府前路5号金叶珠宝</t>
  </si>
  <si>
    <t>211202196912102036</t>
  </si>
  <si>
    <t>申德军211202196912102036</t>
  </si>
  <si>
    <t>9769148598897</t>
  </si>
  <si>
    <t>SC20200020772</t>
  </si>
  <si>
    <t>山东省德州市德城区东地中大街835号德州市妇幼保健院</t>
  </si>
  <si>
    <t>341222199511219178</t>
  </si>
  <si>
    <t>耿远341222199511219178</t>
  </si>
  <si>
    <t>9769148613597</t>
  </si>
  <si>
    <t>SC20200020802</t>
  </si>
  <si>
    <t>徐梓青</t>
  </si>
  <si>
    <t>山东省德州市德城区新华路小区（新湖家园南门对面）4号楼3单元2楼东</t>
  </si>
  <si>
    <t>44011219891108062X</t>
  </si>
  <si>
    <t>徐梓青44011219891108062X</t>
  </si>
  <si>
    <t>9769148696697</t>
  </si>
  <si>
    <t>SC03424700016</t>
  </si>
  <si>
    <t>万淑英</t>
  </si>
  <si>
    <t>辽宁省营口市鲅鱼圈区红海街道湖海假日18栋1单元402室</t>
  </si>
  <si>
    <t>231027196509065722</t>
  </si>
  <si>
    <t>万淑英231027196509065722</t>
  </si>
  <si>
    <t>9769148697097</t>
  </si>
  <si>
    <t>SC03424700020</t>
  </si>
  <si>
    <t>田广省</t>
  </si>
  <si>
    <t>辽宁省大连市甘井子区东北名苑26#3-2-2</t>
  </si>
  <si>
    <t>430219195608071637</t>
  </si>
  <si>
    <t>田广省430219195608071637</t>
  </si>
  <si>
    <t>9769148570597</t>
  </si>
  <si>
    <t>SC20200023926</t>
  </si>
  <si>
    <t>高钟响</t>
  </si>
  <si>
    <t>山东省德州市庆云县天庆家园7号-1</t>
  </si>
  <si>
    <t>杨婷婷</t>
  </si>
  <si>
    <t>山东省枣庄市光明路51号广播电视台</t>
  </si>
  <si>
    <t>460033198502090026</t>
  </si>
  <si>
    <t>杨婷婷460033198502090026</t>
  </si>
  <si>
    <t>9769148563497</t>
  </si>
  <si>
    <t>SC20200017443</t>
  </si>
  <si>
    <t>山东省日照市济南路锦泰新村南门沿街二楼合一瑜伽</t>
  </si>
  <si>
    <t>52242619930216321X</t>
  </si>
  <si>
    <t>金茂52242619930216321X</t>
  </si>
  <si>
    <t>9769148311797</t>
  </si>
  <si>
    <t>MM2020100773</t>
  </si>
  <si>
    <r>
      <rPr>
        <sz val="12"/>
        <color rgb="FF000000"/>
        <rFont val="Heiti SC Light"/>
        <family val="1"/>
      </rPr>
      <t>面胶</t>
    </r>
    <r>
      <rPr>
        <sz val="12"/>
        <color rgb="FF000000"/>
        <rFont val="Arial"/>
        <family val="2"/>
      </rPr>
      <t>*4</t>
    </r>
  </si>
  <si>
    <t>徐莉莉</t>
  </si>
  <si>
    <t>江苏省南京市六合区大厂街道南京钢铁联合有限公司安全能环部112室</t>
  </si>
  <si>
    <t>蔡蓝蓝</t>
  </si>
  <si>
    <t>江苏省南京市六合区（大厂）沿江工业开发区扬子21村2幢202室</t>
  </si>
  <si>
    <t>460103198806031524</t>
  </si>
  <si>
    <t>蔡蓝蓝460103198806031524</t>
  </si>
  <si>
    <t>9769148275797</t>
  </si>
  <si>
    <t>MM2020100778</t>
  </si>
  <si>
    <r>
      <rPr>
        <sz val="12"/>
        <color rgb="FF000000"/>
        <rFont val="Heiti SC Light"/>
        <family val="1"/>
      </rPr>
      <t>面胶</t>
    </r>
    <r>
      <rPr>
        <sz val="12"/>
        <color rgb="FF000000"/>
        <rFont val="Arial"/>
        <family val="2"/>
      </rPr>
      <t>*2</t>
    </r>
  </si>
  <si>
    <t>金晓琼</t>
  </si>
  <si>
    <t>浙江省温州市永嘉县瓯北街道塔下路繁荣巷36号</t>
  </si>
  <si>
    <t>330324198709166383</t>
  </si>
  <si>
    <t>金晓琼330324198709166383</t>
  </si>
  <si>
    <t>9769148473597</t>
  </si>
  <si>
    <t>SC20200033052</t>
  </si>
  <si>
    <t>王雪莹</t>
  </si>
  <si>
    <t>广东省广州市增城区荔城街道荔乡路3号好景华庭2栋1601</t>
  </si>
  <si>
    <t>220882198603190225</t>
  </si>
  <si>
    <t>王雪莹220882198603190225</t>
  </si>
  <si>
    <t>9769148469597</t>
  </si>
  <si>
    <t>SC20200033056</t>
  </si>
  <si>
    <r>
      <rPr>
        <sz val="12"/>
        <color theme="1"/>
        <rFont val="宋体"/>
        <family val="3"/>
        <charset val="134"/>
      </rPr>
      <t>基本营养素</t>
    </r>
    <r>
      <rPr>
        <sz val="12"/>
        <color theme="1"/>
        <rFont val="Calibri"/>
        <family val="2"/>
      </rPr>
      <t>*2</t>
    </r>
    <r>
      <rPr>
        <sz val="12"/>
        <color theme="1"/>
        <rFont val="宋体"/>
        <family val="3"/>
        <charset val="134"/>
      </rPr>
      <t>，钙片</t>
    </r>
    <r>
      <rPr>
        <sz val="12"/>
        <color theme="1"/>
        <rFont val="Calibri"/>
        <family val="2"/>
      </rPr>
      <t>*2</t>
    </r>
    <r>
      <rPr>
        <sz val="12"/>
        <color theme="1"/>
        <rFont val="宋体"/>
        <family val="3"/>
        <charset val="134"/>
      </rPr>
      <t>，葡萄籽</t>
    </r>
    <r>
      <rPr>
        <sz val="12"/>
        <color theme="1"/>
        <rFont val="Calibri"/>
        <family val="2"/>
      </rPr>
      <t>*2</t>
    </r>
    <r>
      <rPr>
        <sz val="12"/>
        <color theme="1"/>
        <rFont val="宋体"/>
        <family val="3"/>
        <charset val="134"/>
      </rPr>
      <t>，益生菌</t>
    </r>
    <r>
      <rPr>
        <sz val="12"/>
        <color theme="1"/>
        <rFont val="Calibri"/>
        <family val="2"/>
      </rPr>
      <t>*3</t>
    </r>
    <r>
      <rPr>
        <sz val="12"/>
        <color theme="1"/>
        <rFont val="宋体"/>
        <family val="3"/>
        <charset val="134"/>
      </rPr>
      <t>，保列健</t>
    </r>
    <r>
      <rPr>
        <sz val="12"/>
        <color theme="1"/>
        <rFont val="Calibri"/>
        <family val="2"/>
      </rPr>
      <t>*3</t>
    </r>
    <r>
      <rPr>
        <sz val="12"/>
        <color theme="1"/>
        <rFont val="宋体"/>
        <family val="3"/>
        <charset val="134"/>
      </rPr>
      <t>，心宝</t>
    </r>
    <r>
      <rPr>
        <sz val="12"/>
        <color theme="1"/>
        <rFont val="Calibri"/>
        <family val="2"/>
      </rPr>
      <t>*1</t>
    </r>
  </si>
  <si>
    <t>刘沃坤</t>
  </si>
  <si>
    <t>广东省广州市增城区新塘镇西洲村宁西旧街七巷2号1楼</t>
  </si>
  <si>
    <t>魏滟栊</t>
  </si>
  <si>
    <t>广东省广州市增城区新塘镇大林边二横路假日花园7号</t>
  </si>
  <si>
    <t>51162319870505539X</t>
  </si>
  <si>
    <t>魏滟栊51162319870505539X</t>
  </si>
  <si>
    <t>9769148471397</t>
  </si>
  <si>
    <t>SC20200033060</t>
  </si>
  <si>
    <t>张馨</t>
  </si>
  <si>
    <t>广东省广州市增城区新塘镇汇东南路一号合汇地产办公楼2楼</t>
  </si>
  <si>
    <t>370202198407223526</t>
  </si>
  <si>
    <t>张馨370202198407223526</t>
  </si>
  <si>
    <t>9769148429397</t>
  </si>
  <si>
    <t>SC20200033064</t>
  </si>
  <si>
    <r>
      <rPr>
        <sz val="12"/>
        <color theme="1"/>
        <rFont val="宋体"/>
        <family val="3"/>
        <charset val="134"/>
      </rPr>
      <t>健康包</t>
    </r>
    <r>
      <rPr>
        <sz val="12"/>
        <color theme="1"/>
        <rFont val="Calibri"/>
        <family val="2"/>
      </rPr>
      <t>*1</t>
    </r>
    <r>
      <rPr>
        <sz val="12"/>
        <color theme="1"/>
        <rFont val="宋体"/>
        <family val="3"/>
        <charset val="134"/>
      </rPr>
      <t>，巧克力代餐</t>
    </r>
    <r>
      <rPr>
        <sz val="12"/>
        <color theme="1"/>
        <rFont val="Calibri"/>
        <family val="2"/>
      </rPr>
      <t>*2</t>
    </r>
    <r>
      <rPr>
        <sz val="12"/>
        <color theme="1"/>
        <rFont val="宋体"/>
        <family val="3"/>
        <charset val="134"/>
      </rPr>
      <t>，心宝</t>
    </r>
    <r>
      <rPr>
        <sz val="12"/>
        <color theme="1"/>
        <rFont val="Calibri"/>
        <family val="2"/>
      </rPr>
      <t>*4</t>
    </r>
    <r>
      <rPr>
        <sz val="12"/>
        <color theme="1"/>
        <rFont val="宋体"/>
        <family val="3"/>
        <charset val="134"/>
      </rPr>
      <t>，健骼宁</t>
    </r>
    <r>
      <rPr>
        <sz val="12"/>
        <color theme="1"/>
        <rFont val="Calibri"/>
        <family val="2"/>
      </rPr>
      <t>*1</t>
    </r>
    <r>
      <rPr>
        <sz val="12"/>
        <color theme="1"/>
        <rFont val="宋体"/>
        <family val="3"/>
        <charset val="134"/>
      </rPr>
      <t>，保列健</t>
    </r>
    <r>
      <rPr>
        <sz val="12"/>
        <color theme="1"/>
        <rFont val="Calibri"/>
        <family val="2"/>
      </rPr>
      <t>*1</t>
    </r>
  </si>
  <si>
    <t>罗海锋</t>
  </si>
  <si>
    <t>徐飞波</t>
  </si>
  <si>
    <t>广东省广州市增城区新塘镇群星新村8栋205</t>
  </si>
  <si>
    <t>330283198301013724</t>
  </si>
  <si>
    <t>徐飞波330283198301013724</t>
  </si>
  <si>
    <t>9769148289397</t>
  </si>
  <si>
    <t>MM2020100782</t>
  </si>
  <si>
    <r>
      <rPr>
        <sz val="12"/>
        <color rgb="FF000000"/>
        <rFont val="Heiti SC Light"/>
        <family val="1"/>
      </rPr>
      <t>面霜</t>
    </r>
    <r>
      <rPr>
        <sz val="12"/>
        <color rgb="FF000000"/>
        <rFont val="Arial"/>
        <family val="2"/>
      </rPr>
      <t>*2</t>
    </r>
  </si>
  <si>
    <t>上海市闵行区七宝镇七莘路3333弄万科城市花园7区21号402室</t>
  </si>
  <si>
    <t>310112196712040520</t>
  </si>
  <si>
    <t>孙彩燕310112196712040520</t>
  </si>
  <si>
    <t>9769116706697</t>
  </si>
  <si>
    <t>MM2020100792</t>
  </si>
  <si>
    <t>文南雁</t>
  </si>
  <si>
    <t>湖南省衡阳市珠晖区第一人民医院门诊耳鼻喉科</t>
  </si>
  <si>
    <t>湖南省衡阳市珠晖区东城国际斜对面中建一局项目部</t>
  </si>
  <si>
    <t>430402197006072520</t>
  </si>
  <si>
    <t>文南雁430402197006072520</t>
  </si>
  <si>
    <t>9769148283197</t>
  </si>
  <si>
    <t>MM2020100801</t>
  </si>
  <si>
    <t>面胶*3，眼胶*2</t>
  </si>
  <si>
    <t>320321195802104238</t>
  </si>
  <si>
    <t>渠时光320321195802104238</t>
  </si>
  <si>
    <t>9769148698397</t>
  </si>
  <si>
    <t>SC03370900002</t>
  </si>
  <si>
    <t>杨玉娟</t>
  </si>
  <si>
    <t>山东省昌东县爱伦堡小区20号2-12楼东</t>
  </si>
  <si>
    <t>350427198211200028</t>
  </si>
  <si>
    <t>杨玉娟350427198211200028</t>
  </si>
  <si>
    <t>9769148699797</t>
  </si>
  <si>
    <t>SC03262500003</t>
  </si>
  <si>
    <t>张丽薇</t>
  </si>
  <si>
    <t>山东省日照市东港区荣安广场HC快递柜</t>
  </si>
  <si>
    <t>222424198808150020</t>
  </si>
  <si>
    <t>张丽薇222424198808150020</t>
  </si>
  <si>
    <t>9769148700397</t>
  </si>
  <si>
    <t>SC02399700004</t>
  </si>
  <si>
    <t>郑春兰</t>
  </si>
  <si>
    <t>山东省曲阜市圣水苑小区26号楼1501</t>
  </si>
  <si>
    <t>350583199009170081</t>
  </si>
  <si>
    <t>郑春兰350583199009170081</t>
  </si>
  <si>
    <t>9769148701797</t>
  </si>
  <si>
    <t>SC20200034677</t>
  </si>
  <si>
    <t>河北省石家庄市东开发区中仰陵村</t>
  </si>
  <si>
    <t>132324197005031413</t>
  </si>
  <si>
    <t>赵汇强132324197005031413</t>
  </si>
  <si>
    <t>9769148702597</t>
  </si>
  <si>
    <t>SC03467700005</t>
  </si>
  <si>
    <t>赵梦雅</t>
  </si>
  <si>
    <t>河北省石家庄市华新路茶叶公司宿舍2-2-101</t>
  </si>
  <si>
    <t>蔡晓萍</t>
  </si>
  <si>
    <t>河北省石家庄市中山西路589号</t>
  </si>
  <si>
    <t>350582197810175528</t>
  </si>
  <si>
    <t>蔡晓萍350582197810175528</t>
  </si>
  <si>
    <t>9769148703497</t>
  </si>
  <si>
    <t>SC20200032981</t>
  </si>
  <si>
    <t>陈秀红</t>
  </si>
  <si>
    <t>辽宁省丹东市元宝区四道口淇润小额贷款公司</t>
  </si>
  <si>
    <t>陈卓</t>
  </si>
  <si>
    <t>辽宁省丹东市元宝区金海路18-9号农行宝山支行</t>
  </si>
  <si>
    <t>371002198812207028</t>
  </si>
  <si>
    <t>陈卓371002198812207028</t>
  </si>
  <si>
    <t>9769148704897</t>
  </si>
  <si>
    <t>SC03298100005</t>
  </si>
  <si>
    <t>计凤辉</t>
  </si>
  <si>
    <t>辽宁省鞍山市铁东区四道街19栋鑫鑫干洗店</t>
  </si>
  <si>
    <t>高丽丽</t>
  </si>
  <si>
    <t>辽宁省鞍山市铁东区万科惠斯勒小镇58号楼1单元1032室</t>
  </si>
  <si>
    <t>232127198306110023</t>
  </si>
  <si>
    <t>高丽丽232127198306110023</t>
  </si>
  <si>
    <t>9769148438197</t>
  </si>
  <si>
    <t>SC20200022024</t>
  </si>
  <si>
    <t>王文明</t>
  </si>
  <si>
    <t>江苏省苏州市姑苏区吴中西路818号福星新城1幢505室</t>
  </si>
  <si>
    <t>320520198111024317</t>
  </si>
  <si>
    <t>王文明320520198111024317</t>
  </si>
  <si>
    <t>9769148492597</t>
  </si>
  <si>
    <t>SC20200022021</t>
  </si>
  <si>
    <t>冷晓燕</t>
  </si>
  <si>
    <t>江苏省苏州市虎丘区泰山路2号和枫产业园24号厂房</t>
  </si>
  <si>
    <t>胡雪娇</t>
  </si>
  <si>
    <t>130582199310043666</t>
  </si>
  <si>
    <t>胡雪娇130582199310043666</t>
  </si>
  <si>
    <t>9769148451097</t>
  </si>
  <si>
    <t>SC20200022017</t>
  </si>
  <si>
    <r>
      <rPr>
        <sz val="12"/>
        <color theme="1"/>
        <rFont val="宋体"/>
        <family val="3"/>
        <charset val="134"/>
      </rPr>
      <t>辅酶</t>
    </r>
    <r>
      <rPr>
        <sz val="12"/>
        <color theme="1"/>
        <rFont val="Calibri"/>
        <family val="2"/>
      </rPr>
      <t>*10</t>
    </r>
  </si>
  <si>
    <t>曹禄</t>
  </si>
  <si>
    <t>河北省秦皇岛市海港区秦皇半岛九区32-3-301</t>
  </si>
  <si>
    <t>李春波</t>
  </si>
  <si>
    <t>320681198704304021</t>
  </si>
  <si>
    <t>李春波320681198704304021</t>
  </si>
  <si>
    <t>9769148552997</t>
  </si>
  <si>
    <t>SC20200033631</t>
  </si>
  <si>
    <r>
      <rPr>
        <sz val="12"/>
        <color theme="1"/>
        <rFont val="宋体"/>
        <family val="3"/>
        <charset val="134"/>
      </rPr>
      <t>粉底液</t>
    </r>
    <r>
      <rPr>
        <sz val="12"/>
        <color theme="1"/>
        <rFont val="Calibri"/>
        <family val="2"/>
      </rPr>
      <t>*6</t>
    </r>
    <r>
      <rPr>
        <sz val="12"/>
        <color theme="1"/>
        <rFont val="宋体"/>
        <family val="3"/>
        <charset val="134"/>
      </rPr>
      <t>，小样精华</t>
    </r>
    <r>
      <rPr>
        <sz val="12"/>
        <color theme="1"/>
        <rFont val="Calibri"/>
        <family val="2"/>
      </rPr>
      <t>*1</t>
    </r>
  </si>
  <si>
    <t>河北省廊坊市香河县渠口镇康庄西</t>
  </si>
  <si>
    <t>卢艳</t>
  </si>
  <si>
    <t>河北省廊坊市三河燕郊经济开发区夏威夷小区檀香山C7</t>
  </si>
  <si>
    <t>510422198708228227</t>
  </si>
  <si>
    <t>卢艳510422198708228227</t>
  </si>
  <si>
    <t>9769148625097</t>
  </si>
  <si>
    <t>SC20200033640</t>
  </si>
  <si>
    <r>
      <rPr>
        <sz val="12"/>
        <color theme="1"/>
        <rFont val="宋体"/>
        <family val="3"/>
        <charset val="134"/>
      </rPr>
      <t>爽肤水</t>
    </r>
    <r>
      <rPr>
        <sz val="12"/>
        <color theme="1"/>
        <rFont val="Calibri"/>
        <family val="2"/>
      </rPr>
      <t>*1</t>
    </r>
    <r>
      <rPr>
        <sz val="12"/>
        <color theme="1"/>
        <rFont val="宋体"/>
        <family val="3"/>
        <charset val="134"/>
      </rPr>
      <t>，粉底液</t>
    </r>
    <r>
      <rPr>
        <sz val="12"/>
        <color theme="1"/>
        <rFont val="Calibri"/>
        <family val="2"/>
      </rPr>
      <t>*2</t>
    </r>
    <r>
      <rPr>
        <sz val="12"/>
        <color theme="1"/>
        <rFont val="宋体"/>
        <family val="3"/>
        <charset val="134"/>
      </rPr>
      <t>，洗面奶</t>
    </r>
    <r>
      <rPr>
        <sz val="12"/>
        <color theme="1"/>
        <rFont val="Calibri"/>
        <family val="2"/>
      </rPr>
      <t>*1</t>
    </r>
    <r>
      <rPr>
        <sz val="12"/>
        <color theme="1"/>
        <rFont val="宋体"/>
        <family val="3"/>
        <charset val="134"/>
      </rPr>
      <t>，口红</t>
    </r>
    <r>
      <rPr>
        <sz val="12"/>
        <color theme="1"/>
        <rFont val="Calibri"/>
        <family val="2"/>
      </rPr>
      <t>*2</t>
    </r>
    <r>
      <rPr>
        <sz val="12"/>
        <color theme="1"/>
        <rFont val="宋体"/>
        <family val="3"/>
        <charset val="134"/>
      </rPr>
      <t>，唇釉</t>
    </r>
    <r>
      <rPr>
        <sz val="12"/>
        <color theme="1"/>
        <rFont val="Calibri"/>
        <family val="2"/>
      </rPr>
      <t>*2</t>
    </r>
    <r>
      <rPr>
        <sz val="12"/>
        <color theme="1"/>
        <rFont val="宋体"/>
        <family val="3"/>
        <charset val="134"/>
      </rPr>
      <t>，打底膏</t>
    </r>
    <r>
      <rPr>
        <sz val="12"/>
        <color theme="1"/>
        <rFont val="Calibri"/>
        <family val="2"/>
      </rPr>
      <t>*2</t>
    </r>
  </si>
  <si>
    <t>ESTEE LAUDER，ESTEE LAUDER，ESTEE LAUDER，MAC，MAC，MAC</t>
  </si>
  <si>
    <t>400ML，30ML，125ML，3ML，5ML，1.8ML</t>
  </si>
  <si>
    <t>彭超君</t>
  </si>
  <si>
    <t>河北省廊坊市丰盛路17号3单元101</t>
  </si>
  <si>
    <t>500223199010055641</t>
  </si>
  <si>
    <t>彭超君500223199010055641</t>
  </si>
  <si>
    <t>9769148553297</t>
  </si>
  <si>
    <t>SC20200033637</t>
  </si>
  <si>
    <t>孙静</t>
  </si>
  <si>
    <t>河北省廊坊三河燕郊开发区和安花园达观别墅E29栋</t>
  </si>
  <si>
    <t>210403196311282162</t>
  </si>
  <si>
    <t>孙静210403196311282162</t>
  </si>
  <si>
    <t>9769148450697</t>
  </si>
  <si>
    <t>SC20200034132</t>
  </si>
  <si>
    <r>
      <rPr>
        <sz val="12"/>
        <color theme="1"/>
        <rFont val="宋体"/>
        <family val="3"/>
        <charset val="134"/>
      </rPr>
      <t>健骼宁</t>
    </r>
    <r>
      <rPr>
        <sz val="12"/>
        <color theme="1"/>
        <rFont val="Calibri"/>
        <family val="2"/>
      </rPr>
      <t>*6</t>
    </r>
    <r>
      <rPr>
        <sz val="12"/>
        <color theme="1"/>
        <rFont val="宋体"/>
        <family val="3"/>
        <charset val="134"/>
      </rPr>
      <t>，维</t>
    </r>
    <r>
      <rPr>
        <sz val="12"/>
        <color theme="1"/>
        <rFont val="Calibri"/>
        <family val="2"/>
      </rPr>
      <t>C*5</t>
    </r>
    <r>
      <rPr>
        <sz val="12"/>
        <color theme="1"/>
        <rFont val="宋体"/>
        <family val="3"/>
        <charset val="134"/>
      </rPr>
      <t>，葡萄籽</t>
    </r>
    <r>
      <rPr>
        <sz val="12"/>
        <color theme="1"/>
        <rFont val="Calibri"/>
        <family val="2"/>
      </rPr>
      <t>*3</t>
    </r>
    <r>
      <rPr>
        <sz val="12"/>
        <color theme="1"/>
        <rFont val="宋体"/>
        <family val="3"/>
        <charset val="134"/>
      </rPr>
      <t>，维生素</t>
    </r>
    <r>
      <rPr>
        <sz val="12"/>
        <color theme="1"/>
        <rFont val="Calibri"/>
        <family val="2"/>
      </rPr>
      <t>*1</t>
    </r>
  </si>
  <si>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</si>
  <si>
    <t>蔡敏莹</t>
  </si>
  <si>
    <t>河南省平顶山市卫东区五一社区2号楼9号</t>
  </si>
  <si>
    <t>440181198905060027</t>
  </si>
  <si>
    <t>蔡敏莹440181198905060027</t>
  </si>
  <si>
    <t>9769148528597</t>
  </si>
  <si>
    <t>SC20200034664</t>
  </si>
  <si>
    <t>王琨</t>
  </si>
  <si>
    <t>370282198209026240</t>
  </si>
  <si>
    <t>王琨370282198209026240</t>
  </si>
  <si>
    <t>9769148531197</t>
  </si>
  <si>
    <t>SC20200032926</t>
  </si>
  <si>
    <t>王金娜</t>
  </si>
  <si>
    <t>辽宁省大连市普兰店区铁西街道海湾新城六期126号2-101</t>
  </si>
  <si>
    <t>吴沁莉</t>
  </si>
  <si>
    <t>420502197709031323</t>
  </si>
  <si>
    <t>吴沁莉420502197709031323</t>
  </si>
  <si>
    <t>9769148532597</t>
  </si>
  <si>
    <t>SC20200034652</t>
  </si>
  <si>
    <t>周璐</t>
  </si>
  <si>
    <t>江西省九江市柴桑区人民政府6楼发改委</t>
  </si>
  <si>
    <t>330203199111241825</t>
  </si>
  <si>
    <t>周璐330203199111241825</t>
  </si>
  <si>
    <t>9769148425997</t>
  </si>
  <si>
    <t>SC20200033041</t>
  </si>
  <si>
    <t>广东省广州市增城区荔城大道422号荔城花园7栋1007房</t>
  </si>
  <si>
    <t>440183198501135224</t>
  </si>
  <si>
    <t>钟玉枝440183198501135224</t>
  </si>
  <si>
    <t>9769148705197</t>
  </si>
  <si>
    <t>SC20200033045</t>
  </si>
  <si>
    <t>靳惠梅</t>
  </si>
  <si>
    <t>211202197011182520</t>
  </si>
  <si>
    <t>靳惠梅211202197011182520</t>
  </si>
  <si>
    <t>9769148478997</t>
  </si>
  <si>
    <t>SC20200033049</t>
  </si>
  <si>
    <t>闫梅</t>
  </si>
  <si>
    <t>广东省广州市增城区中新镇人民政府511300</t>
  </si>
  <si>
    <t>211224198310185425</t>
  </si>
  <si>
    <t>闫梅211224198310185425</t>
  </si>
  <si>
    <t>9769148602597</t>
  </si>
  <si>
    <t>SC20200020792</t>
  </si>
  <si>
    <t>山东省枣庄市市中区光明西路47号枣庄供电公司检修工区</t>
  </si>
  <si>
    <t>320826199503213028</t>
  </si>
  <si>
    <t>贾思颖320826199503213028</t>
  </si>
  <si>
    <t>9769148604297</t>
  </si>
  <si>
    <t>SC20200020794</t>
  </si>
  <si>
    <t>张京姬</t>
  </si>
  <si>
    <t>山东省德州市德城区大学西路566号德州学院西校区</t>
  </si>
  <si>
    <t>222401198401041549</t>
  </si>
  <si>
    <t>张京姬222401198401041549</t>
  </si>
  <si>
    <t>9769148706597</t>
  </si>
  <si>
    <t>SC03312300004</t>
  </si>
  <si>
    <t>周艳</t>
  </si>
  <si>
    <t>422424197906230625</t>
  </si>
  <si>
    <t>周艳422424197906230625</t>
  </si>
  <si>
    <t>9769148707997</t>
  </si>
  <si>
    <t>SC03424700008</t>
  </si>
  <si>
    <t>陈爱央</t>
  </si>
  <si>
    <t>辽宁省大连市甘井子区东方圣克拉3期716号楼1单元1203</t>
  </si>
  <si>
    <t>330328198608255323</t>
  </si>
  <si>
    <t>陈爱央330328198608255323</t>
  </si>
  <si>
    <t>9769148708297</t>
  </si>
  <si>
    <t>SC03424700012</t>
  </si>
  <si>
    <t>丁润娥</t>
  </si>
  <si>
    <t>150104196209110528</t>
  </si>
  <si>
    <t>丁润娥150104196209110528</t>
  </si>
  <si>
    <t>9769148474497</t>
  </si>
  <si>
    <t>SC20200033053</t>
  </si>
  <si>
    <t>纪安杰</t>
  </si>
  <si>
    <t>广东省广州市增城区荔城街锦绣半山六街5号</t>
  </si>
  <si>
    <t>341181198608163027</t>
  </si>
  <si>
    <t>纪安杰341181198608163027</t>
  </si>
  <si>
    <t>9769148482997</t>
  </si>
  <si>
    <t>SC20200033057</t>
  </si>
  <si>
    <r>
      <rPr>
        <sz val="12"/>
        <color theme="1"/>
        <rFont val="宋体"/>
        <family val="3"/>
        <charset val="134"/>
      </rPr>
      <t>基本营养素</t>
    </r>
    <r>
      <rPr>
        <sz val="12"/>
        <color theme="1"/>
        <rFont val="Calibri"/>
        <family val="2"/>
      </rPr>
      <t>*2</t>
    </r>
    <r>
      <rPr>
        <sz val="12"/>
        <color theme="1"/>
        <rFont val="宋体"/>
        <family val="3"/>
        <charset val="134"/>
      </rPr>
      <t>，钙片</t>
    </r>
    <r>
      <rPr>
        <sz val="12"/>
        <color theme="1"/>
        <rFont val="Calibri"/>
        <family val="2"/>
      </rPr>
      <t>*2</t>
    </r>
    <r>
      <rPr>
        <sz val="12"/>
        <color theme="1"/>
        <rFont val="宋体"/>
        <family val="3"/>
        <charset val="134"/>
      </rPr>
      <t>，心宝</t>
    </r>
    <r>
      <rPr>
        <sz val="12"/>
        <color theme="1"/>
        <rFont val="Calibri"/>
        <family val="2"/>
      </rPr>
      <t>*3</t>
    </r>
    <r>
      <rPr>
        <sz val="12"/>
        <color theme="1"/>
        <rFont val="宋体"/>
        <family val="3"/>
        <charset val="134"/>
      </rPr>
      <t>，保列健</t>
    </r>
    <r>
      <rPr>
        <sz val="12"/>
        <color theme="1"/>
        <rFont val="Calibri"/>
        <family val="2"/>
      </rPr>
      <t>*2</t>
    </r>
    <r>
      <rPr>
        <sz val="12"/>
        <color theme="1"/>
        <rFont val="宋体"/>
        <family val="3"/>
        <charset val="134"/>
      </rPr>
      <t>，益生菌</t>
    </r>
    <r>
      <rPr>
        <sz val="12"/>
        <color theme="1"/>
        <rFont val="Calibri"/>
        <family val="2"/>
      </rPr>
      <t>*4</t>
    </r>
  </si>
  <si>
    <t>广东省广州市增城区新塘镇太平洋工业区103A同生服装有限公司</t>
  </si>
  <si>
    <t>44012519550520033x</t>
  </si>
  <si>
    <t>刘沃坤44012519550520033x</t>
  </si>
  <si>
    <t>9769148475897</t>
  </si>
  <si>
    <t>SC20200033061</t>
  </si>
  <si>
    <r>
      <rPr>
        <sz val="12"/>
        <color theme="1"/>
        <rFont val="宋体"/>
        <family val="3"/>
        <charset val="134"/>
      </rPr>
      <t>钙镁片</t>
    </r>
    <r>
      <rPr>
        <sz val="12"/>
        <color theme="1"/>
        <rFont val="Calibri"/>
        <family val="2"/>
      </rPr>
      <t>*4</t>
    </r>
    <r>
      <rPr>
        <sz val="12"/>
        <color theme="1"/>
        <rFont val="宋体"/>
        <family val="3"/>
        <charset val="134"/>
      </rPr>
      <t>，肝宝</t>
    </r>
    <r>
      <rPr>
        <sz val="12"/>
        <color theme="1"/>
        <rFont val="Calibri"/>
        <family val="2"/>
      </rPr>
      <t>*4</t>
    </r>
    <r>
      <rPr>
        <sz val="12"/>
        <color theme="1"/>
        <rFont val="宋体"/>
        <family val="3"/>
        <charset val="134"/>
      </rPr>
      <t>，心宝</t>
    </r>
    <r>
      <rPr>
        <sz val="12"/>
        <color theme="1"/>
        <rFont val="Calibri"/>
        <family val="2"/>
      </rPr>
      <t>*4</t>
    </r>
    <r>
      <rPr>
        <sz val="12"/>
        <color theme="1"/>
        <rFont val="宋体"/>
        <family val="3"/>
        <charset val="134"/>
      </rPr>
      <t>，维生素</t>
    </r>
    <r>
      <rPr>
        <sz val="12"/>
        <color theme="1"/>
        <rFont val="Calibri"/>
        <family val="2"/>
      </rPr>
      <t>*2</t>
    </r>
    <r>
      <rPr>
        <sz val="12"/>
        <color theme="1"/>
        <rFont val="宋体"/>
        <family val="3"/>
        <charset val="134"/>
      </rPr>
      <t>，益生菌</t>
    </r>
    <r>
      <rPr>
        <sz val="12"/>
        <color theme="1"/>
        <rFont val="Calibri"/>
        <family val="2"/>
      </rPr>
      <t>*1</t>
    </r>
  </si>
  <si>
    <t>广东省广州市增城区新塘镇汇东国际花园二期-C10栋1203房</t>
  </si>
  <si>
    <t>440125195708210351</t>
  </si>
  <si>
    <t>钟灼荣440125195708210351</t>
  </si>
  <si>
    <t>9769148488597</t>
  </si>
  <si>
    <t>SC20200033065</t>
  </si>
  <si>
    <r>
      <rPr>
        <sz val="12"/>
        <color theme="1"/>
        <rFont val="宋体"/>
        <family val="3"/>
        <charset val="134"/>
      </rPr>
      <t>健康包</t>
    </r>
    <r>
      <rPr>
        <sz val="12"/>
        <color theme="1"/>
        <rFont val="Calibri"/>
        <family val="2"/>
      </rPr>
      <t>*2</t>
    </r>
    <r>
      <rPr>
        <sz val="12"/>
        <color theme="1"/>
        <rFont val="宋体"/>
        <family val="3"/>
        <charset val="134"/>
      </rPr>
      <t>，纤维素</t>
    </r>
    <r>
      <rPr>
        <sz val="12"/>
        <color theme="1"/>
        <rFont val="Calibri"/>
        <family val="2"/>
      </rPr>
      <t>*3</t>
    </r>
    <r>
      <rPr>
        <sz val="12"/>
        <color theme="1"/>
        <rFont val="宋体"/>
        <family val="3"/>
        <charset val="134"/>
      </rPr>
      <t>，益生菌</t>
    </r>
    <r>
      <rPr>
        <sz val="12"/>
        <color theme="1"/>
        <rFont val="Calibri"/>
        <family val="2"/>
      </rPr>
      <t>*5</t>
    </r>
  </si>
  <si>
    <t>李蓬</t>
  </si>
  <si>
    <t>广东省广州市增城区新塘镇群星村南约街勤庵一巷9号</t>
  </si>
  <si>
    <t>130105197709021246</t>
  </si>
  <si>
    <t>李蓬130105197709021246</t>
  </si>
  <si>
    <t>9769148364797</t>
  </si>
  <si>
    <t>SC20200034684</t>
  </si>
  <si>
    <r>
      <rPr>
        <sz val="12"/>
        <color theme="1"/>
        <rFont val="宋体"/>
        <family val="3"/>
        <charset val="134"/>
      </rPr>
      <t>健骨宁</t>
    </r>
    <r>
      <rPr>
        <sz val="12"/>
        <color theme="1"/>
        <rFont val="Calibri"/>
        <family val="2"/>
      </rPr>
      <t>*10</t>
    </r>
  </si>
  <si>
    <t>刘淑华</t>
  </si>
  <si>
    <t>河北省衡水桃城红旗大街干马桥南资产大厦1719室</t>
  </si>
  <si>
    <t>马芳芳</t>
  </si>
  <si>
    <t>450111199310083040</t>
  </si>
  <si>
    <t>马芳芳450111199310083040</t>
  </si>
  <si>
    <t>9769148394297</t>
  </si>
  <si>
    <t>SC20200031794</t>
  </si>
  <si>
    <r>
      <rPr>
        <sz val="12"/>
        <color theme="1"/>
        <rFont val="宋体"/>
        <family val="3"/>
        <charset val="134"/>
      </rPr>
      <t>鱼油</t>
    </r>
    <r>
      <rPr>
        <sz val="12"/>
        <color theme="1"/>
        <rFont val="Calibri"/>
        <family val="2"/>
      </rPr>
      <t>*4</t>
    </r>
    <r>
      <rPr>
        <sz val="12"/>
        <color theme="1"/>
        <rFont val="宋体"/>
        <family val="3"/>
        <charset val="134"/>
      </rPr>
      <t>，葡萄籽</t>
    </r>
    <r>
      <rPr>
        <sz val="12"/>
        <color theme="1"/>
        <rFont val="Calibri"/>
        <family val="2"/>
      </rPr>
      <t>*4</t>
    </r>
    <r>
      <rPr>
        <sz val="12"/>
        <color theme="1"/>
        <rFont val="宋体"/>
        <family val="3"/>
        <charset val="134"/>
      </rPr>
      <t>，锐知宝</t>
    </r>
    <r>
      <rPr>
        <sz val="12"/>
        <color theme="1"/>
        <rFont val="Calibri"/>
        <family val="2"/>
      </rPr>
      <t>*4</t>
    </r>
  </si>
  <si>
    <t>刘红存</t>
  </si>
  <si>
    <t>河北省廊坊霸州市水岸尚城小区</t>
  </si>
  <si>
    <t>李睿仪</t>
  </si>
  <si>
    <t>441224199402246368</t>
  </si>
  <si>
    <t>李睿仪441224199402246368</t>
  </si>
  <si>
    <t>9769116646897</t>
  </si>
  <si>
    <t>SC20200034775</t>
  </si>
  <si>
    <r>
      <rPr>
        <sz val="12"/>
        <color theme="1"/>
        <rFont val="宋体"/>
        <family val="3"/>
        <charset val="134"/>
      </rPr>
      <t>鞋子</t>
    </r>
    <r>
      <rPr>
        <sz val="12"/>
        <color theme="1"/>
        <rFont val="Calibri"/>
        <family val="2"/>
      </rPr>
      <t>*1</t>
    </r>
  </si>
  <si>
    <t>STUART WEITZMAN</t>
  </si>
  <si>
    <t>袁文君</t>
  </si>
  <si>
    <t>上海市青浦区业辉路600弄古北佘山国际别墅156号</t>
  </si>
  <si>
    <t>唐继红</t>
  </si>
  <si>
    <t>310103197204263224</t>
  </si>
  <si>
    <t>唐继红310103197204263224</t>
  </si>
  <si>
    <t>9769148399597</t>
  </si>
  <si>
    <t>SC20200033758</t>
  </si>
  <si>
    <r>
      <rPr>
        <sz val="12"/>
        <color theme="1"/>
        <rFont val="宋体"/>
        <family val="3"/>
        <charset val="134"/>
      </rPr>
      <t>健康包</t>
    </r>
    <r>
      <rPr>
        <sz val="12"/>
        <color theme="1"/>
        <rFont val="Calibri"/>
        <family val="2"/>
      </rPr>
      <t>*1</t>
    </r>
    <r>
      <rPr>
        <sz val="12"/>
        <color theme="1"/>
        <rFont val="宋体"/>
        <family val="3"/>
        <charset val="134"/>
      </rPr>
      <t>，心脏宝</t>
    </r>
    <r>
      <rPr>
        <sz val="12"/>
        <color theme="1"/>
        <rFont val="Calibri"/>
        <family val="2"/>
      </rPr>
      <t>*1</t>
    </r>
    <r>
      <rPr>
        <sz val="12"/>
        <color theme="1"/>
        <rFont val="宋体"/>
        <family val="3"/>
        <charset val="134"/>
      </rPr>
      <t>，肝宝</t>
    </r>
    <r>
      <rPr>
        <sz val="12"/>
        <color theme="1"/>
        <rFont val="Calibri"/>
        <family val="2"/>
      </rPr>
      <t>*1</t>
    </r>
    <r>
      <rPr>
        <sz val="12"/>
        <color theme="1"/>
        <rFont val="宋体"/>
        <family val="3"/>
        <charset val="134"/>
      </rPr>
      <t>，葡萄籽</t>
    </r>
    <r>
      <rPr>
        <sz val="12"/>
        <color theme="1"/>
        <rFont val="Calibri"/>
        <family val="2"/>
      </rPr>
      <t>*1</t>
    </r>
    <r>
      <rPr>
        <sz val="12"/>
        <color theme="1"/>
        <rFont val="宋体"/>
        <family val="3"/>
        <charset val="134"/>
      </rPr>
      <t>，健骼宁</t>
    </r>
    <r>
      <rPr>
        <sz val="12"/>
        <color theme="1"/>
        <rFont val="Calibri"/>
        <family val="2"/>
      </rPr>
      <t>*1</t>
    </r>
    <r>
      <rPr>
        <sz val="12"/>
        <color theme="1"/>
        <rFont val="宋体"/>
        <family val="3"/>
        <charset val="134"/>
      </rPr>
      <t>，维生素</t>
    </r>
    <r>
      <rPr>
        <sz val="12"/>
        <color theme="1"/>
        <rFont val="Calibri"/>
        <family val="2"/>
      </rPr>
      <t>*1</t>
    </r>
  </si>
  <si>
    <t>曾武</t>
  </si>
  <si>
    <t>广东省深圳市福田区益田村107栋14D</t>
  </si>
  <si>
    <t>王伟</t>
  </si>
  <si>
    <t>广东省深圳市福田区上梅林中康路颐林雅苑6栋405</t>
  </si>
  <si>
    <t>370684198707110511</t>
  </si>
  <si>
    <t>王伟370684198707110511</t>
  </si>
  <si>
    <t>9769148383797</t>
  </si>
  <si>
    <t>SC20200033606</t>
  </si>
  <si>
    <r>
      <rPr>
        <sz val="12"/>
        <color theme="1"/>
        <rFont val="宋体"/>
        <family val="3"/>
        <charset val="134"/>
      </rPr>
      <t>健康包</t>
    </r>
    <r>
      <rPr>
        <sz val="12"/>
        <color theme="1"/>
        <rFont val="Calibri"/>
        <family val="2"/>
      </rPr>
      <t>*2</t>
    </r>
  </si>
  <si>
    <r>
      <rPr>
        <sz val="12"/>
        <color theme="1"/>
        <rFont val="Calibri"/>
        <family val="2"/>
      </rPr>
      <t>56</t>
    </r>
    <r>
      <rPr>
        <sz val="12"/>
        <color theme="1"/>
        <rFont val="宋体"/>
        <family val="3"/>
        <charset val="134"/>
      </rPr>
      <t>包</t>
    </r>
  </si>
  <si>
    <t>王智红</t>
  </si>
  <si>
    <t>广东省深圳市南山区南海大道龙城路16号清华苑设计大厦</t>
  </si>
  <si>
    <t>刘杰</t>
  </si>
  <si>
    <t>广东省深圳市南山区东滨路中熙君南山1栋2601</t>
  </si>
  <si>
    <t>230102197505303721</t>
  </si>
  <si>
    <t>刘杰230102197505303721</t>
  </si>
  <si>
    <t>9769148387197</t>
  </si>
  <si>
    <t>SC20200033599</t>
  </si>
  <si>
    <r>
      <rPr>
        <sz val="12"/>
        <color theme="1"/>
        <rFont val="宋体"/>
        <family val="3"/>
        <charset val="134"/>
      </rPr>
      <t>益生菌</t>
    </r>
    <r>
      <rPr>
        <sz val="12"/>
        <color theme="1"/>
        <rFont val="Calibri"/>
        <family val="2"/>
      </rPr>
      <t>*3</t>
    </r>
    <r>
      <rPr>
        <sz val="12"/>
        <color theme="1"/>
        <rFont val="宋体"/>
        <family val="3"/>
        <charset val="134"/>
      </rPr>
      <t>，健康包</t>
    </r>
    <r>
      <rPr>
        <sz val="12"/>
        <color theme="1"/>
        <rFont val="Calibri"/>
        <family val="2"/>
      </rPr>
      <t>*2</t>
    </r>
  </si>
  <si>
    <r>
      <rPr>
        <sz val="12"/>
        <color theme="1"/>
        <rFont val="Calibri"/>
        <family val="2"/>
      </rPr>
      <t>14</t>
    </r>
    <r>
      <rPr>
        <sz val="12"/>
        <color theme="1"/>
        <rFont val="宋体"/>
        <family val="3"/>
        <charset val="134"/>
      </rPr>
      <t>条，</t>
    </r>
    <r>
      <rPr>
        <sz val="12"/>
        <color theme="1"/>
        <rFont val="Calibri"/>
        <family val="2"/>
      </rPr>
      <t>56</t>
    </r>
    <r>
      <rPr>
        <sz val="12"/>
        <color theme="1"/>
        <rFont val="宋体"/>
        <family val="3"/>
        <charset val="134"/>
      </rPr>
      <t>包</t>
    </r>
  </si>
  <si>
    <t>余艳青</t>
  </si>
  <si>
    <t>浙江省宁波市海曙区丽园北路819号宁波市中医院住院部5楼</t>
  </si>
  <si>
    <t>330124199202113526</t>
  </si>
  <si>
    <t>余艳青330124199202113526</t>
  </si>
  <si>
    <t>9769116653997</t>
  </si>
  <si>
    <t>SC20200035438</t>
  </si>
  <si>
    <r>
      <rPr>
        <sz val="12"/>
        <color theme="1"/>
        <rFont val="SimSun"/>
        <charset val="134"/>
      </rPr>
      <t>综合营养</t>
    </r>
    <r>
      <rPr>
        <sz val="12"/>
        <color theme="1"/>
        <rFont val="Calibri"/>
        <family val="2"/>
      </rPr>
      <t>*2</t>
    </r>
    <r>
      <rPr>
        <sz val="12"/>
        <color theme="1"/>
        <rFont val="SimSun"/>
        <charset val="134"/>
      </rPr>
      <t>，鱼油</t>
    </r>
    <r>
      <rPr>
        <sz val="12"/>
        <color theme="1"/>
        <rFont val="Calibri"/>
        <family val="2"/>
      </rPr>
      <t>*10</t>
    </r>
  </si>
  <si>
    <t>560G，60粒</t>
  </si>
  <si>
    <t>广东省广州市越秀区培正新横路22号之四302</t>
  </si>
  <si>
    <t>440102195301290068</t>
  </si>
  <si>
    <t>姚桂珍440102195301290068</t>
  </si>
  <si>
    <t>9769148377097</t>
  </si>
  <si>
    <t>SC20200034632</t>
  </si>
  <si>
    <t>上海市奉贤区南桥秋月朗庭5号502室</t>
  </si>
  <si>
    <t>320103195011150517</t>
  </si>
  <si>
    <t>胡士清320103195011150517</t>
  </si>
  <si>
    <t>9769148372197</t>
  </si>
  <si>
    <t>SC20200034678</t>
  </si>
  <si>
    <r>
      <rPr>
        <sz val="12"/>
        <color theme="1"/>
        <rFont val="宋体"/>
        <family val="3"/>
        <charset val="134"/>
      </rPr>
      <t>洗发水</t>
    </r>
    <r>
      <rPr>
        <sz val="12"/>
        <color theme="1"/>
        <rFont val="Calibri"/>
        <family val="2"/>
      </rPr>
      <t>*2</t>
    </r>
    <r>
      <rPr>
        <sz val="12"/>
        <color theme="1"/>
        <rFont val="宋体"/>
        <family val="3"/>
        <charset val="134"/>
      </rPr>
      <t>，补水面膜</t>
    </r>
    <r>
      <rPr>
        <sz val="12"/>
        <color theme="1"/>
        <rFont val="Calibri"/>
        <family val="2"/>
      </rPr>
      <t>*3</t>
    </r>
    <r>
      <rPr>
        <sz val="12"/>
        <color theme="1"/>
        <rFont val="宋体"/>
        <family val="3"/>
        <charset val="134"/>
      </rPr>
      <t>，冰河泥</t>
    </r>
    <r>
      <rPr>
        <sz val="12"/>
        <color theme="1"/>
        <rFont val="Calibri"/>
        <family val="2"/>
      </rPr>
      <t>*1</t>
    </r>
  </si>
  <si>
    <t>370811198503044068</t>
  </si>
  <si>
    <t>崔杜鹃370811198503044068</t>
  </si>
  <si>
    <t>9769116613197</t>
  </si>
  <si>
    <t>SC20200034914</t>
  </si>
  <si>
    <t>健康包*1，鱼油*2，维生素*2，葡萄籽*2，脏力宝*2，维生素*2</t>
  </si>
  <si>
    <t>谢瑾</t>
  </si>
  <si>
    <t>江苏省无锡市学前东路816#无锡市益涛焊接器材有限公司</t>
  </si>
  <si>
    <t>432501198503090020</t>
  </si>
  <si>
    <t>谢瑾432501198503090020</t>
  </si>
  <si>
    <t>9769116675097</t>
  </si>
  <si>
    <t>SC20190079150</t>
  </si>
  <si>
    <r>
      <rPr>
        <sz val="12"/>
        <color theme="1"/>
        <rFont val="宋体"/>
        <family val="3"/>
        <charset val="134"/>
      </rPr>
      <t>粉水</t>
    </r>
    <r>
      <rPr>
        <sz val="12"/>
        <color theme="1"/>
        <rFont val="Calibri"/>
        <family val="2"/>
      </rPr>
      <t>*1</t>
    </r>
    <r>
      <rPr>
        <sz val="12"/>
        <color theme="1"/>
        <rFont val="宋体"/>
        <family val="3"/>
        <charset val="134"/>
      </rPr>
      <t>，精华</t>
    </r>
    <r>
      <rPr>
        <sz val="12"/>
        <color theme="1"/>
        <rFont val="Calibri"/>
        <family val="2"/>
      </rPr>
      <t>*1</t>
    </r>
  </si>
  <si>
    <t>LANCOME，LANCOME</t>
  </si>
  <si>
    <t>400ML，115ML</t>
  </si>
  <si>
    <t>黄海芸</t>
  </si>
  <si>
    <t>江西省景德镇市珠山区尚东国际一期尚佳超市</t>
  </si>
  <si>
    <t>杨蜀丽</t>
  </si>
  <si>
    <t>510625197908075363</t>
  </si>
  <si>
    <t>杨蜀丽510625197908075363</t>
  </si>
  <si>
    <t>9769116647197</t>
  </si>
  <si>
    <t>SC20200034814</t>
  </si>
  <si>
    <r>
      <rPr>
        <sz val="12"/>
        <color theme="1"/>
        <rFont val="宋体"/>
        <family val="3"/>
        <charset val="134"/>
      </rPr>
      <t>抗皱精华</t>
    </r>
    <r>
      <rPr>
        <sz val="12"/>
        <color theme="1"/>
        <rFont val="Calibri"/>
        <family val="2"/>
      </rPr>
      <t>*1</t>
    </r>
    <r>
      <rPr>
        <sz val="12"/>
        <color theme="1"/>
        <rFont val="宋体"/>
        <family val="3"/>
        <charset val="134"/>
      </rPr>
      <t>，脸胶</t>
    </r>
    <r>
      <rPr>
        <sz val="12"/>
        <color theme="1"/>
        <rFont val="Calibri"/>
        <family val="2"/>
      </rPr>
      <t>*1</t>
    </r>
    <r>
      <rPr>
        <sz val="12"/>
        <color theme="1"/>
        <rFont val="宋体"/>
        <family val="3"/>
        <charset val="134"/>
      </rPr>
      <t>，防晒</t>
    </r>
    <r>
      <rPr>
        <sz val="12"/>
        <color theme="1"/>
        <rFont val="Calibri"/>
        <family val="2"/>
      </rPr>
      <t>*2</t>
    </r>
    <r>
      <rPr>
        <sz val="12"/>
        <color theme="1"/>
        <rFont val="宋体"/>
        <family val="3"/>
        <charset val="134"/>
      </rPr>
      <t>，蓝珍珠</t>
    </r>
    <r>
      <rPr>
        <sz val="12"/>
        <color theme="1"/>
        <rFont val="Calibri"/>
        <family val="2"/>
      </rPr>
      <t>*4</t>
    </r>
    <r>
      <rPr>
        <sz val="12"/>
        <color theme="1"/>
        <rFont val="宋体"/>
        <family val="3"/>
        <charset val="134"/>
      </rPr>
      <t>，面霜</t>
    </r>
    <r>
      <rPr>
        <sz val="12"/>
        <color theme="1"/>
        <rFont val="Calibri"/>
        <family val="2"/>
      </rPr>
      <t>*2</t>
    </r>
  </si>
  <si>
    <t>上海市徐汇区上中路483弄45号601室</t>
  </si>
  <si>
    <t>142601197611182864</t>
  </si>
  <si>
    <t>范晓燕142601197611182864</t>
  </si>
  <si>
    <t>9769116635297</t>
  </si>
  <si>
    <t>SC20200025949</t>
  </si>
  <si>
    <r>
      <rPr>
        <sz val="12"/>
        <color theme="1"/>
        <rFont val="宋体"/>
        <family val="3"/>
        <charset val="134"/>
      </rPr>
      <t>心脏宝</t>
    </r>
    <r>
      <rPr>
        <sz val="12"/>
        <color theme="1"/>
        <rFont val="Calibri"/>
        <family val="2"/>
      </rPr>
      <t>*10</t>
    </r>
    <r>
      <rPr>
        <sz val="12"/>
        <color theme="1"/>
        <rFont val="宋体"/>
        <family val="3"/>
        <charset val="134"/>
      </rPr>
      <t>，雌青舒</t>
    </r>
    <r>
      <rPr>
        <sz val="12"/>
        <color theme="1"/>
        <rFont val="Calibri"/>
        <family val="2"/>
      </rPr>
      <t>*2</t>
    </r>
  </si>
  <si>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</si>
  <si>
    <t>周惠仙</t>
  </si>
  <si>
    <t>云南省昆明市官渡区小板桥十二棵橡树庄园8幢1单元</t>
  </si>
  <si>
    <t>530103195205081520</t>
  </si>
  <si>
    <t>周惠仙530103195205081520</t>
  </si>
  <si>
    <t>9769116685197</t>
  </si>
  <si>
    <t>SC20200025947</t>
  </si>
  <si>
    <r>
      <rPr>
        <sz val="12"/>
        <color theme="1"/>
        <rFont val="宋体"/>
        <family val="3"/>
        <charset val="134"/>
      </rPr>
      <t>视力宝</t>
    </r>
    <r>
      <rPr>
        <sz val="12"/>
        <color theme="1"/>
        <rFont val="Calibri"/>
        <family val="2"/>
      </rPr>
      <t>*6</t>
    </r>
    <r>
      <rPr>
        <sz val="12"/>
        <color theme="1"/>
        <rFont val="宋体"/>
        <family val="3"/>
        <charset val="134"/>
      </rPr>
      <t>，眠宁素</t>
    </r>
    <r>
      <rPr>
        <sz val="12"/>
        <color theme="1"/>
        <rFont val="Calibri"/>
        <family val="2"/>
      </rPr>
      <t>*6</t>
    </r>
  </si>
  <si>
    <r>
      <rPr>
        <sz val="12"/>
        <color theme="1"/>
        <rFont val="Calibri"/>
        <family val="2"/>
      </rPr>
      <t>28</t>
    </r>
    <r>
      <rPr>
        <sz val="12"/>
        <color theme="1"/>
        <rFont val="宋体"/>
        <family val="3"/>
        <charset val="134"/>
      </rPr>
      <t>粒，</t>
    </r>
    <r>
      <rPr>
        <sz val="12"/>
        <color theme="1"/>
        <rFont val="Calibri"/>
        <family val="2"/>
      </rPr>
      <t>56</t>
    </r>
    <r>
      <rPr>
        <sz val="12"/>
        <color theme="1"/>
        <rFont val="宋体"/>
        <family val="3"/>
        <charset val="134"/>
      </rPr>
      <t>粒</t>
    </r>
  </si>
  <si>
    <t>戴弥</t>
  </si>
  <si>
    <t>天津市河西区黑牛城道纪发公寓11-3-301</t>
  </si>
  <si>
    <t>120103194406013224</t>
  </si>
  <si>
    <t>戴弥120103194406013224</t>
  </si>
  <si>
    <t>9769116670197</t>
  </si>
  <si>
    <t>SC20200025951</t>
  </si>
  <si>
    <r>
      <rPr>
        <sz val="12"/>
        <color theme="1"/>
        <rFont val="宋体"/>
        <family val="3"/>
        <charset val="134"/>
      </rPr>
      <t>视力宝</t>
    </r>
    <r>
      <rPr>
        <sz val="12"/>
        <color theme="1"/>
        <rFont val="Calibri"/>
        <family val="2"/>
      </rPr>
      <t>*5</t>
    </r>
    <r>
      <rPr>
        <sz val="12"/>
        <color theme="1"/>
        <rFont val="宋体"/>
        <family val="3"/>
        <charset val="134"/>
      </rPr>
      <t>，蛋白质粉</t>
    </r>
    <r>
      <rPr>
        <sz val="12"/>
        <color theme="1"/>
        <rFont val="Calibri"/>
        <family val="2"/>
      </rPr>
      <t>*1</t>
    </r>
    <r>
      <rPr>
        <sz val="12"/>
        <color theme="1"/>
        <rFont val="宋体"/>
        <family val="3"/>
        <charset val="134"/>
      </rPr>
      <t>，益生菌</t>
    </r>
    <r>
      <rPr>
        <sz val="12"/>
        <color theme="1"/>
        <rFont val="Calibri"/>
        <family val="2"/>
      </rPr>
      <t>*6</t>
    </r>
  </si>
  <si>
    <r>
      <rPr>
        <sz val="12"/>
        <color theme="1"/>
        <rFont val="Calibri"/>
        <family val="2"/>
      </rPr>
      <t>28</t>
    </r>
    <r>
      <rPr>
        <sz val="12"/>
        <color theme="1"/>
        <rFont val="宋体"/>
        <family val="3"/>
        <charset val="134"/>
      </rPr>
      <t>粒，</t>
    </r>
    <r>
      <rPr>
        <sz val="12"/>
        <color theme="1"/>
        <rFont val="Calibri"/>
        <family val="2"/>
      </rPr>
      <t>564G</t>
    </r>
    <r>
      <rPr>
        <sz val="12"/>
        <color theme="1"/>
        <rFont val="宋体"/>
        <family val="3"/>
        <charset val="134"/>
      </rPr>
      <t>，</t>
    </r>
    <r>
      <rPr>
        <sz val="12"/>
        <color theme="1"/>
        <rFont val="Calibri"/>
        <family val="2"/>
      </rPr>
      <t>14</t>
    </r>
    <r>
      <rPr>
        <sz val="12"/>
        <color theme="1"/>
        <rFont val="宋体"/>
        <family val="3"/>
        <charset val="134"/>
      </rPr>
      <t>条</t>
    </r>
  </si>
  <si>
    <t>余惠英</t>
  </si>
  <si>
    <t>云南省昆明市五华区五一路166号空间俊园B3109</t>
  </si>
  <si>
    <t>530102196809083728</t>
  </si>
  <si>
    <t>余惠英530102196809083728</t>
  </si>
  <si>
    <t>9769148403897</t>
  </si>
  <si>
    <t>SC20200034088</t>
  </si>
  <si>
    <t>单娟</t>
  </si>
  <si>
    <t>贵州省铜仁市碧江区锦江一品1栋604</t>
  </si>
  <si>
    <t>张建玲</t>
  </si>
  <si>
    <t>150204197201230664</t>
  </si>
  <si>
    <t>张建玲150204197201230664</t>
  </si>
  <si>
    <t>9769116648597</t>
  </si>
  <si>
    <t>SC20200019269</t>
  </si>
  <si>
    <r>
      <rPr>
        <sz val="12"/>
        <color theme="1"/>
        <rFont val="宋体"/>
        <family val="3"/>
        <charset val="134"/>
      </rPr>
      <t>双肩包</t>
    </r>
    <r>
      <rPr>
        <sz val="12"/>
        <color theme="1"/>
        <rFont val="Calibri"/>
        <family val="2"/>
      </rPr>
      <t>*1</t>
    </r>
  </si>
  <si>
    <t>LULULEMON</t>
  </si>
  <si>
    <t>孔竑婷</t>
  </si>
  <si>
    <t>北京市朝阳区太阳宫半岛国际公寓12-2-1707</t>
  </si>
  <si>
    <t>332603198007050323</t>
  </si>
  <si>
    <t>孔竑婷332603198007050323</t>
  </si>
  <si>
    <t>9769116683497</t>
  </si>
  <si>
    <t>SC20200019264</t>
  </si>
  <si>
    <r>
      <rPr>
        <sz val="12"/>
        <color theme="1"/>
        <rFont val="宋体"/>
        <family val="3"/>
        <charset val="134"/>
      </rPr>
      <t>背心</t>
    </r>
    <r>
      <rPr>
        <sz val="12"/>
        <color theme="1"/>
        <rFont val="Calibri"/>
        <family val="2"/>
      </rPr>
      <t>*1</t>
    </r>
    <r>
      <rPr>
        <sz val="12"/>
        <color theme="1"/>
        <rFont val="宋体"/>
        <family val="3"/>
        <charset val="134"/>
      </rPr>
      <t>，</t>
    </r>
    <r>
      <rPr>
        <sz val="12"/>
        <color theme="1"/>
        <rFont val="Calibri"/>
        <family val="2"/>
      </rPr>
      <t>T</t>
    </r>
    <r>
      <rPr>
        <sz val="12"/>
        <color theme="1"/>
        <rFont val="宋体"/>
        <family val="3"/>
        <charset val="134"/>
      </rPr>
      <t>恤</t>
    </r>
    <r>
      <rPr>
        <sz val="12"/>
        <color theme="1"/>
        <rFont val="Calibri"/>
        <family val="2"/>
      </rPr>
      <t>*1</t>
    </r>
    <r>
      <rPr>
        <sz val="12"/>
        <color theme="1"/>
        <rFont val="宋体"/>
        <family val="3"/>
        <charset val="134"/>
      </rPr>
      <t>，发圈</t>
    </r>
    <r>
      <rPr>
        <sz val="12"/>
        <color theme="1"/>
        <rFont val="Calibri"/>
        <family val="2"/>
      </rPr>
      <t>*1</t>
    </r>
  </si>
  <si>
    <t>冯硕</t>
  </si>
  <si>
    <t>河南省平顶山市新华区名门世家1号楼</t>
  </si>
  <si>
    <t>410402198809285563</t>
  </si>
  <si>
    <t>冯硕410402198809285563</t>
  </si>
  <si>
    <t>9769116669297</t>
  </si>
  <si>
    <t>SC20200019271</t>
  </si>
  <si>
    <r>
      <rPr>
        <sz val="12"/>
        <color theme="1"/>
        <rFont val="宋体"/>
        <family val="3"/>
        <charset val="134"/>
      </rPr>
      <t>裤子</t>
    </r>
    <r>
      <rPr>
        <sz val="12"/>
        <color theme="1"/>
        <rFont val="Calibri"/>
        <family val="2"/>
      </rPr>
      <t>*1</t>
    </r>
    <r>
      <rPr>
        <sz val="12"/>
        <color theme="1"/>
        <rFont val="宋体"/>
        <family val="3"/>
        <charset val="134"/>
      </rPr>
      <t>，背心</t>
    </r>
    <r>
      <rPr>
        <sz val="12"/>
        <color theme="1"/>
        <rFont val="Calibri"/>
        <family val="2"/>
      </rPr>
      <t>*3</t>
    </r>
    <r>
      <rPr>
        <sz val="12"/>
        <color theme="1"/>
        <rFont val="宋体"/>
        <family val="3"/>
        <charset val="134"/>
      </rPr>
      <t>，发圈</t>
    </r>
    <r>
      <rPr>
        <sz val="12"/>
        <color theme="1"/>
        <rFont val="Calibri"/>
        <family val="2"/>
      </rPr>
      <t>*1</t>
    </r>
  </si>
  <si>
    <t>叶春燕</t>
  </si>
  <si>
    <t>广东省广州市番禺区祈福新村晓峰园6座2007</t>
  </si>
  <si>
    <t>440881198712171669</t>
  </si>
  <si>
    <t>叶春燕440881198712171669</t>
  </si>
  <si>
    <t>9769116668997</t>
  </si>
  <si>
    <t>SC20200019275</t>
  </si>
  <si>
    <r>
      <rPr>
        <sz val="12"/>
        <color theme="1"/>
        <rFont val="宋体"/>
        <family val="3"/>
        <charset val="134"/>
      </rPr>
      <t>裤子</t>
    </r>
    <r>
      <rPr>
        <sz val="12"/>
        <color theme="1"/>
        <rFont val="Calibri"/>
        <family val="2"/>
      </rPr>
      <t>*1</t>
    </r>
    <r>
      <rPr>
        <sz val="12"/>
        <color theme="1"/>
        <rFont val="宋体"/>
        <family val="3"/>
        <charset val="134"/>
      </rPr>
      <t>，背心</t>
    </r>
    <r>
      <rPr>
        <sz val="12"/>
        <color theme="1"/>
        <rFont val="Calibri"/>
        <family val="2"/>
      </rPr>
      <t>*1</t>
    </r>
    <r>
      <rPr>
        <sz val="12"/>
        <color theme="1"/>
        <rFont val="宋体"/>
        <family val="3"/>
        <charset val="134"/>
      </rPr>
      <t>，</t>
    </r>
    <r>
      <rPr>
        <sz val="12"/>
        <color theme="1"/>
        <rFont val="Calibri"/>
        <family val="2"/>
      </rPr>
      <t>T</t>
    </r>
    <r>
      <rPr>
        <sz val="12"/>
        <color theme="1"/>
        <rFont val="宋体"/>
        <family val="3"/>
        <charset val="134"/>
      </rPr>
      <t>恤</t>
    </r>
    <r>
      <rPr>
        <sz val="12"/>
        <color theme="1"/>
        <rFont val="Calibri"/>
        <family val="2"/>
      </rPr>
      <t>*1</t>
    </r>
    <r>
      <rPr>
        <sz val="12"/>
        <color theme="1"/>
        <rFont val="宋体"/>
        <family val="3"/>
        <charset val="134"/>
      </rPr>
      <t>，发圈</t>
    </r>
    <r>
      <rPr>
        <sz val="12"/>
        <color theme="1"/>
        <rFont val="Calibri"/>
        <family val="2"/>
      </rPr>
      <t>*1</t>
    </r>
  </si>
  <si>
    <t>潘明丽</t>
  </si>
  <si>
    <t>四川省成都市锦江区双桂路街道锦江区乐天圣苑8栋1单元901</t>
  </si>
  <si>
    <t>赵欣</t>
  </si>
  <si>
    <t>150103199008111628</t>
  </si>
  <si>
    <t>赵欣150103199008111628</t>
  </si>
  <si>
    <t>9769148709697</t>
  </si>
  <si>
    <t>SC03298200004</t>
  </si>
  <si>
    <t xml:space="preserve">李植炎 </t>
  </si>
  <si>
    <t>辽宁省丹东市元宝区财神庙街2号楼603室</t>
  </si>
  <si>
    <t>毕芸燕</t>
  </si>
  <si>
    <t>310110197811258842</t>
  </si>
  <si>
    <t>毕芸燕310110197811258842</t>
  </si>
  <si>
    <t>9769148710597</t>
  </si>
  <si>
    <t>SC03261100003</t>
  </si>
  <si>
    <t>张凤英</t>
  </si>
  <si>
    <t>辽宁省丹东市元宝区聚龙地区2号楼808</t>
  </si>
  <si>
    <t>蔡栩栩</t>
  </si>
  <si>
    <t>辽宁省丹东市元宝区女人街</t>
  </si>
  <si>
    <t>21010219630418182X</t>
  </si>
  <si>
    <t>蔡栩栩21010219630418182X</t>
  </si>
  <si>
    <t>9769148636597</t>
  </si>
  <si>
    <t>SC20200032980</t>
  </si>
  <si>
    <r>
      <rPr>
        <sz val="12"/>
        <color theme="1"/>
        <rFont val="Calibri"/>
        <family val="2"/>
      </rPr>
      <t>蓝莓素*3</t>
    </r>
    <r>
      <rPr>
        <sz val="12"/>
        <color theme="1"/>
        <rFont val="宋体"/>
        <family val="3"/>
        <charset val="134"/>
      </rPr>
      <t>，舒缓神经胶囊</t>
    </r>
    <r>
      <rPr>
        <sz val="12"/>
        <color theme="1"/>
        <rFont val="Calibri"/>
        <family val="2"/>
      </rPr>
      <t>*10</t>
    </r>
    <r>
      <rPr>
        <sz val="12"/>
        <color theme="1"/>
        <rFont val="宋体"/>
        <family val="3"/>
        <charset val="134"/>
      </rPr>
      <t>，综合营养素</t>
    </r>
    <r>
      <rPr>
        <sz val="12"/>
        <color theme="1"/>
        <rFont val="Calibri"/>
        <family val="2"/>
      </rPr>
      <t>*2</t>
    </r>
  </si>
  <si>
    <t>E.EXCEL，E.EXCEL，E.EXCEL</t>
  </si>
  <si>
    <r>
      <rPr>
        <sz val="12"/>
        <color theme="1"/>
        <rFont val="Calibri"/>
        <family val="2"/>
      </rPr>
      <t>60</t>
    </r>
    <r>
      <rPr>
        <sz val="12"/>
        <color theme="1"/>
        <rFont val="宋体"/>
        <family val="3"/>
        <charset val="134"/>
      </rPr>
      <t>粒，</t>
    </r>
    <r>
      <rPr>
        <sz val="12"/>
        <color theme="1"/>
        <rFont val="Calibri"/>
        <family val="2"/>
      </rPr>
      <t>100</t>
    </r>
    <r>
      <rPr>
        <sz val="12"/>
        <color theme="1"/>
        <rFont val="宋体"/>
        <family val="3"/>
        <charset val="134"/>
      </rPr>
      <t>粒，</t>
    </r>
    <r>
      <rPr>
        <sz val="12"/>
        <color theme="1"/>
        <rFont val="Calibri"/>
        <family val="2"/>
      </rPr>
      <t>100</t>
    </r>
    <r>
      <rPr>
        <sz val="12"/>
        <color theme="1"/>
        <rFont val="宋体"/>
        <family val="3"/>
        <charset val="134"/>
      </rPr>
      <t>粒</t>
    </r>
  </si>
  <si>
    <t>辽宁省丹东市元宝区官店街28号六道口小区10号楼101</t>
  </si>
  <si>
    <t>422201198202172307</t>
  </si>
  <si>
    <t>张凤英422201198202172307</t>
  </si>
  <si>
    <t>9769148446697</t>
  </si>
  <si>
    <t>SC20200022014</t>
  </si>
  <si>
    <r>
      <rPr>
        <sz val="12"/>
        <color theme="1"/>
        <rFont val="宋体"/>
        <family val="3"/>
        <charset val="134"/>
      </rPr>
      <t>蓝莓胶囊</t>
    </r>
    <r>
      <rPr>
        <sz val="12"/>
        <color theme="1"/>
        <rFont val="Calibri"/>
        <family val="2"/>
      </rPr>
      <t>*5</t>
    </r>
    <r>
      <rPr>
        <sz val="12"/>
        <color theme="1"/>
        <rFont val="宋体"/>
        <family val="3"/>
        <charset val="134"/>
      </rPr>
      <t>，钙片*6，鱼油</t>
    </r>
    <r>
      <rPr>
        <sz val="12"/>
        <color theme="1"/>
        <rFont val="Calibri"/>
        <family val="2"/>
      </rPr>
      <t>*2</t>
    </r>
  </si>
  <si>
    <t>BILL，BILL，AS</t>
  </si>
  <si>
    <t>陈燕华</t>
  </si>
  <si>
    <t>440111197206120066</t>
  </si>
  <si>
    <t>陈燕华440111197206120066</t>
  </si>
  <si>
    <t>9769148404197</t>
  </si>
  <si>
    <t>SC20200034099</t>
  </si>
  <si>
    <t>王侠</t>
  </si>
  <si>
    <t>四川省广安市前锋区代市镇文化路圆梦婚庆</t>
  </si>
  <si>
    <t>傅丹东</t>
  </si>
  <si>
    <t>330726198709192519</t>
  </si>
  <si>
    <t>傅丹东330726198709192519</t>
  </si>
  <si>
    <t>9769148346597</t>
  </si>
  <si>
    <t>SC20200034079</t>
  </si>
  <si>
    <t>谭小玉</t>
  </si>
  <si>
    <t>广东省江门市新会区会城东庆北路30号106(南鸿玻璃胶店)</t>
  </si>
  <si>
    <t>贺怡</t>
  </si>
  <si>
    <t>330204198808251021</t>
  </si>
  <si>
    <t>贺怡330204198808251021</t>
  </si>
  <si>
    <t>9769148384597</t>
  </si>
  <si>
    <t>SC20200034027</t>
  </si>
  <si>
    <r>
      <rPr>
        <sz val="12"/>
        <color theme="1"/>
        <rFont val="宋体"/>
        <family val="3"/>
        <charset val="134"/>
      </rPr>
      <t>卫生巾</t>
    </r>
    <r>
      <rPr>
        <sz val="12"/>
        <color theme="1"/>
        <rFont val="Calibri"/>
        <family val="2"/>
      </rPr>
      <t>*1</t>
    </r>
    <r>
      <rPr>
        <sz val="12"/>
        <color theme="1"/>
        <rFont val="宋体"/>
        <family val="3"/>
        <charset val="134"/>
      </rPr>
      <t>，面霜</t>
    </r>
    <r>
      <rPr>
        <sz val="12"/>
        <color theme="1"/>
        <rFont val="Calibri"/>
        <family val="2"/>
      </rPr>
      <t>*2</t>
    </r>
  </si>
  <si>
    <t>ALWAYS，CLARINS</t>
  </si>
  <si>
    <t xml:space="preserve">西藏自治区拉萨市柳梧新区国际总部城12栋2单元2楼平安财产         </t>
  </si>
  <si>
    <t>530112195705130321</t>
  </si>
  <si>
    <t>王玲530112195705130321</t>
  </si>
  <si>
    <t>9769148366497</t>
  </si>
  <si>
    <t>SC20200034085</t>
  </si>
  <si>
    <t>张娜</t>
  </si>
  <si>
    <t>陕西省汉中市汉台区东关街道中青国际社区一期11号楼一单元九楼</t>
  </si>
  <si>
    <t>410122197706060040</t>
  </si>
  <si>
    <t>张娜410122197706060040</t>
  </si>
  <si>
    <t>9769116622097</t>
  </si>
  <si>
    <t>SC20200024637</t>
  </si>
  <si>
    <r>
      <rPr>
        <sz val="12"/>
        <color theme="1"/>
        <rFont val="宋体"/>
        <family val="3"/>
        <charset val="134"/>
      </rPr>
      <t>维生素</t>
    </r>
    <r>
      <rPr>
        <sz val="12"/>
        <color theme="1"/>
        <rFont val="Calibri"/>
        <family val="2"/>
      </rPr>
      <t>*1</t>
    </r>
    <r>
      <rPr>
        <sz val="12"/>
        <color theme="1"/>
        <rFont val="宋体"/>
        <family val="3"/>
        <charset val="134"/>
      </rPr>
      <t>，葡萄籽</t>
    </r>
    <r>
      <rPr>
        <sz val="12"/>
        <color theme="1"/>
        <rFont val="Calibri"/>
        <family val="2"/>
      </rPr>
      <t>*1</t>
    </r>
    <r>
      <rPr>
        <sz val="12"/>
        <color theme="1"/>
        <rFont val="宋体"/>
        <family val="3"/>
        <charset val="134"/>
      </rPr>
      <t>，钙镁片</t>
    </r>
    <r>
      <rPr>
        <sz val="12"/>
        <color theme="1"/>
        <rFont val="Calibri"/>
        <family val="2"/>
      </rPr>
      <t>*2</t>
    </r>
    <r>
      <rPr>
        <sz val="12"/>
        <color theme="1"/>
        <rFont val="宋体"/>
        <family val="3"/>
        <charset val="134"/>
      </rPr>
      <t>，健骼宁</t>
    </r>
    <r>
      <rPr>
        <sz val="12"/>
        <color theme="1"/>
        <rFont val="Calibri"/>
        <family val="2"/>
      </rPr>
      <t>*1</t>
    </r>
    <r>
      <rPr>
        <sz val="12"/>
        <color theme="1"/>
        <rFont val="宋体"/>
        <family val="3"/>
        <charset val="134"/>
      </rPr>
      <t>，健康包</t>
    </r>
    <r>
      <rPr>
        <sz val="12"/>
        <color theme="1"/>
        <rFont val="Calibri"/>
        <family val="2"/>
      </rPr>
      <t>*1</t>
    </r>
  </si>
  <si>
    <r>
      <rPr>
        <sz val="12"/>
        <color theme="1"/>
        <rFont val="宋体"/>
        <family val="3"/>
        <charset val="134"/>
      </rPr>
      <t>，</t>
    </r>
    <r>
      <rPr>
        <sz val="12"/>
        <color theme="1"/>
        <rFont val="Calibri"/>
        <family val="2"/>
      </rPr>
      <t>200</t>
    </r>
    <r>
      <rPr>
        <sz val="12"/>
        <color theme="1"/>
        <rFont val="宋体"/>
        <family val="3"/>
        <charset val="134"/>
      </rPr>
      <t>粒，，，</t>
    </r>
  </si>
  <si>
    <t>刘蓉</t>
  </si>
  <si>
    <t>上海市松江区泗泾镇沪松公路2517弄86支弄21号401室丽水豪庭</t>
  </si>
  <si>
    <t>430721198511151326</t>
  </si>
  <si>
    <t>刘蓉430721198511151326</t>
  </si>
  <si>
    <t>9769116606597</t>
  </si>
  <si>
    <t>SC20200034530</t>
  </si>
  <si>
    <r>
      <rPr>
        <sz val="12"/>
        <color theme="1"/>
        <rFont val="宋体"/>
        <family val="3"/>
        <charset val="134"/>
      </rPr>
      <t>妇康宝</t>
    </r>
    <r>
      <rPr>
        <sz val="12"/>
        <color theme="1"/>
        <rFont val="Calibri"/>
        <family val="2"/>
      </rPr>
      <t>*8</t>
    </r>
    <r>
      <rPr>
        <sz val="12"/>
        <color theme="1"/>
        <rFont val="宋体"/>
        <family val="3"/>
        <charset val="134"/>
      </rPr>
      <t>，葡萄籽</t>
    </r>
    <r>
      <rPr>
        <sz val="12"/>
        <color theme="1"/>
        <rFont val="Calibri"/>
        <family val="2"/>
      </rPr>
      <t>*4</t>
    </r>
    <r>
      <rPr>
        <sz val="12"/>
        <color theme="1"/>
        <rFont val="宋体"/>
        <family val="3"/>
        <charset val="134"/>
      </rPr>
      <t>，葡萄籽</t>
    </r>
    <r>
      <rPr>
        <sz val="12"/>
        <color theme="1"/>
        <rFont val="Calibri"/>
        <family val="2"/>
      </rPr>
      <t>*1</t>
    </r>
  </si>
  <si>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</si>
  <si>
    <t>田欣丽</t>
  </si>
  <si>
    <t>北京市海淀区上地东里七区5号楼6门302号</t>
  </si>
  <si>
    <t>370727196711296901</t>
  </si>
  <si>
    <t>田欣丽370727196711296901</t>
  </si>
  <si>
    <t>9769148525497</t>
  </si>
  <si>
    <t>SC20200000111</t>
  </si>
  <si>
    <r>
      <rPr>
        <sz val="12"/>
        <color theme="1"/>
        <rFont val="宋体"/>
        <family val="3"/>
        <charset val="134"/>
      </rPr>
      <t>鱼油</t>
    </r>
    <r>
      <rPr>
        <sz val="12"/>
        <color theme="1"/>
        <rFont val="Calibri"/>
        <family val="2"/>
      </rPr>
      <t>*2</t>
    </r>
    <r>
      <rPr>
        <sz val="12"/>
        <color theme="1"/>
        <rFont val="宋体"/>
        <family val="3"/>
        <charset val="134"/>
      </rPr>
      <t>，肝宝</t>
    </r>
    <r>
      <rPr>
        <sz val="12"/>
        <color theme="1"/>
        <rFont val="Calibri"/>
        <family val="2"/>
      </rPr>
      <t>*1</t>
    </r>
    <r>
      <rPr>
        <sz val="12"/>
        <color theme="1"/>
        <rFont val="宋体"/>
        <family val="3"/>
        <charset val="134"/>
      </rPr>
      <t>，基础</t>
    </r>
    <r>
      <rPr>
        <sz val="12"/>
        <color theme="1"/>
        <rFont val="Calibri"/>
        <family val="2"/>
      </rPr>
      <t>*2</t>
    </r>
    <r>
      <rPr>
        <sz val="12"/>
        <color theme="1"/>
        <rFont val="宋体"/>
        <family val="3"/>
        <charset val="134"/>
      </rPr>
      <t>，视力宝</t>
    </r>
    <r>
      <rPr>
        <sz val="12"/>
        <color theme="1"/>
        <rFont val="Calibri"/>
        <family val="2"/>
      </rPr>
      <t>*3</t>
    </r>
  </si>
  <si>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28</t>
    </r>
    <r>
      <rPr>
        <sz val="12"/>
        <color theme="1"/>
        <rFont val="宋体"/>
        <family val="3"/>
        <charset val="134"/>
      </rPr>
      <t>粒</t>
    </r>
  </si>
  <si>
    <t>陈禹勇</t>
  </si>
  <si>
    <t>内蒙古包头市东河区山水佳苑C座504室</t>
  </si>
  <si>
    <t>330682198606105019</t>
  </si>
  <si>
    <t>陈禹勇330682198606105019</t>
  </si>
  <si>
    <t>9769148521097</t>
  </si>
  <si>
    <t>SC20200035524</t>
  </si>
  <si>
    <r>
      <rPr>
        <sz val="12"/>
        <color theme="1"/>
        <rFont val="宋体"/>
        <family val="3"/>
        <charset val="134"/>
      </rPr>
      <t>面膜</t>
    </r>
    <r>
      <rPr>
        <sz val="12"/>
        <color theme="1"/>
        <rFont val="Calibri"/>
        <family val="2"/>
      </rPr>
      <t>*5</t>
    </r>
    <r>
      <rPr>
        <sz val="12"/>
        <color theme="1"/>
        <rFont val="宋体"/>
        <family val="3"/>
        <charset val="134"/>
      </rPr>
      <t>，洗手液</t>
    </r>
    <r>
      <rPr>
        <sz val="12"/>
        <color theme="1"/>
        <rFont val="Calibri"/>
        <family val="2"/>
      </rPr>
      <t>*1</t>
    </r>
  </si>
  <si>
    <t>25ML*8，100ML</t>
  </si>
  <si>
    <t>卢丽娜</t>
  </si>
  <si>
    <t>440105195803201220</t>
  </si>
  <si>
    <t>卢丽娜440105195803201220</t>
  </si>
  <si>
    <t>9769148459997</t>
  </si>
  <si>
    <t>SC20200033830</t>
  </si>
  <si>
    <r>
      <rPr>
        <sz val="12"/>
        <color theme="1"/>
        <rFont val="宋体"/>
        <family val="3"/>
        <charset val="134"/>
      </rPr>
      <t>面霜</t>
    </r>
    <r>
      <rPr>
        <sz val="12"/>
        <color theme="1"/>
        <rFont val="Calibri"/>
        <family val="2"/>
      </rPr>
      <t>*1</t>
    </r>
    <r>
      <rPr>
        <sz val="12"/>
        <color theme="1"/>
        <rFont val="宋体"/>
        <family val="3"/>
        <charset val="134"/>
      </rPr>
      <t>，面霜</t>
    </r>
    <r>
      <rPr>
        <sz val="12"/>
        <color theme="1"/>
        <rFont val="Calibri"/>
        <family val="2"/>
      </rPr>
      <t>*2</t>
    </r>
    <r>
      <rPr>
        <sz val="12"/>
        <color theme="1"/>
        <rFont val="宋体"/>
        <family val="3"/>
        <charset val="134"/>
      </rPr>
      <t>，眼霜</t>
    </r>
    <r>
      <rPr>
        <sz val="12"/>
        <color theme="1"/>
        <rFont val="Calibri"/>
        <family val="2"/>
      </rPr>
      <t>*1</t>
    </r>
    <r>
      <rPr>
        <sz val="12"/>
        <color theme="1"/>
        <rFont val="宋体"/>
        <family val="3"/>
        <charset val="134"/>
      </rPr>
      <t>，爽肤水</t>
    </r>
    <r>
      <rPr>
        <sz val="12"/>
        <color theme="1"/>
        <rFont val="Calibri"/>
        <family val="2"/>
      </rPr>
      <t>*2</t>
    </r>
    <r>
      <rPr>
        <sz val="12"/>
        <color theme="1"/>
        <rFont val="宋体"/>
        <family val="3"/>
        <charset val="134"/>
      </rPr>
      <t>，洁面</t>
    </r>
    <r>
      <rPr>
        <sz val="12"/>
        <color theme="1"/>
        <rFont val="Calibri"/>
        <family val="2"/>
      </rPr>
      <t>*1</t>
    </r>
  </si>
  <si>
    <t>ELIZABETH ARDEN，ELIZABETH ARDEN，ELIZABETH ARDEN，LANCOME，ESTEE LAUDER</t>
  </si>
  <si>
    <r>
      <rPr>
        <sz val="12"/>
        <color theme="1"/>
        <rFont val="Calibri"/>
        <family val="2"/>
      </rPr>
      <t>120</t>
    </r>
    <r>
      <rPr>
        <sz val="12"/>
        <color theme="1"/>
        <rFont val="宋体"/>
        <family val="3"/>
        <charset val="134"/>
      </rPr>
      <t>粒，</t>
    </r>
    <r>
      <rPr>
        <sz val="12"/>
        <color theme="1"/>
        <rFont val="Calibri"/>
        <family val="2"/>
      </rPr>
      <t>75ML</t>
    </r>
    <r>
      <rPr>
        <sz val="12"/>
        <color theme="1"/>
        <rFont val="宋体"/>
        <family val="3"/>
        <charset val="134"/>
      </rPr>
      <t>，</t>
    </r>
    <r>
      <rPr>
        <sz val="12"/>
        <color theme="1"/>
        <rFont val="Calibri"/>
        <family val="2"/>
      </rPr>
      <t>120</t>
    </r>
    <r>
      <rPr>
        <sz val="12"/>
        <color theme="1"/>
        <rFont val="宋体"/>
        <family val="3"/>
        <charset val="134"/>
      </rPr>
      <t>粒，</t>
    </r>
    <r>
      <rPr>
        <sz val="12"/>
        <color theme="1"/>
        <rFont val="Calibri"/>
        <family val="2"/>
      </rPr>
      <t>200ML</t>
    </r>
    <r>
      <rPr>
        <sz val="12"/>
        <color theme="1"/>
        <rFont val="宋体"/>
        <family val="3"/>
        <charset val="134"/>
      </rPr>
      <t>，</t>
    </r>
    <r>
      <rPr>
        <sz val="12"/>
        <color theme="1"/>
        <rFont val="Calibri"/>
        <family val="2"/>
      </rPr>
      <t>125ML</t>
    </r>
  </si>
  <si>
    <t>林君</t>
  </si>
  <si>
    <t>浙江省台州温岭市滨海镇东楼村193号</t>
  </si>
  <si>
    <t>331081198801175866</t>
  </si>
  <si>
    <t>林君331081198801175866</t>
  </si>
  <si>
    <t>9769148515297</t>
  </si>
  <si>
    <t>SC20190109961</t>
  </si>
  <si>
    <r>
      <rPr>
        <sz val="12"/>
        <color theme="1"/>
        <rFont val="宋体"/>
        <family val="3"/>
        <charset val="134"/>
      </rPr>
      <t>健骼宁</t>
    </r>
    <r>
      <rPr>
        <sz val="12"/>
        <color theme="1"/>
        <rFont val="Calibri"/>
        <family val="2"/>
      </rPr>
      <t>*2</t>
    </r>
    <r>
      <rPr>
        <sz val="12"/>
        <color theme="1"/>
        <rFont val="宋体"/>
        <family val="3"/>
        <charset val="134"/>
      </rPr>
      <t>，鱼油</t>
    </r>
    <r>
      <rPr>
        <sz val="12"/>
        <color theme="1"/>
        <rFont val="Calibri"/>
        <family val="2"/>
      </rPr>
      <t>*2</t>
    </r>
    <r>
      <rPr>
        <sz val="12"/>
        <color theme="1"/>
        <rFont val="宋体"/>
        <family val="3"/>
        <charset val="134"/>
      </rPr>
      <t>，钙片</t>
    </r>
    <r>
      <rPr>
        <sz val="12"/>
        <color theme="1"/>
        <rFont val="Calibri"/>
        <family val="2"/>
      </rPr>
      <t>*2</t>
    </r>
    <r>
      <rPr>
        <sz val="12"/>
        <color theme="1"/>
        <rFont val="宋体"/>
        <family val="3"/>
        <charset val="134"/>
      </rPr>
      <t>，维生素</t>
    </r>
    <r>
      <rPr>
        <sz val="12"/>
        <color theme="1"/>
        <rFont val="Calibri"/>
        <family val="2"/>
      </rPr>
      <t>*4</t>
    </r>
    <r>
      <rPr>
        <sz val="12"/>
        <color theme="1"/>
        <rFont val="宋体"/>
        <family val="3"/>
        <charset val="134"/>
      </rPr>
      <t>，心脏宝</t>
    </r>
    <r>
      <rPr>
        <sz val="12"/>
        <color theme="1"/>
        <rFont val="Calibri"/>
        <family val="2"/>
      </rPr>
      <t>*2</t>
    </r>
  </si>
  <si>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</si>
  <si>
    <t>莫伟红</t>
  </si>
  <si>
    <t>广东省广州市海珠区工业大道南金玫瑰苑4号1303</t>
  </si>
  <si>
    <t>440105197407042466</t>
  </si>
  <si>
    <t>莫伟红440105197407042466</t>
  </si>
  <si>
    <t>9769148453797</t>
  </si>
  <si>
    <t>SC20200035520</t>
  </si>
  <si>
    <t>张桂银</t>
  </si>
  <si>
    <t>北京市丰台区韩庄子二里16号楼二门202号</t>
  </si>
  <si>
    <t>110106197107190029</t>
  </si>
  <si>
    <t>张桂银110106197107190029</t>
  </si>
  <si>
    <t>9769148472797</t>
  </si>
  <si>
    <t>SC20200035425</t>
  </si>
  <si>
    <t>长青配方*3，鱼油*3，爽肤水*1，肌修精华*1</t>
  </si>
  <si>
    <t>北京市朝阳区三丰北里悠唐麒麟公馆9-1-601</t>
  </si>
  <si>
    <t>441424198810046046</t>
  </si>
  <si>
    <t>余娟441424198810046046</t>
  </si>
  <si>
    <t>9769148419197</t>
  </si>
  <si>
    <t>SC20200034368</t>
  </si>
  <si>
    <r>
      <rPr>
        <sz val="12"/>
        <color theme="1"/>
        <rFont val="宋体"/>
        <family val="3"/>
        <charset val="134"/>
      </rPr>
      <t>小样面霜</t>
    </r>
    <r>
      <rPr>
        <sz val="12"/>
        <color theme="1"/>
        <rFont val="Calibri"/>
        <family val="2"/>
      </rPr>
      <t>*3</t>
    </r>
    <r>
      <rPr>
        <sz val="12"/>
        <color theme="1"/>
        <rFont val="宋体"/>
        <family val="3"/>
        <charset val="134"/>
      </rPr>
      <t>，眼霜</t>
    </r>
    <r>
      <rPr>
        <sz val="12"/>
        <color theme="1"/>
        <rFont val="Calibri"/>
        <family val="2"/>
      </rPr>
      <t>*4</t>
    </r>
    <r>
      <rPr>
        <sz val="12"/>
        <color theme="1"/>
        <rFont val="宋体"/>
        <family val="3"/>
        <charset val="134"/>
      </rPr>
      <t>，晚霜</t>
    </r>
    <r>
      <rPr>
        <sz val="12"/>
        <color theme="1"/>
        <rFont val="Calibri"/>
        <family val="2"/>
      </rPr>
      <t>*2</t>
    </r>
    <r>
      <rPr>
        <sz val="12"/>
        <color theme="1"/>
        <rFont val="宋体"/>
        <family val="3"/>
        <charset val="134"/>
      </rPr>
      <t>，小样睫毛膏</t>
    </r>
    <r>
      <rPr>
        <sz val="12"/>
        <color theme="1"/>
        <rFont val="Calibri"/>
        <family val="2"/>
      </rPr>
      <t>*6</t>
    </r>
  </si>
  <si>
    <t>ESTEE LAUDER，ELIZABETH ARDEN，LANCOME，LANCOME</t>
  </si>
  <si>
    <t>7ML，15ML，50ML，</t>
  </si>
  <si>
    <t>于庆芙</t>
  </si>
  <si>
    <t>凌冬梅</t>
  </si>
  <si>
    <t>天津市和平区劝业场街滨江道126号环卫保洁一队</t>
  </si>
  <si>
    <t>440883199311295027</t>
  </si>
  <si>
    <t>凌冬梅440883199311295027</t>
  </si>
  <si>
    <t>9769148711997</t>
  </si>
  <si>
    <t>SC20200034344</t>
  </si>
  <si>
    <t>朱国文</t>
  </si>
  <si>
    <t>北京市石景山区石景山路99号院</t>
  </si>
  <si>
    <t>兰仕生</t>
  </si>
  <si>
    <t>350122198211085017</t>
  </si>
  <si>
    <t>兰仕生350122198211085017</t>
  </si>
  <si>
    <t>9769148417497</t>
  </si>
  <si>
    <t>SC20190094823</t>
  </si>
  <si>
    <r>
      <rPr>
        <sz val="12"/>
        <color theme="1"/>
        <rFont val="宋体"/>
        <family val="3"/>
        <charset val="134"/>
      </rPr>
      <t>项链</t>
    </r>
    <r>
      <rPr>
        <sz val="12"/>
        <color theme="1"/>
        <rFont val="Calibri"/>
        <family val="2"/>
      </rPr>
      <t>*2</t>
    </r>
    <r>
      <rPr>
        <sz val="12"/>
        <color theme="1"/>
        <rFont val="宋体"/>
        <family val="3"/>
        <charset val="134"/>
      </rPr>
      <t>，粉胶</t>
    </r>
    <r>
      <rPr>
        <sz val="12"/>
        <color theme="1"/>
        <rFont val="Calibri"/>
        <family val="2"/>
      </rPr>
      <t>*2</t>
    </r>
  </si>
  <si>
    <t>SWAROVSKI，ELIZABETH ARDEN</t>
  </si>
  <si>
    <r>
      <rPr>
        <sz val="12"/>
        <color theme="1"/>
        <rFont val="宋体"/>
        <family val="3"/>
        <charset val="134"/>
      </rPr>
      <t>，</t>
    </r>
    <r>
      <rPr>
        <sz val="12"/>
        <color theme="1"/>
        <rFont val="Calibri"/>
        <family val="2"/>
      </rPr>
      <t>60</t>
    </r>
    <r>
      <rPr>
        <sz val="12"/>
        <color theme="1"/>
        <rFont val="宋体"/>
        <family val="3"/>
        <charset val="134"/>
      </rPr>
      <t>粒</t>
    </r>
  </si>
  <si>
    <t>秦子帧</t>
  </si>
  <si>
    <t>湖南省长沙市开福区湘江北路1500号北辰定江洋1栋3单元506</t>
  </si>
  <si>
    <t>李峥</t>
  </si>
  <si>
    <t>湖南省长沙市开福区万国城三期15栋902</t>
  </si>
  <si>
    <t>340204199007262624</t>
  </si>
  <si>
    <t>李峥340204199007262624</t>
  </si>
  <si>
    <t>9769116609197</t>
  </si>
  <si>
    <t>SC20200021470</t>
  </si>
  <si>
    <r>
      <rPr>
        <sz val="12"/>
        <color theme="1"/>
        <rFont val="宋体"/>
        <family val="3"/>
        <charset val="134"/>
      </rPr>
      <t>健康包</t>
    </r>
    <r>
      <rPr>
        <sz val="12"/>
        <color theme="1"/>
        <rFont val="Calibri"/>
        <family val="2"/>
      </rPr>
      <t>*2</t>
    </r>
    <r>
      <rPr>
        <sz val="12"/>
        <color theme="1"/>
        <rFont val="宋体"/>
        <family val="3"/>
        <charset val="134"/>
      </rPr>
      <t>，维生素</t>
    </r>
    <r>
      <rPr>
        <sz val="12"/>
        <color theme="1"/>
        <rFont val="Calibri"/>
        <family val="2"/>
      </rPr>
      <t>*1</t>
    </r>
    <r>
      <rPr>
        <sz val="12"/>
        <color theme="1"/>
        <rFont val="宋体"/>
        <family val="3"/>
        <charset val="134"/>
      </rPr>
      <t>，益生菌</t>
    </r>
    <r>
      <rPr>
        <sz val="12"/>
        <color theme="1"/>
        <rFont val="Calibri"/>
        <family val="2"/>
      </rPr>
      <t>*3</t>
    </r>
    <r>
      <rPr>
        <sz val="12"/>
        <color theme="1"/>
        <rFont val="宋体"/>
        <family val="3"/>
        <charset val="134"/>
      </rPr>
      <t>，牙膏</t>
    </r>
    <r>
      <rPr>
        <sz val="12"/>
        <color theme="1"/>
        <rFont val="Calibri"/>
        <family val="2"/>
      </rPr>
      <t>*1</t>
    </r>
    <r>
      <rPr>
        <sz val="12"/>
        <color theme="1"/>
        <rFont val="宋体"/>
        <family val="3"/>
        <charset val="134"/>
      </rPr>
      <t>，鱼油</t>
    </r>
    <r>
      <rPr>
        <sz val="12"/>
        <color theme="1"/>
        <rFont val="Calibri"/>
        <family val="2"/>
      </rPr>
      <t>*1</t>
    </r>
    <r>
      <rPr>
        <sz val="12"/>
        <color theme="1"/>
        <rFont val="宋体"/>
        <family val="3"/>
        <charset val="134"/>
      </rPr>
      <t>，口腔益生菌</t>
    </r>
    <r>
      <rPr>
        <sz val="12"/>
        <color theme="1"/>
        <rFont val="Calibri"/>
        <family val="2"/>
      </rPr>
      <t>*1</t>
    </r>
  </si>
  <si>
    <r>
      <rPr>
        <sz val="12"/>
        <color theme="1"/>
        <rFont val="Calibri"/>
        <family val="2"/>
      </rPr>
      <t>56</t>
    </r>
    <r>
      <rPr>
        <sz val="12"/>
        <color theme="1"/>
        <rFont val="宋体"/>
        <family val="3"/>
        <charset val="134"/>
      </rPr>
      <t>包，</t>
    </r>
    <r>
      <rPr>
        <sz val="12"/>
        <color theme="1"/>
        <rFont val="Calibri"/>
        <family val="2"/>
      </rPr>
      <t>28</t>
    </r>
    <r>
      <rPr>
        <sz val="12"/>
        <color theme="1"/>
        <rFont val="宋体"/>
        <family val="3"/>
        <charset val="134"/>
      </rPr>
      <t>条，</t>
    </r>
    <r>
      <rPr>
        <sz val="12"/>
        <color theme="1"/>
        <rFont val="Calibri"/>
        <family val="2"/>
      </rPr>
      <t>14</t>
    </r>
    <r>
      <rPr>
        <sz val="12"/>
        <color theme="1"/>
        <rFont val="宋体"/>
        <family val="3"/>
        <charset val="134"/>
      </rPr>
      <t>条，</t>
    </r>
    <r>
      <rPr>
        <sz val="12"/>
        <color theme="1"/>
        <rFont val="Calibri"/>
        <family val="2"/>
      </rPr>
      <t>113G</t>
    </r>
    <r>
      <rPr>
        <sz val="12"/>
        <color theme="1"/>
        <rFont val="宋体"/>
        <family val="3"/>
        <charset val="134"/>
      </rPr>
      <t>，</t>
    </r>
    <r>
      <rPr>
        <sz val="12"/>
        <color theme="1"/>
        <rFont val="Calibri"/>
        <family val="2"/>
      </rPr>
      <t>56</t>
    </r>
    <r>
      <rPr>
        <sz val="12"/>
        <color theme="1"/>
        <rFont val="宋体"/>
        <family val="3"/>
        <charset val="134"/>
      </rPr>
      <t>粒，</t>
    </r>
    <r>
      <rPr>
        <sz val="12"/>
        <color theme="1"/>
        <rFont val="Calibri"/>
        <family val="2"/>
      </rPr>
      <t>30</t>
    </r>
    <r>
      <rPr>
        <sz val="12"/>
        <color theme="1"/>
        <rFont val="宋体"/>
        <family val="3"/>
        <charset val="134"/>
      </rPr>
      <t>粒</t>
    </r>
  </si>
  <si>
    <t>肖洋</t>
  </si>
  <si>
    <t>北京市海淀区大慧寺路17号院五号楼</t>
  </si>
  <si>
    <t>110101197505213511</t>
  </si>
  <si>
    <t>肖洋110101197505213511</t>
  </si>
  <si>
    <t>9769116595897</t>
  </si>
  <si>
    <t>SC20200021471</t>
  </si>
  <si>
    <r>
      <rPr>
        <sz val="12"/>
        <color theme="1"/>
        <rFont val="宋体"/>
        <family val="3"/>
        <charset val="134"/>
      </rPr>
      <t>细胞营养素</t>
    </r>
    <r>
      <rPr>
        <sz val="12"/>
        <color theme="1"/>
        <rFont val="Calibri"/>
        <family val="2"/>
      </rPr>
      <t>*2</t>
    </r>
    <r>
      <rPr>
        <sz val="12"/>
        <color theme="1"/>
        <rFont val="宋体"/>
        <family val="3"/>
        <charset val="134"/>
      </rPr>
      <t>，葡萄籽</t>
    </r>
    <r>
      <rPr>
        <sz val="12"/>
        <color theme="1"/>
        <rFont val="Calibri"/>
        <family val="2"/>
      </rPr>
      <t>*2</t>
    </r>
    <r>
      <rPr>
        <sz val="12"/>
        <color theme="1"/>
        <rFont val="宋体"/>
        <family val="3"/>
        <charset val="134"/>
      </rPr>
      <t>，鱼油</t>
    </r>
    <r>
      <rPr>
        <sz val="12"/>
        <color theme="1"/>
        <rFont val="Calibri"/>
        <family val="2"/>
      </rPr>
      <t>*1</t>
    </r>
    <r>
      <rPr>
        <sz val="12"/>
        <color theme="1"/>
        <rFont val="宋体"/>
        <family val="3"/>
        <charset val="134"/>
      </rPr>
      <t>，眠宁素</t>
    </r>
    <r>
      <rPr>
        <sz val="12"/>
        <color theme="1"/>
        <rFont val="Calibri"/>
        <family val="2"/>
      </rPr>
      <t>*1</t>
    </r>
    <r>
      <rPr>
        <sz val="12"/>
        <color theme="1"/>
        <rFont val="宋体"/>
        <family val="3"/>
        <charset val="134"/>
      </rPr>
      <t>，肝宝</t>
    </r>
    <r>
      <rPr>
        <sz val="12"/>
        <color theme="1"/>
        <rFont val="Calibri"/>
        <family val="2"/>
      </rPr>
      <t>*1</t>
    </r>
    <r>
      <rPr>
        <sz val="12"/>
        <color theme="1"/>
        <rFont val="宋体"/>
        <family val="3"/>
        <charset val="134"/>
      </rPr>
      <t>，钙镁片</t>
    </r>
    <r>
      <rPr>
        <sz val="12"/>
        <color theme="1"/>
        <rFont val="Calibri"/>
        <family val="2"/>
      </rPr>
      <t>*1</t>
    </r>
    <r>
      <rPr>
        <sz val="12"/>
        <color theme="1"/>
        <rFont val="宋体"/>
        <family val="3"/>
        <charset val="134"/>
      </rPr>
      <t>，益生菌</t>
    </r>
    <r>
      <rPr>
        <sz val="12"/>
        <color theme="1"/>
        <rFont val="Calibri"/>
        <family val="2"/>
      </rPr>
      <t>*2</t>
    </r>
  </si>
  <si>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28</t>
    </r>
    <r>
      <rPr>
        <sz val="12"/>
        <color theme="1"/>
        <rFont val="宋体"/>
        <family val="3"/>
        <charset val="134"/>
      </rPr>
      <t>条</t>
    </r>
  </si>
  <si>
    <t>姜晓英</t>
  </si>
  <si>
    <t>北京市海淀区永定路56号</t>
  </si>
  <si>
    <t>110109196211210047</t>
  </si>
  <si>
    <t>姜晓英110109196211210047</t>
  </si>
  <si>
    <t>9769148332497</t>
  </si>
  <si>
    <t>SC20200034490</t>
  </si>
  <si>
    <r>
      <rPr>
        <sz val="12"/>
        <color theme="1"/>
        <rFont val="宋体"/>
        <family val="3"/>
        <charset val="134"/>
      </rPr>
      <t>心宝</t>
    </r>
    <r>
      <rPr>
        <sz val="12"/>
        <color theme="1"/>
        <rFont val="Calibri"/>
        <family val="2"/>
      </rPr>
      <t>*9</t>
    </r>
  </si>
  <si>
    <t>唐剑飞</t>
  </si>
  <si>
    <t>江苏省海安开发区立发大道169号1号</t>
  </si>
  <si>
    <t>庞春艳</t>
  </si>
  <si>
    <t>江苏省南京市江宁区东新北路99号芙阁新村28幢</t>
  </si>
  <si>
    <t>15212219670417032X</t>
  </si>
  <si>
    <t>庞春艳15212219670417032X</t>
  </si>
  <si>
    <t>9769148357697</t>
  </si>
  <si>
    <t>SC20200007943</t>
  </si>
  <si>
    <r>
      <rPr>
        <sz val="12"/>
        <color theme="1"/>
        <rFont val="宋体"/>
        <family val="3"/>
        <charset val="134"/>
      </rPr>
      <t>鱼油</t>
    </r>
    <r>
      <rPr>
        <sz val="12"/>
        <color theme="1"/>
        <rFont val="Calibri"/>
        <family val="2"/>
      </rPr>
      <t>*6</t>
    </r>
    <r>
      <rPr>
        <sz val="12"/>
        <color theme="1"/>
        <rFont val="宋体"/>
        <family val="3"/>
        <charset val="134"/>
      </rPr>
      <t>，妇康宁</t>
    </r>
    <r>
      <rPr>
        <sz val="12"/>
        <color theme="1"/>
        <rFont val="Calibri"/>
        <family val="2"/>
      </rPr>
      <t>*2</t>
    </r>
    <r>
      <rPr>
        <sz val="12"/>
        <color theme="1"/>
        <rFont val="宋体"/>
        <family val="3"/>
        <charset val="134"/>
      </rPr>
      <t>，心宝</t>
    </r>
    <r>
      <rPr>
        <sz val="12"/>
        <color theme="1"/>
        <rFont val="Calibri"/>
        <family val="2"/>
      </rPr>
      <t>*2</t>
    </r>
  </si>
  <si>
    <t>孙冬萍</t>
  </si>
  <si>
    <t>江苏省南京市江宁区东郊小镇三街区9栋201</t>
  </si>
  <si>
    <t>320621199111175322</t>
  </si>
  <si>
    <t>孙冬萍320621199111175322</t>
  </si>
  <si>
    <t>9769148330797</t>
  </si>
  <si>
    <t>SC20200025511</t>
  </si>
  <si>
    <r>
      <rPr>
        <sz val="12"/>
        <color theme="1"/>
        <rFont val="宋体"/>
        <family val="3"/>
        <charset val="134"/>
      </rPr>
      <t>精华</t>
    </r>
    <r>
      <rPr>
        <sz val="12"/>
        <color theme="1"/>
        <rFont val="Calibri"/>
        <family val="2"/>
      </rPr>
      <t>*1</t>
    </r>
    <r>
      <rPr>
        <sz val="12"/>
        <color theme="1"/>
        <rFont val="宋体"/>
        <family val="3"/>
        <charset val="134"/>
      </rPr>
      <t>，精华</t>
    </r>
    <r>
      <rPr>
        <sz val="12"/>
        <color theme="1"/>
        <rFont val="Calibri"/>
        <family val="2"/>
      </rPr>
      <t>*1</t>
    </r>
    <r>
      <rPr>
        <sz val="12"/>
        <color theme="1"/>
        <rFont val="宋体"/>
        <family val="3"/>
        <charset val="134"/>
      </rPr>
      <t>，粉底</t>
    </r>
    <r>
      <rPr>
        <sz val="12"/>
        <color theme="1"/>
        <rFont val="Calibri"/>
        <family val="2"/>
      </rPr>
      <t>*4</t>
    </r>
    <r>
      <rPr>
        <sz val="12"/>
        <color theme="1"/>
        <rFont val="宋体"/>
        <family val="3"/>
        <charset val="134"/>
      </rPr>
      <t>，面霜套装</t>
    </r>
    <r>
      <rPr>
        <sz val="12"/>
        <color theme="1"/>
        <rFont val="Calibri"/>
        <family val="2"/>
      </rPr>
      <t>*1</t>
    </r>
  </si>
  <si>
    <t>KIEHL'S，ESTEE LAUDER，ESTEE LAUDER，ESTEE LAUDER</t>
  </si>
  <si>
    <t>广东省云浮市云城区兴云西路108号卓成骏景园2栋</t>
  </si>
  <si>
    <t>刘莹</t>
  </si>
  <si>
    <t>130603198210211269</t>
  </si>
  <si>
    <t>刘莹130603198210211269</t>
  </si>
  <si>
    <t>9769148355997</t>
  </si>
  <si>
    <t>SC20200019259</t>
  </si>
  <si>
    <r>
      <rPr>
        <sz val="12"/>
        <color theme="1"/>
        <rFont val="Calibri"/>
        <family val="2"/>
      </rPr>
      <t>T</t>
    </r>
    <r>
      <rPr>
        <sz val="12"/>
        <color theme="1"/>
        <rFont val="宋体"/>
        <family val="3"/>
        <charset val="134"/>
      </rPr>
      <t>恤</t>
    </r>
    <r>
      <rPr>
        <sz val="12"/>
        <color theme="1"/>
        <rFont val="Calibri"/>
        <family val="2"/>
      </rPr>
      <t>*2</t>
    </r>
  </si>
  <si>
    <t>何益慧</t>
  </si>
  <si>
    <t>广东省广州市花都区风神大道风神花园B8丰巢</t>
  </si>
  <si>
    <t>潘国亮</t>
  </si>
  <si>
    <t>310103195709202014</t>
  </si>
  <si>
    <t>潘国亮310103195709202014</t>
  </si>
  <si>
    <t>9769148503397</t>
  </si>
  <si>
    <t>SC20200019257</t>
  </si>
  <si>
    <r>
      <rPr>
        <sz val="12"/>
        <color theme="1"/>
        <rFont val="宋体"/>
        <family val="3"/>
        <charset val="134"/>
      </rPr>
      <t>裤子</t>
    </r>
    <r>
      <rPr>
        <sz val="12"/>
        <color theme="1"/>
        <rFont val="Calibri"/>
        <family val="2"/>
      </rPr>
      <t>*3</t>
    </r>
    <r>
      <rPr>
        <sz val="12"/>
        <color theme="1"/>
        <rFont val="宋体"/>
        <family val="3"/>
        <charset val="134"/>
      </rPr>
      <t>，内衣</t>
    </r>
    <r>
      <rPr>
        <sz val="12"/>
        <color theme="1"/>
        <rFont val="Calibri"/>
        <family val="2"/>
      </rPr>
      <t>*2</t>
    </r>
  </si>
  <si>
    <t>430103195711071030</t>
  </si>
  <si>
    <t>谭承德430103195711071030</t>
  </si>
  <si>
    <t>9769148440497</t>
  </si>
  <si>
    <t>SC20200021132</t>
  </si>
  <si>
    <r>
      <rPr>
        <sz val="12"/>
        <color theme="1"/>
        <rFont val="宋体"/>
        <family val="3"/>
        <charset val="134"/>
      </rPr>
      <t>粉胶</t>
    </r>
    <r>
      <rPr>
        <sz val="12"/>
        <color theme="1"/>
        <rFont val="Calibri"/>
        <family val="2"/>
      </rPr>
      <t>*2</t>
    </r>
    <r>
      <rPr>
        <sz val="12"/>
        <color theme="1"/>
        <rFont val="宋体"/>
        <family val="3"/>
        <charset val="134"/>
      </rPr>
      <t>，眼胶</t>
    </r>
    <r>
      <rPr>
        <sz val="12"/>
        <color theme="1"/>
        <rFont val="Calibri"/>
        <family val="2"/>
      </rPr>
      <t>*2</t>
    </r>
    <r>
      <rPr>
        <sz val="12"/>
        <color theme="1"/>
        <rFont val="宋体"/>
        <family val="3"/>
        <charset val="134"/>
      </rPr>
      <t>，护足霜</t>
    </r>
    <r>
      <rPr>
        <sz val="12"/>
        <color theme="1"/>
        <rFont val="Calibri"/>
        <family val="2"/>
      </rPr>
      <t>*1</t>
    </r>
    <r>
      <rPr>
        <sz val="12"/>
        <color theme="1"/>
        <rFont val="宋体"/>
        <family val="3"/>
        <charset val="134"/>
      </rPr>
      <t>，护足霜</t>
    </r>
    <r>
      <rPr>
        <sz val="12"/>
        <color theme="1"/>
        <rFont val="Calibri"/>
        <family val="2"/>
      </rPr>
      <t>*1</t>
    </r>
    <r>
      <rPr>
        <sz val="12"/>
        <color theme="1"/>
        <rFont val="宋体"/>
        <family val="3"/>
        <charset val="134"/>
      </rPr>
      <t>，裤子</t>
    </r>
    <r>
      <rPr>
        <sz val="12"/>
        <color theme="1"/>
        <rFont val="Calibri"/>
        <family val="2"/>
      </rPr>
      <t>*1</t>
    </r>
  </si>
  <si>
    <t>ELIZABETH ARDEN，ELIZABETH ARDEN，BAYER，Dermal Therapy，KIRKLAND</t>
  </si>
  <si>
    <r>
      <rPr>
        <sz val="12"/>
        <color theme="1"/>
        <rFont val="Calibri"/>
        <family val="2"/>
      </rPr>
      <t>60</t>
    </r>
    <r>
      <rPr>
        <sz val="12"/>
        <color theme="1"/>
        <rFont val="宋体"/>
        <family val="3"/>
        <charset val="134"/>
      </rPr>
      <t>粒，</t>
    </r>
    <r>
      <rPr>
        <sz val="12"/>
        <color theme="1"/>
        <rFont val="Calibri"/>
        <family val="2"/>
      </rPr>
      <t>60</t>
    </r>
    <r>
      <rPr>
        <sz val="12"/>
        <color theme="1"/>
        <rFont val="宋体"/>
        <family val="3"/>
        <charset val="134"/>
      </rPr>
      <t>粒，</t>
    </r>
    <r>
      <rPr>
        <sz val="12"/>
        <color theme="1"/>
        <rFont val="Calibri"/>
        <family val="2"/>
      </rPr>
      <t>90G+270G</t>
    </r>
    <r>
      <rPr>
        <sz val="12"/>
        <color theme="1"/>
        <rFont val="宋体"/>
        <family val="3"/>
        <charset val="134"/>
      </rPr>
      <t>，</t>
    </r>
    <r>
      <rPr>
        <sz val="12"/>
        <color theme="1"/>
        <rFont val="Calibri"/>
        <family val="2"/>
      </rPr>
      <t>90G</t>
    </r>
    <r>
      <rPr>
        <sz val="12"/>
        <color theme="1"/>
        <rFont val="宋体"/>
        <family val="3"/>
        <charset val="134"/>
      </rPr>
      <t>，</t>
    </r>
  </si>
  <si>
    <t>吕凤华</t>
  </si>
  <si>
    <t>山东省济南市历下区解放东路81号和趣棋牌室</t>
  </si>
  <si>
    <t>苏苗苗</t>
  </si>
  <si>
    <t>山东省济南市历下区东城逸家贤园5号楼1单元2102</t>
  </si>
  <si>
    <t>371102198610123227</t>
  </si>
  <si>
    <t>苏苗苗371102198610123227</t>
  </si>
  <si>
    <t>9769148397397</t>
  </si>
  <si>
    <t>SC20200035447</t>
  </si>
  <si>
    <r>
      <rPr>
        <sz val="12"/>
        <color theme="1"/>
        <rFont val="宋体"/>
        <family val="3"/>
        <charset val="134"/>
      </rPr>
      <t>精华</t>
    </r>
    <r>
      <rPr>
        <sz val="12"/>
        <color theme="1"/>
        <rFont val="Calibri"/>
        <family val="2"/>
      </rPr>
      <t>*10</t>
    </r>
    <r>
      <rPr>
        <sz val="12"/>
        <color theme="1"/>
        <rFont val="宋体"/>
        <family val="3"/>
        <charset val="134"/>
      </rPr>
      <t>，面霜</t>
    </r>
    <r>
      <rPr>
        <sz val="12"/>
        <color theme="1"/>
        <rFont val="Calibri"/>
        <family val="2"/>
      </rPr>
      <t>*5</t>
    </r>
  </si>
  <si>
    <t>THE ORDINARY，THE ORDINARY</t>
  </si>
  <si>
    <t>福建省福州市鼓楼区东大路117号7座301</t>
  </si>
  <si>
    <t>350102195308070023</t>
  </si>
  <si>
    <t>陈永榕350102195308070023</t>
  </si>
  <si>
    <t>9769148435597</t>
  </si>
  <si>
    <t>SC20200035603</t>
  </si>
  <si>
    <r>
      <rPr>
        <sz val="12"/>
        <color theme="1"/>
        <rFont val="宋体"/>
        <family val="3"/>
        <charset val="134"/>
      </rPr>
      <t>精华</t>
    </r>
    <r>
      <rPr>
        <sz val="12"/>
        <color theme="1"/>
        <rFont val="Calibri"/>
        <family val="2"/>
      </rPr>
      <t>*1</t>
    </r>
    <r>
      <rPr>
        <sz val="12"/>
        <color theme="1"/>
        <rFont val="宋体"/>
        <family val="3"/>
        <charset val="134"/>
      </rPr>
      <t>，蜗牛霜</t>
    </r>
    <r>
      <rPr>
        <sz val="12"/>
        <color theme="1"/>
        <rFont val="Calibri"/>
        <family val="2"/>
      </rPr>
      <t>*2</t>
    </r>
  </si>
  <si>
    <t>ESTEE LAUDER，MIZON</t>
  </si>
  <si>
    <t>50ML，75ML</t>
  </si>
  <si>
    <t>刘永</t>
  </si>
  <si>
    <t>湖南省常德市武陵区育才路192号 凡人居</t>
  </si>
  <si>
    <t>432401196409303013</t>
  </si>
  <si>
    <t>刘永432401196409303013</t>
  </si>
  <si>
    <t>9769148340997</t>
  </si>
  <si>
    <t>SC20190098546</t>
  </si>
  <si>
    <r>
      <rPr>
        <sz val="12"/>
        <color theme="1"/>
        <rFont val="宋体"/>
        <family val="3"/>
        <charset val="134"/>
      </rPr>
      <t>孕妇营养素</t>
    </r>
    <r>
      <rPr>
        <sz val="12"/>
        <color theme="1"/>
        <rFont val="Calibri"/>
        <family val="2"/>
      </rPr>
      <t>*10</t>
    </r>
  </si>
  <si>
    <r>
      <rPr>
        <sz val="12"/>
        <color theme="1"/>
        <rFont val="Calibri"/>
        <family val="2"/>
      </rPr>
      <t>112</t>
    </r>
    <r>
      <rPr>
        <sz val="12"/>
        <color theme="1"/>
        <rFont val="宋体"/>
        <family val="3"/>
        <charset val="134"/>
      </rPr>
      <t>粒</t>
    </r>
  </si>
  <si>
    <t>王晗</t>
  </si>
  <si>
    <t>浙江省温州市瓯海区东垟路123号</t>
  </si>
  <si>
    <t>210211197206120042</t>
  </si>
  <si>
    <t>王晗210211197206120042</t>
  </si>
  <si>
    <t>9769148712297</t>
  </si>
  <si>
    <t>SC20200035518</t>
  </si>
  <si>
    <r>
      <rPr>
        <sz val="12"/>
        <color theme="1"/>
        <rFont val="宋体"/>
        <family val="3"/>
        <charset val="134"/>
      </rPr>
      <t>精华素</t>
    </r>
    <r>
      <rPr>
        <sz val="12"/>
        <color theme="1"/>
        <rFont val="Calibri"/>
        <family val="2"/>
      </rPr>
      <t>*2</t>
    </r>
    <r>
      <rPr>
        <sz val="12"/>
        <color theme="1"/>
        <rFont val="宋体"/>
        <family val="3"/>
        <charset val="134"/>
      </rPr>
      <t>，洗面奶</t>
    </r>
    <r>
      <rPr>
        <sz val="12"/>
        <color theme="1"/>
        <rFont val="Calibri"/>
        <family val="2"/>
      </rPr>
      <t>*2</t>
    </r>
    <r>
      <rPr>
        <sz val="12"/>
        <color theme="1"/>
        <rFont val="宋体"/>
        <family val="3"/>
        <charset val="134"/>
      </rPr>
      <t>，面膜</t>
    </r>
    <r>
      <rPr>
        <sz val="12"/>
        <color theme="1"/>
        <rFont val="Calibri"/>
        <family val="2"/>
      </rPr>
      <t>*2</t>
    </r>
  </si>
  <si>
    <t>15ML，90ML，100ML</t>
  </si>
  <si>
    <t>张桂萍</t>
  </si>
  <si>
    <t>山西省太原市迎泽区双塔西街116号建业小区2号楼2306号</t>
  </si>
  <si>
    <t>尹亚楠</t>
  </si>
  <si>
    <t>山西省太原市迎泽区东景街东景苑3号楼1单元</t>
  </si>
  <si>
    <t>120104198110181848</t>
  </si>
  <si>
    <t>尹亚楠120104198110181848</t>
  </si>
  <si>
    <t>9769148444997</t>
  </si>
  <si>
    <t>SC20200007944</t>
  </si>
  <si>
    <r>
      <rPr>
        <sz val="12"/>
        <color theme="1"/>
        <rFont val="宋体"/>
        <family val="3"/>
        <charset val="134"/>
      </rPr>
      <t>营养餐</t>
    </r>
    <r>
      <rPr>
        <sz val="12"/>
        <color theme="1"/>
        <rFont val="Calibri"/>
        <family val="2"/>
      </rPr>
      <t>*1</t>
    </r>
    <r>
      <rPr>
        <sz val="12"/>
        <color theme="1"/>
        <rFont val="宋体"/>
        <family val="3"/>
        <charset val="134"/>
      </rPr>
      <t>，健骼宁</t>
    </r>
    <r>
      <rPr>
        <sz val="12"/>
        <color theme="1"/>
        <rFont val="Calibri"/>
        <family val="2"/>
      </rPr>
      <t>*2</t>
    </r>
  </si>
  <si>
    <t>张思圆</t>
  </si>
  <si>
    <t>湖南省衡阳市蒸湘区华新开发区愉景湾8-405</t>
  </si>
  <si>
    <t>110221199003298324</t>
  </si>
  <si>
    <t>张思圆110221199003298324</t>
  </si>
  <si>
    <t>9769148381097</t>
  </si>
  <si>
    <t>SC20190081996</t>
  </si>
  <si>
    <t>季凌俐</t>
  </si>
  <si>
    <t>310230198508171264</t>
  </si>
  <si>
    <t>季凌俐310230198508171264</t>
  </si>
  <si>
    <t>9769148485097</t>
  </si>
  <si>
    <t>SC20200034552</t>
  </si>
  <si>
    <r>
      <rPr>
        <sz val="12"/>
        <color theme="1"/>
        <rFont val="宋体"/>
        <family val="3"/>
        <charset val="134"/>
      </rPr>
      <t>粉胶</t>
    </r>
    <r>
      <rPr>
        <sz val="12"/>
        <color theme="1"/>
        <rFont val="Calibri"/>
        <family val="2"/>
      </rPr>
      <t>*5</t>
    </r>
  </si>
  <si>
    <t>周佳</t>
  </si>
  <si>
    <t>522101198010222427</t>
  </si>
  <si>
    <t>周佳522101198010222427</t>
  </si>
  <si>
    <t>9769148468797</t>
  </si>
  <si>
    <t>SC20200028743</t>
  </si>
  <si>
    <r>
      <rPr>
        <sz val="12"/>
        <color theme="1"/>
        <rFont val="宋体"/>
        <family val="3"/>
        <charset val="134"/>
      </rPr>
      <t>钙镁片</t>
    </r>
    <r>
      <rPr>
        <sz val="12"/>
        <color theme="1"/>
        <rFont val="Calibri"/>
        <family val="2"/>
      </rPr>
      <t>*10</t>
    </r>
  </si>
  <si>
    <t>武树培</t>
  </si>
  <si>
    <t>江苏省南京市江宁区上元大街亲水湾花园4幢207</t>
  </si>
  <si>
    <t>370982198705104410</t>
  </si>
  <si>
    <t>武树培370982198705104410</t>
  </si>
  <si>
    <t>9769148460897</t>
  </si>
  <si>
    <t>SC20200028740</t>
  </si>
  <si>
    <r>
      <rPr>
        <sz val="12"/>
        <color theme="1"/>
        <rFont val="宋体"/>
        <family val="3"/>
        <charset val="134"/>
      </rPr>
      <t>心脏宝</t>
    </r>
    <r>
      <rPr>
        <sz val="12"/>
        <color theme="1"/>
        <rFont val="Calibri"/>
        <family val="2"/>
      </rPr>
      <t>*8</t>
    </r>
    <r>
      <rPr>
        <sz val="12"/>
        <color theme="1"/>
        <rFont val="宋体"/>
        <family val="3"/>
        <charset val="134"/>
      </rPr>
      <t>，葡萄籽</t>
    </r>
    <r>
      <rPr>
        <sz val="12"/>
        <color theme="1"/>
        <rFont val="Calibri"/>
        <family val="2"/>
      </rPr>
      <t>*5</t>
    </r>
  </si>
  <si>
    <t>北京市海淀区万柳中路万城华府尚园2-1-1018</t>
  </si>
  <si>
    <t>110108196303031146</t>
  </si>
  <si>
    <t>师林110108196303031146</t>
  </si>
  <si>
    <t>9769116632197</t>
  </si>
  <si>
    <t>SC20190022113</t>
  </si>
  <si>
    <r>
      <rPr>
        <sz val="12"/>
        <color theme="1"/>
        <rFont val="宋体"/>
        <family val="3"/>
        <charset val="134"/>
      </rPr>
      <t>卸妆液</t>
    </r>
    <r>
      <rPr>
        <sz val="12"/>
        <color theme="1"/>
        <rFont val="Calibri"/>
        <family val="2"/>
      </rPr>
      <t>*1</t>
    </r>
    <r>
      <rPr>
        <sz val="12"/>
        <color theme="1"/>
        <rFont val="宋体"/>
        <family val="3"/>
        <charset val="134"/>
      </rPr>
      <t>，洁面摩丝</t>
    </r>
    <r>
      <rPr>
        <sz val="12"/>
        <color theme="1"/>
        <rFont val="Calibri"/>
        <family val="2"/>
      </rPr>
      <t>*1</t>
    </r>
    <r>
      <rPr>
        <sz val="12"/>
        <color theme="1"/>
        <rFont val="宋体"/>
        <family val="3"/>
        <charset val="134"/>
      </rPr>
      <t>，面部精华</t>
    </r>
    <r>
      <rPr>
        <sz val="12"/>
        <color theme="1"/>
        <rFont val="Calibri"/>
        <family val="2"/>
      </rPr>
      <t>*1</t>
    </r>
    <r>
      <rPr>
        <sz val="12"/>
        <color theme="1"/>
        <rFont val="宋体"/>
        <family val="3"/>
        <charset val="134"/>
      </rPr>
      <t>，面部精华</t>
    </r>
    <r>
      <rPr>
        <sz val="12"/>
        <color theme="1"/>
        <rFont val="Calibri"/>
        <family val="2"/>
      </rPr>
      <t>*1</t>
    </r>
    <r>
      <rPr>
        <sz val="12"/>
        <color theme="1"/>
        <rFont val="宋体"/>
        <family val="3"/>
        <charset val="134"/>
      </rPr>
      <t>，眼霜</t>
    </r>
    <r>
      <rPr>
        <sz val="12"/>
        <color theme="1"/>
        <rFont val="Calibri"/>
        <family val="2"/>
      </rPr>
      <t>*1</t>
    </r>
    <r>
      <rPr>
        <sz val="12"/>
        <color theme="1"/>
        <rFont val="宋体"/>
        <family val="3"/>
        <charset val="134"/>
      </rPr>
      <t>，粉底液</t>
    </r>
    <r>
      <rPr>
        <sz val="12"/>
        <color theme="1"/>
        <rFont val="Calibri"/>
        <family val="2"/>
      </rPr>
      <t>*1</t>
    </r>
    <r>
      <rPr>
        <sz val="12"/>
        <color theme="1"/>
        <rFont val="宋体"/>
        <family val="3"/>
        <charset val="134"/>
      </rPr>
      <t>，面胶</t>
    </r>
    <r>
      <rPr>
        <sz val="12"/>
        <color theme="1"/>
        <rFont val="Calibri"/>
        <family val="2"/>
      </rPr>
      <t>*2</t>
    </r>
  </si>
  <si>
    <t>FRESCELL，FRESCELL，FRESCELL，FRESCELL，FRESCELL，NUSKIN，NUSKIN</t>
  </si>
  <si>
    <t>，150ML，，，，，</t>
  </si>
  <si>
    <t>努尔比亚·艾合买提尼亚孜</t>
  </si>
  <si>
    <t>新疆吐鲁番市托克逊县托克逊镇滨河小区7区12栋</t>
  </si>
  <si>
    <t>曾金连</t>
  </si>
  <si>
    <t>440306198604062820</t>
  </si>
  <si>
    <t>曾金连440306198604062820</t>
  </si>
  <si>
    <t>9769148466097</t>
  </si>
  <si>
    <t>SC20200033054</t>
  </si>
  <si>
    <t>广东省广州市增城区新塘镇大敦村大敦大道48号富苑公寓</t>
  </si>
  <si>
    <t>440125195607220323</t>
  </si>
  <si>
    <t>徐丽环440125195607220323</t>
  </si>
  <si>
    <t>9769148477597</t>
  </si>
  <si>
    <t>SC20200033058</t>
  </si>
  <si>
    <t>广东省广州市增城区新塘镇新塘大道西642号B栋3楼三横科技</t>
  </si>
  <si>
    <t>440125195910090365</t>
  </si>
  <si>
    <t>钟满弟440125195910090365</t>
  </si>
  <si>
    <t>9769148455497</t>
  </si>
  <si>
    <t>SC20200033062</t>
  </si>
  <si>
    <r>
      <rPr>
        <sz val="12"/>
        <color theme="1"/>
        <rFont val="宋体"/>
        <family val="3"/>
        <charset val="134"/>
      </rPr>
      <t>钙镁片</t>
    </r>
    <r>
      <rPr>
        <sz val="12"/>
        <color theme="1"/>
        <rFont val="Calibri"/>
        <family val="2"/>
      </rPr>
      <t>*2</t>
    </r>
    <r>
      <rPr>
        <sz val="12"/>
        <color theme="1"/>
        <rFont val="宋体"/>
        <family val="3"/>
        <charset val="134"/>
      </rPr>
      <t>，鱼油</t>
    </r>
    <r>
      <rPr>
        <sz val="12"/>
        <color theme="1"/>
        <rFont val="Calibri"/>
        <family val="2"/>
      </rPr>
      <t>*4</t>
    </r>
    <r>
      <rPr>
        <sz val="12"/>
        <color theme="1"/>
        <rFont val="宋体"/>
        <family val="3"/>
        <charset val="134"/>
      </rPr>
      <t>，健骼宁</t>
    </r>
    <r>
      <rPr>
        <sz val="12"/>
        <color theme="1"/>
        <rFont val="Calibri"/>
        <family val="2"/>
      </rPr>
      <t>*4</t>
    </r>
    <r>
      <rPr>
        <sz val="12"/>
        <color theme="1"/>
        <rFont val="宋体"/>
        <family val="3"/>
        <charset val="134"/>
      </rPr>
      <t>，肝宝</t>
    </r>
    <r>
      <rPr>
        <sz val="12"/>
        <color theme="1"/>
        <rFont val="Calibri"/>
        <family val="2"/>
      </rPr>
      <t>*4</t>
    </r>
    <r>
      <rPr>
        <sz val="12"/>
        <color theme="1"/>
        <rFont val="宋体"/>
        <family val="3"/>
        <charset val="134"/>
      </rPr>
      <t>，心宝</t>
    </r>
    <r>
      <rPr>
        <sz val="12"/>
        <color theme="1"/>
        <rFont val="Calibri"/>
        <family val="2"/>
      </rPr>
      <t>*1</t>
    </r>
  </si>
  <si>
    <t>刘晓青</t>
  </si>
  <si>
    <t>广东省广州市增城区新塘镇凤凰城凤锦苑1街18座1201房</t>
  </si>
  <si>
    <t>430922198612015849</t>
  </si>
  <si>
    <t>刘晓青430922198612015849</t>
  </si>
  <si>
    <t>9769148358097</t>
  </si>
  <si>
    <t>SC20200033607</t>
  </si>
  <si>
    <r>
      <rPr>
        <sz val="12"/>
        <color theme="1"/>
        <rFont val="宋体"/>
        <family val="3"/>
        <charset val="134"/>
      </rPr>
      <t>舒肝宝</t>
    </r>
    <r>
      <rPr>
        <sz val="12"/>
        <color theme="1"/>
        <rFont val="Calibri"/>
        <family val="2"/>
      </rPr>
      <t>*2</t>
    </r>
    <r>
      <rPr>
        <sz val="12"/>
        <color theme="1"/>
        <rFont val="宋体"/>
        <family val="3"/>
        <charset val="134"/>
      </rPr>
      <t>，视力宝</t>
    </r>
    <r>
      <rPr>
        <sz val="12"/>
        <color theme="1"/>
        <rFont val="Calibri"/>
        <family val="2"/>
      </rPr>
      <t>*3</t>
    </r>
    <r>
      <rPr>
        <sz val="12"/>
        <color theme="1"/>
        <rFont val="宋体"/>
        <family val="3"/>
        <charset val="134"/>
      </rPr>
      <t>，健骼宁</t>
    </r>
    <r>
      <rPr>
        <sz val="12"/>
        <color theme="1"/>
        <rFont val="Calibri"/>
        <family val="2"/>
      </rPr>
      <t>*1</t>
    </r>
    <r>
      <rPr>
        <sz val="12"/>
        <color theme="1"/>
        <rFont val="宋体"/>
        <family val="3"/>
        <charset val="134"/>
      </rPr>
      <t>，心脏宝</t>
    </r>
    <r>
      <rPr>
        <sz val="12"/>
        <color theme="1"/>
        <rFont val="Calibri"/>
        <family val="2"/>
      </rPr>
      <t>*2</t>
    </r>
  </si>
  <si>
    <r>
      <rPr>
        <sz val="12"/>
        <color theme="1"/>
        <rFont val="Calibri"/>
        <family val="2"/>
      </rPr>
      <t>84</t>
    </r>
    <r>
      <rPr>
        <sz val="12"/>
        <color theme="1"/>
        <rFont val="宋体"/>
        <family val="3"/>
        <charset val="134"/>
      </rPr>
      <t>粒，</t>
    </r>
    <r>
      <rPr>
        <sz val="12"/>
        <color theme="1"/>
        <rFont val="Calibri"/>
        <family val="2"/>
      </rPr>
      <t>28</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</si>
  <si>
    <t>210102196907111847</t>
  </si>
  <si>
    <t>王智红210102196907111847</t>
  </si>
  <si>
    <t>9769148341297</t>
  </si>
  <si>
    <t>SC20200033605</t>
  </si>
  <si>
    <r>
      <rPr>
        <sz val="12"/>
        <color theme="1"/>
        <rFont val="宋体"/>
        <family val="3"/>
        <charset val="134"/>
      </rPr>
      <t>基本营养素</t>
    </r>
    <r>
      <rPr>
        <sz val="12"/>
        <color theme="1"/>
        <rFont val="Calibri"/>
        <family val="2"/>
      </rPr>
      <t>*4</t>
    </r>
    <r>
      <rPr>
        <sz val="12"/>
        <color theme="1"/>
        <rFont val="宋体"/>
        <family val="3"/>
        <charset val="134"/>
      </rPr>
      <t>，心脏宝</t>
    </r>
    <r>
      <rPr>
        <sz val="12"/>
        <color theme="1"/>
        <rFont val="Calibri"/>
        <family val="2"/>
      </rPr>
      <t>*6</t>
    </r>
    <r>
      <rPr>
        <sz val="12"/>
        <color theme="1"/>
        <rFont val="宋体"/>
        <family val="3"/>
        <charset val="134"/>
      </rPr>
      <t>，鱼油</t>
    </r>
    <r>
      <rPr>
        <sz val="12"/>
        <color theme="1"/>
        <rFont val="Calibri"/>
        <family val="2"/>
      </rPr>
      <t>*2</t>
    </r>
  </si>
  <si>
    <t>谢燕红</t>
  </si>
  <si>
    <t>辽宁省沈阳市和平区中山路21号甲中信银行南站支行</t>
  </si>
  <si>
    <t>44010419751202372X</t>
  </si>
  <si>
    <t>谢燕红44010419751202372X</t>
  </si>
  <si>
    <t>9769148385497</t>
  </si>
  <si>
    <t>SC20200033598</t>
  </si>
  <si>
    <r>
      <rPr>
        <sz val="12"/>
        <color theme="1"/>
        <rFont val="宋体"/>
        <family val="3"/>
        <charset val="134"/>
      </rPr>
      <t>益生菌</t>
    </r>
    <r>
      <rPr>
        <sz val="12"/>
        <color theme="1"/>
        <rFont val="Calibri"/>
        <family val="2"/>
      </rPr>
      <t>*2</t>
    </r>
    <r>
      <rPr>
        <sz val="12"/>
        <color theme="1"/>
        <rFont val="宋体"/>
        <family val="3"/>
        <charset val="134"/>
      </rPr>
      <t>，消化酵素</t>
    </r>
    <r>
      <rPr>
        <sz val="12"/>
        <color theme="1"/>
        <rFont val="Calibri"/>
        <family val="2"/>
      </rPr>
      <t>*3</t>
    </r>
    <r>
      <rPr>
        <sz val="12"/>
        <color theme="1"/>
        <rFont val="宋体"/>
        <family val="3"/>
        <charset val="134"/>
      </rPr>
      <t>，健康包</t>
    </r>
    <r>
      <rPr>
        <sz val="12"/>
        <color theme="1"/>
        <rFont val="Calibri"/>
        <family val="2"/>
      </rPr>
      <t>*1</t>
    </r>
    <r>
      <rPr>
        <sz val="12"/>
        <color theme="1"/>
        <rFont val="宋体"/>
        <family val="3"/>
        <charset val="134"/>
      </rPr>
      <t>，妇康宁</t>
    </r>
    <r>
      <rPr>
        <sz val="12"/>
        <color theme="1"/>
        <rFont val="Calibri"/>
        <family val="2"/>
      </rPr>
      <t>*6</t>
    </r>
  </si>
  <si>
    <r>
      <rPr>
        <sz val="12"/>
        <color theme="1"/>
        <rFont val="Calibri"/>
        <family val="2"/>
      </rPr>
      <t>14</t>
    </r>
    <r>
      <rPr>
        <sz val="12"/>
        <color theme="1"/>
        <rFont val="宋体"/>
        <family val="3"/>
        <charset val="134"/>
      </rPr>
      <t>条，</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包，</t>
    </r>
    <r>
      <rPr>
        <sz val="12"/>
        <color theme="1"/>
        <rFont val="Calibri"/>
        <family val="2"/>
      </rPr>
      <t>84</t>
    </r>
    <r>
      <rPr>
        <sz val="12"/>
        <color theme="1"/>
        <rFont val="宋体"/>
        <family val="3"/>
        <charset val="134"/>
      </rPr>
      <t>粒</t>
    </r>
  </si>
  <si>
    <t>浙江省宁波市海曙区后漕巷36-2号</t>
  </si>
  <si>
    <t>330227196903086496</t>
  </si>
  <si>
    <t>丁兆军330227196903086496</t>
  </si>
  <si>
    <t>9769148323697</t>
  </si>
  <si>
    <t>SC20190091048</t>
  </si>
  <si>
    <r>
      <rPr>
        <sz val="12"/>
        <color theme="1"/>
        <rFont val="宋体"/>
        <family val="3"/>
        <charset val="134"/>
      </rPr>
      <t>儿童服装</t>
    </r>
    <r>
      <rPr>
        <sz val="12"/>
        <color theme="1"/>
        <rFont val="Calibri"/>
        <family val="2"/>
      </rPr>
      <t>*3</t>
    </r>
    <r>
      <rPr>
        <sz val="12"/>
        <color theme="1"/>
        <rFont val="宋体"/>
        <family val="3"/>
        <charset val="134"/>
      </rPr>
      <t>，童鞋</t>
    </r>
    <r>
      <rPr>
        <sz val="12"/>
        <color theme="1"/>
        <rFont val="Calibri"/>
        <family val="2"/>
      </rPr>
      <t>*1</t>
    </r>
  </si>
  <si>
    <t>OSHKOSH，VANS</t>
  </si>
  <si>
    <t>邓艳</t>
  </si>
  <si>
    <t>654322197808270021</t>
  </si>
  <si>
    <t>邓艳654322197808270021</t>
  </si>
  <si>
    <t>9769148361697</t>
  </si>
  <si>
    <t>SC20190091041</t>
  </si>
  <si>
    <r>
      <rPr>
        <sz val="12"/>
        <color theme="1"/>
        <rFont val="宋体"/>
        <family val="3"/>
        <charset val="134"/>
      </rPr>
      <t>雌青舒</t>
    </r>
    <r>
      <rPr>
        <sz val="12"/>
        <color theme="1"/>
        <rFont val="Calibri"/>
        <family val="2"/>
      </rPr>
      <t>*3</t>
    </r>
    <r>
      <rPr>
        <sz val="12"/>
        <color theme="1"/>
        <rFont val="宋体"/>
        <family val="3"/>
        <charset val="134"/>
      </rPr>
      <t>，锐知宝</t>
    </r>
    <r>
      <rPr>
        <sz val="12"/>
        <color theme="1"/>
        <rFont val="Calibri"/>
        <family val="2"/>
      </rPr>
      <t>*2</t>
    </r>
  </si>
  <si>
    <t>杨春艳</t>
  </si>
  <si>
    <t>河北省唐山市路北区公园艺境菜鸟驿站</t>
  </si>
  <si>
    <t>顾燕婷</t>
  </si>
  <si>
    <t>310226197711171164</t>
  </si>
  <si>
    <t>顾燕婷310226197711171164</t>
  </si>
  <si>
    <t>9769148305097</t>
  </si>
  <si>
    <t>SC20200034572</t>
  </si>
  <si>
    <r>
      <rPr>
        <sz val="12"/>
        <color theme="1"/>
        <rFont val="宋体"/>
        <family val="3"/>
        <charset val="134"/>
      </rPr>
      <t>洗面奶</t>
    </r>
    <r>
      <rPr>
        <sz val="12"/>
        <color theme="1"/>
        <rFont val="Calibri"/>
        <family val="2"/>
      </rPr>
      <t>*1</t>
    </r>
    <r>
      <rPr>
        <sz val="12"/>
        <color theme="1"/>
        <rFont val="宋体"/>
        <family val="3"/>
        <charset val="134"/>
      </rPr>
      <t>，眼部精华</t>
    </r>
    <r>
      <rPr>
        <sz val="12"/>
        <color theme="1"/>
        <rFont val="Calibri"/>
        <family val="2"/>
      </rPr>
      <t>*3</t>
    </r>
    <r>
      <rPr>
        <sz val="12"/>
        <color theme="1"/>
        <rFont val="宋体"/>
        <family val="3"/>
        <charset val="134"/>
      </rPr>
      <t>，小样精华</t>
    </r>
    <r>
      <rPr>
        <sz val="12"/>
        <color theme="1"/>
        <rFont val="Calibri"/>
        <family val="2"/>
      </rPr>
      <t>*10</t>
    </r>
  </si>
  <si>
    <t>ESTEE LAUDER，ESTEE LAUDER，ESTEE LAUDER</t>
  </si>
  <si>
    <t>125ML，15ML，7ML</t>
  </si>
  <si>
    <t>黄赟晶</t>
  </si>
  <si>
    <t>河北省廊坊市固安县106国道英国官售楼处</t>
  </si>
  <si>
    <t>440104197909033723</t>
  </si>
  <si>
    <t>黄赟晶440104197909033723</t>
  </si>
  <si>
    <t>9769148288097</t>
  </si>
  <si>
    <t>SC20200034580</t>
  </si>
  <si>
    <r>
      <rPr>
        <sz val="12"/>
        <color theme="1"/>
        <rFont val="宋体"/>
        <family val="3"/>
        <charset val="134"/>
      </rPr>
      <t>内衣</t>
    </r>
    <r>
      <rPr>
        <sz val="12"/>
        <color theme="1"/>
        <rFont val="Calibri"/>
        <family val="2"/>
      </rPr>
      <t>*8</t>
    </r>
    <r>
      <rPr>
        <sz val="12"/>
        <color theme="1"/>
        <rFont val="宋体"/>
        <family val="3"/>
        <charset val="134"/>
      </rPr>
      <t>，内衣</t>
    </r>
    <r>
      <rPr>
        <sz val="12"/>
        <color theme="1"/>
        <rFont val="Calibri"/>
        <family val="2"/>
      </rPr>
      <t>*3</t>
    </r>
  </si>
  <si>
    <t>VS，VS</t>
  </si>
  <si>
    <t>王晓琼</t>
  </si>
  <si>
    <t>河北省廊坊市固安县固安镇安泰小区2栋2单元102</t>
  </si>
  <si>
    <t>310108197810252420</t>
  </si>
  <si>
    <t>王晓琼310108197810252420</t>
  </si>
  <si>
    <t>9769148277497</t>
  </si>
  <si>
    <t>SC20200034582</t>
  </si>
  <si>
    <r>
      <rPr>
        <sz val="12"/>
        <color theme="1"/>
        <rFont val="宋体"/>
        <family val="3"/>
        <charset val="134"/>
      </rPr>
      <t>唇釉</t>
    </r>
    <r>
      <rPr>
        <sz val="12"/>
        <color theme="1"/>
        <rFont val="Calibri"/>
        <family val="2"/>
      </rPr>
      <t>*4</t>
    </r>
    <r>
      <rPr>
        <sz val="12"/>
        <color theme="1"/>
        <rFont val="宋体"/>
        <family val="3"/>
        <charset val="134"/>
      </rPr>
      <t>，口红</t>
    </r>
    <r>
      <rPr>
        <sz val="12"/>
        <color theme="1"/>
        <rFont val="Calibri"/>
        <family val="2"/>
      </rPr>
      <t>*4</t>
    </r>
    <r>
      <rPr>
        <sz val="12"/>
        <color theme="1"/>
        <rFont val="宋体"/>
        <family val="3"/>
        <charset val="134"/>
      </rPr>
      <t>，打底膏</t>
    </r>
    <r>
      <rPr>
        <sz val="12"/>
        <color theme="1"/>
        <rFont val="Calibri"/>
        <family val="2"/>
      </rPr>
      <t>*4</t>
    </r>
    <r>
      <rPr>
        <sz val="12"/>
        <color theme="1"/>
        <rFont val="宋体"/>
        <family val="3"/>
        <charset val="134"/>
      </rPr>
      <t>，爽肤水</t>
    </r>
    <r>
      <rPr>
        <sz val="12"/>
        <color theme="1"/>
        <rFont val="Calibri"/>
        <family val="2"/>
      </rPr>
      <t>*2</t>
    </r>
    <r>
      <rPr>
        <sz val="12"/>
        <color theme="1"/>
        <rFont val="宋体"/>
        <family val="3"/>
        <charset val="134"/>
      </rPr>
      <t>，小样</t>
    </r>
    <r>
      <rPr>
        <sz val="12"/>
        <color theme="1"/>
        <rFont val="Calibri"/>
        <family val="2"/>
      </rPr>
      <t>*4</t>
    </r>
  </si>
  <si>
    <t>MAC，MAC，MAC，ESTEE LAUDER，ESTEE LAUDER</t>
  </si>
  <si>
    <t>3ML，3G，1.8G，400ML，7ML</t>
  </si>
  <si>
    <t>河北省廊坊市固安县孔雀英国宫3号楼2单元1104</t>
  </si>
  <si>
    <t>420400197403031429</t>
  </si>
  <si>
    <t>张莉420400197403031429</t>
  </si>
  <si>
    <t>9769148327597</t>
  </si>
  <si>
    <t>SC20200019773</t>
  </si>
  <si>
    <r>
      <rPr>
        <sz val="12"/>
        <color theme="1"/>
        <rFont val="宋体"/>
        <family val="3"/>
        <charset val="134"/>
      </rPr>
      <t>洗面奶</t>
    </r>
    <r>
      <rPr>
        <sz val="12"/>
        <color theme="1"/>
        <rFont val="Calibri"/>
        <family val="2"/>
      </rPr>
      <t>*1</t>
    </r>
    <r>
      <rPr>
        <sz val="12"/>
        <color theme="1"/>
        <rFont val="宋体"/>
        <family val="3"/>
        <charset val="134"/>
      </rPr>
      <t>，打底裤</t>
    </r>
    <r>
      <rPr>
        <sz val="12"/>
        <color theme="1"/>
        <rFont val="Calibri"/>
        <family val="2"/>
      </rPr>
      <t>*1</t>
    </r>
  </si>
  <si>
    <t>CHANEL，TNA</t>
  </si>
  <si>
    <t>张盈</t>
  </si>
  <si>
    <t>北京市房山区军留庄小区2号楼2单元1001</t>
  </si>
  <si>
    <t>360124198104275127</t>
  </si>
  <si>
    <t>张盈360124198104275127</t>
  </si>
  <si>
    <t>9769116597597</t>
  </si>
  <si>
    <t>SC20180234199</t>
  </si>
  <si>
    <t>朱晏</t>
  </si>
  <si>
    <t>上海市静安区南京西路1788号国际中心22楼阿克苏罗贝尔中国投资有限公司</t>
  </si>
  <si>
    <t>李敏</t>
  </si>
  <si>
    <t>430204198404256129</t>
  </si>
  <si>
    <t>李敏430204198404256129</t>
  </si>
  <si>
    <t>9769116665897</t>
  </si>
  <si>
    <t>SC20200035954</t>
  </si>
  <si>
    <r>
      <rPr>
        <sz val="12"/>
        <color theme="1"/>
        <rFont val="宋体"/>
        <family val="3"/>
        <charset val="134"/>
      </rPr>
      <t>蛋白粉</t>
    </r>
    <r>
      <rPr>
        <sz val="12"/>
        <color theme="1"/>
        <rFont val="Calibri"/>
        <family val="2"/>
      </rPr>
      <t>*2</t>
    </r>
    <r>
      <rPr>
        <sz val="12"/>
        <color theme="1"/>
        <rFont val="宋体"/>
        <family val="3"/>
        <charset val="134"/>
      </rPr>
      <t>，益生菌</t>
    </r>
    <r>
      <rPr>
        <sz val="12"/>
        <color theme="1"/>
        <rFont val="Calibri"/>
        <family val="2"/>
      </rPr>
      <t>*4</t>
    </r>
    <r>
      <rPr>
        <sz val="12"/>
        <color theme="1"/>
        <rFont val="宋体"/>
        <family val="3"/>
        <charset val="134"/>
      </rPr>
      <t>，睫毛膏</t>
    </r>
    <r>
      <rPr>
        <sz val="12"/>
        <color theme="1"/>
        <rFont val="Calibri"/>
        <family val="2"/>
      </rPr>
      <t>*2</t>
    </r>
  </si>
  <si>
    <t>冯毅</t>
  </si>
  <si>
    <t>山西省太原市小店区体育路5号民航宿舍8号楼3单元</t>
  </si>
  <si>
    <t>刘琛</t>
  </si>
  <si>
    <t>422426197609180046</t>
  </si>
  <si>
    <t>刘琛422426197609180046</t>
  </si>
  <si>
    <t>9769116712397</t>
  </si>
  <si>
    <t>SC20200033066</t>
  </si>
  <si>
    <r>
      <rPr>
        <sz val="12"/>
        <color theme="1"/>
        <rFont val="宋体"/>
        <family val="3"/>
        <charset val="134"/>
      </rPr>
      <t>基本营养素</t>
    </r>
    <r>
      <rPr>
        <sz val="12"/>
        <color theme="1"/>
        <rFont val="Calibri"/>
        <family val="2"/>
      </rPr>
      <t>*6</t>
    </r>
    <r>
      <rPr>
        <sz val="12"/>
        <color theme="1"/>
        <rFont val="宋体"/>
        <family val="3"/>
        <charset val="134"/>
      </rPr>
      <t>，心宝</t>
    </r>
    <r>
      <rPr>
        <sz val="12"/>
        <color theme="1"/>
        <rFont val="Calibri"/>
        <family val="2"/>
      </rPr>
      <t>*3</t>
    </r>
    <r>
      <rPr>
        <sz val="12"/>
        <color theme="1"/>
        <rFont val="宋体"/>
        <family val="3"/>
        <charset val="134"/>
      </rPr>
      <t>，肝宝</t>
    </r>
    <r>
      <rPr>
        <sz val="12"/>
        <color theme="1"/>
        <rFont val="Calibri"/>
        <family val="2"/>
      </rPr>
      <t>*3</t>
    </r>
    <r>
      <rPr>
        <sz val="12"/>
        <color theme="1"/>
        <rFont val="宋体"/>
        <family val="3"/>
        <charset val="134"/>
      </rPr>
      <t>，钙镁片</t>
    </r>
    <r>
      <rPr>
        <sz val="12"/>
        <color theme="1"/>
        <rFont val="Calibri"/>
        <family val="2"/>
      </rPr>
      <t>*3</t>
    </r>
  </si>
  <si>
    <t>蔡铭标</t>
  </si>
  <si>
    <t>广东省广州市增城区新塘镇港口路336号群星新村6栋丰巢柜</t>
  </si>
  <si>
    <t>吕冰</t>
  </si>
  <si>
    <t>广东省广州市增城区永宁街道凤凰城凤雅苑38街63号</t>
  </si>
  <si>
    <t>310102198201224439</t>
  </si>
  <si>
    <t>吕冰310102198201224439</t>
  </si>
  <si>
    <t>9769116731397</t>
  </si>
  <si>
    <t>SC20200033070</t>
  </si>
  <si>
    <r>
      <rPr>
        <sz val="12"/>
        <color theme="1"/>
        <rFont val="宋体"/>
        <family val="3"/>
        <charset val="134"/>
      </rPr>
      <t>基本营养素</t>
    </r>
    <r>
      <rPr>
        <sz val="12"/>
        <color theme="1"/>
        <rFont val="Calibri"/>
        <family val="2"/>
      </rPr>
      <t>*4</t>
    </r>
    <r>
      <rPr>
        <sz val="12"/>
        <color theme="1"/>
        <rFont val="宋体"/>
        <family val="3"/>
        <charset val="134"/>
      </rPr>
      <t>，钙镁片</t>
    </r>
    <r>
      <rPr>
        <sz val="12"/>
        <color theme="1"/>
        <rFont val="Calibri"/>
        <family val="2"/>
      </rPr>
      <t>*2</t>
    </r>
    <r>
      <rPr>
        <sz val="12"/>
        <color theme="1"/>
        <rFont val="宋体"/>
        <family val="3"/>
        <charset val="134"/>
      </rPr>
      <t>，葡萄籽</t>
    </r>
    <r>
      <rPr>
        <sz val="12"/>
        <color theme="1"/>
        <rFont val="Calibri"/>
        <family val="2"/>
      </rPr>
      <t>*2</t>
    </r>
    <r>
      <rPr>
        <sz val="12"/>
        <color theme="1"/>
        <rFont val="宋体"/>
        <family val="3"/>
        <charset val="134"/>
      </rPr>
      <t>，锐知宝</t>
    </r>
    <r>
      <rPr>
        <sz val="12"/>
        <color theme="1"/>
        <rFont val="Calibri"/>
        <family val="2"/>
      </rPr>
      <t>*4</t>
    </r>
    <r>
      <rPr>
        <sz val="12"/>
        <color theme="1"/>
        <rFont val="宋体"/>
        <family val="3"/>
        <charset val="134"/>
      </rPr>
      <t>，肝宝</t>
    </r>
    <r>
      <rPr>
        <sz val="12"/>
        <color theme="1"/>
        <rFont val="Calibri"/>
        <family val="2"/>
      </rPr>
      <t>*3</t>
    </r>
  </si>
  <si>
    <t>冯琛贻</t>
  </si>
  <si>
    <t>广东省广州市增城区荔城荔景3号锦城花园B栋</t>
  </si>
  <si>
    <t>440711198812135142</t>
  </si>
  <si>
    <t>冯琛贻440711198812135142</t>
  </si>
  <si>
    <t>9769116610597</t>
  </si>
  <si>
    <t>SC20200035048</t>
  </si>
  <si>
    <r>
      <rPr>
        <sz val="12"/>
        <color theme="1"/>
        <rFont val="宋体"/>
        <family val="3"/>
        <charset val="134"/>
      </rPr>
      <t>基本营养素</t>
    </r>
    <r>
      <rPr>
        <sz val="12"/>
        <color theme="1"/>
        <rFont val="Calibri"/>
        <family val="2"/>
      </rPr>
      <t>*4</t>
    </r>
    <r>
      <rPr>
        <sz val="12"/>
        <color theme="1"/>
        <rFont val="宋体"/>
        <family val="3"/>
        <charset val="134"/>
      </rPr>
      <t>，钙镁片</t>
    </r>
    <r>
      <rPr>
        <sz val="12"/>
        <color theme="1"/>
        <rFont val="Calibri"/>
        <family val="2"/>
      </rPr>
      <t>*3</t>
    </r>
    <r>
      <rPr>
        <sz val="12"/>
        <color theme="1"/>
        <rFont val="宋体"/>
        <family val="3"/>
        <charset val="134"/>
      </rPr>
      <t>，健骼宁</t>
    </r>
    <r>
      <rPr>
        <sz val="12"/>
        <color theme="1"/>
        <rFont val="Calibri"/>
        <family val="2"/>
      </rPr>
      <t>*4</t>
    </r>
    <r>
      <rPr>
        <sz val="12"/>
        <color theme="1"/>
        <rFont val="宋体"/>
        <family val="3"/>
        <charset val="134"/>
      </rPr>
      <t>，葡萄籽精华</t>
    </r>
    <r>
      <rPr>
        <sz val="12"/>
        <color theme="1"/>
        <rFont val="Calibri"/>
        <family val="2"/>
      </rPr>
      <t>*3</t>
    </r>
  </si>
  <si>
    <t>诸葛若琰</t>
  </si>
  <si>
    <t>广西南宁市青秀区民主路13号广西歌舞剧院6栋2单元705</t>
  </si>
  <si>
    <t>任兵</t>
  </si>
  <si>
    <t>152321198802063919</t>
  </si>
  <si>
    <t>任兵152321198802063919</t>
  </si>
  <si>
    <t>9769116602697</t>
  </si>
  <si>
    <t>SC20200035237</t>
  </si>
  <si>
    <r>
      <rPr>
        <sz val="12"/>
        <color theme="1"/>
        <rFont val="宋体"/>
        <family val="3"/>
        <charset val="134"/>
      </rPr>
      <t>气垫粉底</t>
    </r>
    <r>
      <rPr>
        <sz val="12"/>
        <color theme="1"/>
        <rFont val="Calibri"/>
        <family val="2"/>
      </rPr>
      <t>*1</t>
    </r>
    <r>
      <rPr>
        <sz val="12"/>
        <color theme="1"/>
        <rFont val="宋体"/>
        <family val="3"/>
        <charset val="134"/>
      </rPr>
      <t>，去皱精华</t>
    </r>
    <r>
      <rPr>
        <sz val="12"/>
        <color theme="1"/>
        <rFont val="Calibri"/>
        <family val="2"/>
      </rPr>
      <t>*1</t>
    </r>
    <r>
      <rPr>
        <sz val="12"/>
        <color theme="1"/>
        <rFont val="宋体"/>
        <family val="3"/>
        <charset val="134"/>
      </rPr>
      <t>，</t>
    </r>
    <r>
      <rPr>
        <sz val="12"/>
        <color theme="1"/>
        <rFont val="Calibri"/>
        <family val="2"/>
      </rPr>
      <t>T</t>
    </r>
    <r>
      <rPr>
        <sz val="12"/>
        <color theme="1"/>
        <rFont val="宋体"/>
        <family val="3"/>
        <charset val="134"/>
      </rPr>
      <t>恤</t>
    </r>
    <r>
      <rPr>
        <sz val="12"/>
        <color theme="1"/>
        <rFont val="Calibri"/>
        <family val="2"/>
      </rPr>
      <t>*2</t>
    </r>
    <r>
      <rPr>
        <sz val="12"/>
        <color theme="1"/>
        <rFont val="宋体"/>
        <family val="3"/>
        <charset val="134"/>
      </rPr>
      <t>，面膜</t>
    </r>
    <r>
      <rPr>
        <sz val="12"/>
        <color theme="1"/>
        <rFont val="Calibri"/>
        <family val="2"/>
      </rPr>
      <t>*1</t>
    </r>
    <r>
      <rPr>
        <sz val="12"/>
        <color theme="1"/>
        <rFont val="宋体"/>
        <family val="3"/>
        <charset val="134"/>
      </rPr>
      <t>，船袜</t>
    </r>
    <r>
      <rPr>
        <sz val="12"/>
        <color theme="1"/>
        <rFont val="Calibri"/>
        <family val="2"/>
      </rPr>
      <t>*3</t>
    </r>
    <r>
      <rPr>
        <sz val="12"/>
        <color theme="1"/>
        <rFont val="宋体"/>
        <family val="3"/>
        <charset val="134"/>
      </rPr>
      <t>，精华</t>
    </r>
    <r>
      <rPr>
        <sz val="12"/>
        <color theme="1"/>
        <rFont val="Calibri"/>
        <family val="2"/>
      </rPr>
      <t>*1</t>
    </r>
  </si>
  <si>
    <t>ARMANI，KIEHL'S，FILA，FARMACY，COLE HAAN，ESTEE LAUDER</t>
  </si>
  <si>
    <t>，25ML，，117G，，50ML</t>
  </si>
  <si>
    <t>汤婧</t>
  </si>
  <si>
    <t>湖南省长沙市开福区万达公馆一栋一单元4601</t>
  </si>
  <si>
    <t>420704198908150569</t>
  </si>
  <si>
    <t>汤婧420704198908150569</t>
  </si>
  <si>
    <t>9769116592797</t>
  </si>
  <si>
    <t>SC20200035111</t>
  </si>
  <si>
    <r>
      <rPr>
        <sz val="12"/>
        <color theme="1"/>
        <rFont val="宋体"/>
        <family val="3"/>
        <charset val="134"/>
      </rPr>
      <t>面膜</t>
    </r>
    <r>
      <rPr>
        <sz val="12"/>
        <color theme="1"/>
        <rFont val="Calibri"/>
        <family val="2"/>
      </rPr>
      <t>*1</t>
    </r>
    <r>
      <rPr>
        <sz val="12"/>
        <color theme="1"/>
        <rFont val="宋体"/>
        <family val="3"/>
        <charset val="134"/>
      </rPr>
      <t>，晚霜</t>
    </r>
    <r>
      <rPr>
        <sz val="12"/>
        <color theme="1"/>
        <rFont val="Calibri"/>
        <family val="2"/>
      </rPr>
      <t>*3</t>
    </r>
    <r>
      <rPr>
        <sz val="12"/>
        <color theme="1"/>
        <rFont val="宋体"/>
        <family val="3"/>
        <charset val="134"/>
      </rPr>
      <t>，眼霜</t>
    </r>
    <r>
      <rPr>
        <sz val="12"/>
        <color theme="1"/>
        <rFont val="Calibri"/>
        <family val="2"/>
      </rPr>
      <t>*1</t>
    </r>
    <r>
      <rPr>
        <sz val="12"/>
        <color theme="1"/>
        <rFont val="宋体"/>
        <family val="3"/>
        <charset val="134"/>
      </rPr>
      <t>，棕瓶</t>
    </r>
    <r>
      <rPr>
        <sz val="12"/>
        <color theme="1"/>
        <rFont val="Calibri"/>
        <family val="2"/>
      </rPr>
      <t>*4</t>
    </r>
    <r>
      <rPr>
        <sz val="12"/>
        <color theme="1"/>
        <rFont val="宋体"/>
        <family val="3"/>
        <charset val="134"/>
      </rPr>
      <t>，高保湿</t>
    </r>
    <r>
      <rPr>
        <sz val="12"/>
        <color theme="1"/>
        <rFont val="Calibri"/>
        <family val="2"/>
      </rPr>
      <t>*2</t>
    </r>
  </si>
  <si>
    <t>FARMACY，ELIZABETH ARDEN，ELIZABETH ARDEN，ESTEE LAUDER，KIEHL'S</t>
  </si>
  <si>
    <t>，，，7ML，</t>
  </si>
  <si>
    <t>王术</t>
  </si>
  <si>
    <t>天津市和平区卫津路云琅新居B-2-402</t>
  </si>
  <si>
    <t>510105198210300022</t>
  </si>
  <si>
    <t>王术510105198210300022</t>
  </si>
  <si>
    <t>9769148272697</t>
  </si>
  <si>
    <t>SC20190054539</t>
  </si>
  <si>
    <t>王辉</t>
  </si>
  <si>
    <t>河南省郑州市中原区淮河路伏牛路交叉口永威鑫城2-1-3楼西</t>
  </si>
  <si>
    <t>唐乙卜</t>
  </si>
  <si>
    <t>河南省郑州市中原区中原路123号豫花园小区28号楼一单元9楼45号</t>
  </si>
  <si>
    <t>500102198710280047</t>
  </si>
  <si>
    <t>唐乙卜500102198710280047</t>
  </si>
  <si>
    <t>9769148274397</t>
  </si>
  <si>
    <t>SC20200034988</t>
  </si>
  <si>
    <t>马自峰</t>
  </si>
  <si>
    <t>山东省临沂市兰山区沂州路与兰山路交叉南200米路东兰山公安分局家属院</t>
  </si>
  <si>
    <t>肖晓燕</t>
  </si>
  <si>
    <t>362426198409300021</t>
  </si>
  <si>
    <t>肖晓燕362426198409300021</t>
  </si>
  <si>
    <t>9769116729597</t>
  </si>
  <si>
    <t>SC20190054818</t>
  </si>
  <si>
    <r>
      <rPr>
        <sz val="12"/>
        <color theme="1"/>
        <rFont val="宋体"/>
        <family val="3"/>
        <charset val="134"/>
      </rPr>
      <t>口红</t>
    </r>
    <r>
      <rPr>
        <sz val="12"/>
        <color theme="1"/>
        <rFont val="Calibri"/>
        <family val="2"/>
      </rPr>
      <t>*1</t>
    </r>
    <r>
      <rPr>
        <sz val="12"/>
        <color theme="1"/>
        <rFont val="宋体"/>
        <family val="3"/>
        <charset val="134"/>
      </rPr>
      <t>，口红</t>
    </r>
    <r>
      <rPr>
        <sz val="12"/>
        <color theme="1"/>
        <rFont val="Calibri"/>
        <family val="2"/>
      </rPr>
      <t>*1</t>
    </r>
    <r>
      <rPr>
        <sz val="12"/>
        <color theme="1"/>
        <rFont val="宋体"/>
        <family val="3"/>
        <charset val="134"/>
      </rPr>
      <t>，口红</t>
    </r>
    <r>
      <rPr>
        <sz val="12"/>
        <color theme="1"/>
        <rFont val="Calibri"/>
        <family val="2"/>
      </rPr>
      <t>*1</t>
    </r>
    <r>
      <rPr>
        <sz val="12"/>
        <color theme="1"/>
        <rFont val="宋体"/>
        <family val="3"/>
        <charset val="134"/>
      </rPr>
      <t>，洁面</t>
    </r>
    <r>
      <rPr>
        <sz val="12"/>
        <color theme="1"/>
        <rFont val="Calibri"/>
        <family val="2"/>
      </rPr>
      <t>*1</t>
    </r>
    <r>
      <rPr>
        <sz val="12"/>
        <color theme="1"/>
        <rFont val="宋体"/>
        <family val="3"/>
        <charset val="134"/>
      </rPr>
      <t>，文胸</t>
    </r>
    <r>
      <rPr>
        <sz val="12"/>
        <color theme="1"/>
        <rFont val="Calibri"/>
        <family val="2"/>
      </rPr>
      <t>*2</t>
    </r>
  </si>
  <si>
    <t>MAC，SEPHORA，FORMULA，ESTEE LAUDER，VICTORIA'S SECRET</t>
  </si>
  <si>
    <t>杨敏华</t>
  </si>
  <si>
    <t>450881198608026260</t>
  </si>
  <si>
    <t>杨敏华450881198608026260</t>
  </si>
  <si>
    <t>9769116726097</t>
  </si>
  <si>
    <t>SC20200034986</t>
  </si>
  <si>
    <t>410103195706011320</t>
  </si>
  <si>
    <t>王莹莹410103195706011320</t>
  </si>
  <si>
    <t>9769116708397</t>
  </si>
  <si>
    <t>SC20190054827</t>
  </si>
  <si>
    <r>
      <rPr>
        <sz val="12"/>
        <color theme="1"/>
        <rFont val="宋体"/>
        <family val="3"/>
        <charset val="134"/>
      </rPr>
      <t>眼霜小样</t>
    </r>
    <r>
      <rPr>
        <sz val="12"/>
        <color theme="1"/>
        <rFont val="Calibri"/>
        <family val="2"/>
      </rPr>
      <t>*1</t>
    </r>
    <r>
      <rPr>
        <sz val="12"/>
        <color theme="1"/>
        <rFont val="宋体"/>
        <family val="3"/>
        <charset val="134"/>
      </rPr>
      <t>，睫毛膏小样</t>
    </r>
    <r>
      <rPr>
        <sz val="12"/>
        <color theme="1"/>
        <rFont val="Calibri"/>
        <family val="2"/>
      </rPr>
      <t>*1</t>
    </r>
    <r>
      <rPr>
        <sz val="12"/>
        <color theme="1"/>
        <rFont val="宋体"/>
        <family val="3"/>
        <charset val="134"/>
      </rPr>
      <t>，眼霜小样</t>
    </r>
    <r>
      <rPr>
        <sz val="12"/>
        <color theme="1"/>
        <rFont val="Calibri"/>
        <family val="2"/>
      </rPr>
      <t>*1</t>
    </r>
    <r>
      <rPr>
        <sz val="12"/>
        <color theme="1"/>
        <rFont val="宋体"/>
        <family val="3"/>
        <charset val="134"/>
      </rPr>
      <t>，精华小样</t>
    </r>
    <r>
      <rPr>
        <sz val="12"/>
        <color theme="1"/>
        <rFont val="Calibri"/>
        <family val="2"/>
      </rPr>
      <t>*1</t>
    </r>
    <r>
      <rPr>
        <sz val="12"/>
        <color theme="1"/>
        <rFont val="宋体"/>
        <family val="3"/>
        <charset val="134"/>
      </rPr>
      <t>，精华小样</t>
    </r>
    <r>
      <rPr>
        <sz val="12"/>
        <color theme="1"/>
        <rFont val="Calibri"/>
        <family val="2"/>
      </rPr>
      <t>*1</t>
    </r>
    <r>
      <rPr>
        <sz val="12"/>
        <color theme="1"/>
        <rFont val="宋体"/>
        <family val="3"/>
        <charset val="134"/>
      </rPr>
      <t>，面膜小样</t>
    </r>
    <r>
      <rPr>
        <sz val="12"/>
        <color theme="1"/>
        <rFont val="Calibri"/>
        <family val="2"/>
      </rPr>
      <t>*1</t>
    </r>
    <r>
      <rPr>
        <sz val="12"/>
        <color theme="1"/>
        <rFont val="宋体"/>
        <family val="3"/>
        <charset val="134"/>
      </rPr>
      <t>，赠品包</t>
    </r>
    <r>
      <rPr>
        <sz val="12"/>
        <color theme="1"/>
        <rFont val="Calibri"/>
        <family val="2"/>
      </rPr>
      <t>*1</t>
    </r>
  </si>
  <si>
    <t>LANCOME，LANCOME，ESTEE LAUDER，SHISEIDO，ELIZABETH ARDEN，ORIGINS，ORIGINS</t>
  </si>
  <si>
    <t>3ML，2ML，3ML，10ML，5ML，15ML，</t>
  </si>
  <si>
    <t>张楠</t>
  </si>
  <si>
    <t>河南省郑州市金水区丰产路与经七路交叉口省团校高层</t>
  </si>
  <si>
    <t>220381198309271143</t>
  </si>
  <si>
    <t>张楠220381198309271143</t>
  </si>
  <si>
    <t>9769116695397</t>
  </si>
  <si>
    <t>SC20190054536</t>
  </si>
  <si>
    <r>
      <rPr>
        <sz val="12"/>
        <color theme="1"/>
        <rFont val="宋体"/>
        <family val="3"/>
        <charset val="134"/>
      </rPr>
      <t>睡衣</t>
    </r>
    <r>
      <rPr>
        <sz val="12"/>
        <color theme="1"/>
        <rFont val="Calibri"/>
        <family val="2"/>
      </rPr>
      <t>*1</t>
    </r>
    <r>
      <rPr>
        <sz val="12"/>
        <color theme="1"/>
        <rFont val="宋体"/>
        <family val="3"/>
        <charset val="134"/>
      </rPr>
      <t>，精华</t>
    </r>
    <r>
      <rPr>
        <sz val="12"/>
        <color theme="1"/>
        <rFont val="Calibri"/>
        <family val="2"/>
      </rPr>
      <t>*1</t>
    </r>
    <r>
      <rPr>
        <sz val="12"/>
        <color theme="1"/>
        <rFont val="宋体"/>
        <family val="3"/>
        <charset val="134"/>
      </rPr>
      <t>，磨砂膏</t>
    </r>
    <r>
      <rPr>
        <sz val="12"/>
        <color theme="1"/>
        <rFont val="Calibri"/>
        <family val="2"/>
      </rPr>
      <t>*1</t>
    </r>
    <r>
      <rPr>
        <sz val="12"/>
        <color theme="1"/>
        <rFont val="宋体"/>
        <family val="3"/>
        <charset val="134"/>
      </rPr>
      <t>，发油小样</t>
    </r>
    <r>
      <rPr>
        <sz val="12"/>
        <color theme="1"/>
        <rFont val="Calibri"/>
        <family val="2"/>
      </rPr>
      <t>*4</t>
    </r>
  </si>
  <si>
    <t>CK，THE ORDINARY，BEAHBODY，MOROCO</t>
  </si>
  <si>
    <t>，，，10ML</t>
  </si>
  <si>
    <t>胡文慧</t>
  </si>
  <si>
    <t>河南省郑州市郑东新区心怡路祥盛小区2号楼2单元8楼西</t>
  </si>
  <si>
    <t>410103198210151323</t>
  </si>
  <si>
    <t>胡文慧410103198210151323</t>
  </si>
  <si>
    <t>9769148281497</t>
  </si>
  <si>
    <t>SC20200035952</t>
  </si>
  <si>
    <r>
      <rPr>
        <sz val="12"/>
        <color theme="1"/>
        <rFont val="宋体"/>
        <family val="3"/>
        <charset val="134"/>
      </rPr>
      <t>化妆刷</t>
    </r>
    <r>
      <rPr>
        <sz val="12"/>
        <color theme="1"/>
        <rFont val="Calibri"/>
        <family val="2"/>
      </rPr>
      <t>*1</t>
    </r>
    <r>
      <rPr>
        <sz val="12"/>
        <color theme="1"/>
        <rFont val="宋体"/>
        <family val="3"/>
        <charset val="134"/>
      </rPr>
      <t>，闪粉</t>
    </r>
    <r>
      <rPr>
        <sz val="12"/>
        <color theme="1"/>
        <rFont val="Calibri"/>
        <family val="2"/>
      </rPr>
      <t>*1</t>
    </r>
    <r>
      <rPr>
        <sz val="12"/>
        <color theme="1"/>
        <rFont val="宋体"/>
        <family val="3"/>
        <charset val="134"/>
      </rPr>
      <t>，腮红</t>
    </r>
    <r>
      <rPr>
        <sz val="12"/>
        <color theme="1"/>
        <rFont val="Calibri"/>
        <family val="2"/>
      </rPr>
      <t>*1</t>
    </r>
    <r>
      <rPr>
        <sz val="12"/>
        <color theme="1"/>
        <rFont val="宋体"/>
        <family val="3"/>
        <charset val="134"/>
      </rPr>
      <t>，遮瑕膏</t>
    </r>
    <r>
      <rPr>
        <sz val="12"/>
        <color theme="1"/>
        <rFont val="Calibri"/>
        <family val="2"/>
      </rPr>
      <t>*1</t>
    </r>
    <r>
      <rPr>
        <sz val="12"/>
        <color theme="1"/>
        <rFont val="宋体"/>
        <family val="3"/>
        <charset val="134"/>
      </rPr>
      <t>，乳液赠品</t>
    </r>
    <r>
      <rPr>
        <sz val="12"/>
        <color theme="1"/>
        <rFont val="Calibri"/>
        <family val="2"/>
      </rPr>
      <t>*1</t>
    </r>
    <r>
      <rPr>
        <sz val="12"/>
        <color theme="1"/>
        <rFont val="宋体"/>
        <family val="3"/>
        <charset val="134"/>
      </rPr>
      <t>，鞋子</t>
    </r>
    <r>
      <rPr>
        <sz val="12"/>
        <color theme="1"/>
        <rFont val="Calibri"/>
        <family val="2"/>
      </rPr>
      <t>*1</t>
    </r>
  </si>
  <si>
    <t>SEPHORA，ARTIST COUTURE，MAC，FENTY BEAUTY，FENTY BEAUTY，COACH</t>
  </si>
  <si>
    <t>王宇</t>
  </si>
  <si>
    <t>北京市怀柔区金台园311号楼3单元501</t>
  </si>
  <si>
    <t>210106197603096123</t>
  </si>
  <si>
    <t>王宇210106197603096123</t>
  </si>
  <si>
    <t>9769116626497</t>
  </si>
  <si>
    <t>sc20200022244</t>
  </si>
  <si>
    <r>
      <rPr>
        <sz val="12"/>
        <color theme="1"/>
        <rFont val="宋体"/>
        <family val="3"/>
        <charset val="134"/>
      </rPr>
      <t>心脏宝</t>
    </r>
    <r>
      <rPr>
        <sz val="12"/>
        <color theme="1"/>
        <rFont val="Calibri"/>
        <family val="2"/>
      </rPr>
      <t>*2</t>
    </r>
    <r>
      <rPr>
        <sz val="12"/>
        <color theme="1"/>
        <rFont val="宋体"/>
        <family val="3"/>
        <charset val="134"/>
      </rPr>
      <t>，钙</t>
    </r>
    <r>
      <rPr>
        <sz val="12"/>
        <color theme="1"/>
        <rFont val="Calibri"/>
        <family val="2"/>
      </rPr>
      <t>*1</t>
    </r>
    <r>
      <rPr>
        <sz val="12"/>
        <color theme="1"/>
        <rFont val="宋体"/>
        <family val="3"/>
        <charset val="134"/>
      </rPr>
      <t>，鱼油</t>
    </r>
    <r>
      <rPr>
        <sz val="12"/>
        <color theme="1"/>
        <rFont val="Calibri"/>
        <family val="2"/>
      </rPr>
      <t>*1</t>
    </r>
    <r>
      <rPr>
        <sz val="12"/>
        <color theme="1"/>
        <rFont val="宋体"/>
        <family val="3"/>
        <charset val="134"/>
      </rPr>
      <t>，维生素</t>
    </r>
    <r>
      <rPr>
        <sz val="12"/>
        <color theme="1"/>
        <rFont val="Calibri"/>
        <family val="2"/>
      </rPr>
      <t>*2</t>
    </r>
    <r>
      <rPr>
        <sz val="12"/>
        <color theme="1"/>
        <rFont val="宋体"/>
        <family val="3"/>
        <charset val="134"/>
      </rPr>
      <t>，视力宝</t>
    </r>
    <r>
      <rPr>
        <sz val="12"/>
        <color theme="1"/>
        <rFont val="Calibri"/>
        <family val="2"/>
      </rPr>
      <t>*1</t>
    </r>
  </si>
  <si>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28</t>
    </r>
    <r>
      <rPr>
        <sz val="12"/>
        <color theme="1"/>
        <rFont val="宋体"/>
        <family val="3"/>
        <charset val="134"/>
      </rPr>
      <t>粒</t>
    </r>
  </si>
  <si>
    <t>李琦</t>
  </si>
  <si>
    <t>宁夏回族自治区银川市兴庆区解放西街9号邮政大厦内小白楼209</t>
  </si>
  <si>
    <t>420111199101211346</t>
  </si>
  <si>
    <t>李琦420111199101211346</t>
  </si>
  <si>
    <t>9769148300197</t>
  </si>
  <si>
    <t>sc20200038113</t>
  </si>
  <si>
    <r>
      <rPr>
        <sz val="12"/>
        <color theme="1"/>
        <rFont val="宋体"/>
        <family val="3"/>
        <charset val="134"/>
      </rPr>
      <t>草本氨基酸</t>
    </r>
    <r>
      <rPr>
        <sz val="12"/>
        <color theme="1"/>
        <rFont val="Calibri"/>
        <family val="2"/>
      </rPr>
      <t>*4</t>
    </r>
    <r>
      <rPr>
        <sz val="12"/>
        <color theme="1"/>
        <rFont val="宋体"/>
        <family val="3"/>
        <charset val="134"/>
      </rPr>
      <t>，鱼油</t>
    </r>
    <r>
      <rPr>
        <sz val="12"/>
        <color theme="1"/>
        <rFont val="Calibri"/>
        <family val="2"/>
      </rPr>
      <t>*3</t>
    </r>
    <r>
      <rPr>
        <sz val="12"/>
        <color theme="1"/>
        <rFont val="宋体"/>
        <family val="3"/>
        <charset val="134"/>
      </rPr>
      <t>，维生素</t>
    </r>
    <r>
      <rPr>
        <sz val="12"/>
        <color theme="1"/>
        <rFont val="Calibri"/>
        <family val="2"/>
      </rPr>
      <t>*1</t>
    </r>
    <r>
      <rPr>
        <sz val="12"/>
        <color theme="1"/>
        <rFont val="宋体"/>
        <family val="3"/>
        <charset val="134"/>
      </rPr>
      <t>，复合粉</t>
    </r>
    <r>
      <rPr>
        <sz val="12"/>
        <color theme="1"/>
        <rFont val="Calibri"/>
        <family val="2"/>
      </rPr>
      <t>*1</t>
    </r>
  </si>
  <si>
    <t>MANNATECH，MANNATECH，MANNATECH，MANNATECH</t>
  </si>
  <si>
    <r>
      <rPr>
        <sz val="12"/>
        <color theme="1"/>
        <rFont val="Calibri"/>
        <family val="2"/>
      </rPr>
      <t>90</t>
    </r>
    <r>
      <rPr>
        <sz val="12"/>
        <color theme="1"/>
        <rFont val="宋体"/>
        <family val="3"/>
        <charset val="134"/>
      </rPr>
      <t>粒，</t>
    </r>
    <r>
      <rPr>
        <sz val="12"/>
        <color theme="1"/>
        <rFont val="Calibri"/>
        <family val="2"/>
      </rPr>
      <t>60</t>
    </r>
    <r>
      <rPr>
        <sz val="12"/>
        <color theme="1"/>
        <rFont val="宋体"/>
        <family val="3"/>
        <charset val="134"/>
      </rPr>
      <t>粒，</t>
    </r>
    <r>
      <rPr>
        <sz val="12"/>
        <color theme="1"/>
        <rFont val="Calibri"/>
        <family val="2"/>
      </rPr>
      <t>60</t>
    </r>
    <r>
      <rPr>
        <sz val="12"/>
        <color theme="1"/>
        <rFont val="宋体"/>
        <family val="3"/>
        <charset val="134"/>
      </rPr>
      <t>粒，</t>
    </r>
    <r>
      <rPr>
        <sz val="12"/>
        <color theme="1"/>
        <rFont val="Calibri"/>
        <family val="2"/>
      </rPr>
      <t>120G</t>
    </r>
  </si>
  <si>
    <t>四川省成都市青羊区下汪家拐街21号成都中医药大学附三院</t>
  </si>
  <si>
    <t>370685197506134420</t>
  </si>
  <si>
    <t>巨美娜370685197506134420</t>
  </si>
  <si>
    <t>9769116611497</t>
  </si>
  <si>
    <t>sc20200033614</t>
  </si>
  <si>
    <r>
      <rPr>
        <sz val="12"/>
        <color theme="1"/>
        <rFont val="宋体"/>
        <family val="3"/>
        <charset val="134"/>
      </rPr>
      <t>肝宝</t>
    </r>
    <r>
      <rPr>
        <sz val="12"/>
        <color theme="1"/>
        <rFont val="Calibri"/>
        <family val="2"/>
      </rPr>
      <t>*1</t>
    </r>
    <r>
      <rPr>
        <sz val="12"/>
        <color theme="1"/>
        <rFont val="宋体"/>
        <family val="3"/>
        <charset val="134"/>
      </rPr>
      <t>，钙</t>
    </r>
    <r>
      <rPr>
        <sz val="12"/>
        <color theme="1"/>
        <rFont val="Calibri"/>
        <family val="2"/>
      </rPr>
      <t>*3</t>
    </r>
    <r>
      <rPr>
        <sz val="12"/>
        <color theme="1"/>
        <rFont val="宋体"/>
        <family val="3"/>
        <charset val="134"/>
      </rPr>
      <t>，葡萄籽</t>
    </r>
    <r>
      <rPr>
        <sz val="12"/>
        <color theme="1"/>
        <rFont val="Calibri"/>
        <family val="2"/>
      </rPr>
      <t>*1</t>
    </r>
    <r>
      <rPr>
        <sz val="12"/>
        <color theme="1"/>
        <rFont val="宋体"/>
        <family val="3"/>
        <charset val="134"/>
      </rPr>
      <t>，益生菌</t>
    </r>
    <r>
      <rPr>
        <sz val="12"/>
        <color theme="1"/>
        <rFont val="Calibri"/>
        <family val="2"/>
      </rPr>
      <t>*2</t>
    </r>
    <r>
      <rPr>
        <sz val="12"/>
        <color theme="1"/>
        <rFont val="宋体"/>
        <family val="3"/>
        <charset val="134"/>
      </rPr>
      <t>，维生素</t>
    </r>
    <r>
      <rPr>
        <sz val="12"/>
        <color theme="1"/>
        <rFont val="Calibri"/>
        <family val="2"/>
      </rPr>
      <t>*3</t>
    </r>
    <r>
      <rPr>
        <sz val="12"/>
        <color theme="1"/>
        <rFont val="宋体"/>
        <family val="3"/>
        <charset val="134"/>
      </rPr>
      <t>，心脏宝</t>
    </r>
    <r>
      <rPr>
        <sz val="12"/>
        <color theme="1"/>
        <rFont val="Calibri"/>
        <family val="2"/>
      </rPr>
      <t>*2</t>
    </r>
  </si>
  <si>
    <r>
      <rPr>
        <sz val="12"/>
        <color theme="1"/>
        <rFont val="Calibri"/>
        <family val="2"/>
      </rPr>
      <t>84</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14</t>
    </r>
    <r>
      <rPr>
        <sz val="12"/>
        <color theme="1"/>
        <rFont val="宋体"/>
        <family val="3"/>
        <charset val="134"/>
      </rPr>
      <t>条，</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</si>
  <si>
    <t>张洪丽</t>
  </si>
  <si>
    <t>浙江省宁波市江东区中山东路705号宁波市公用事业监管中心</t>
  </si>
  <si>
    <t>211202196109281282</t>
  </si>
  <si>
    <t>张洪丽211202196109281282</t>
  </si>
  <si>
    <t>9769116607497</t>
  </si>
  <si>
    <t>sc20200033612</t>
  </si>
  <si>
    <r>
      <rPr>
        <sz val="12"/>
        <color theme="1"/>
        <rFont val="宋体"/>
        <family val="3"/>
        <charset val="134"/>
      </rPr>
      <t>基本营养素</t>
    </r>
    <r>
      <rPr>
        <sz val="12"/>
        <color theme="1"/>
        <rFont val="Calibri"/>
        <family val="2"/>
      </rPr>
      <t>*2</t>
    </r>
    <r>
      <rPr>
        <sz val="12"/>
        <color theme="1"/>
        <rFont val="宋体"/>
        <family val="3"/>
        <charset val="134"/>
      </rPr>
      <t>，肝宝</t>
    </r>
    <r>
      <rPr>
        <sz val="12"/>
        <color theme="1"/>
        <rFont val="Calibri"/>
        <family val="2"/>
      </rPr>
      <t>*1</t>
    </r>
    <r>
      <rPr>
        <sz val="12"/>
        <color theme="1"/>
        <rFont val="宋体"/>
        <family val="3"/>
        <charset val="134"/>
      </rPr>
      <t>，葡萄籽</t>
    </r>
    <r>
      <rPr>
        <sz val="12"/>
        <color theme="1"/>
        <rFont val="Calibri"/>
        <family val="2"/>
      </rPr>
      <t>*1</t>
    </r>
    <r>
      <rPr>
        <sz val="12"/>
        <color theme="1"/>
        <rFont val="宋体"/>
        <family val="3"/>
        <charset val="134"/>
      </rPr>
      <t>，维生素</t>
    </r>
    <r>
      <rPr>
        <sz val="12"/>
        <color theme="1"/>
        <rFont val="Calibri"/>
        <family val="2"/>
      </rPr>
      <t>*1</t>
    </r>
    <r>
      <rPr>
        <sz val="12"/>
        <color theme="1"/>
        <rFont val="宋体"/>
        <family val="3"/>
        <charset val="134"/>
      </rPr>
      <t>，维生素</t>
    </r>
    <r>
      <rPr>
        <sz val="12"/>
        <color theme="1"/>
        <rFont val="Calibri"/>
        <family val="2"/>
      </rPr>
      <t>*5</t>
    </r>
    <r>
      <rPr>
        <sz val="12"/>
        <color theme="1"/>
        <rFont val="宋体"/>
        <family val="3"/>
        <charset val="134"/>
      </rPr>
      <t>，心脏宝</t>
    </r>
    <r>
      <rPr>
        <sz val="12"/>
        <color theme="1"/>
        <rFont val="Calibri"/>
        <family val="2"/>
      </rPr>
      <t>*1</t>
    </r>
  </si>
  <si>
    <r>
      <rPr>
        <sz val="12"/>
        <color theme="1"/>
        <rFont val="Calibri"/>
        <family val="2"/>
      </rPr>
      <t>112</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168</t>
    </r>
    <r>
      <rPr>
        <sz val="12"/>
        <color theme="1"/>
        <rFont val="宋体"/>
        <family val="3"/>
        <charset val="134"/>
      </rPr>
      <t>粒，</t>
    </r>
    <r>
      <rPr>
        <sz val="12"/>
        <color theme="1"/>
        <rFont val="Calibri"/>
        <family val="2"/>
      </rPr>
      <t>56</t>
    </r>
    <r>
      <rPr>
        <sz val="12"/>
        <color theme="1"/>
        <rFont val="宋体"/>
        <family val="3"/>
        <charset val="134"/>
      </rPr>
      <t>粒</t>
    </r>
  </si>
  <si>
    <t>赵珊珊</t>
  </si>
  <si>
    <t>浙江省宁波市江东区兴宁路456号东方商务中心3号楼1007室</t>
  </si>
  <si>
    <t>110105198903120425</t>
  </si>
  <si>
    <t>赵珊珊110105198903120425</t>
  </si>
  <si>
    <t>9769116621697</t>
  </si>
  <si>
    <t>sc20200035433</t>
  </si>
  <si>
    <r>
      <rPr>
        <sz val="12"/>
        <color theme="1"/>
        <rFont val="宋体"/>
        <family val="3"/>
        <charset val="134"/>
      </rPr>
      <t>蓝珍珠</t>
    </r>
    <r>
      <rPr>
        <sz val="12"/>
        <color theme="1"/>
        <rFont val="Calibri"/>
        <family val="2"/>
      </rPr>
      <t>*2</t>
    </r>
    <r>
      <rPr>
        <sz val="12"/>
        <color theme="1"/>
        <rFont val="宋体"/>
        <family val="3"/>
        <charset val="134"/>
      </rPr>
      <t>，蓝珍珠面霜</t>
    </r>
    <r>
      <rPr>
        <sz val="12"/>
        <color theme="1"/>
        <rFont val="Calibri"/>
        <family val="2"/>
      </rPr>
      <t>*1</t>
    </r>
    <r>
      <rPr>
        <sz val="12"/>
        <color theme="1"/>
        <rFont val="宋体"/>
        <family val="3"/>
        <charset val="134"/>
      </rPr>
      <t>，面膜</t>
    </r>
    <r>
      <rPr>
        <sz val="12"/>
        <color theme="1"/>
        <rFont val="Calibri"/>
        <family val="2"/>
      </rPr>
      <t>*1</t>
    </r>
  </si>
  <si>
    <t>120粒，60ML，8片</t>
  </si>
  <si>
    <t>曹嫄</t>
  </si>
  <si>
    <t>四川省攀枝花市仁和区紫荆花路碧桂园</t>
  </si>
  <si>
    <t>边悦</t>
  </si>
  <si>
    <t>510202198308167027</t>
  </si>
  <si>
    <t>边悦510202198308167027</t>
  </si>
  <si>
    <t>9769148309497</t>
  </si>
  <si>
    <t>sc20200038111</t>
  </si>
  <si>
    <r>
      <rPr>
        <sz val="12"/>
        <color theme="1"/>
        <rFont val="宋体"/>
        <family val="3"/>
        <charset val="134"/>
      </rPr>
      <t>纤维粉</t>
    </r>
    <r>
      <rPr>
        <sz val="12"/>
        <color theme="1"/>
        <rFont val="Calibri"/>
        <family val="2"/>
      </rPr>
      <t>*1</t>
    </r>
    <r>
      <rPr>
        <sz val="12"/>
        <color theme="1"/>
        <rFont val="宋体"/>
        <family val="3"/>
        <charset val="134"/>
      </rPr>
      <t>，辅酶</t>
    </r>
    <r>
      <rPr>
        <sz val="12"/>
        <color theme="1"/>
        <rFont val="Calibri"/>
        <family val="2"/>
      </rPr>
      <t>*4</t>
    </r>
    <r>
      <rPr>
        <sz val="12"/>
        <color theme="1"/>
        <rFont val="宋体"/>
        <family val="3"/>
        <charset val="134"/>
      </rPr>
      <t>，视力宝</t>
    </r>
    <r>
      <rPr>
        <sz val="12"/>
        <color theme="1"/>
        <rFont val="Calibri"/>
        <family val="2"/>
      </rPr>
      <t>*2</t>
    </r>
  </si>
  <si>
    <r>
      <rPr>
        <sz val="12"/>
        <color theme="1"/>
        <rFont val="Calibri"/>
        <family val="2"/>
      </rPr>
      <t>392G</t>
    </r>
    <r>
      <rPr>
        <sz val="12"/>
        <color theme="1"/>
        <rFont val="宋体"/>
        <family val="3"/>
        <charset val="134"/>
      </rPr>
      <t>，</t>
    </r>
    <r>
      <rPr>
        <sz val="12"/>
        <color theme="1"/>
        <rFont val="Calibri"/>
        <family val="2"/>
      </rPr>
      <t>56</t>
    </r>
    <r>
      <rPr>
        <sz val="12"/>
        <color theme="1"/>
        <rFont val="宋体"/>
        <family val="3"/>
        <charset val="134"/>
      </rPr>
      <t>粒，</t>
    </r>
    <r>
      <rPr>
        <sz val="12"/>
        <color theme="1"/>
        <rFont val="Calibri"/>
        <family val="2"/>
      </rPr>
      <t>28</t>
    </r>
    <r>
      <rPr>
        <sz val="12"/>
        <color theme="1"/>
        <rFont val="宋体"/>
        <family val="3"/>
        <charset val="134"/>
      </rPr>
      <t>粒</t>
    </r>
  </si>
  <si>
    <t>上海上海市青浦区赵巷镇源昌幸福里4号504</t>
  </si>
  <si>
    <t>310225197106263427</t>
  </si>
  <si>
    <t>沈敏310225197106263427</t>
  </si>
  <si>
    <t>9769116594497</t>
  </si>
  <si>
    <t>SC20200034915</t>
  </si>
  <si>
    <r>
      <rPr>
        <sz val="12"/>
        <color theme="1"/>
        <rFont val="宋体"/>
        <family val="3"/>
        <charset val="134"/>
      </rPr>
      <t>蛋白粉</t>
    </r>
    <r>
      <rPr>
        <sz val="12"/>
        <color theme="1"/>
        <rFont val="Calibri"/>
        <family val="2"/>
      </rPr>
      <t>*2</t>
    </r>
    <r>
      <rPr>
        <sz val="12"/>
        <color theme="1"/>
        <rFont val="宋体"/>
        <family val="3"/>
        <charset val="134"/>
      </rPr>
      <t>，胶囊</t>
    </r>
    <r>
      <rPr>
        <sz val="12"/>
        <color theme="1"/>
        <rFont val="Calibri"/>
        <family val="2"/>
      </rPr>
      <t>*2</t>
    </r>
    <r>
      <rPr>
        <sz val="12"/>
        <color theme="1"/>
        <rFont val="宋体"/>
        <family val="3"/>
        <charset val="134"/>
      </rPr>
      <t>，杯子</t>
    </r>
    <r>
      <rPr>
        <sz val="12"/>
        <color theme="1"/>
        <rFont val="Calibri"/>
        <family val="2"/>
      </rPr>
      <t>*1</t>
    </r>
    <r>
      <rPr>
        <sz val="12"/>
        <color theme="1"/>
        <rFont val="宋体"/>
        <family val="3"/>
        <charset val="134"/>
      </rPr>
      <t>，冲剂饮料</t>
    </r>
    <r>
      <rPr>
        <sz val="12"/>
        <color theme="1"/>
        <rFont val="Calibri"/>
        <family val="2"/>
      </rPr>
      <t>*1</t>
    </r>
  </si>
  <si>
    <t>杨蓓</t>
  </si>
  <si>
    <t>天津市南开区南门外大街紫光苑5-2-702</t>
  </si>
  <si>
    <t>12010119690820254x</t>
  </si>
  <si>
    <t>杨蓓12010119690820254x</t>
  </si>
  <si>
    <t>9769148713697</t>
  </si>
  <si>
    <t>SC02174500049</t>
  </si>
  <si>
    <t>陈瑶</t>
  </si>
  <si>
    <t>广东省深圳市宝安中心区第五大道花园7A702</t>
  </si>
  <si>
    <t>340505199310100022</t>
  </si>
  <si>
    <t>陈瑶340505199310100022</t>
  </si>
  <si>
    <t>9769148560397</t>
  </si>
  <si>
    <t>SC20200035093</t>
  </si>
  <si>
    <r>
      <rPr>
        <sz val="12"/>
        <color theme="1"/>
        <rFont val="宋体"/>
        <family val="3"/>
        <charset val="134"/>
      </rPr>
      <t>安睡宝</t>
    </r>
    <r>
      <rPr>
        <sz val="12"/>
        <color theme="1"/>
        <rFont val="Calibri"/>
        <family val="2"/>
      </rPr>
      <t>*3</t>
    </r>
    <r>
      <rPr>
        <sz val="12"/>
        <color theme="1"/>
        <rFont val="宋体"/>
        <family val="3"/>
        <charset val="134"/>
      </rPr>
      <t>，维生素</t>
    </r>
    <r>
      <rPr>
        <sz val="12"/>
        <color theme="1"/>
        <rFont val="Calibri"/>
        <family val="2"/>
      </rPr>
      <t>*3</t>
    </r>
    <r>
      <rPr>
        <sz val="12"/>
        <color theme="1"/>
        <rFont val="宋体"/>
        <family val="3"/>
        <charset val="134"/>
      </rPr>
      <t>，心脏宝</t>
    </r>
    <r>
      <rPr>
        <sz val="12"/>
        <color theme="1"/>
        <rFont val="Calibri"/>
        <family val="2"/>
      </rPr>
      <t>*2</t>
    </r>
    <r>
      <rPr>
        <sz val="12"/>
        <color theme="1"/>
        <rFont val="宋体"/>
        <family val="3"/>
        <charset val="134"/>
      </rPr>
      <t>，男宝</t>
    </r>
    <r>
      <rPr>
        <sz val="12"/>
        <color theme="1"/>
        <rFont val="Calibri"/>
        <family val="2"/>
      </rPr>
      <t>*4</t>
    </r>
  </si>
  <si>
    <r>
      <rPr>
        <sz val="12"/>
        <color theme="1"/>
        <rFont val="Calibri"/>
        <family val="2"/>
      </rPr>
      <t>56</t>
    </r>
    <r>
      <rPr>
        <sz val="12"/>
        <color theme="1"/>
        <rFont val="宋体"/>
        <family val="3"/>
        <charset val="134"/>
      </rPr>
      <t>粒，</t>
    </r>
    <r>
      <rPr>
        <sz val="12"/>
        <color theme="1"/>
        <rFont val="Calibri"/>
        <family val="2"/>
      </rPr>
      <t>168</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28</t>
    </r>
    <r>
      <rPr>
        <sz val="12"/>
        <color theme="1"/>
        <rFont val="宋体"/>
        <family val="3"/>
        <charset val="134"/>
      </rPr>
      <t>粒</t>
    </r>
  </si>
  <si>
    <t>洪骏</t>
  </si>
  <si>
    <t>黑龙江省哈尔滨市道里区上游街付62-3号901室</t>
  </si>
  <si>
    <t>310102198112192869</t>
  </si>
  <si>
    <t>洪骏310102198112192869</t>
  </si>
  <si>
    <t>9769148630397</t>
  </si>
  <si>
    <t>SC20200033751</t>
  </si>
  <si>
    <t>基本维生素*3，基本营养素*3，肝宝*2，男宝*2，维生素*2</t>
  </si>
  <si>
    <t>郎丁丰</t>
  </si>
  <si>
    <t>北京市海淀区上地东里七区6号楼4单元402</t>
  </si>
  <si>
    <t>220102195801240816</t>
  </si>
  <si>
    <t>郎丁丰220102195801240816</t>
  </si>
  <si>
    <t>9769148607397</t>
  </si>
  <si>
    <t>SC20200000774</t>
  </si>
  <si>
    <r>
      <rPr>
        <sz val="12"/>
        <color theme="1"/>
        <rFont val="宋体"/>
        <family val="3"/>
        <charset val="134"/>
      </rPr>
      <t>纤维素</t>
    </r>
    <r>
      <rPr>
        <sz val="12"/>
        <color theme="1"/>
        <rFont val="Calibri"/>
        <family val="2"/>
      </rPr>
      <t>*3</t>
    </r>
    <r>
      <rPr>
        <sz val="12"/>
        <color theme="1"/>
        <rFont val="宋体"/>
        <family val="3"/>
        <charset val="134"/>
      </rPr>
      <t>，益生菌</t>
    </r>
    <r>
      <rPr>
        <sz val="12"/>
        <color theme="1"/>
        <rFont val="Calibri"/>
        <family val="2"/>
      </rPr>
      <t>*7</t>
    </r>
  </si>
  <si>
    <r>
      <rPr>
        <sz val="12"/>
        <color theme="1"/>
        <rFont val="Calibri"/>
        <family val="2"/>
      </rPr>
      <t>392G</t>
    </r>
    <r>
      <rPr>
        <sz val="12"/>
        <color theme="1"/>
        <rFont val="宋体"/>
        <family val="3"/>
        <charset val="134"/>
      </rPr>
      <t>，</t>
    </r>
    <r>
      <rPr>
        <sz val="12"/>
        <color theme="1"/>
        <rFont val="Calibri"/>
        <family val="2"/>
      </rPr>
      <t>14</t>
    </r>
    <r>
      <rPr>
        <sz val="12"/>
        <color theme="1"/>
        <rFont val="宋体"/>
        <family val="3"/>
        <charset val="134"/>
      </rPr>
      <t>条</t>
    </r>
  </si>
  <si>
    <t>董妍</t>
  </si>
  <si>
    <t>新疆昌吉市净化路民乐园小区3号楼</t>
  </si>
  <si>
    <t>211223197707180226</t>
  </si>
  <si>
    <t>董妍211223197707180226</t>
  </si>
  <si>
    <t>9769148599197</t>
  </si>
  <si>
    <t>SC20200007083</t>
  </si>
  <si>
    <r>
      <rPr>
        <sz val="12"/>
        <color theme="1"/>
        <rFont val="宋体"/>
        <family val="3"/>
        <charset val="134"/>
      </rPr>
      <t>视力宝</t>
    </r>
    <r>
      <rPr>
        <sz val="12"/>
        <color theme="1"/>
        <rFont val="Calibri"/>
        <family val="2"/>
      </rPr>
      <t>*5</t>
    </r>
    <r>
      <rPr>
        <sz val="12"/>
        <color theme="1"/>
        <rFont val="宋体"/>
        <family val="3"/>
        <charset val="134"/>
      </rPr>
      <t>，葡萄籽</t>
    </r>
    <r>
      <rPr>
        <sz val="12"/>
        <color theme="1"/>
        <rFont val="Calibri"/>
        <family val="2"/>
      </rPr>
      <t>*4</t>
    </r>
    <r>
      <rPr>
        <sz val="12"/>
        <color theme="1"/>
        <rFont val="宋体"/>
        <family val="3"/>
        <charset val="134"/>
      </rPr>
      <t>，口腔益生菌</t>
    </r>
    <r>
      <rPr>
        <sz val="12"/>
        <color theme="1"/>
        <rFont val="Calibri"/>
        <family val="2"/>
      </rPr>
      <t>*4</t>
    </r>
    <r>
      <rPr>
        <sz val="12"/>
        <color theme="1"/>
        <rFont val="宋体"/>
        <family val="3"/>
        <charset val="134"/>
      </rPr>
      <t>，男宝</t>
    </r>
    <r>
      <rPr>
        <sz val="12"/>
        <color theme="1"/>
        <rFont val="Calibri"/>
        <family val="2"/>
      </rPr>
      <t>*2</t>
    </r>
  </si>
  <si>
    <r>
      <rPr>
        <sz val="12"/>
        <color theme="1"/>
        <rFont val="宋体"/>
        <family val="3"/>
        <charset val="134"/>
      </rPr>
      <t>，，，</t>
    </r>
  </si>
  <si>
    <t>迪丽拜尔</t>
  </si>
  <si>
    <t>新疆乌鲁木齐市鲤鱼山南路137号医学院影像中心放射科</t>
  </si>
  <si>
    <t>李忠</t>
  </si>
  <si>
    <t>新疆乌鲁木齐市沙依巴克区扬子江路314号供销大厦B座</t>
  </si>
  <si>
    <t>370181198511223016</t>
  </si>
  <si>
    <t>李忠370181198511223016</t>
  </si>
  <si>
    <t>9769148629497</t>
  </si>
  <si>
    <t>SC20200029079</t>
  </si>
  <si>
    <r>
      <rPr>
        <sz val="12"/>
        <color theme="1"/>
        <rFont val="宋体"/>
        <family val="3"/>
        <charset val="134"/>
      </rPr>
      <t>基本营养素</t>
    </r>
    <r>
      <rPr>
        <sz val="12"/>
        <color theme="1"/>
        <rFont val="Calibri"/>
        <family val="2"/>
      </rPr>
      <t>*2</t>
    </r>
    <r>
      <rPr>
        <sz val="12"/>
        <color theme="1"/>
        <rFont val="宋体"/>
        <family val="3"/>
        <charset val="134"/>
      </rPr>
      <t>，锐知宝</t>
    </r>
    <r>
      <rPr>
        <sz val="12"/>
        <color theme="1"/>
        <rFont val="Calibri"/>
        <family val="2"/>
      </rPr>
      <t>*1</t>
    </r>
    <r>
      <rPr>
        <sz val="12"/>
        <color theme="1"/>
        <rFont val="宋体"/>
        <family val="3"/>
        <charset val="134"/>
      </rPr>
      <t>，葡萄籽</t>
    </r>
    <r>
      <rPr>
        <sz val="12"/>
        <color theme="1"/>
        <rFont val="Calibri"/>
        <family val="2"/>
      </rPr>
      <t>*1</t>
    </r>
    <r>
      <rPr>
        <sz val="12"/>
        <color theme="1"/>
        <rFont val="宋体"/>
        <family val="3"/>
        <charset val="134"/>
      </rPr>
      <t>，心脏宝</t>
    </r>
    <r>
      <rPr>
        <sz val="12"/>
        <color theme="1"/>
        <rFont val="Calibri"/>
        <family val="2"/>
      </rPr>
      <t>*1</t>
    </r>
    <r>
      <rPr>
        <sz val="12"/>
        <color theme="1"/>
        <rFont val="宋体"/>
        <family val="3"/>
        <charset val="134"/>
      </rPr>
      <t>，关节灵</t>
    </r>
    <r>
      <rPr>
        <sz val="12"/>
        <color theme="1"/>
        <rFont val="Calibri"/>
        <family val="2"/>
      </rPr>
      <t>*1</t>
    </r>
    <r>
      <rPr>
        <sz val="12"/>
        <color theme="1"/>
        <rFont val="宋体"/>
        <family val="3"/>
        <charset val="134"/>
      </rPr>
      <t>，钙片</t>
    </r>
    <r>
      <rPr>
        <sz val="12"/>
        <color theme="1"/>
        <rFont val="Calibri"/>
        <family val="2"/>
      </rPr>
      <t>*1</t>
    </r>
    <r>
      <rPr>
        <sz val="12"/>
        <color theme="1"/>
        <rFont val="宋体"/>
        <family val="3"/>
        <charset val="134"/>
      </rPr>
      <t>，维生素</t>
    </r>
    <r>
      <rPr>
        <sz val="12"/>
        <color theme="1"/>
        <rFont val="Calibri"/>
        <family val="2"/>
      </rPr>
      <t>C*1</t>
    </r>
    <r>
      <rPr>
        <sz val="12"/>
        <color theme="1"/>
        <rFont val="宋体"/>
        <family val="3"/>
        <charset val="134"/>
      </rPr>
      <t>，鱼油</t>
    </r>
    <r>
      <rPr>
        <sz val="12"/>
        <color theme="1"/>
        <rFont val="Calibri"/>
        <family val="2"/>
      </rPr>
      <t>*1</t>
    </r>
    <r>
      <rPr>
        <sz val="12"/>
        <color theme="1"/>
        <rFont val="宋体"/>
        <family val="3"/>
        <charset val="134"/>
      </rPr>
      <t>，肝宝</t>
    </r>
    <r>
      <rPr>
        <sz val="12"/>
        <color theme="1"/>
        <rFont val="Calibri"/>
        <family val="2"/>
      </rPr>
      <t>*1</t>
    </r>
  </si>
  <si>
    <t>USANA，USANA，USANA，USANA，USANA，USANA，USANA，USANA，USANA</t>
  </si>
  <si>
    <r>
      <rPr>
        <sz val="12"/>
        <color theme="1"/>
        <rFont val="宋体"/>
        <family val="3"/>
        <charset val="134"/>
      </rPr>
      <t>，，，，，，，，</t>
    </r>
  </si>
  <si>
    <t>海南省陵水县英州镇（三亚市）雅居乐清水湾蔚蓝高尔夫C2-3别墅</t>
  </si>
  <si>
    <t>110102195012130416</t>
  </si>
  <si>
    <t>刘越中110102195012130416</t>
  </si>
  <si>
    <t>9769148596597</t>
  </si>
  <si>
    <t>SC20200034018</t>
  </si>
  <si>
    <r>
      <rPr>
        <sz val="12"/>
        <color theme="1"/>
        <rFont val="宋体"/>
        <family val="3"/>
        <charset val="134"/>
      </rPr>
      <t>粉水</t>
    </r>
    <r>
      <rPr>
        <sz val="12"/>
        <color theme="1"/>
        <rFont val="Calibri"/>
        <family val="2"/>
      </rPr>
      <t>*2</t>
    </r>
    <r>
      <rPr>
        <sz val="12"/>
        <color theme="1"/>
        <rFont val="宋体"/>
        <family val="3"/>
        <charset val="134"/>
      </rPr>
      <t>，蓝水</t>
    </r>
    <r>
      <rPr>
        <sz val="12"/>
        <color theme="1"/>
        <rFont val="Calibri"/>
        <family val="2"/>
      </rPr>
      <t>*3</t>
    </r>
  </si>
  <si>
    <t>四川省广安市广安区五福南路589号2幢402</t>
  </si>
  <si>
    <t>51160219900806391X</t>
  </si>
  <si>
    <t>王涛51160219900806391X</t>
  </si>
  <si>
    <t>9769148586997</t>
  </si>
  <si>
    <t>SC20190114532</t>
  </si>
  <si>
    <r>
      <rPr>
        <sz val="12"/>
        <color theme="1"/>
        <rFont val="宋体"/>
        <family val="3"/>
        <charset val="134"/>
      </rPr>
      <t>健骼宁</t>
    </r>
    <r>
      <rPr>
        <sz val="12"/>
        <color theme="1"/>
        <rFont val="Calibri"/>
        <family val="2"/>
      </rPr>
      <t>*4</t>
    </r>
    <r>
      <rPr>
        <sz val="12"/>
        <color theme="1"/>
        <rFont val="宋体"/>
        <family val="3"/>
        <charset val="134"/>
      </rPr>
      <t>，基本营养素</t>
    </r>
    <r>
      <rPr>
        <sz val="12"/>
        <color theme="1"/>
        <rFont val="Calibri"/>
        <family val="2"/>
      </rPr>
      <t>*2</t>
    </r>
    <r>
      <rPr>
        <sz val="12"/>
        <color theme="1"/>
        <rFont val="宋体"/>
        <family val="3"/>
        <charset val="134"/>
      </rPr>
      <t>，鱼油</t>
    </r>
    <r>
      <rPr>
        <sz val="12"/>
        <color theme="1"/>
        <rFont val="Calibri"/>
        <family val="2"/>
      </rPr>
      <t>*2</t>
    </r>
    <r>
      <rPr>
        <sz val="12"/>
        <color theme="1"/>
        <rFont val="宋体"/>
        <family val="3"/>
        <charset val="134"/>
      </rPr>
      <t>，葡萄籽</t>
    </r>
    <r>
      <rPr>
        <sz val="12"/>
        <color theme="1"/>
        <rFont val="Calibri"/>
        <family val="2"/>
      </rPr>
      <t>*4</t>
    </r>
  </si>
  <si>
    <t>山东省烟台市芝罘区世平路216号-7</t>
  </si>
  <si>
    <t>310104196610022030</t>
  </si>
  <si>
    <t>周传军310104196610022030</t>
  </si>
  <si>
    <t>9769148588697</t>
  </si>
  <si>
    <t>SC20200034220</t>
  </si>
  <si>
    <r>
      <rPr>
        <sz val="12"/>
        <color theme="1"/>
        <rFont val="宋体"/>
        <family val="3"/>
        <charset val="134"/>
      </rPr>
      <t>汽车香水</t>
    </r>
    <r>
      <rPr>
        <sz val="12"/>
        <color theme="1"/>
        <rFont val="Calibri"/>
        <family val="2"/>
      </rPr>
      <t>*2</t>
    </r>
  </si>
  <si>
    <t>FEBREZE</t>
  </si>
  <si>
    <t>朱琎琎</t>
  </si>
  <si>
    <t>天津市和平区包头道云台花园1-1-04新疆路社区</t>
  </si>
  <si>
    <t>321111199106276146</t>
  </si>
  <si>
    <t>朱琎琎321111199106276146</t>
  </si>
  <si>
    <t>9769148579897</t>
  </si>
  <si>
    <t>SC20200032400</t>
  </si>
  <si>
    <r>
      <rPr>
        <sz val="12"/>
        <color theme="1"/>
        <rFont val="宋体"/>
        <family val="3"/>
        <charset val="134"/>
      </rPr>
      <t>睫毛小样</t>
    </r>
    <r>
      <rPr>
        <sz val="12"/>
        <color theme="1"/>
        <rFont val="Calibri"/>
        <family val="2"/>
      </rPr>
      <t>*6</t>
    </r>
    <r>
      <rPr>
        <sz val="12"/>
        <color theme="1"/>
        <rFont val="宋体"/>
        <family val="3"/>
        <charset val="134"/>
      </rPr>
      <t>，口红小样</t>
    </r>
    <r>
      <rPr>
        <sz val="12"/>
        <color theme="1"/>
        <rFont val="Calibri"/>
        <family val="2"/>
      </rPr>
      <t>*5</t>
    </r>
    <r>
      <rPr>
        <sz val="12"/>
        <color theme="1"/>
        <rFont val="宋体"/>
        <family val="3"/>
        <charset val="134"/>
      </rPr>
      <t>，卸妆小样</t>
    </r>
    <r>
      <rPr>
        <sz val="12"/>
        <color theme="1"/>
        <rFont val="Calibri"/>
        <family val="2"/>
      </rPr>
      <t>*4</t>
    </r>
    <r>
      <rPr>
        <sz val="12"/>
        <color theme="1"/>
        <rFont val="宋体"/>
        <family val="3"/>
        <charset val="134"/>
      </rPr>
      <t>，面霜小样</t>
    </r>
    <r>
      <rPr>
        <sz val="12"/>
        <color theme="1"/>
        <rFont val="Calibri"/>
        <family val="2"/>
      </rPr>
      <t>*1</t>
    </r>
  </si>
  <si>
    <t>LANCOME，LANCOME，LANCOME，LANCOME</t>
  </si>
  <si>
    <r>
      <rPr>
        <sz val="12"/>
        <color theme="1"/>
        <rFont val="宋体"/>
        <family val="3"/>
        <charset val="134"/>
      </rPr>
      <t>，，，</t>
    </r>
    <r>
      <rPr>
        <sz val="12"/>
        <color theme="1"/>
        <rFont val="Calibri"/>
        <family val="2"/>
      </rPr>
      <t>15ML</t>
    </r>
  </si>
  <si>
    <t>马玉霜</t>
  </si>
  <si>
    <t>天津市和平区同安道新河里20门201</t>
  </si>
  <si>
    <t>440103196305093345</t>
  </si>
  <si>
    <t>马玉霜440103196305093345</t>
  </si>
  <si>
    <t>9769148575397</t>
  </si>
  <si>
    <t>SC20200032960</t>
  </si>
  <si>
    <t>许清华</t>
  </si>
  <si>
    <t>天津市和平区万全道祈年大厦二号楼二门2507</t>
  </si>
  <si>
    <t>350521198006027040</t>
  </si>
  <si>
    <t>许清华350521198006027040</t>
  </si>
  <si>
    <t>9769148618997</t>
  </si>
  <si>
    <t>SC20200032694</t>
  </si>
  <si>
    <r>
      <rPr>
        <sz val="12"/>
        <color theme="1"/>
        <rFont val="宋体"/>
        <family val="3"/>
        <charset val="134"/>
      </rPr>
      <t>身体乳</t>
    </r>
    <r>
      <rPr>
        <sz val="12"/>
        <color theme="1"/>
        <rFont val="Calibri"/>
        <family val="2"/>
      </rPr>
      <t>*2</t>
    </r>
    <r>
      <rPr>
        <sz val="12"/>
        <color theme="1"/>
        <rFont val="宋体"/>
        <family val="3"/>
        <charset val="134"/>
      </rPr>
      <t>，香水</t>
    </r>
    <r>
      <rPr>
        <sz val="12"/>
        <color theme="1"/>
        <rFont val="Calibri"/>
        <family val="2"/>
      </rPr>
      <t>*2</t>
    </r>
    <r>
      <rPr>
        <sz val="12"/>
        <color theme="1"/>
        <rFont val="宋体"/>
        <family val="3"/>
        <charset val="134"/>
      </rPr>
      <t>，香水</t>
    </r>
    <r>
      <rPr>
        <sz val="12"/>
        <color theme="1"/>
        <rFont val="Calibri"/>
        <family val="2"/>
      </rPr>
      <t>*2</t>
    </r>
  </si>
  <si>
    <t>100ML，30ML，4ML</t>
  </si>
  <si>
    <t>刘悦之</t>
  </si>
  <si>
    <t>天津市和平区南京路181号世纪都会商厦23层</t>
  </si>
  <si>
    <t>330382198905014049</t>
  </si>
  <si>
    <t>刘悦之330382198905014049</t>
  </si>
  <si>
    <t>9769148714097</t>
  </si>
  <si>
    <t>SC02349000005</t>
  </si>
  <si>
    <t>李翠萍</t>
  </si>
  <si>
    <t>广东省深圳市宝安中心区宝源路深业新岸线1楼建设银行</t>
  </si>
  <si>
    <t>320302196301202441</t>
  </si>
  <si>
    <t>李翠萍320302196301202441</t>
  </si>
  <si>
    <t>9769148620197</t>
  </si>
  <si>
    <t>SC20200002461</t>
  </si>
  <si>
    <t>健康包*1，维生素C*2，健骼宁*1，葡萄籽*3，视力宝*4，锐知宝*1，酵素*1，男宝*1</t>
  </si>
  <si>
    <t>，，，，，，，</t>
  </si>
  <si>
    <t>娄淑云</t>
  </si>
  <si>
    <t>北京市海淀区万柳镇玉泉山北坞村路西洼果园18号健壹景园北楼</t>
  </si>
  <si>
    <t>130302195912124323</t>
  </si>
  <si>
    <t>娄淑云130302195912124323</t>
  </si>
  <si>
    <t>9769148715397</t>
  </si>
  <si>
    <t>SC03290200006</t>
  </si>
  <si>
    <t>潘礼杰</t>
  </si>
  <si>
    <t>北京市朝阳区万科青青家园103-4-201</t>
  </si>
  <si>
    <t>310229199010223812</t>
  </si>
  <si>
    <t>潘礼杰310229199010223812</t>
  </si>
  <si>
    <t>9769148716797</t>
  </si>
  <si>
    <t>SC02384300004</t>
  </si>
  <si>
    <t>苏婷婷</t>
  </si>
  <si>
    <t>广东省广州市从化区街口街蓝田西路一巷6栋德堡花苑</t>
  </si>
  <si>
    <t>31023019881219126X</t>
  </si>
  <si>
    <t>苏婷婷31023019881219126X</t>
  </si>
  <si>
    <t>9769148717597</t>
  </si>
  <si>
    <t>SC02384300008</t>
  </si>
  <si>
    <t>丘雨</t>
  </si>
  <si>
    <t xml:space="preserve">广州市南沙区南沙富力唐宁  </t>
  </si>
  <si>
    <t>王红</t>
  </si>
  <si>
    <t>220204198206152127</t>
  </si>
  <si>
    <t>王红220204198206152127</t>
  </si>
  <si>
    <t>9769116721197</t>
  </si>
  <si>
    <t>SC20200033074</t>
  </si>
  <si>
    <t>湛焰金</t>
  </si>
  <si>
    <t>徐彦青</t>
  </si>
  <si>
    <t>广东省广州市增城区中新镇恒大山水城3期217栋503房</t>
  </si>
  <si>
    <t>310115197811193227</t>
  </si>
  <si>
    <t>徐彦青310115197811193227</t>
  </si>
  <si>
    <t>9769116692297</t>
  </si>
  <si>
    <t>SC20200033078</t>
  </si>
  <si>
    <t>徐永进</t>
  </si>
  <si>
    <t>410423198903034930</t>
  </si>
  <si>
    <t>徐永进410423198903034930</t>
  </si>
  <si>
    <t>9769116693697</t>
  </si>
  <si>
    <t>SC20200033082</t>
  </si>
  <si>
    <r>
      <rPr>
        <sz val="12"/>
        <color theme="1"/>
        <rFont val="宋体"/>
        <family val="3"/>
        <charset val="134"/>
      </rPr>
      <t>健康包</t>
    </r>
    <r>
      <rPr>
        <sz val="12"/>
        <color theme="1"/>
        <rFont val="Calibri"/>
        <family val="2"/>
      </rPr>
      <t>*1</t>
    </r>
    <r>
      <rPr>
        <sz val="12"/>
        <color theme="1"/>
        <rFont val="宋体"/>
        <family val="3"/>
        <charset val="134"/>
      </rPr>
      <t>，葡萄籽</t>
    </r>
    <r>
      <rPr>
        <sz val="12"/>
        <color theme="1"/>
        <rFont val="Calibri"/>
        <family val="2"/>
      </rPr>
      <t>*6</t>
    </r>
    <r>
      <rPr>
        <sz val="12"/>
        <color theme="1"/>
        <rFont val="宋体"/>
        <family val="3"/>
        <charset val="134"/>
      </rPr>
      <t>，益生菌</t>
    </r>
    <r>
      <rPr>
        <sz val="12"/>
        <color theme="1"/>
        <rFont val="Calibri"/>
        <family val="2"/>
      </rPr>
      <t>*1</t>
    </r>
    <r>
      <rPr>
        <sz val="12"/>
        <color theme="1"/>
        <rFont val="宋体"/>
        <family val="3"/>
        <charset val="134"/>
      </rPr>
      <t>，肝宝</t>
    </r>
    <r>
      <rPr>
        <sz val="12"/>
        <color theme="1"/>
        <rFont val="Calibri"/>
        <family val="2"/>
      </rPr>
      <t>*2</t>
    </r>
    <r>
      <rPr>
        <sz val="12"/>
        <color theme="1"/>
        <rFont val="宋体"/>
        <family val="3"/>
        <charset val="134"/>
      </rPr>
      <t>，心宝</t>
    </r>
    <r>
      <rPr>
        <sz val="12"/>
        <color theme="1"/>
        <rFont val="Calibri"/>
        <family val="2"/>
      </rPr>
      <t>*2</t>
    </r>
    <r>
      <rPr>
        <sz val="12"/>
        <color theme="1"/>
        <rFont val="宋体"/>
        <family val="3"/>
        <charset val="134"/>
      </rPr>
      <t>，心宝</t>
    </r>
    <r>
      <rPr>
        <sz val="12"/>
        <color theme="1"/>
        <rFont val="Calibri"/>
        <family val="2"/>
      </rPr>
      <t>*2</t>
    </r>
  </si>
  <si>
    <t>尹月华</t>
  </si>
  <si>
    <t>120105198901244821</t>
  </si>
  <si>
    <t>尹月华120105198901244821</t>
  </si>
  <si>
    <t>9769148718497</t>
  </si>
  <si>
    <t>SC02384300012</t>
  </si>
  <si>
    <t>萨支斌</t>
  </si>
  <si>
    <t>广东省广州市先烈南路17号大院7号101</t>
  </si>
  <si>
    <t>350104199006231814</t>
  </si>
  <si>
    <t>萨支斌350104199006231814</t>
  </si>
  <si>
    <t>9769148719897</t>
  </si>
  <si>
    <t>SC02384300016</t>
  </si>
  <si>
    <t>郑佳露</t>
  </si>
  <si>
    <t>广东省广州市从化区江埔街道御景山水城商业街御景山水大道16号乐誉佳生活超市代收</t>
  </si>
  <si>
    <t>310110198609083246</t>
  </si>
  <si>
    <t>郑佳露310110198609083246</t>
  </si>
  <si>
    <t>9769148720797</t>
  </si>
  <si>
    <t>SC02384100007</t>
  </si>
  <si>
    <t>张薇</t>
  </si>
  <si>
    <t>210204198508263066</t>
  </si>
  <si>
    <t>张薇210204198508263066</t>
  </si>
  <si>
    <t>9769148721597</t>
  </si>
  <si>
    <t>SC02384100011</t>
  </si>
  <si>
    <t>广东省广州市南沙区港前大道时代南湾湖韵6号</t>
  </si>
  <si>
    <t>120104197403056317</t>
  </si>
  <si>
    <t>吴刚120104197403056317</t>
  </si>
  <si>
    <t>9769148722497</t>
  </si>
  <si>
    <t>SC02384100015</t>
  </si>
  <si>
    <t>421127194412150156</t>
  </si>
  <si>
    <t>李立华421127194412150156</t>
  </si>
  <si>
    <t>9769148723897</t>
  </si>
  <si>
    <t>SC02384100019</t>
  </si>
  <si>
    <t>何任荣</t>
  </si>
  <si>
    <t xml:space="preserve">广东省广州市南沙区南沙澳园4区 8栋 </t>
  </si>
  <si>
    <t>广东省广州市南沙区南沙街芦湾村新林楼南沙市政工程有限公司</t>
  </si>
  <si>
    <t>421127194711250026</t>
  </si>
  <si>
    <t>何任荣421127194711250026</t>
  </si>
  <si>
    <t>9769148591297</t>
  </si>
  <si>
    <t>SC20200033103</t>
  </si>
  <si>
    <t>周可奇</t>
  </si>
  <si>
    <t>广东省广州市侨光路8号华夏大厦C座5-6楼</t>
  </si>
  <si>
    <t>330102198308310058</t>
  </si>
  <si>
    <t>周可奇330102198308310058</t>
  </si>
  <si>
    <t>9769148609597</t>
  </si>
  <si>
    <t>SC20200020786</t>
  </si>
  <si>
    <t>山东省枣庄市十星泉发电厂锅炉检修本体班</t>
  </si>
  <si>
    <t>37082919881227061X</t>
  </si>
  <si>
    <t>高钟响37082919881227061X</t>
  </si>
  <si>
    <t>9769148611397</t>
  </si>
  <si>
    <t>SC20200020796</t>
  </si>
  <si>
    <t>惠鹏刚</t>
  </si>
  <si>
    <t>山东省昌邑市交通街英达国际1716</t>
  </si>
  <si>
    <t>610324199501284235</t>
  </si>
  <si>
    <t>惠鹏刚610324199501284235</t>
  </si>
  <si>
    <t>9769148724197</t>
  </si>
  <si>
    <t>SC03424700017</t>
  </si>
  <si>
    <t>柴磊杰</t>
  </si>
  <si>
    <t>辽宁省营口市鲅鱼圈区新港小区82号楼5单元501</t>
  </si>
  <si>
    <t>320483198605293111</t>
  </si>
  <si>
    <t>柴磊杰320483198605293111</t>
  </si>
  <si>
    <t>9769148725597</t>
  </si>
  <si>
    <t>SC03424700021</t>
  </si>
  <si>
    <t>狄曼</t>
  </si>
  <si>
    <t>230103198710011366</t>
  </si>
  <si>
    <t>狄曼230103198710011366</t>
  </si>
  <si>
    <t>9769148726997</t>
  </si>
  <si>
    <t>SC03424700025</t>
  </si>
  <si>
    <t>关基</t>
  </si>
  <si>
    <t>440803195411060321</t>
  </si>
  <si>
    <t>关基440803195411060321</t>
  </si>
  <si>
    <t>9769148727297</t>
  </si>
  <si>
    <t>SC03424700029</t>
  </si>
  <si>
    <t>黄桢桢</t>
  </si>
  <si>
    <t>辽宁省营口市鲅鱼圈区昆仑大街昆仑三号B座29层</t>
  </si>
  <si>
    <t>452402198804040021</t>
  </si>
  <si>
    <t>黄桢桢452402198804040021</t>
  </si>
  <si>
    <t>9769148728697</t>
  </si>
  <si>
    <t>SC11527700007</t>
  </si>
  <si>
    <t>李笑影</t>
  </si>
  <si>
    <t>360102198509161648</t>
  </si>
  <si>
    <t>李笑影360102198509161648</t>
  </si>
  <si>
    <t>9769148568297</t>
  </si>
  <si>
    <t>SC20200017435</t>
  </si>
  <si>
    <t>顾状</t>
  </si>
  <si>
    <t>山东省德州市庆云县渤海路街道地税局对过</t>
  </si>
  <si>
    <t>山东省德州市德城区宋官屯街道中建华府41号楼2单元601</t>
  </si>
  <si>
    <t>32032419951123569X</t>
  </si>
  <si>
    <t>顾状32032419951123569X</t>
  </si>
  <si>
    <t>9769148565197</t>
  </si>
  <si>
    <t>SC20200023928</t>
  </si>
  <si>
    <t>郭俊文</t>
  </si>
  <si>
    <t>山东省日照市开发区秦皇岛路18号地质科技大厦4F矿产二处</t>
  </si>
  <si>
    <t>230803195802017030</t>
  </si>
  <si>
    <t>郭俊文230803195802017030</t>
  </si>
  <si>
    <t>9769148729097</t>
  </si>
  <si>
    <t>MM2020100735</t>
  </si>
  <si>
    <r>
      <rPr>
        <sz val="12"/>
        <color rgb="FF000000"/>
        <rFont val="Heiti SC Light"/>
        <family val="1"/>
      </rPr>
      <t>剃须刀</t>
    </r>
    <r>
      <rPr>
        <sz val="12"/>
        <color rgb="FF000000"/>
        <rFont val="Arial"/>
        <family val="2"/>
      </rPr>
      <t>5</t>
    </r>
    <r>
      <rPr>
        <sz val="12"/>
        <color rgb="FF000000"/>
        <rFont val="Heiti SC Light"/>
        <family val="1"/>
      </rPr>
      <t>系</t>
    </r>
  </si>
  <si>
    <t>Philipe</t>
  </si>
  <si>
    <t>张玲琳</t>
  </si>
  <si>
    <t xml:space="preserve">辽宁省沈阳市铁西区滑翔路19-6号1-1-1 </t>
  </si>
  <si>
    <t>210106197302044944</t>
  </si>
  <si>
    <t>张玲琳210106197302044944</t>
  </si>
  <si>
    <t>9769148314897</t>
  </si>
  <si>
    <t>MM2020100774</t>
  </si>
  <si>
    <r>
      <rPr>
        <sz val="12"/>
        <color rgb="FF000000"/>
        <rFont val="Heiti SC Light"/>
        <family val="1"/>
      </rPr>
      <t>眼胶</t>
    </r>
    <r>
      <rPr>
        <sz val="12"/>
        <color rgb="FF000000"/>
        <rFont val="Arial"/>
        <family val="2"/>
      </rPr>
      <t>*5</t>
    </r>
  </si>
  <si>
    <t>320683199510231423</t>
  </si>
  <si>
    <t>徐莉莉320683199510231423</t>
  </si>
  <si>
    <t>9769116666197</t>
  </si>
  <si>
    <t>MM2020100779</t>
  </si>
  <si>
    <t>蔡艾霖</t>
  </si>
  <si>
    <t>海南省海口市美兰区和平大道16号银谷苑4座</t>
  </si>
  <si>
    <t>500225198610156866</t>
  </si>
  <si>
    <t>蔡艾霖500225198610156866</t>
  </si>
  <si>
    <t>9769148312597</t>
  </si>
  <si>
    <t>MM2020100783</t>
  </si>
  <si>
    <t>曹瑛</t>
  </si>
  <si>
    <t>上海市闵行区七宝镇宝铭路88弄62号1101室</t>
  </si>
  <si>
    <t>310112198611101522</t>
  </si>
  <si>
    <t>曹瑛310112198611101522</t>
  </si>
  <si>
    <t>9769116715497</t>
  </si>
  <si>
    <t>MM2020100793</t>
  </si>
  <si>
    <t>柴凤飞</t>
  </si>
  <si>
    <t>110104196505073058</t>
  </si>
  <si>
    <t>柴凤飞110104196505073058</t>
  </si>
  <si>
    <t>9769116704997</t>
  </si>
  <si>
    <t>MM2020100802</t>
  </si>
  <si>
    <t>面霜*1，面霜三件套*2</t>
  </si>
  <si>
    <t>吴国忠</t>
  </si>
  <si>
    <t>江苏无锡市崇安区解放路369号崇安寺街道</t>
  </si>
  <si>
    <t>320202196501231516</t>
  </si>
  <si>
    <t>吴国忠320202196501231516</t>
  </si>
  <si>
    <t>9769148730997</t>
  </si>
  <si>
    <t>SC03370900003</t>
  </si>
  <si>
    <t>李明珠</t>
  </si>
  <si>
    <t>山东省日照市海滨二路78号碧波写字楼三楼日照中海船务代理有限公司</t>
  </si>
  <si>
    <t>430626199303051428</t>
  </si>
  <si>
    <t>李明珠430626199303051428</t>
  </si>
  <si>
    <t>9769148731297</t>
  </si>
  <si>
    <t>SC20200023997</t>
  </si>
  <si>
    <t>刘崇田</t>
  </si>
  <si>
    <t>山东省曲阜市鲁城街道经济开发区保安驾校南邻山东天宇结构工程有限公司</t>
  </si>
  <si>
    <t>210114197306072416</t>
  </si>
  <si>
    <t>刘崇田210114197306072416</t>
  </si>
  <si>
    <t>9769148732697</t>
  </si>
  <si>
    <t>SC20200032624</t>
  </si>
  <si>
    <t>吕楠</t>
  </si>
  <si>
    <t>山东省德州市经济开发区东风东路应用技术研究院409</t>
  </si>
  <si>
    <t>110105199005281125</t>
  </si>
  <si>
    <t>吕楠110105199005281125</t>
  </si>
  <si>
    <t>9769148733097</t>
  </si>
  <si>
    <t>SC03467700002</t>
  </si>
  <si>
    <t>河北省石家庄市九中街49号金元小区1-2-403</t>
  </si>
  <si>
    <t>130130199406061529</t>
  </si>
  <si>
    <t>赵梦雅130130199406061529</t>
  </si>
  <si>
    <t>9769148734397</t>
  </si>
  <si>
    <t>SC03467700006</t>
  </si>
  <si>
    <t>任娣</t>
  </si>
  <si>
    <t>河北省石家庄市东方大厦13层银保部</t>
  </si>
  <si>
    <t>342401199209106607</t>
  </si>
  <si>
    <t>任娣342401199209106607</t>
  </si>
  <si>
    <t>9769148735797</t>
  </si>
  <si>
    <t>SC03298100002</t>
  </si>
  <si>
    <t>汤晓飞</t>
  </si>
  <si>
    <t>辽宁省丹东市元宝区八道御景苑二期五号楼一单元102</t>
  </si>
  <si>
    <t>142229198904253119</t>
  </si>
  <si>
    <t>汤晓飞142229198904253119</t>
  </si>
  <si>
    <t>9769148736597</t>
  </si>
  <si>
    <t>SC20200032982</t>
  </si>
  <si>
    <t>王婷</t>
  </si>
  <si>
    <t>辽宁省丹东市元宝区前聚宝街176号3单元507</t>
  </si>
  <si>
    <t>142625198612135125</t>
  </si>
  <si>
    <t>王婷142625198612135125</t>
  </si>
  <si>
    <t>9769148737497</t>
  </si>
  <si>
    <t>SC03298200005</t>
  </si>
  <si>
    <t>陈孝红</t>
  </si>
  <si>
    <t>辽宁省鞍山市前进路四道街11栋富成水果超市</t>
  </si>
  <si>
    <t>谢丹</t>
  </si>
  <si>
    <t>372922198901243966</t>
  </si>
  <si>
    <t>谢丹372922198901243966</t>
  </si>
  <si>
    <t>9769148738897</t>
  </si>
  <si>
    <t>SC03261100004</t>
  </si>
  <si>
    <t>张会</t>
  </si>
  <si>
    <t>411425199011123661</t>
  </si>
  <si>
    <t>张会411425199011123661</t>
  </si>
  <si>
    <t>9769148441897</t>
  </si>
  <si>
    <t>SC20200022016</t>
  </si>
  <si>
    <r>
      <rPr>
        <sz val="12"/>
        <color theme="1"/>
        <rFont val="宋体"/>
        <family val="3"/>
        <charset val="134"/>
      </rPr>
      <t>防晒膏</t>
    </r>
    <r>
      <rPr>
        <sz val="12"/>
        <color theme="1"/>
        <rFont val="Calibri"/>
        <family val="2"/>
      </rPr>
      <t>*1</t>
    </r>
    <r>
      <rPr>
        <sz val="12"/>
        <color theme="1"/>
        <rFont val="宋体"/>
        <family val="3"/>
        <charset val="134"/>
      </rPr>
      <t>，鱼油</t>
    </r>
    <r>
      <rPr>
        <sz val="12"/>
        <color theme="1"/>
        <rFont val="Calibri"/>
        <family val="2"/>
      </rPr>
      <t>*2</t>
    </r>
    <r>
      <rPr>
        <sz val="12"/>
        <color theme="1"/>
        <rFont val="宋体"/>
        <family val="3"/>
        <charset val="134"/>
      </rPr>
      <t>，紫草膏</t>
    </r>
    <r>
      <rPr>
        <sz val="12"/>
        <color theme="1"/>
        <rFont val="Calibri"/>
        <family val="2"/>
      </rPr>
      <t>*2</t>
    </r>
    <r>
      <rPr>
        <sz val="12"/>
        <color theme="1"/>
        <rFont val="宋体"/>
        <family val="3"/>
        <charset val="134"/>
      </rPr>
      <t>，益生益</t>
    </r>
    <r>
      <rPr>
        <sz val="12"/>
        <color theme="1"/>
        <rFont val="Calibri"/>
        <family val="2"/>
      </rPr>
      <t>*1</t>
    </r>
    <r>
      <rPr>
        <sz val="12"/>
        <color theme="1"/>
        <rFont val="宋体"/>
        <family val="3"/>
        <charset val="134"/>
      </rPr>
      <t>，维</t>
    </r>
    <r>
      <rPr>
        <sz val="12"/>
        <color theme="1"/>
        <rFont val="Calibri"/>
        <family val="2"/>
      </rPr>
      <t>C*3</t>
    </r>
    <r>
      <rPr>
        <sz val="12"/>
        <color theme="1"/>
        <rFont val="宋体"/>
        <family val="3"/>
        <charset val="134"/>
      </rPr>
      <t>，维</t>
    </r>
    <r>
      <rPr>
        <sz val="12"/>
        <color theme="1"/>
        <rFont val="Calibri"/>
        <family val="2"/>
      </rPr>
      <t>C*1</t>
    </r>
  </si>
  <si>
    <t>THINKBABY，NUTRIPUR，BURT'S BEES，NATURE'S WAY，JAMIESON，SISU</t>
  </si>
  <si>
    <t>89ML，180粒，15G，30粒，1000MG，90粒</t>
  </si>
  <si>
    <t>龙芝红</t>
  </si>
  <si>
    <t>贵州省黔东南苗族侗族自治州丹寨县疾病预防控制中心（丹寨县金钟开发区富祥路北侧）</t>
  </si>
  <si>
    <t>赵西臣</t>
  </si>
  <si>
    <t>410725198802285430</t>
  </si>
  <si>
    <t>赵西臣410725198802285430</t>
  </si>
  <si>
    <t>9769148493497</t>
  </si>
  <si>
    <t>SC20200022023</t>
  </si>
  <si>
    <t>37022619521205204x</t>
  </si>
  <si>
    <t>曹增芹37022619521205204x</t>
  </si>
  <si>
    <t>9769148489497</t>
  </si>
  <si>
    <t>SC20200022026</t>
  </si>
  <si>
    <r>
      <rPr>
        <sz val="12"/>
        <color theme="1"/>
        <rFont val="宋体"/>
        <family val="3"/>
        <charset val="134"/>
      </rPr>
      <t>痛风灵</t>
    </r>
    <r>
      <rPr>
        <sz val="12"/>
        <color theme="1"/>
        <rFont val="Calibri"/>
        <family val="2"/>
      </rPr>
      <t>*10</t>
    </r>
    <r>
      <rPr>
        <sz val="12"/>
        <color theme="1"/>
        <rFont val="宋体"/>
        <family val="3"/>
        <charset val="134"/>
      </rPr>
      <t>，蜂胶</t>
    </r>
    <r>
      <rPr>
        <sz val="12"/>
        <color theme="1"/>
        <rFont val="Calibri"/>
        <family val="2"/>
      </rPr>
      <t>*6</t>
    </r>
  </si>
  <si>
    <t>ORGANIKA，ORGANIKA</t>
  </si>
  <si>
    <r>
      <rPr>
        <sz val="12"/>
        <color theme="1"/>
        <rFont val="Calibri"/>
        <family val="2"/>
      </rPr>
      <t>150</t>
    </r>
    <r>
      <rPr>
        <sz val="12"/>
        <color theme="1"/>
        <rFont val="宋体"/>
        <family val="3"/>
        <charset val="134"/>
      </rPr>
      <t>粒，</t>
    </r>
    <r>
      <rPr>
        <sz val="12"/>
        <color theme="1"/>
        <rFont val="Calibri"/>
        <family val="2"/>
      </rPr>
      <t>30ML</t>
    </r>
  </si>
  <si>
    <t>370726195305020081</t>
  </si>
  <si>
    <t>朱金玲370726195305020081</t>
  </si>
  <si>
    <t>9769148510497</t>
  </si>
  <si>
    <t>SC20200034011</t>
  </si>
  <si>
    <r>
      <rPr>
        <sz val="12"/>
        <color theme="1"/>
        <rFont val="宋体"/>
        <family val="3"/>
        <charset val="134"/>
      </rPr>
      <t>鱼油</t>
    </r>
    <r>
      <rPr>
        <sz val="12"/>
        <color theme="1"/>
        <rFont val="Calibri"/>
        <family val="2"/>
      </rPr>
      <t>*9</t>
    </r>
    <r>
      <rPr>
        <sz val="12"/>
        <color theme="1"/>
        <rFont val="宋体"/>
        <family val="3"/>
        <charset val="134"/>
      </rPr>
      <t>，钙片</t>
    </r>
    <r>
      <rPr>
        <sz val="12"/>
        <color theme="1"/>
        <rFont val="Calibri"/>
        <family val="2"/>
      </rPr>
      <t>*3</t>
    </r>
  </si>
  <si>
    <t>李博</t>
  </si>
  <si>
    <t>广东省广州市越秀区万福路291号文福大厦栋705</t>
  </si>
  <si>
    <t>650121197906150014</t>
  </si>
  <si>
    <t>李博650121197906150014</t>
  </si>
  <si>
    <t>9769148551597</t>
  </si>
  <si>
    <t>SC20200033641</t>
  </si>
  <si>
    <r>
      <rPr>
        <sz val="12"/>
        <color theme="1"/>
        <rFont val="宋体"/>
        <family val="3"/>
        <charset val="134"/>
      </rPr>
      <t>粉底液</t>
    </r>
    <r>
      <rPr>
        <sz val="12"/>
        <color theme="1"/>
        <rFont val="Calibri"/>
        <family val="2"/>
      </rPr>
      <t>*1</t>
    </r>
    <r>
      <rPr>
        <sz val="12"/>
        <color theme="1"/>
        <rFont val="宋体"/>
        <family val="3"/>
        <charset val="134"/>
      </rPr>
      <t>，小样精华</t>
    </r>
    <r>
      <rPr>
        <sz val="12"/>
        <color theme="1"/>
        <rFont val="Calibri"/>
        <family val="2"/>
      </rPr>
      <t>*6</t>
    </r>
    <r>
      <rPr>
        <sz val="12"/>
        <color theme="1"/>
        <rFont val="宋体"/>
        <family val="3"/>
        <charset val="134"/>
      </rPr>
      <t>，爽肤水</t>
    </r>
    <r>
      <rPr>
        <sz val="12"/>
        <color theme="1"/>
        <rFont val="Calibri"/>
        <family val="2"/>
      </rPr>
      <t>*1</t>
    </r>
  </si>
  <si>
    <t>ESTEE LAUDER，ESTEE LAUDER，LANCOME</t>
  </si>
  <si>
    <t>30ML，7ML，400ML</t>
  </si>
  <si>
    <t>河北省廊坊市三河市燕郊开发区燕顺路中兴和园6-1-201</t>
  </si>
  <si>
    <t>330726196310190010</t>
  </si>
  <si>
    <t>张宏330726196310190010</t>
  </si>
  <si>
    <t>9769148559497</t>
  </si>
  <si>
    <t>SC20200033645</t>
  </si>
  <si>
    <r>
      <rPr>
        <sz val="12"/>
        <color theme="1"/>
        <rFont val="宋体"/>
        <family val="3"/>
        <charset val="134"/>
      </rPr>
      <t>爽肤水</t>
    </r>
    <r>
      <rPr>
        <sz val="12"/>
        <color theme="1"/>
        <rFont val="Calibri"/>
        <family val="2"/>
      </rPr>
      <t>*1</t>
    </r>
    <r>
      <rPr>
        <sz val="12"/>
        <color theme="1"/>
        <rFont val="宋体"/>
        <family val="3"/>
        <charset val="134"/>
      </rPr>
      <t>，眼霜</t>
    </r>
    <r>
      <rPr>
        <sz val="12"/>
        <color theme="1"/>
        <rFont val="Calibri"/>
        <family val="2"/>
      </rPr>
      <t>*1</t>
    </r>
    <r>
      <rPr>
        <sz val="12"/>
        <color theme="1"/>
        <rFont val="宋体"/>
        <family val="3"/>
        <charset val="134"/>
      </rPr>
      <t>，面霜</t>
    </r>
    <r>
      <rPr>
        <sz val="12"/>
        <color theme="1"/>
        <rFont val="Calibri"/>
        <family val="2"/>
      </rPr>
      <t>*1</t>
    </r>
    <r>
      <rPr>
        <sz val="12"/>
        <color theme="1"/>
        <rFont val="宋体"/>
        <family val="3"/>
        <charset val="134"/>
      </rPr>
      <t>，唇釉</t>
    </r>
    <r>
      <rPr>
        <sz val="12"/>
        <color theme="1"/>
        <rFont val="Calibri"/>
        <family val="2"/>
      </rPr>
      <t>*1</t>
    </r>
    <r>
      <rPr>
        <sz val="12"/>
        <color theme="1"/>
        <rFont val="宋体"/>
        <family val="3"/>
        <charset val="134"/>
      </rPr>
      <t>，卸妆水</t>
    </r>
    <r>
      <rPr>
        <sz val="12"/>
        <color theme="1"/>
        <rFont val="Calibri"/>
        <family val="2"/>
      </rPr>
      <t>*1</t>
    </r>
  </si>
  <si>
    <t>LANCOME，LANCOME，LANCOME，LANCOME，LANCOME</t>
  </si>
  <si>
    <t>40ML，6ML，15ML，3ML，50ML</t>
  </si>
  <si>
    <t>彭莉平</t>
  </si>
  <si>
    <t>四川省自贡市大安区凤凰乡黄荆湾经济迁用房7栋二单元</t>
  </si>
  <si>
    <t>卜塑</t>
  </si>
  <si>
    <t>430102199101185024</t>
  </si>
  <si>
    <t>卜塑430102199101185024</t>
  </si>
  <si>
    <t>9769148558597</t>
  </si>
  <si>
    <t>SC20200033644</t>
  </si>
  <si>
    <r>
      <rPr>
        <sz val="12"/>
        <color theme="1"/>
        <rFont val="宋体"/>
        <family val="3"/>
        <charset val="134"/>
      </rPr>
      <t>爽肤水</t>
    </r>
    <r>
      <rPr>
        <sz val="12"/>
        <color theme="1"/>
        <rFont val="Calibri"/>
        <family val="2"/>
      </rPr>
      <t>*2</t>
    </r>
    <r>
      <rPr>
        <sz val="12"/>
        <color theme="1"/>
        <rFont val="宋体"/>
        <family val="3"/>
        <charset val="134"/>
      </rPr>
      <t>，面膜</t>
    </r>
    <r>
      <rPr>
        <sz val="12"/>
        <color theme="1"/>
        <rFont val="Calibri"/>
        <family val="2"/>
      </rPr>
      <t>*2</t>
    </r>
    <r>
      <rPr>
        <sz val="12"/>
        <color theme="1"/>
        <rFont val="宋体"/>
        <family val="3"/>
        <charset val="134"/>
      </rPr>
      <t>，小样精华</t>
    </r>
    <r>
      <rPr>
        <sz val="12"/>
        <color theme="1"/>
        <rFont val="Calibri"/>
        <family val="2"/>
      </rPr>
      <t>*2</t>
    </r>
  </si>
  <si>
    <t>LANCOME，GLAMGLOW，ESTEE LAUDER</t>
  </si>
  <si>
    <t>40ML，50ML+10ML+10ML，7ML</t>
  </si>
  <si>
    <t>彭佳燕</t>
  </si>
  <si>
    <t>440582198103165204</t>
  </si>
  <si>
    <t>彭佳燕440582198103165204</t>
  </si>
  <si>
    <t>9769148457197</t>
  </si>
  <si>
    <t>SC20200031799</t>
  </si>
  <si>
    <r>
      <rPr>
        <sz val="12"/>
        <color theme="1"/>
        <rFont val="宋体"/>
        <family val="3"/>
        <charset val="134"/>
      </rPr>
      <t>基本营养素</t>
    </r>
    <r>
      <rPr>
        <sz val="12"/>
        <color theme="1"/>
        <rFont val="Calibri"/>
        <family val="2"/>
      </rPr>
      <t>*8</t>
    </r>
    <r>
      <rPr>
        <sz val="12"/>
        <color theme="1"/>
        <rFont val="宋体"/>
        <family val="3"/>
        <charset val="134"/>
      </rPr>
      <t>，葡萄籽</t>
    </r>
    <r>
      <rPr>
        <sz val="12"/>
        <color theme="1"/>
        <rFont val="Calibri"/>
        <family val="2"/>
      </rPr>
      <t>*3</t>
    </r>
    <r>
      <rPr>
        <sz val="12"/>
        <color theme="1"/>
        <rFont val="宋体"/>
        <family val="3"/>
        <charset val="134"/>
      </rPr>
      <t>，消化酵素</t>
    </r>
    <r>
      <rPr>
        <sz val="12"/>
        <color theme="1"/>
        <rFont val="Calibri"/>
        <family val="2"/>
      </rPr>
      <t>*2</t>
    </r>
    <r>
      <rPr>
        <sz val="12"/>
        <color theme="1"/>
        <rFont val="宋体"/>
        <family val="3"/>
        <charset val="134"/>
      </rPr>
      <t>，益生菌</t>
    </r>
    <r>
      <rPr>
        <sz val="12"/>
        <color theme="1"/>
        <rFont val="Calibri"/>
        <family val="2"/>
      </rPr>
      <t>*2</t>
    </r>
  </si>
  <si>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</si>
  <si>
    <t>410402197209115531</t>
  </si>
  <si>
    <t>张晓鹏410402197209115531</t>
  </si>
  <si>
    <t>9769148543597</t>
  </si>
  <si>
    <t>SC20200034650</t>
  </si>
  <si>
    <r>
      <rPr>
        <sz val="12"/>
        <color theme="1"/>
        <rFont val="宋体"/>
        <family val="3"/>
        <charset val="134"/>
      </rPr>
      <t>精华素</t>
    </r>
    <r>
      <rPr>
        <sz val="12"/>
        <color theme="1"/>
        <rFont val="Calibri"/>
        <family val="2"/>
      </rPr>
      <t>*2</t>
    </r>
    <r>
      <rPr>
        <sz val="12"/>
        <color theme="1"/>
        <rFont val="宋体"/>
        <family val="3"/>
        <charset val="134"/>
      </rPr>
      <t>，日霜</t>
    </r>
    <r>
      <rPr>
        <sz val="12"/>
        <color theme="1"/>
        <rFont val="Calibri"/>
        <family val="2"/>
      </rPr>
      <t>*1</t>
    </r>
    <r>
      <rPr>
        <sz val="12"/>
        <color theme="1"/>
        <rFont val="宋体"/>
        <family val="3"/>
        <charset val="134"/>
      </rPr>
      <t>，美白精华</t>
    </r>
    <r>
      <rPr>
        <sz val="12"/>
        <color theme="1"/>
        <rFont val="Calibri"/>
        <family val="2"/>
      </rPr>
      <t>*1</t>
    </r>
    <r>
      <rPr>
        <sz val="12"/>
        <color theme="1"/>
        <rFont val="宋体"/>
        <family val="3"/>
        <charset val="134"/>
      </rPr>
      <t>，身体霜</t>
    </r>
    <r>
      <rPr>
        <sz val="12"/>
        <color theme="1"/>
        <rFont val="Calibri"/>
        <family val="2"/>
      </rPr>
      <t>*1</t>
    </r>
  </si>
  <si>
    <t>15ML，30ML，30ML，150ML</t>
  </si>
  <si>
    <t>曾莹莹</t>
  </si>
  <si>
    <t>460027199307194222</t>
  </si>
  <si>
    <t>曾莹莹460027199307194222</t>
  </si>
  <si>
    <t>9769148534297</t>
  </si>
  <si>
    <t>SC20200034661</t>
  </si>
  <si>
    <t>蔡梦晓</t>
  </si>
  <si>
    <t>310110198109254467</t>
  </si>
  <si>
    <t>蔡梦晓310110198109254467</t>
  </si>
  <si>
    <t>9769148536097</t>
  </si>
  <si>
    <t>SC20200034654</t>
  </si>
  <si>
    <r>
      <rPr>
        <sz val="12"/>
        <color theme="1"/>
        <rFont val="宋体"/>
        <family val="3"/>
        <charset val="134"/>
      </rPr>
      <t>精华素</t>
    </r>
    <r>
      <rPr>
        <sz val="12"/>
        <color theme="1"/>
        <rFont val="Calibri"/>
        <family val="2"/>
      </rPr>
      <t>*6</t>
    </r>
  </si>
  <si>
    <t>李考芬</t>
  </si>
  <si>
    <t>广东省韶关市翁源县坝仔镇岩庄醉仙楼宜家建材</t>
  </si>
  <si>
    <t>陈一帆</t>
  </si>
  <si>
    <t>330521198706100516</t>
  </si>
  <si>
    <t>陈一帆330521198706100516</t>
  </si>
  <si>
    <t>9769148481597</t>
  </si>
  <si>
    <t>SC20200033042</t>
  </si>
  <si>
    <r>
      <rPr>
        <sz val="12"/>
        <color theme="1"/>
        <rFont val="宋体"/>
        <family val="3"/>
        <charset val="134"/>
      </rPr>
      <t>健骼宁</t>
    </r>
    <r>
      <rPr>
        <sz val="12"/>
        <color theme="1"/>
        <rFont val="Calibri"/>
        <family val="2"/>
      </rPr>
      <t>*5</t>
    </r>
    <r>
      <rPr>
        <sz val="12"/>
        <color theme="1"/>
        <rFont val="宋体"/>
        <family val="3"/>
        <charset val="134"/>
      </rPr>
      <t>，心宝</t>
    </r>
    <r>
      <rPr>
        <sz val="12"/>
        <color theme="1"/>
        <rFont val="Calibri"/>
        <family val="2"/>
      </rPr>
      <t>*6</t>
    </r>
    <r>
      <rPr>
        <sz val="12"/>
        <color theme="1"/>
        <rFont val="宋体"/>
        <family val="3"/>
        <charset val="134"/>
      </rPr>
      <t>，儿童营养素</t>
    </r>
    <r>
      <rPr>
        <sz val="12"/>
        <color theme="1"/>
        <rFont val="Calibri"/>
        <family val="2"/>
      </rPr>
      <t>*1</t>
    </r>
    <r>
      <rPr>
        <sz val="12"/>
        <color theme="1"/>
        <rFont val="宋体"/>
        <family val="3"/>
        <charset val="134"/>
      </rPr>
      <t>，锐知宝</t>
    </r>
    <r>
      <rPr>
        <sz val="12"/>
        <color theme="1"/>
        <rFont val="Calibri"/>
        <family val="2"/>
      </rPr>
      <t>*3</t>
    </r>
  </si>
  <si>
    <t>广东省广州市增城区荔城街夏街大道197号景观花园A幢303房</t>
  </si>
  <si>
    <t>44018319860509675x</t>
  </si>
  <si>
    <t>刘建全44018319860509675x</t>
  </si>
  <si>
    <t>9769148421497</t>
  </si>
  <si>
    <t>SC20200033046</t>
  </si>
  <si>
    <t>傅瑶</t>
  </si>
  <si>
    <t>广东省广州市增城区新塘镇保利东江首府环府中路25号</t>
  </si>
  <si>
    <t>342401198508180722</t>
  </si>
  <si>
    <t>傅瑶342401198508180722</t>
  </si>
  <si>
    <t>9769148479297</t>
  </si>
  <si>
    <t>SC20200033050</t>
  </si>
  <si>
    <t>侯海亚</t>
  </si>
  <si>
    <t>广东省广州市增城区新塘镇翡翠绿洲湖绣苑6栋902</t>
  </si>
  <si>
    <t>330203198307160926</t>
  </si>
  <si>
    <t>侯海亚330203198307160926</t>
  </si>
  <si>
    <t>9769148400797</t>
  </si>
  <si>
    <t>SC20200034680</t>
  </si>
  <si>
    <r>
      <rPr>
        <sz val="12"/>
        <color theme="1"/>
        <rFont val="宋体"/>
        <family val="3"/>
        <charset val="134"/>
      </rPr>
      <t>肝宝</t>
    </r>
    <r>
      <rPr>
        <sz val="12"/>
        <color theme="1"/>
        <rFont val="Calibri"/>
        <family val="2"/>
      </rPr>
      <t>*3</t>
    </r>
    <r>
      <rPr>
        <sz val="12"/>
        <color theme="1"/>
        <rFont val="宋体"/>
        <family val="3"/>
        <charset val="134"/>
      </rPr>
      <t>，前列宝</t>
    </r>
    <r>
      <rPr>
        <sz val="12"/>
        <color theme="1"/>
        <rFont val="Calibri"/>
        <family val="2"/>
      </rPr>
      <t>*3</t>
    </r>
    <r>
      <rPr>
        <sz val="12"/>
        <color theme="1"/>
        <rFont val="宋体"/>
        <family val="3"/>
        <charset val="134"/>
      </rPr>
      <t>，视力宝</t>
    </r>
    <r>
      <rPr>
        <sz val="12"/>
        <color theme="1"/>
        <rFont val="Calibri"/>
        <family val="2"/>
      </rPr>
      <t>*3</t>
    </r>
  </si>
  <si>
    <t>310105195204052017</t>
  </si>
  <si>
    <t>郑建章310105195204052017</t>
  </si>
  <si>
    <t>9769148362097</t>
  </si>
  <si>
    <t>SC20200034075</t>
  </si>
  <si>
    <t>聂梦璟</t>
  </si>
  <si>
    <t>四川省宜宾市翠屏区天池雅苑14栋</t>
  </si>
  <si>
    <t>雷燕</t>
  </si>
  <si>
    <t>360103198511120323</t>
  </si>
  <si>
    <t>雷燕360103198511120323</t>
  </si>
  <si>
    <t>9769148390897</t>
  </si>
  <si>
    <t>SC20200031793</t>
  </si>
  <si>
    <r>
      <rPr>
        <sz val="12"/>
        <color theme="1"/>
        <rFont val="宋体"/>
        <family val="3"/>
        <charset val="134"/>
      </rPr>
      <t>健康套装</t>
    </r>
    <r>
      <rPr>
        <sz val="12"/>
        <color theme="1"/>
        <rFont val="Calibri"/>
        <family val="2"/>
      </rPr>
      <t>*1</t>
    </r>
    <r>
      <rPr>
        <sz val="12"/>
        <color theme="1"/>
        <rFont val="宋体"/>
        <family val="3"/>
        <charset val="134"/>
      </rPr>
      <t>，心脏宝</t>
    </r>
    <r>
      <rPr>
        <sz val="12"/>
        <color theme="1"/>
        <rFont val="Calibri"/>
        <family val="2"/>
      </rPr>
      <t>*2</t>
    </r>
    <r>
      <rPr>
        <sz val="12"/>
        <color theme="1"/>
        <rFont val="宋体"/>
        <family val="3"/>
        <charset val="134"/>
      </rPr>
      <t>，鱼油</t>
    </r>
    <r>
      <rPr>
        <sz val="12"/>
        <color theme="1"/>
        <rFont val="Calibri"/>
        <family val="2"/>
      </rPr>
      <t>*2</t>
    </r>
    <r>
      <rPr>
        <sz val="12"/>
        <color theme="1"/>
        <rFont val="宋体"/>
        <family val="3"/>
        <charset val="134"/>
      </rPr>
      <t>，锐知宝</t>
    </r>
    <r>
      <rPr>
        <sz val="12"/>
        <color theme="1"/>
        <rFont val="Calibri"/>
        <family val="2"/>
      </rPr>
      <t>*4</t>
    </r>
  </si>
  <si>
    <t>河北省廊坊市三河市燕郊经济开发区京榆大街752号（国土资源部对面）</t>
  </si>
  <si>
    <t>132827197008081623</t>
  </si>
  <si>
    <t>刘红存132827197008081623</t>
  </si>
  <si>
    <t>9769116652597</t>
  </si>
  <si>
    <t>SC20200034776</t>
  </si>
  <si>
    <r>
      <rPr>
        <sz val="12"/>
        <color theme="1"/>
        <rFont val="宋体"/>
        <family val="3"/>
        <charset val="134"/>
      </rPr>
      <t>邮差包</t>
    </r>
    <r>
      <rPr>
        <sz val="12"/>
        <color theme="1"/>
        <rFont val="Calibri"/>
        <family val="2"/>
      </rPr>
      <t>*1</t>
    </r>
  </si>
  <si>
    <t>老花</t>
  </si>
  <si>
    <t>李平</t>
  </si>
  <si>
    <t>宁夏银川市金凤区阅海万家A区31-1-1103</t>
  </si>
  <si>
    <t>513902198904292423</t>
  </si>
  <si>
    <t>李平513902198904292423</t>
  </si>
  <si>
    <t>9769148398797</t>
  </si>
  <si>
    <t>SC20200033753</t>
  </si>
  <si>
    <r>
      <rPr>
        <sz val="12"/>
        <color theme="1"/>
        <rFont val="宋体"/>
        <family val="3"/>
        <charset val="134"/>
      </rPr>
      <t>健康包</t>
    </r>
    <r>
      <rPr>
        <sz val="12"/>
        <color theme="1"/>
        <rFont val="Calibri"/>
        <family val="2"/>
      </rPr>
      <t>*1</t>
    </r>
    <r>
      <rPr>
        <sz val="12"/>
        <color theme="1"/>
        <rFont val="宋体"/>
        <family val="3"/>
        <charset val="134"/>
      </rPr>
      <t>，心脏宝</t>
    </r>
    <r>
      <rPr>
        <sz val="12"/>
        <color theme="1"/>
        <rFont val="Calibri"/>
        <family val="2"/>
      </rPr>
      <t>*1</t>
    </r>
    <r>
      <rPr>
        <sz val="12"/>
        <color theme="1"/>
        <rFont val="宋体"/>
        <family val="3"/>
        <charset val="134"/>
      </rPr>
      <t>，肝宝</t>
    </r>
    <r>
      <rPr>
        <sz val="12"/>
        <color theme="1"/>
        <rFont val="Calibri"/>
        <family val="2"/>
      </rPr>
      <t>*1</t>
    </r>
    <r>
      <rPr>
        <sz val="12"/>
        <color theme="1"/>
        <rFont val="宋体"/>
        <family val="3"/>
        <charset val="134"/>
      </rPr>
      <t>，葡萄籽</t>
    </r>
    <r>
      <rPr>
        <sz val="12"/>
        <color theme="1"/>
        <rFont val="Calibri"/>
        <family val="2"/>
      </rPr>
      <t>*1</t>
    </r>
    <r>
      <rPr>
        <sz val="12"/>
        <color theme="1"/>
        <rFont val="宋体"/>
        <family val="3"/>
        <charset val="134"/>
      </rPr>
      <t>，健骼宁</t>
    </r>
    <r>
      <rPr>
        <sz val="12"/>
        <color theme="1"/>
        <rFont val="Calibri"/>
        <family val="2"/>
      </rPr>
      <t>*1</t>
    </r>
  </si>
  <si>
    <t>李梓宣</t>
  </si>
  <si>
    <t>441421195410054829</t>
  </si>
  <si>
    <t>李梓宣441421195410054829</t>
  </si>
  <si>
    <t>9769148370497</t>
  </si>
  <si>
    <t>SC20200033600</t>
  </si>
  <si>
    <r>
      <rPr>
        <sz val="12"/>
        <color theme="1"/>
        <rFont val="宋体"/>
        <family val="3"/>
        <charset val="134"/>
      </rPr>
      <t>益生菌</t>
    </r>
    <r>
      <rPr>
        <sz val="12"/>
        <color theme="1"/>
        <rFont val="Calibri"/>
        <family val="2"/>
      </rPr>
      <t>*2</t>
    </r>
    <r>
      <rPr>
        <sz val="12"/>
        <color theme="1"/>
        <rFont val="宋体"/>
        <family val="3"/>
        <charset val="134"/>
      </rPr>
      <t>，健康包</t>
    </r>
    <r>
      <rPr>
        <sz val="12"/>
        <color theme="1"/>
        <rFont val="Calibri"/>
        <family val="2"/>
      </rPr>
      <t>*2</t>
    </r>
    <r>
      <rPr>
        <sz val="12"/>
        <color theme="1"/>
        <rFont val="宋体"/>
        <family val="3"/>
        <charset val="134"/>
      </rPr>
      <t>，水杯</t>
    </r>
    <r>
      <rPr>
        <sz val="12"/>
        <color theme="1"/>
        <rFont val="Calibri"/>
        <family val="2"/>
      </rPr>
      <t>*1</t>
    </r>
  </si>
  <si>
    <r>
      <rPr>
        <sz val="12"/>
        <color theme="1"/>
        <rFont val="Calibri"/>
        <family val="2"/>
      </rPr>
      <t>14</t>
    </r>
    <r>
      <rPr>
        <sz val="12"/>
        <color theme="1"/>
        <rFont val="宋体"/>
        <family val="3"/>
        <charset val="134"/>
      </rPr>
      <t>条，</t>
    </r>
    <r>
      <rPr>
        <sz val="12"/>
        <color theme="1"/>
        <rFont val="Calibri"/>
        <family val="2"/>
      </rPr>
      <t>56</t>
    </r>
    <r>
      <rPr>
        <sz val="12"/>
        <color theme="1"/>
        <rFont val="宋体"/>
        <family val="3"/>
        <charset val="134"/>
      </rPr>
      <t>包，</t>
    </r>
  </si>
  <si>
    <t>张宣</t>
  </si>
  <si>
    <t>浙江省宁波市海曙区仓水街131号1号楼</t>
  </si>
  <si>
    <t>510502197702242517</t>
  </si>
  <si>
    <t>张宣510502197702242517</t>
  </si>
  <si>
    <t>9769148386897</t>
  </si>
  <si>
    <t>SC20200033601</t>
  </si>
  <si>
    <r>
      <rPr>
        <sz val="12"/>
        <color theme="1"/>
        <rFont val="宋体"/>
        <family val="3"/>
        <charset val="134"/>
      </rPr>
      <t>益生菌</t>
    </r>
    <r>
      <rPr>
        <sz val="12"/>
        <color theme="1"/>
        <rFont val="Calibri"/>
        <family val="2"/>
      </rPr>
      <t>*1</t>
    </r>
    <r>
      <rPr>
        <sz val="12"/>
        <color theme="1"/>
        <rFont val="宋体"/>
        <family val="3"/>
        <charset val="134"/>
      </rPr>
      <t>，消化酵素</t>
    </r>
    <r>
      <rPr>
        <sz val="12"/>
        <color theme="1"/>
        <rFont val="Calibri"/>
        <family val="2"/>
      </rPr>
      <t>*1</t>
    </r>
    <r>
      <rPr>
        <sz val="12"/>
        <color theme="1"/>
        <rFont val="宋体"/>
        <family val="3"/>
        <charset val="134"/>
      </rPr>
      <t>，健康包</t>
    </r>
    <r>
      <rPr>
        <sz val="12"/>
        <color theme="1"/>
        <rFont val="Calibri"/>
        <family val="2"/>
      </rPr>
      <t>*2</t>
    </r>
  </si>
  <si>
    <t>浙江省宁波市海曙区前丰街S4号304</t>
  </si>
  <si>
    <t>510102196407196144</t>
  </si>
  <si>
    <t>彭红510102196407196144</t>
  </si>
  <si>
    <t>9769116662797</t>
  </si>
  <si>
    <t>SC20200013862</t>
  </si>
  <si>
    <r>
      <rPr>
        <sz val="12"/>
        <color theme="1"/>
        <rFont val="宋体"/>
        <family val="3"/>
        <charset val="134"/>
      </rPr>
      <t>面霜</t>
    </r>
    <r>
      <rPr>
        <sz val="12"/>
        <color theme="1"/>
        <rFont val="Calibri"/>
        <family val="2"/>
      </rPr>
      <t>*1</t>
    </r>
    <r>
      <rPr>
        <sz val="12"/>
        <color theme="1"/>
        <rFont val="宋体"/>
        <family val="3"/>
        <charset val="134"/>
      </rPr>
      <t>，眼霜</t>
    </r>
    <r>
      <rPr>
        <sz val="12"/>
        <color theme="1"/>
        <rFont val="Calibri"/>
        <family val="2"/>
      </rPr>
      <t>*1</t>
    </r>
    <r>
      <rPr>
        <sz val="12"/>
        <color theme="1"/>
        <rFont val="宋体"/>
        <family val="3"/>
        <charset val="134"/>
      </rPr>
      <t>，爽肤水</t>
    </r>
    <r>
      <rPr>
        <sz val="12"/>
        <color theme="1"/>
        <rFont val="Calibri"/>
        <family val="2"/>
      </rPr>
      <t>*2</t>
    </r>
    <r>
      <rPr>
        <sz val="12"/>
        <color theme="1"/>
        <rFont val="宋体"/>
        <family val="3"/>
        <charset val="134"/>
      </rPr>
      <t>，染发剂</t>
    </r>
    <r>
      <rPr>
        <sz val="12"/>
        <color theme="1"/>
        <rFont val="Calibri"/>
        <family val="2"/>
      </rPr>
      <t>*2</t>
    </r>
  </si>
  <si>
    <t>ESTEE LAUDER，ESTEE LAUDER，FRESH，HERBATINT</t>
  </si>
  <si>
    <t>50ML，15ML，100ML，135ML</t>
  </si>
  <si>
    <t>马嘉丽</t>
  </si>
  <si>
    <t>广东省佛山市顺德区大良和桂路三街盈翠华庭4-302</t>
  </si>
  <si>
    <t>440681197710292023</t>
  </si>
  <si>
    <t>马嘉丽440681197710292023</t>
  </si>
  <si>
    <t>9769148373597</t>
  </si>
  <si>
    <t>SC20200034630</t>
  </si>
  <si>
    <r>
      <rPr>
        <sz val="12"/>
        <color theme="1"/>
        <rFont val="宋体"/>
        <family val="3"/>
        <charset val="134"/>
      </rPr>
      <t>纤维素</t>
    </r>
    <r>
      <rPr>
        <sz val="12"/>
        <color theme="1"/>
        <rFont val="Calibri"/>
        <family val="2"/>
      </rPr>
      <t>*3</t>
    </r>
    <r>
      <rPr>
        <sz val="12"/>
        <color theme="1"/>
        <rFont val="宋体"/>
        <family val="3"/>
        <charset val="134"/>
      </rPr>
      <t>，益生菌</t>
    </r>
    <r>
      <rPr>
        <sz val="12"/>
        <color theme="1"/>
        <rFont val="Calibri"/>
        <family val="2"/>
      </rPr>
      <t>*2</t>
    </r>
    <r>
      <rPr>
        <sz val="12"/>
        <color theme="1"/>
        <rFont val="宋体"/>
        <family val="3"/>
        <charset val="134"/>
      </rPr>
      <t>，肝宝</t>
    </r>
    <r>
      <rPr>
        <sz val="12"/>
        <color theme="1"/>
        <rFont val="Calibri"/>
        <family val="2"/>
      </rPr>
      <t>*2</t>
    </r>
    <r>
      <rPr>
        <sz val="12"/>
        <color theme="1"/>
        <rFont val="宋体"/>
        <family val="3"/>
        <charset val="134"/>
      </rPr>
      <t>，辅酶</t>
    </r>
    <r>
      <rPr>
        <sz val="12"/>
        <color theme="1"/>
        <rFont val="Calibri"/>
        <family val="2"/>
      </rPr>
      <t>*2</t>
    </r>
    <r>
      <rPr>
        <sz val="12"/>
        <color theme="1"/>
        <rFont val="宋体"/>
        <family val="3"/>
        <charset val="134"/>
      </rPr>
      <t>，消化酵素</t>
    </r>
    <r>
      <rPr>
        <sz val="12"/>
        <color theme="1"/>
        <rFont val="Calibri"/>
        <family val="2"/>
      </rPr>
      <t>*2</t>
    </r>
    <r>
      <rPr>
        <sz val="12"/>
        <color theme="1"/>
        <rFont val="宋体"/>
        <family val="3"/>
        <charset val="134"/>
      </rPr>
      <t>，摇摇杯</t>
    </r>
    <r>
      <rPr>
        <sz val="12"/>
        <color theme="1"/>
        <rFont val="Calibri"/>
        <family val="2"/>
      </rPr>
      <t>*1</t>
    </r>
  </si>
  <si>
    <t>钱莉</t>
  </si>
  <si>
    <t>321102197107132448</t>
  </si>
  <si>
    <t>钱莉321102197107132448</t>
  </si>
  <si>
    <t>9769116650897</t>
  </si>
  <si>
    <t>SC20200034805</t>
  </si>
  <si>
    <r>
      <rPr>
        <sz val="12"/>
        <color theme="1"/>
        <rFont val="SimSun"/>
        <charset val="134"/>
      </rPr>
      <t>综合营养素</t>
    </r>
    <r>
      <rPr>
        <sz val="12"/>
        <color theme="1"/>
        <rFont val="Calibri"/>
        <family val="2"/>
      </rPr>
      <t>*4</t>
    </r>
  </si>
  <si>
    <t>ALLYSIAN</t>
  </si>
  <si>
    <t>560G</t>
  </si>
  <si>
    <t>刘振生</t>
  </si>
  <si>
    <t>广东省广州市番禺区东晟明珠花园3座1梯1303</t>
  </si>
  <si>
    <t>612725198603250015</t>
  </si>
  <si>
    <t>刘振生612725198603250015</t>
  </si>
  <si>
    <t>9769116658797</t>
  </si>
  <si>
    <t>SC20200034913</t>
  </si>
  <si>
    <t>潘松霞</t>
  </si>
  <si>
    <t>372901198203056627</t>
  </si>
  <si>
    <t>潘松霞372901198203056627</t>
  </si>
  <si>
    <t>9769116684897</t>
  </si>
  <si>
    <t>SC20200034811</t>
  </si>
  <si>
    <r>
      <rPr>
        <sz val="12"/>
        <color theme="1"/>
        <rFont val="宋体"/>
        <family val="3"/>
        <charset val="134"/>
      </rPr>
      <t>防晒</t>
    </r>
    <r>
      <rPr>
        <sz val="12"/>
        <color theme="1"/>
        <rFont val="Calibri"/>
        <family val="2"/>
      </rPr>
      <t>*1</t>
    </r>
    <r>
      <rPr>
        <sz val="12"/>
        <color theme="1"/>
        <rFont val="宋体"/>
        <family val="3"/>
        <charset val="134"/>
      </rPr>
      <t>，脸胶</t>
    </r>
    <r>
      <rPr>
        <sz val="12"/>
        <color theme="1"/>
        <rFont val="Calibri"/>
        <family val="2"/>
      </rPr>
      <t>*1</t>
    </r>
    <r>
      <rPr>
        <sz val="12"/>
        <color theme="1"/>
        <rFont val="宋体"/>
        <family val="3"/>
        <charset val="134"/>
      </rPr>
      <t>，蓝珍珠</t>
    </r>
    <r>
      <rPr>
        <sz val="12"/>
        <color theme="1"/>
        <rFont val="Calibri"/>
        <family val="2"/>
      </rPr>
      <t>*4</t>
    </r>
    <r>
      <rPr>
        <sz val="12"/>
        <color theme="1"/>
        <rFont val="宋体"/>
        <family val="3"/>
        <charset val="134"/>
      </rPr>
      <t>，面霜</t>
    </r>
    <r>
      <rPr>
        <sz val="12"/>
        <color theme="1"/>
        <rFont val="Calibri"/>
        <family val="2"/>
      </rPr>
      <t>*3</t>
    </r>
  </si>
  <si>
    <t>高海鸿</t>
  </si>
  <si>
    <t>51370119850305673X</t>
  </si>
  <si>
    <t>高海鸿51370119850305673X</t>
  </si>
  <si>
    <t>9769116617697</t>
  </si>
  <si>
    <t>SC20200034812</t>
  </si>
  <si>
    <r>
      <rPr>
        <sz val="12"/>
        <color theme="1"/>
        <rFont val="宋体"/>
        <family val="3"/>
        <charset val="134"/>
      </rPr>
      <t>磁力面膜</t>
    </r>
    <r>
      <rPr>
        <sz val="12"/>
        <color theme="1"/>
        <rFont val="Calibri"/>
        <family val="2"/>
      </rPr>
      <t>*2</t>
    </r>
    <r>
      <rPr>
        <sz val="12"/>
        <color theme="1"/>
        <rFont val="宋体"/>
        <family val="3"/>
        <charset val="134"/>
      </rPr>
      <t>，喷雾</t>
    </r>
    <r>
      <rPr>
        <sz val="12"/>
        <color theme="1"/>
        <rFont val="Calibri"/>
        <family val="2"/>
      </rPr>
      <t>*2</t>
    </r>
  </si>
  <si>
    <t>丁思文</t>
  </si>
  <si>
    <t>上海市静安区新闸路1309弄4号402室</t>
  </si>
  <si>
    <t>苏文娟</t>
  </si>
  <si>
    <t>120109198112083020</t>
  </si>
  <si>
    <t>苏文娟120109198112083020</t>
  </si>
  <si>
    <t>9769116677797</t>
  </si>
  <si>
    <t>SC20200025950</t>
  </si>
  <si>
    <r>
      <rPr>
        <sz val="12"/>
        <color theme="1"/>
        <rFont val="宋体"/>
        <family val="3"/>
        <charset val="134"/>
      </rPr>
      <t>视力宝</t>
    </r>
    <r>
      <rPr>
        <sz val="12"/>
        <color theme="1"/>
        <rFont val="Calibri"/>
        <family val="2"/>
      </rPr>
      <t>*5</t>
    </r>
    <r>
      <rPr>
        <sz val="12"/>
        <color theme="1"/>
        <rFont val="宋体"/>
        <family val="3"/>
        <charset val="134"/>
      </rPr>
      <t>，钙镁片</t>
    </r>
    <r>
      <rPr>
        <sz val="12"/>
        <color theme="1"/>
        <rFont val="Calibri"/>
        <family val="2"/>
      </rPr>
      <t>*2</t>
    </r>
    <r>
      <rPr>
        <sz val="12"/>
        <color theme="1"/>
        <rFont val="宋体"/>
        <family val="3"/>
        <charset val="134"/>
      </rPr>
      <t>，心脏宝</t>
    </r>
    <r>
      <rPr>
        <sz val="12"/>
        <color theme="1"/>
        <rFont val="Calibri"/>
        <family val="2"/>
      </rPr>
      <t>*5</t>
    </r>
  </si>
  <si>
    <r>
      <rPr>
        <sz val="12"/>
        <color theme="1"/>
        <rFont val="Calibri"/>
        <family val="2"/>
      </rPr>
      <t>28</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</si>
  <si>
    <t>云南省昆明市五华区丰宁大道学府路海伦堡海伦先生小区3栋1606</t>
  </si>
  <si>
    <t>533221196112310027</t>
  </si>
  <si>
    <t>余惠玲533221196112310027</t>
  </si>
  <si>
    <t>9769148739197</t>
  </si>
  <si>
    <t>SC20180188563</t>
  </si>
  <si>
    <r>
      <rPr>
        <sz val="12"/>
        <color theme="1"/>
        <rFont val="宋体"/>
        <family val="3"/>
        <charset val="134"/>
      </rPr>
      <t>眼霜</t>
    </r>
    <r>
      <rPr>
        <sz val="12"/>
        <color theme="1"/>
        <rFont val="Calibri"/>
        <family val="2"/>
      </rPr>
      <t>*1</t>
    </r>
    <r>
      <rPr>
        <sz val="12"/>
        <color theme="1"/>
        <rFont val="宋体"/>
        <family val="3"/>
        <charset val="134"/>
      </rPr>
      <t>，面霜</t>
    </r>
    <r>
      <rPr>
        <sz val="12"/>
        <color theme="1"/>
        <rFont val="Calibri"/>
        <family val="2"/>
      </rPr>
      <t>*2</t>
    </r>
  </si>
  <si>
    <t>20G，60ML</t>
  </si>
  <si>
    <t>朱钰涵</t>
  </si>
  <si>
    <t>云南省曲靖市麒麟区恒大名都101栋1803号</t>
  </si>
  <si>
    <t>51390119880526704X</t>
  </si>
  <si>
    <t>朱钰涵51390119880526704X</t>
  </si>
  <si>
    <t>9769148409097</t>
  </si>
  <si>
    <t>SC20200034087</t>
  </si>
  <si>
    <t>罗程</t>
  </si>
  <si>
    <t>四川省巴中市巴州区江北街道市委党校对面的市烟草专卖局</t>
  </si>
  <si>
    <t>511602198907118107</t>
  </si>
  <si>
    <t>罗程511602198907118107</t>
  </si>
  <si>
    <t>9769148380697</t>
  </si>
  <si>
    <t>SC20200034081</t>
  </si>
  <si>
    <t>刘婧</t>
  </si>
  <si>
    <t>贵州省铜仁市松桃苗族自治县蓼皋镇水塘河安置房松桃绿洁食品有限公司</t>
  </si>
  <si>
    <t>魏笑林</t>
  </si>
  <si>
    <t>332523197310052044</t>
  </si>
  <si>
    <t>魏笑林332523197310052044</t>
  </si>
  <si>
    <t>9769116649997</t>
  </si>
  <si>
    <t>SC20200019268</t>
  </si>
  <si>
    <t>马丽</t>
  </si>
  <si>
    <t>浙江省杭州市余杭区临平雪海路鼎盛大厦17A柳腰轻轻瑜伽馆</t>
  </si>
  <si>
    <t>210905197908160023</t>
  </si>
  <si>
    <t>马丽210905197908160023</t>
  </si>
  <si>
    <t>9769116687997</t>
  </si>
  <si>
    <t>SC20200019263</t>
  </si>
  <si>
    <r>
      <rPr>
        <sz val="12"/>
        <color theme="1"/>
        <rFont val="Calibri"/>
        <family val="2"/>
      </rPr>
      <t>T</t>
    </r>
    <r>
      <rPr>
        <sz val="12"/>
        <color theme="1"/>
        <rFont val="宋体"/>
        <family val="3"/>
        <charset val="134"/>
      </rPr>
      <t>恤</t>
    </r>
    <r>
      <rPr>
        <sz val="12"/>
        <color theme="1"/>
        <rFont val="Calibri"/>
        <family val="2"/>
      </rPr>
      <t>*1</t>
    </r>
    <r>
      <rPr>
        <sz val="12"/>
        <color theme="1"/>
        <rFont val="宋体"/>
        <family val="3"/>
        <charset val="134"/>
      </rPr>
      <t>，裤子</t>
    </r>
    <r>
      <rPr>
        <sz val="12"/>
        <color theme="1"/>
        <rFont val="Calibri"/>
        <family val="2"/>
      </rPr>
      <t>*1</t>
    </r>
  </si>
  <si>
    <t>刘兰兰</t>
  </si>
  <si>
    <t>四川省成都市双流县华阳镇华府大道一段518号蜀郡又一城117栋1单元</t>
  </si>
  <si>
    <t>513030198601072227</t>
  </si>
  <si>
    <t>刘兰兰513030198601072227</t>
  </si>
  <si>
    <t>9769116672997</t>
  </si>
  <si>
    <t>SC20200019270</t>
  </si>
  <si>
    <r>
      <rPr>
        <sz val="12"/>
        <color theme="1"/>
        <rFont val="宋体"/>
        <family val="3"/>
        <charset val="134"/>
      </rPr>
      <t>内衣</t>
    </r>
    <r>
      <rPr>
        <sz val="12"/>
        <color theme="1"/>
        <rFont val="Calibri"/>
        <family val="2"/>
      </rPr>
      <t>*1</t>
    </r>
    <r>
      <rPr>
        <sz val="12"/>
        <color theme="1"/>
        <rFont val="宋体"/>
        <family val="3"/>
        <charset val="134"/>
      </rPr>
      <t>，背心</t>
    </r>
    <r>
      <rPr>
        <sz val="12"/>
        <color theme="1"/>
        <rFont val="Calibri"/>
        <family val="2"/>
      </rPr>
      <t>*1</t>
    </r>
  </si>
  <si>
    <t>陈芳芳</t>
  </si>
  <si>
    <t>浙江省杭州市江干区闸弄口街道东方时代中心4幢407</t>
  </si>
  <si>
    <t>362202198809280822</t>
  </si>
  <si>
    <t>陈芳芳362202198809280822</t>
  </si>
  <si>
    <t>9769116676397</t>
  </si>
  <si>
    <t>SC20200019274</t>
  </si>
  <si>
    <r>
      <rPr>
        <sz val="12"/>
        <color theme="1"/>
        <rFont val="宋体"/>
        <family val="3"/>
        <charset val="134"/>
      </rPr>
      <t>裤子</t>
    </r>
    <r>
      <rPr>
        <sz val="12"/>
        <color theme="1"/>
        <rFont val="Calibri"/>
        <family val="2"/>
      </rPr>
      <t>*1</t>
    </r>
    <r>
      <rPr>
        <sz val="12"/>
        <color theme="1"/>
        <rFont val="宋体"/>
        <family val="3"/>
        <charset val="134"/>
      </rPr>
      <t>，</t>
    </r>
    <r>
      <rPr>
        <sz val="12"/>
        <color theme="1"/>
        <rFont val="Calibri"/>
        <family val="2"/>
      </rPr>
      <t>T</t>
    </r>
    <r>
      <rPr>
        <sz val="12"/>
        <color theme="1"/>
        <rFont val="宋体"/>
        <family val="3"/>
        <charset val="134"/>
      </rPr>
      <t>恤</t>
    </r>
    <r>
      <rPr>
        <sz val="12"/>
        <color theme="1"/>
        <rFont val="Calibri"/>
        <family val="2"/>
      </rPr>
      <t>*1</t>
    </r>
    <r>
      <rPr>
        <sz val="12"/>
        <color theme="1"/>
        <rFont val="宋体"/>
        <family val="3"/>
        <charset val="134"/>
      </rPr>
      <t>，发圈</t>
    </r>
    <r>
      <rPr>
        <sz val="12"/>
        <color theme="1"/>
        <rFont val="Calibri"/>
        <family val="2"/>
      </rPr>
      <t>*1</t>
    </r>
  </si>
  <si>
    <t>沈洁</t>
  </si>
  <si>
    <t>湖北省荆门市沙洋县住建局</t>
  </si>
  <si>
    <t>徐奕</t>
  </si>
  <si>
    <t>332526198303090046</t>
  </si>
  <si>
    <t>徐奕332526198303090046</t>
  </si>
  <si>
    <t>9769148408697</t>
  </si>
  <si>
    <t>SC20200034082</t>
  </si>
  <si>
    <t>田玉琴</t>
  </si>
  <si>
    <t>贵州省铜仁市思南县民族中学</t>
  </si>
  <si>
    <t>张伟文</t>
  </si>
  <si>
    <t>130102197211160629</t>
  </si>
  <si>
    <t>张伟文130102197211160629</t>
  </si>
  <si>
    <t>9769148375297</t>
  </si>
  <si>
    <t>SC20200024468</t>
  </si>
  <si>
    <r>
      <rPr>
        <sz val="12"/>
        <color theme="1"/>
        <rFont val="宋体"/>
        <family val="3"/>
        <charset val="134"/>
      </rPr>
      <t>上衣</t>
    </r>
    <r>
      <rPr>
        <sz val="12"/>
        <color theme="1"/>
        <rFont val="Calibri"/>
        <family val="2"/>
      </rPr>
      <t>*2</t>
    </r>
  </si>
  <si>
    <t>FILA</t>
  </si>
  <si>
    <r>
      <rPr>
        <sz val="12"/>
        <color theme="1"/>
        <rFont val="宋体"/>
        <family val="3"/>
        <charset val="134"/>
      </rPr>
      <t>灰色</t>
    </r>
    <r>
      <rPr>
        <sz val="12"/>
        <color theme="1"/>
        <rFont val="Calibri"/>
        <family val="2"/>
      </rPr>
      <t>8</t>
    </r>
    <r>
      <rPr>
        <sz val="12"/>
        <color theme="1"/>
        <rFont val="宋体"/>
        <family val="3"/>
        <charset val="134"/>
      </rPr>
      <t>码</t>
    </r>
  </si>
  <si>
    <t>吴云华</t>
  </si>
  <si>
    <t>湖南省长沙市岳麓区桃花锦绣小区2栋四单元308</t>
  </si>
  <si>
    <t>周莉</t>
  </si>
  <si>
    <t>362322199111295446</t>
  </si>
  <si>
    <t>周莉362322199111295446</t>
  </si>
  <si>
    <t>9769148416597</t>
  </si>
  <si>
    <t>SC20200034076</t>
  </si>
  <si>
    <t>孟庆波</t>
  </si>
  <si>
    <t>吉林省通化市辉南县朝阳镇商业小街大福布行</t>
  </si>
  <si>
    <t>陈淑芝</t>
  </si>
  <si>
    <t>440509198603044823</t>
  </si>
  <si>
    <t>陈淑芝440509198603044823</t>
  </si>
  <si>
    <t>9769148365597</t>
  </si>
  <si>
    <t>SC20200034077</t>
  </si>
  <si>
    <t>吴珍</t>
  </si>
  <si>
    <t>福建省福州市马尾区君竹路帝豪花园6栋301室</t>
  </si>
  <si>
    <t>范瑛</t>
  </si>
  <si>
    <t>232601197208020648</t>
  </si>
  <si>
    <t>范瑛232601197208020648</t>
  </si>
  <si>
    <t>9769116663597</t>
  </si>
  <si>
    <t>SC20190089471</t>
  </si>
  <si>
    <r>
      <rPr>
        <sz val="12"/>
        <color theme="1"/>
        <rFont val="宋体"/>
        <family val="3"/>
        <charset val="134"/>
      </rPr>
      <t>健骼宁</t>
    </r>
    <r>
      <rPr>
        <sz val="12"/>
        <color theme="1"/>
        <rFont val="Calibri"/>
        <family val="2"/>
      </rPr>
      <t>*5</t>
    </r>
    <r>
      <rPr>
        <sz val="12"/>
        <color theme="1"/>
        <rFont val="宋体"/>
        <family val="3"/>
        <charset val="134"/>
      </rPr>
      <t>，妇康宁</t>
    </r>
    <r>
      <rPr>
        <sz val="12"/>
        <color theme="1"/>
        <rFont val="Calibri"/>
        <family val="2"/>
      </rPr>
      <t>*3</t>
    </r>
    <r>
      <rPr>
        <sz val="12"/>
        <color theme="1"/>
        <rFont val="宋体"/>
        <family val="3"/>
        <charset val="134"/>
      </rPr>
      <t>，维生素</t>
    </r>
    <r>
      <rPr>
        <sz val="12"/>
        <color theme="1"/>
        <rFont val="Calibri"/>
        <family val="2"/>
      </rPr>
      <t>*1</t>
    </r>
    <r>
      <rPr>
        <sz val="12"/>
        <color theme="1"/>
        <rFont val="宋体"/>
        <family val="3"/>
        <charset val="134"/>
      </rPr>
      <t>，鱼油</t>
    </r>
    <r>
      <rPr>
        <sz val="12"/>
        <color theme="1"/>
        <rFont val="Calibri"/>
        <family val="2"/>
      </rPr>
      <t>*1</t>
    </r>
    <r>
      <rPr>
        <sz val="12"/>
        <color theme="1"/>
        <rFont val="宋体"/>
        <family val="3"/>
        <charset val="134"/>
      </rPr>
      <t>，基本营养素</t>
    </r>
    <r>
      <rPr>
        <sz val="12"/>
        <color theme="1"/>
        <rFont val="Calibri"/>
        <family val="2"/>
      </rPr>
      <t>*2</t>
    </r>
    <r>
      <rPr>
        <sz val="12"/>
        <color theme="1"/>
        <rFont val="宋体"/>
        <family val="3"/>
        <charset val="134"/>
      </rPr>
      <t>，维生素</t>
    </r>
    <r>
      <rPr>
        <sz val="12"/>
        <color theme="1"/>
        <rFont val="Calibri"/>
        <family val="2"/>
      </rPr>
      <t>*2</t>
    </r>
  </si>
  <si>
    <t>赵莉华</t>
  </si>
  <si>
    <t>江苏省常州市天宁区天宁吾悦FDCC机械美学2号门</t>
  </si>
  <si>
    <t>320411197901264028</t>
  </si>
  <si>
    <t>赵莉华320411197901264028</t>
  </si>
  <si>
    <t>9769116630497</t>
  </si>
  <si>
    <t>SC20200035903</t>
  </si>
  <si>
    <r>
      <rPr>
        <sz val="12"/>
        <color theme="1"/>
        <rFont val="宋体"/>
        <family val="3"/>
        <charset val="134"/>
      </rPr>
      <t>多维</t>
    </r>
    <r>
      <rPr>
        <sz val="12"/>
        <color theme="1"/>
        <rFont val="Calibri"/>
        <family val="2"/>
      </rPr>
      <t>*2</t>
    </r>
    <r>
      <rPr>
        <sz val="12"/>
        <color theme="1"/>
        <rFont val="宋体"/>
        <family val="3"/>
        <charset val="134"/>
      </rPr>
      <t>，矿物质</t>
    </r>
    <r>
      <rPr>
        <sz val="12"/>
        <color theme="1"/>
        <rFont val="Calibri"/>
        <family val="2"/>
      </rPr>
      <t>*2</t>
    </r>
    <r>
      <rPr>
        <sz val="12"/>
        <color theme="1"/>
        <rFont val="宋体"/>
        <family val="3"/>
        <charset val="134"/>
      </rPr>
      <t>，鱼油</t>
    </r>
    <r>
      <rPr>
        <sz val="12"/>
        <color theme="1"/>
        <rFont val="Calibri"/>
        <family val="2"/>
      </rPr>
      <t>*2</t>
    </r>
    <r>
      <rPr>
        <sz val="12"/>
        <color theme="1"/>
        <rFont val="宋体"/>
        <family val="3"/>
        <charset val="134"/>
      </rPr>
      <t>，心脏宝</t>
    </r>
    <r>
      <rPr>
        <sz val="12"/>
        <color theme="1"/>
        <rFont val="Calibri"/>
        <family val="2"/>
      </rPr>
      <t>*3</t>
    </r>
    <r>
      <rPr>
        <sz val="12"/>
        <color theme="1"/>
        <rFont val="宋体"/>
        <family val="3"/>
        <charset val="134"/>
      </rPr>
      <t>，葡萄籽</t>
    </r>
    <r>
      <rPr>
        <sz val="12"/>
        <color theme="1"/>
        <rFont val="Calibri"/>
        <family val="2"/>
      </rPr>
      <t>*3</t>
    </r>
    <r>
      <rPr>
        <sz val="12"/>
        <color theme="1"/>
        <rFont val="宋体"/>
        <family val="3"/>
        <charset val="134"/>
      </rPr>
      <t>，肝宝</t>
    </r>
    <r>
      <rPr>
        <sz val="12"/>
        <color theme="1"/>
        <rFont val="Calibri"/>
        <family val="2"/>
      </rPr>
      <t>*2</t>
    </r>
  </si>
  <si>
    <r>
      <rPr>
        <sz val="12"/>
        <color theme="1"/>
        <rFont val="Calibri"/>
        <family val="2"/>
      </rPr>
      <t>112</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</si>
  <si>
    <t>刘璇</t>
  </si>
  <si>
    <t>河北省保定市微生物研究所2089号</t>
  </si>
  <si>
    <t>郝英锋</t>
  </si>
  <si>
    <t>132521197209111126</t>
  </si>
  <si>
    <t>郝英锋132521197209111126</t>
  </si>
  <si>
    <t>9769148512197</t>
  </si>
  <si>
    <t>SC20200000113</t>
  </si>
  <si>
    <r>
      <rPr>
        <sz val="12"/>
        <color theme="1"/>
        <rFont val="宋体"/>
        <family val="3"/>
        <charset val="134"/>
      </rPr>
      <t>保列健</t>
    </r>
    <r>
      <rPr>
        <sz val="12"/>
        <color theme="1"/>
        <rFont val="Calibri"/>
        <family val="2"/>
      </rPr>
      <t>*2</t>
    </r>
    <r>
      <rPr>
        <sz val="12"/>
        <color theme="1"/>
        <rFont val="宋体"/>
        <family val="3"/>
        <charset val="134"/>
      </rPr>
      <t>，鱼油</t>
    </r>
    <r>
      <rPr>
        <sz val="12"/>
        <color theme="1"/>
        <rFont val="Calibri"/>
        <family val="2"/>
      </rPr>
      <t>*2</t>
    </r>
    <r>
      <rPr>
        <sz val="12"/>
        <color theme="1"/>
        <rFont val="宋体"/>
        <family val="3"/>
        <charset val="134"/>
      </rPr>
      <t>，肝宝</t>
    </r>
    <r>
      <rPr>
        <sz val="12"/>
        <color theme="1"/>
        <rFont val="Calibri"/>
        <family val="2"/>
      </rPr>
      <t>*2</t>
    </r>
    <r>
      <rPr>
        <sz val="12"/>
        <color theme="1"/>
        <rFont val="宋体"/>
        <family val="3"/>
        <charset val="134"/>
      </rPr>
      <t>，肝宝</t>
    </r>
    <r>
      <rPr>
        <sz val="12"/>
        <color theme="1"/>
        <rFont val="Calibri"/>
        <family val="2"/>
      </rPr>
      <t>*1</t>
    </r>
  </si>
  <si>
    <t>130925196605015647</t>
  </si>
  <si>
    <t>闫桂英130925196605015647</t>
  </si>
  <si>
    <t>9769148513597</t>
  </si>
  <si>
    <t>SC20200035527</t>
  </si>
  <si>
    <t>面膜*1，维生素胶囊*2，洗发水*3，洗发水*1</t>
  </si>
  <si>
    <t>24ML*5，60粒，200ML，200ML</t>
  </si>
  <si>
    <t>韩红梅</t>
  </si>
  <si>
    <t>辽宁省沈阳市辽中区环保一期门市东第一家</t>
  </si>
  <si>
    <t>210122198002010640</t>
  </si>
  <si>
    <t>韩红梅210122198002010640</t>
  </si>
  <si>
    <t>9769148452397</t>
  </si>
  <si>
    <t>SC20200033831</t>
  </si>
  <si>
    <r>
      <rPr>
        <sz val="12"/>
        <color theme="1"/>
        <rFont val="宋体"/>
        <family val="3"/>
        <charset val="134"/>
      </rPr>
      <t>面部精华</t>
    </r>
    <r>
      <rPr>
        <sz val="12"/>
        <color theme="1"/>
        <rFont val="Calibri"/>
        <family val="2"/>
      </rPr>
      <t>*1</t>
    </r>
    <r>
      <rPr>
        <sz val="12"/>
        <color theme="1"/>
        <rFont val="宋体"/>
        <family val="3"/>
        <charset val="134"/>
      </rPr>
      <t>，洁面</t>
    </r>
    <r>
      <rPr>
        <sz val="12"/>
        <color theme="1"/>
        <rFont val="Calibri"/>
        <family val="2"/>
      </rPr>
      <t>*1</t>
    </r>
    <r>
      <rPr>
        <sz val="12"/>
        <color theme="1"/>
        <rFont val="宋体"/>
        <family val="3"/>
        <charset val="134"/>
      </rPr>
      <t>，眼霜</t>
    </r>
    <r>
      <rPr>
        <sz val="12"/>
        <color theme="1"/>
        <rFont val="Calibri"/>
        <family val="2"/>
      </rPr>
      <t>*1</t>
    </r>
    <r>
      <rPr>
        <sz val="12"/>
        <color theme="1"/>
        <rFont val="宋体"/>
        <family val="3"/>
        <charset val="134"/>
      </rPr>
      <t>，面霜</t>
    </r>
    <r>
      <rPr>
        <sz val="12"/>
        <color theme="1"/>
        <rFont val="Calibri"/>
        <family val="2"/>
      </rPr>
      <t>*1</t>
    </r>
    <r>
      <rPr>
        <sz val="12"/>
        <color theme="1"/>
        <rFont val="宋体"/>
        <family val="3"/>
        <charset val="134"/>
      </rPr>
      <t>，眼霜</t>
    </r>
    <r>
      <rPr>
        <sz val="12"/>
        <color theme="1"/>
        <rFont val="Calibri"/>
        <family val="2"/>
      </rPr>
      <t>*1</t>
    </r>
    <r>
      <rPr>
        <sz val="12"/>
        <color theme="1"/>
        <rFont val="宋体"/>
        <family val="3"/>
        <charset val="134"/>
      </rPr>
      <t>，面霜</t>
    </r>
    <r>
      <rPr>
        <sz val="12"/>
        <color theme="1"/>
        <rFont val="Calibri"/>
        <family val="2"/>
      </rPr>
      <t>*1</t>
    </r>
  </si>
  <si>
    <t>ESTEE LAUDER，ESTEE LAUDER，ESTEE LAUDER，ESTEE LAUDER，LANCOME，LANCOME</t>
  </si>
  <si>
    <t>50ML，30ML，5ML，15ML，20ML，60ML</t>
  </si>
  <si>
    <t>王文娟</t>
  </si>
  <si>
    <t>浙江省杭州市下沙区德盛东苑西区9-1-1101</t>
  </si>
  <si>
    <t>330104198107054425</t>
  </si>
  <si>
    <t>王文娟330104198107054425</t>
  </si>
  <si>
    <t>9769148523797</t>
  </si>
  <si>
    <t>SC20190109962</t>
  </si>
  <si>
    <r>
      <rPr>
        <sz val="12"/>
        <color theme="1"/>
        <rFont val="宋体"/>
        <family val="3"/>
        <charset val="134"/>
      </rPr>
      <t>鱼油</t>
    </r>
    <r>
      <rPr>
        <sz val="12"/>
        <color theme="1"/>
        <rFont val="Calibri"/>
        <family val="2"/>
      </rPr>
      <t>*2</t>
    </r>
    <r>
      <rPr>
        <sz val="12"/>
        <color theme="1"/>
        <rFont val="宋体"/>
        <family val="3"/>
        <charset val="134"/>
      </rPr>
      <t>，维生素</t>
    </r>
    <r>
      <rPr>
        <sz val="12"/>
        <color theme="1"/>
        <rFont val="Calibri"/>
        <family val="2"/>
      </rPr>
      <t>*2</t>
    </r>
    <r>
      <rPr>
        <sz val="12"/>
        <color theme="1"/>
        <rFont val="宋体"/>
        <family val="3"/>
        <charset val="134"/>
      </rPr>
      <t>，钙片</t>
    </r>
    <r>
      <rPr>
        <sz val="12"/>
        <color theme="1"/>
        <rFont val="Calibri"/>
        <family val="2"/>
      </rPr>
      <t>*5</t>
    </r>
    <r>
      <rPr>
        <sz val="12"/>
        <color theme="1"/>
        <rFont val="宋体"/>
        <family val="3"/>
        <charset val="134"/>
      </rPr>
      <t>，心脏宝</t>
    </r>
    <r>
      <rPr>
        <sz val="12"/>
        <color theme="1"/>
        <rFont val="Calibri"/>
        <family val="2"/>
      </rPr>
      <t>*1</t>
    </r>
    <r>
      <rPr>
        <sz val="12"/>
        <color theme="1"/>
        <rFont val="宋体"/>
        <family val="3"/>
        <charset val="134"/>
      </rPr>
      <t>，健骼宁</t>
    </r>
    <r>
      <rPr>
        <sz val="12"/>
        <color theme="1"/>
        <rFont val="Calibri"/>
        <family val="2"/>
      </rPr>
      <t>*2</t>
    </r>
  </si>
  <si>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</si>
  <si>
    <t>朱洁桦</t>
  </si>
  <si>
    <t>广东省广州市白云区三元里街道岗贝路19号广星广场后面蜂巢快递柜</t>
  </si>
  <si>
    <t>440102196110240046</t>
  </si>
  <si>
    <t>朱洁桦440102196110240046</t>
  </si>
  <si>
    <t>9769148540097</t>
  </si>
  <si>
    <t>SC20200035522</t>
  </si>
  <si>
    <t>蓝珍珠*2，保湿喷雾*2，肌修*1，洗面奶*1</t>
  </si>
  <si>
    <t>350102197604110316</t>
  </si>
  <si>
    <t>陈涛350102197604110316</t>
  </si>
  <si>
    <t>9769148548997</t>
  </si>
  <si>
    <t>SC20200035424</t>
  </si>
  <si>
    <t>宋利群</t>
  </si>
  <si>
    <t>231026198312131549</t>
  </si>
  <si>
    <t>宋利群231026198312131549</t>
  </si>
  <si>
    <t>9769148526897</t>
  </si>
  <si>
    <t>SC20200034357</t>
  </si>
  <si>
    <r>
      <rPr>
        <sz val="12"/>
        <color theme="1"/>
        <rFont val="宋体"/>
        <family val="3"/>
        <charset val="134"/>
      </rPr>
      <t>小样口红</t>
    </r>
    <r>
      <rPr>
        <sz val="12"/>
        <color theme="1"/>
        <rFont val="Calibri"/>
        <family val="2"/>
      </rPr>
      <t>*1</t>
    </r>
    <r>
      <rPr>
        <sz val="12"/>
        <color theme="1"/>
        <rFont val="宋体"/>
        <family val="3"/>
        <charset val="134"/>
      </rPr>
      <t>，小样精华</t>
    </r>
    <r>
      <rPr>
        <sz val="12"/>
        <color theme="1"/>
        <rFont val="Calibri"/>
        <family val="2"/>
      </rPr>
      <t>*2</t>
    </r>
    <r>
      <rPr>
        <sz val="12"/>
        <color theme="1"/>
        <rFont val="宋体"/>
        <family val="3"/>
        <charset val="134"/>
      </rPr>
      <t>，小项链</t>
    </r>
    <r>
      <rPr>
        <sz val="12"/>
        <color theme="1"/>
        <rFont val="Calibri"/>
        <family val="2"/>
      </rPr>
      <t>*2</t>
    </r>
    <r>
      <rPr>
        <sz val="12"/>
        <color theme="1"/>
        <rFont val="宋体"/>
        <family val="3"/>
        <charset val="134"/>
      </rPr>
      <t>，小样面霜</t>
    </r>
    <r>
      <rPr>
        <sz val="12"/>
        <color theme="1"/>
        <rFont val="Calibri"/>
        <family val="2"/>
      </rPr>
      <t>*4</t>
    </r>
    <r>
      <rPr>
        <sz val="12"/>
        <color theme="1"/>
        <rFont val="宋体"/>
        <family val="3"/>
        <charset val="134"/>
      </rPr>
      <t>，小样精华</t>
    </r>
    <r>
      <rPr>
        <sz val="12"/>
        <color theme="1"/>
        <rFont val="Calibri"/>
        <family val="2"/>
      </rPr>
      <t>*8</t>
    </r>
  </si>
  <si>
    <t>LANCOME，LANCOME，SWAROVSKI，KIEHL'S，KIEHL'S</t>
  </si>
  <si>
    <t>，8ML，，7ML，4ML</t>
  </si>
  <si>
    <t>120101194510163027</t>
  </si>
  <si>
    <t>于庆芙120101194510163027</t>
  </si>
  <si>
    <t>9769148740597</t>
  </si>
  <si>
    <t>SC20200034350</t>
  </si>
  <si>
    <t>陈京津</t>
  </si>
  <si>
    <t>天津市河西区柳林路13号天津安定医院心理门诊</t>
  </si>
  <si>
    <t>120101197202022525</t>
  </si>
  <si>
    <t>陈京津120101197202022525</t>
  </si>
  <si>
    <t>9769148494897</t>
  </si>
  <si>
    <t>SC20200031114</t>
  </si>
  <si>
    <r>
      <rPr>
        <sz val="12"/>
        <color theme="1"/>
        <rFont val="Calibri"/>
        <family val="2"/>
      </rPr>
      <t>T</t>
    </r>
    <r>
      <rPr>
        <sz val="12"/>
        <color theme="1"/>
        <rFont val="宋体"/>
        <family val="3"/>
        <charset val="134"/>
      </rPr>
      <t>恤</t>
    </r>
    <r>
      <rPr>
        <sz val="12"/>
        <color theme="1"/>
        <rFont val="Calibri"/>
        <family val="2"/>
      </rPr>
      <t>*1</t>
    </r>
    <r>
      <rPr>
        <sz val="12"/>
        <color theme="1"/>
        <rFont val="宋体"/>
        <family val="3"/>
        <charset val="134"/>
      </rPr>
      <t>，背心</t>
    </r>
    <r>
      <rPr>
        <sz val="12"/>
        <color theme="1"/>
        <rFont val="Calibri"/>
        <family val="2"/>
      </rPr>
      <t>*1</t>
    </r>
    <r>
      <rPr>
        <sz val="12"/>
        <color theme="1"/>
        <rFont val="宋体"/>
        <family val="3"/>
        <charset val="134"/>
      </rPr>
      <t>，裤子</t>
    </r>
    <r>
      <rPr>
        <sz val="12"/>
        <color theme="1"/>
        <rFont val="Calibri"/>
        <family val="2"/>
      </rPr>
      <t>*1</t>
    </r>
    <r>
      <rPr>
        <sz val="12"/>
        <color theme="1"/>
        <rFont val="宋体"/>
        <family val="3"/>
        <charset val="134"/>
      </rPr>
      <t>，内裤</t>
    </r>
    <r>
      <rPr>
        <sz val="12"/>
        <color theme="1"/>
        <rFont val="Calibri"/>
        <family val="2"/>
      </rPr>
      <t>*1</t>
    </r>
    <r>
      <rPr>
        <sz val="12"/>
        <color theme="1"/>
        <rFont val="宋体"/>
        <family val="3"/>
        <charset val="134"/>
      </rPr>
      <t>，水杯</t>
    </r>
    <r>
      <rPr>
        <sz val="12"/>
        <color theme="1"/>
        <rFont val="Calibri"/>
        <family val="2"/>
      </rPr>
      <t>*1</t>
    </r>
  </si>
  <si>
    <t>LULULEMON，LULULEMON，LULULEMON，CK，CONTIGO</t>
  </si>
  <si>
    <t>何鸿僖</t>
  </si>
  <si>
    <t>广东省广州市天河区珠江新城珠江东路6号周大福国际金融中心负一层核心管理办公室</t>
  </si>
  <si>
    <t>440103198503032112</t>
  </si>
  <si>
    <t>何鸿僖440103198503032112</t>
  </si>
  <si>
    <t>9769116590097</t>
  </si>
  <si>
    <t>SC20200021474</t>
  </si>
  <si>
    <t>120225196807160236</t>
  </si>
  <si>
    <t>刘志辉120225196807160236</t>
  </si>
  <si>
    <t>9769116689697</t>
  </si>
  <si>
    <t>SC20200021476</t>
  </si>
  <si>
    <r>
      <rPr>
        <sz val="12"/>
        <color theme="1"/>
        <rFont val="宋体"/>
        <family val="3"/>
        <charset val="134"/>
      </rPr>
      <t>葡萄籽</t>
    </r>
    <r>
      <rPr>
        <sz val="12"/>
        <color theme="1"/>
        <rFont val="Calibri"/>
        <family val="2"/>
      </rPr>
      <t>*3</t>
    </r>
    <r>
      <rPr>
        <sz val="12"/>
        <color theme="1"/>
        <rFont val="宋体"/>
        <family val="3"/>
        <charset val="134"/>
      </rPr>
      <t>，健骼宁</t>
    </r>
    <r>
      <rPr>
        <sz val="12"/>
        <color theme="1"/>
        <rFont val="Calibri"/>
        <family val="2"/>
      </rPr>
      <t>*3</t>
    </r>
    <r>
      <rPr>
        <sz val="12"/>
        <color theme="1"/>
        <rFont val="宋体"/>
        <family val="3"/>
        <charset val="134"/>
      </rPr>
      <t>，钙镁片</t>
    </r>
    <r>
      <rPr>
        <sz val="12"/>
        <color theme="1"/>
        <rFont val="Calibri"/>
        <family val="2"/>
      </rPr>
      <t>*2</t>
    </r>
  </si>
  <si>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112</t>
    </r>
    <r>
      <rPr>
        <sz val="12"/>
        <color theme="1"/>
        <rFont val="宋体"/>
        <family val="3"/>
        <charset val="134"/>
      </rPr>
      <t>粒</t>
    </r>
  </si>
  <si>
    <t>史黎</t>
  </si>
  <si>
    <t>上海市杨浦区江湾城路88弄7号302</t>
  </si>
  <si>
    <t>342501196806180284</t>
  </si>
  <si>
    <t>史黎342501196806180284</t>
  </si>
  <si>
    <t>9769148356297</t>
  </si>
  <si>
    <t>SC20200034489</t>
  </si>
  <si>
    <r>
      <rPr>
        <sz val="12"/>
        <color theme="1"/>
        <rFont val="宋体"/>
        <family val="3"/>
        <charset val="134"/>
      </rPr>
      <t>心宝</t>
    </r>
    <r>
      <rPr>
        <sz val="12"/>
        <color theme="1"/>
        <rFont val="Calibri"/>
        <family val="2"/>
      </rPr>
      <t>*10</t>
    </r>
  </si>
  <si>
    <t>320621196010230229</t>
  </si>
  <si>
    <t>唐剑飞320621196010230229</t>
  </si>
  <si>
    <t>9769148389997</t>
  </si>
  <si>
    <t>SC20200034488</t>
  </si>
  <si>
    <r>
      <rPr>
        <sz val="12"/>
        <color theme="1"/>
        <rFont val="宋体"/>
        <family val="3"/>
        <charset val="134"/>
      </rPr>
      <t>健康包</t>
    </r>
    <r>
      <rPr>
        <sz val="12"/>
        <color theme="1"/>
        <rFont val="Calibri"/>
        <family val="2"/>
      </rPr>
      <t>*1</t>
    </r>
    <r>
      <rPr>
        <sz val="12"/>
        <color theme="1"/>
        <rFont val="宋体"/>
        <family val="3"/>
        <charset val="134"/>
      </rPr>
      <t>，维生素</t>
    </r>
    <r>
      <rPr>
        <sz val="12"/>
        <color theme="1"/>
        <rFont val="Calibri"/>
        <family val="2"/>
      </rPr>
      <t>*2</t>
    </r>
    <r>
      <rPr>
        <sz val="12"/>
        <color theme="1"/>
        <rFont val="宋体"/>
        <family val="3"/>
        <charset val="134"/>
      </rPr>
      <t>，关节灵</t>
    </r>
    <r>
      <rPr>
        <sz val="12"/>
        <color theme="1"/>
        <rFont val="Calibri"/>
        <family val="2"/>
      </rPr>
      <t>*3</t>
    </r>
    <r>
      <rPr>
        <sz val="12"/>
        <color theme="1"/>
        <rFont val="宋体"/>
        <family val="3"/>
        <charset val="134"/>
      </rPr>
      <t>，消化酶</t>
    </r>
    <r>
      <rPr>
        <sz val="12"/>
        <color theme="1"/>
        <rFont val="Calibri"/>
        <family val="2"/>
      </rPr>
      <t>*2</t>
    </r>
  </si>
  <si>
    <t>韩芸芸</t>
  </si>
  <si>
    <t>浙江省台州市三门县海游镇平海路99号紫云山庄69-A1</t>
  </si>
  <si>
    <t>金成</t>
  </si>
  <si>
    <t>310109198808092035</t>
  </si>
  <si>
    <t>金成310109198808092035</t>
  </si>
  <si>
    <t>9769148502097</t>
  </si>
  <si>
    <t>SC20190117635</t>
  </si>
  <si>
    <r>
      <rPr>
        <sz val="12"/>
        <color theme="1"/>
        <rFont val="宋体"/>
        <family val="3"/>
        <charset val="134"/>
      </rPr>
      <t>裤子</t>
    </r>
    <r>
      <rPr>
        <sz val="12"/>
        <color theme="1"/>
        <rFont val="Calibri"/>
        <family val="2"/>
      </rPr>
      <t>*1</t>
    </r>
    <r>
      <rPr>
        <sz val="12"/>
        <color theme="1"/>
        <rFont val="宋体"/>
        <family val="3"/>
        <charset val="134"/>
      </rPr>
      <t>，背心</t>
    </r>
    <r>
      <rPr>
        <sz val="12"/>
        <color theme="1"/>
        <rFont val="Calibri"/>
        <family val="2"/>
      </rPr>
      <t>*3</t>
    </r>
    <r>
      <rPr>
        <sz val="12"/>
        <color theme="1"/>
        <rFont val="宋体"/>
        <family val="3"/>
        <charset val="134"/>
      </rPr>
      <t>，防晒</t>
    </r>
    <r>
      <rPr>
        <sz val="12"/>
        <color theme="1"/>
        <rFont val="Calibri"/>
        <family val="2"/>
      </rPr>
      <t>*1</t>
    </r>
    <r>
      <rPr>
        <sz val="12"/>
        <color theme="1"/>
        <rFont val="宋体"/>
        <family val="3"/>
        <charset val="134"/>
      </rPr>
      <t>，精华小样</t>
    </r>
    <r>
      <rPr>
        <sz val="12"/>
        <color theme="1"/>
        <rFont val="Calibri"/>
        <family val="2"/>
      </rPr>
      <t>*2</t>
    </r>
  </si>
  <si>
    <t>LULULEMON，LULULEMON，KIEHL'S，KIEHL'S</t>
  </si>
  <si>
    <r>
      <rPr>
        <sz val="12"/>
        <color theme="1"/>
        <rFont val="宋体"/>
        <family val="3"/>
        <charset val="134"/>
      </rPr>
      <t>，，</t>
    </r>
    <r>
      <rPr>
        <sz val="12"/>
        <color theme="1"/>
        <rFont val="Calibri"/>
        <family val="2"/>
      </rPr>
      <t>50ML</t>
    </r>
    <r>
      <rPr>
        <sz val="12"/>
        <color theme="1"/>
        <rFont val="宋体"/>
        <family val="3"/>
        <charset val="134"/>
      </rPr>
      <t>，</t>
    </r>
    <r>
      <rPr>
        <sz val="12"/>
        <color theme="1"/>
        <rFont val="Calibri"/>
        <family val="2"/>
      </rPr>
      <t>1.5ML</t>
    </r>
  </si>
  <si>
    <t>张晓芳</t>
  </si>
  <si>
    <t>湖南省长沙市雨花区万家丽南路洞井镇白田村红星冷库综合楼B2-65</t>
  </si>
  <si>
    <t>130224198111050041</t>
  </si>
  <si>
    <t>张晓芳130224198111050041</t>
  </si>
  <si>
    <t>9769148359397</t>
  </si>
  <si>
    <t>SC20200019258</t>
  </si>
  <si>
    <t>师梦遥</t>
  </si>
  <si>
    <t>河北省石家庄市裕华区东岗路世纪花园东区</t>
  </si>
  <si>
    <t>李雪艳</t>
  </si>
  <si>
    <t>110105198308019648</t>
  </si>
  <si>
    <t>李雪艳110105198308019648</t>
  </si>
  <si>
    <t>9769148424597</t>
  </si>
  <si>
    <t>SC20200035602</t>
  </si>
  <si>
    <r>
      <rPr>
        <sz val="12"/>
        <color theme="1"/>
        <rFont val="宋体"/>
        <family val="3"/>
        <charset val="134"/>
      </rPr>
      <t>小隔离</t>
    </r>
    <r>
      <rPr>
        <sz val="12"/>
        <color theme="1"/>
        <rFont val="Calibri"/>
        <family val="2"/>
      </rPr>
      <t>*6</t>
    </r>
    <r>
      <rPr>
        <sz val="12"/>
        <color theme="1"/>
        <rFont val="宋体"/>
        <family val="3"/>
        <charset val="134"/>
      </rPr>
      <t>，眼影</t>
    </r>
    <r>
      <rPr>
        <sz val="12"/>
        <color theme="1"/>
        <rFont val="Calibri"/>
        <family val="2"/>
      </rPr>
      <t>*1</t>
    </r>
    <r>
      <rPr>
        <sz val="12"/>
        <color theme="1"/>
        <rFont val="宋体"/>
        <family val="3"/>
        <charset val="134"/>
      </rPr>
      <t>，高光</t>
    </r>
    <r>
      <rPr>
        <sz val="12"/>
        <color theme="1"/>
        <rFont val="Calibri"/>
        <family val="2"/>
      </rPr>
      <t>*1</t>
    </r>
    <r>
      <rPr>
        <sz val="12"/>
        <color theme="1"/>
        <rFont val="宋体"/>
        <family val="3"/>
        <charset val="134"/>
      </rPr>
      <t>，芦荟</t>
    </r>
    <r>
      <rPr>
        <sz val="12"/>
        <color theme="1"/>
        <rFont val="Calibri"/>
        <family val="2"/>
      </rPr>
      <t>*6</t>
    </r>
  </si>
  <si>
    <t>ELIZABETH ARDEN，LANCOME，LANCOME，NUSKIN</t>
  </si>
  <si>
    <r>
      <rPr>
        <sz val="12"/>
        <color theme="1"/>
        <rFont val="Calibri"/>
        <family val="2"/>
      </rPr>
      <t>15ML</t>
    </r>
    <r>
      <rPr>
        <sz val="12"/>
        <color theme="1"/>
        <rFont val="宋体"/>
        <family val="3"/>
        <charset val="134"/>
      </rPr>
      <t>，，，</t>
    </r>
  </si>
  <si>
    <t>刘维</t>
  </si>
  <si>
    <t>天津市和平区君隆广场威斯汀公寓前台</t>
  </si>
  <si>
    <t>120111198703211049</t>
  </si>
  <si>
    <t>刘维120111198703211049</t>
  </si>
  <si>
    <t>9769148448397</t>
  </si>
  <si>
    <t>SC20200035448</t>
  </si>
  <si>
    <t>唐蕾</t>
  </si>
  <si>
    <t>32062319880816682X</t>
  </si>
  <si>
    <t>唐蕾32062319880816682X</t>
  </si>
  <si>
    <t>9769148334197</t>
  </si>
  <si>
    <t>SC20200021100</t>
  </si>
  <si>
    <r>
      <rPr>
        <sz val="12"/>
        <color theme="1"/>
        <rFont val="宋体"/>
        <family val="3"/>
        <charset val="134"/>
      </rPr>
      <t>面霜</t>
    </r>
    <r>
      <rPr>
        <sz val="12"/>
        <color theme="1"/>
        <rFont val="Calibri"/>
        <family val="2"/>
      </rPr>
      <t>*2</t>
    </r>
    <r>
      <rPr>
        <sz val="12"/>
        <color theme="1"/>
        <rFont val="宋体"/>
        <family val="3"/>
        <charset val="134"/>
      </rPr>
      <t>，沐浴露</t>
    </r>
    <r>
      <rPr>
        <sz val="12"/>
        <color theme="1"/>
        <rFont val="Calibri"/>
        <family val="2"/>
      </rPr>
      <t>*1</t>
    </r>
    <r>
      <rPr>
        <sz val="12"/>
        <color theme="1"/>
        <rFont val="宋体"/>
        <family val="3"/>
        <charset val="134"/>
      </rPr>
      <t>，</t>
    </r>
    <r>
      <rPr>
        <sz val="12"/>
        <color theme="1"/>
        <rFont val="Calibri"/>
        <family val="2"/>
      </rPr>
      <t>T</t>
    </r>
    <r>
      <rPr>
        <sz val="12"/>
        <color theme="1"/>
        <rFont val="宋体"/>
        <family val="3"/>
        <charset val="134"/>
      </rPr>
      <t>恤</t>
    </r>
    <r>
      <rPr>
        <sz val="12"/>
        <color theme="1"/>
        <rFont val="Calibri"/>
        <family val="2"/>
      </rPr>
      <t>*1</t>
    </r>
    <r>
      <rPr>
        <sz val="12"/>
        <color theme="1"/>
        <rFont val="宋体"/>
        <family val="3"/>
        <charset val="134"/>
      </rPr>
      <t>，帽子</t>
    </r>
    <r>
      <rPr>
        <sz val="12"/>
        <color theme="1"/>
        <rFont val="Calibri"/>
        <family val="2"/>
      </rPr>
      <t>*1</t>
    </r>
  </si>
  <si>
    <t>ELIZABETH ARDEN，AVEENO，UNDER ARMOUR，CHAMPION</t>
  </si>
  <si>
    <t>漠竹君</t>
  </si>
  <si>
    <t>11010119600615054X</t>
  </si>
  <si>
    <t>漠竹君11010119600615054X</t>
  </si>
  <si>
    <t>9769148439597</t>
  </si>
  <si>
    <t>SC20200035234</t>
  </si>
  <si>
    <r>
      <rPr>
        <sz val="12"/>
        <color theme="1"/>
        <rFont val="宋体"/>
        <family val="3"/>
        <charset val="134"/>
      </rPr>
      <t>精华</t>
    </r>
    <r>
      <rPr>
        <sz val="12"/>
        <color theme="1"/>
        <rFont val="Calibri"/>
        <family val="2"/>
      </rPr>
      <t>*1</t>
    </r>
    <r>
      <rPr>
        <sz val="12"/>
        <color theme="1"/>
        <rFont val="宋体"/>
        <family val="3"/>
        <charset val="134"/>
      </rPr>
      <t>，眼霜</t>
    </r>
    <r>
      <rPr>
        <sz val="12"/>
        <color theme="1"/>
        <rFont val="Calibri"/>
        <family val="2"/>
      </rPr>
      <t>*3</t>
    </r>
    <r>
      <rPr>
        <sz val="12"/>
        <color theme="1"/>
        <rFont val="宋体"/>
        <family val="3"/>
        <charset val="134"/>
      </rPr>
      <t>，粉水</t>
    </r>
    <r>
      <rPr>
        <sz val="12"/>
        <color theme="1"/>
        <rFont val="Calibri"/>
        <family val="2"/>
      </rPr>
      <t>*1</t>
    </r>
  </si>
  <si>
    <t>50ML，15ML，400ML</t>
  </si>
  <si>
    <t>庄丽</t>
  </si>
  <si>
    <t>湖南省常德市武陵区人民路1833号中国银行</t>
  </si>
  <si>
    <t>史全芳</t>
  </si>
  <si>
    <t>湖南省常德市武陵区三闾路东水岸12栋</t>
  </si>
  <si>
    <t>120109199107205526</t>
  </si>
  <si>
    <t>史全芳120109199107205526</t>
  </si>
  <si>
    <t>9769148333897</t>
  </si>
  <si>
    <t>SC20190098550</t>
  </si>
  <si>
    <t>汪晓艳</t>
  </si>
  <si>
    <t>浙江省温州市瓯海区中江路72号梵高服饰</t>
  </si>
  <si>
    <t>341002197907230423</t>
  </si>
  <si>
    <t>汪晓艳341002197907230423</t>
  </si>
  <si>
    <t>9769148449797</t>
  </si>
  <si>
    <t>SC20200035519</t>
  </si>
  <si>
    <r>
      <rPr>
        <sz val="12"/>
        <color theme="1"/>
        <rFont val="宋体"/>
        <family val="3"/>
        <charset val="134"/>
      </rPr>
      <t>晚霜</t>
    </r>
    <r>
      <rPr>
        <sz val="12"/>
        <color theme="1"/>
        <rFont val="Calibri"/>
        <family val="2"/>
      </rPr>
      <t>*1</t>
    </r>
    <r>
      <rPr>
        <sz val="12"/>
        <color theme="1"/>
        <rFont val="宋体"/>
        <family val="3"/>
        <charset val="134"/>
      </rPr>
      <t>，日霜</t>
    </r>
    <r>
      <rPr>
        <sz val="12"/>
        <color theme="1"/>
        <rFont val="Calibri"/>
        <family val="2"/>
      </rPr>
      <t>*2</t>
    </r>
    <r>
      <rPr>
        <sz val="12"/>
        <color theme="1"/>
        <rFont val="宋体"/>
        <family val="3"/>
        <charset val="134"/>
      </rPr>
      <t>，面膜</t>
    </r>
    <r>
      <rPr>
        <sz val="12"/>
        <color theme="1"/>
        <rFont val="Calibri"/>
        <family val="2"/>
      </rPr>
      <t>*1</t>
    </r>
    <r>
      <rPr>
        <sz val="12"/>
        <color theme="1"/>
        <rFont val="宋体"/>
        <family val="3"/>
        <charset val="134"/>
      </rPr>
      <t>，精华素</t>
    </r>
    <r>
      <rPr>
        <sz val="12"/>
        <color theme="1"/>
        <rFont val="Calibri"/>
        <family val="2"/>
      </rPr>
      <t>*1</t>
    </r>
  </si>
  <si>
    <t>30ML，30ML，5张，30ML</t>
  </si>
  <si>
    <t>王紫婷</t>
  </si>
  <si>
    <t>山西省太原市迎泽区东缉虎营1号山西省总工会</t>
  </si>
  <si>
    <t>310225199111040489</t>
  </si>
  <si>
    <t>王紫婷310225199111040489</t>
  </si>
  <si>
    <t>9769148428097</t>
  </si>
  <si>
    <t>SC20200033608</t>
  </si>
  <si>
    <r>
      <rPr>
        <sz val="12"/>
        <color theme="1"/>
        <rFont val="宋体"/>
        <family val="3"/>
        <charset val="134"/>
      </rPr>
      <t>纤维素</t>
    </r>
    <r>
      <rPr>
        <sz val="12"/>
        <color theme="1"/>
        <rFont val="Calibri"/>
        <family val="2"/>
      </rPr>
      <t>*3</t>
    </r>
  </si>
  <si>
    <t>392G</t>
  </si>
  <si>
    <t>江苏省南京市江宁区上元大街明月路100号金轮第一居4栋202B</t>
  </si>
  <si>
    <t>320103196607152024</t>
  </si>
  <si>
    <t>高祝红320103196607152024</t>
  </si>
  <si>
    <t>9769148500297</t>
  </si>
  <si>
    <t>SC20190081998</t>
  </si>
  <si>
    <r>
      <rPr>
        <sz val="12"/>
        <color theme="1"/>
        <rFont val="宋体"/>
        <family val="3"/>
        <charset val="134"/>
      </rPr>
      <t>妇康宁</t>
    </r>
    <r>
      <rPr>
        <sz val="12"/>
        <color theme="1"/>
        <rFont val="Calibri"/>
        <family val="2"/>
      </rPr>
      <t>*3</t>
    </r>
  </si>
  <si>
    <t>戈老师</t>
  </si>
  <si>
    <t>重庆市璧山区东山路俊豪城东区一号门</t>
  </si>
  <si>
    <t>徐薇薇</t>
  </si>
  <si>
    <t>232131198505211024</t>
  </si>
  <si>
    <t>徐薇薇232131198505211024</t>
  </si>
  <si>
    <t>9769148307797</t>
  </si>
  <si>
    <t>SC20200034575</t>
  </si>
  <si>
    <t>益佳莺</t>
  </si>
  <si>
    <t>河北省定州市火车站邮政局分销部</t>
  </si>
  <si>
    <t>310115198403265628</t>
  </si>
  <si>
    <t>益佳莺310115198403265628</t>
  </si>
  <si>
    <t>9769116702197</t>
  </si>
  <si>
    <t>SC20200034574</t>
  </si>
  <si>
    <r>
      <rPr>
        <sz val="12"/>
        <color theme="1"/>
        <rFont val="宋体"/>
        <family val="3"/>
        <charset val="134"/>
      </rPr>
      <t>打底膏</t>
    </r>
    <r>
      <rPr>
        <sz val="12"/>
        <color theme="1"/>
        <rFont val="Calibri"/>
        <family val="2"/>
      </rPr>
      <t>*1</t>
    </r>
    <r>
      <rPr>
        <sz val="12"/>
        <color theme="1"/>
        <rFont val="宋体"/>
        <family val="3"/>
        <charset val="134"/>
      </rPr>
      <t>，口红</t>
    </r>
    <r>
      <rPr>
        <sz val="12"/>
        <color theme="1"/>
        <rFont val="Calibri"/>
        <family val="2"/>
      </rPr>
      <t>*5</t>
    </r>
    <r>
      <rPr>
        <sz val="12"/>
        <color theme="1"/>
        <rFont val="宋体"/>
        <family val="3"/>
        <charset val="134"/>
      </rPr>
      <t>，唇釉</t>
    </r>
    <r>
      <rPr>
        <sz val="12"/>
        <color theme="1"/>
        <rFont val="Calibri"/>
        <family val="2"/>
      </rPr>
      <t>*5</t>
    </r>
    <r>
      <rPr>
        <sz val="12"/>
        <color theme="1"/>
        <rFont val="宋体"/>
        <family val="3"/>
        <charset val="134"/>
      </rPr>
      <t>，爽肤水</t>
    </r>
    <r>
      <rPr>
        <sz val="12"/>
        <color theme="1"/>
        <rFont val="Calibri"/>
        <family val="2"/>
      </rPr>
      <t>*1</t>
    </r>
    <r>
      <rPr>
        <sz val="12"/>
        <color theme="1"/>
        <rFont val="宋体"/>
        <family val="3"/>
        <charset val="134"/>
      </rPr>
      <t>，小样精华</t>
    </r>
    <r>
      <rPr>
        <sz val="12"/>
        <color theme="1"/>
        <rFont val="Calibri"/>
        <family val="2"/>
      </rPr>
      <t>*1</t>
    </r>
  </si>
  <si>
    <t>1.8G，3ML，2ML，40ML，7ML</t>
  </si>
  <si>
    <t>李薇薇</t>
  </si>
  <si>
    <t>210211198706266560</t>
  </si>
  <si>
    <t>李薇薇210211198706266560</t>
  </si>
  <si>
    <t>9769148321997</t>
  </si>
  <si>
    <t>SC20190091050</t>
  </si>
  <si>
    <r>
      <rPr>
        <sz val="12"/>
        <color theme="1"/>
        <rFont val="宋体"/>
        <family val="3"/>
        <charset val="134"/>
      </rPr>
      <t>维生素</t>
    </r>
    <r>
      <rPr>
        <sz val="12"/>
        <color theme="1"/>
        <rFont val="Calibri"/>
        <family val="2"/>
      </rPr>
      <t>*5</t>
    </r>
    <r>
      <rPr>
        <sz val="12"/>
        <color theme="1"/>
        <rFont val="宋体"/>
        <family val="3"/>
        <charset val="134"/>
      </rPr>
      <t>，基本营养素</t>
    </r>
    <r>
      <rPr>
        <sz val="12"/>
        <color theme="1"/>
        <rFont val="Calibri"/>
        <family val="2"/>
      </rPr>
      <t>*1</t>
    </r>
    <r>
      <rPr>
        <sz val="12"/>
        <color theme="1"/>
        <rFont val="宋体"/>
        <family val="3"/>
        <charset val="134"/>
      </rPr>
      <t>，鱼油</t>
    </r>
    <r>
      <rPr>
        <sz val="12"/>
        <color theme="1"/>
        <rFont val="Calibri"/>
        <family val="2"/>
      </rPr>
      <t>*3</t>
    </r>
  </si>
  <si>
    <r>
      <rPr>
        <sz val="12"/>
        <color theme="1"/>
        <rFont val="Calibri"/>
        <family val="2"/>
      </rPr>
      <t>168</t>
    </r>
    <r>
      <rPr>
        <sz val="12"/>
        <color theme="1"/>
        <rFont val="宋体"/>
        <family val="3"/>
        <charset val="134"/>
      </rPr>
      <t>粒，</t>
    </r>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</si>
  <si>
    <t>赵辰</t>
  </si>
  <si>
    <t>210802198302241582</t>
  </si>
  <si>
    <t>赵辰210802198302241582</t>
  </si>
  <si>
    <t>9769148328497</t>
  </si>
  <si>
    <t>SC20200019769</t>
  </si>
  <si>
    <r>
      <rPr>
        <sz val="12"/>
        <color theme="1"/>
        <rFont val="宋体"/>
        <family val="3"/>
        <charset val="134"/>
      </rPr>
      <t>打底裤</t>
    </r>
    <r>
      <rPr>
        <sz val="12"/>
        <color theme="1"/>
        <rFont val="Calibri"/>
        <family val="2"/>
      </rPr>
      <t>*3</t>
    </r>
  </si>
  <si>
    <t>董嘉</t>
  </si>
  <si>
    <t>北京市朝阳区雅宝路10号岗亭</t>
  </si>
  <si>
    <t>张睿哲</t>
  </si>
  <si>
    <t>23060319920826022X</t>
  </si>
  <si>
    <t>张睿哲23060319920826022X</t>
  </si>
  <si>
    <t>9769116600997</t>
  </si>
  <si>
    <t>SC20180234197</t>
  </si>
  <si>
    <t>110105193604282114</t>
  </si>
  <si>
    <t>朱起清110105193604282114</t>
  </si>
  <si>
    <t>9769116615997</t>
  </si>
  <si>
    <t>SC20200023000</t>
  </si>
  <si>
    <t>补水面膜*10，维生素*1，绿茶精*1，维生素*1</t>
  </si>
  <si>
    <r>
      <rPr>
        <sz val="12"/>
        <color theme="1"/>
        <rFont val="Calibri"/>
        <family val="2"/>
      </rPr>
      <t>100ML</t>
    </r>
    <r>
      <rPr>
        <sz val="12"/>
        <color theme="1"/>
        <rFont val="宋体"/>
        <family val="3"/>
        <charset val="134"/>
      </rPr>
      <t>，</t>
    </r>
    <r>
      <rPr>
        <sz val="12"/>
        <color theme="1"/>
        <rFont val="Calibri"/>
        <family val="2"/>
      </rPr>
      <t>180</t>
    </r>
    <r>
      <rPr>
        <sz val="12"/>
        <color theme="1"/>
        <rFont val="宋体"/>
        <family val="3"/>
        <charset val="134"/>
      </rPr>
      <t>粒，</t>
    </r>
    <r>
      <rPr>
        <sz val="12"/>
        <color theme="1"/>
        <rFont val="Calibri"/>
        <family val="2"/>
      </rPr>
      <t>120</t>
    </r>
    <r>
      <rPr>
        <sz val="12"/>
        <color theme="1"/>
        <rFont val="宋体"/>
        <family val="3"/>
        <charset val="134"/>
      </rPr>
      <t>粒，</t>
    </r>
    <r>
      <rPr>
        <sz val="12"/>
        <color theme="1"/>
        <rFont val="Calibri"/>
        <family val="2"/>
      </rPr>
      <t>60</t>
    </r>
    <r>
      <rPr>
        <sz val="12"/>
        <color theme="1"/>
        <rFont val="宋体"/>
        <family val="3"/>
        <charset val="134"/>
      </rPr>
      <t>粒</t>
    </r>
  </si>
  <si>
    <t>易佳妮</t>
  </si>
  <si>
    <t>山东省德州市庆云县渤海路街道农商银行西50米十字路口往北50米</t>
  </si>
  <si>
    <t>周爱玲</t>
  </si>
  <si>
    <t>山东省德州市齐河县晏北街道办事处开发区派出所</t>
  </si>
  <si>
    <t>321020196804180325</t>
  </si>
  <si>
    <t>周爱玲321020196804180325</t>
  </si>
  <si>
    <t>9769116713797</t>
  </si>
  <si>
    <t>SC20200033067</t>
  </si>
  <si>
    <t>戴泳豪</t>
  </si>
  <si>
    <t>广东省广州市增城区翡翠绿洲七期1-1304</t>
  </si>
  <si>
    <t>350583199710202635</t>
  </si>
  <si>
    <t>戴泳豪350583199710202635</t>
  </si>
  <si>
    <t>9769116730097</t>
  </si>
  <si>
    <t>SC20200033071</t>
  </si>
  <si>
    <t>张蔚雯</t>
  </si>
  <si>
    <t>510721197306309441</t>
  </si>
  <si>
    <t>张蔚雯510721197306309441</t>
  </si>
  <si>
    <t>9769116722597</t>
  </si>
  <si>
    <t>SC20200033075</t>
  </si>
  <si>
    <r>
      <rPr>
        <sz val="12"/>
        <color theme="1"/>
        <rFont val="宋体"/>
        <family val="3"/>
        <charset val="134"/>
      </rPr>
      <t>基本营养素</t>
    </r>
    <r>
      <rPr>
        <sz val="12"/>
        <color theme="1"/>
        <rFont val="Calibri"/>
        <family val="2"/>
      </rPr>
      <t>*4</t>
    </r>
    <r>
      <rPr>
        <sz val="12"/>
        <color theme="1"/>
        <rFont val="宋体"/>
        <family val="3"/>
        <charset val="134"/>
      </rPr>
      <t>，钙镁片</t>
    </r>
    <r>
      <rPr>
        <sz val="12"/>
        <color theme="1"/>
        <rFont val="Calibri"/>
        <family val="2"/>
      </rPr>
      <t>*2</t>
    </r>
    <r>
      <rPr>
        <sz val="12"/>
        <color theme="1"/>
        <rFont val="宋体"/>
        <family val="3"/>
        <charset val="134"/>
      </rPr>
      <t>，心宝</t>
    </r>
    <r>
      <rPr>
        <sz val="12"/>
        <color theme="1"/>
        <rFont val="Calibri"/>
        <family val="2"/>
      </rPr>
      <t>*3</t>
    </r>
    <r>
      <rPr>
        <sz val="12"/>
        <color theme="1"/>
        <rFont val="宋体"/>
        <family val="3"/>
        <charset val="134"/>
      </rPr>
      <t>，保列健</t>
    </r>
    <r>
      <rPr>
        <sz val="12"/>
        <color theme="1"/>
        <rFont val="Calibri"/>
        <family val="2"/>
      </rPr>
      <t>*2</t>
    </r>
    <r>
      <rPr>
        <sz val="12"/>
        <color theme="1"/>
        <rFont val="宋体"/>
        <family val="3"/>
        <charset val="134"/>
      </rPr>
      <t>，视力宝</t>
    </r>
    <r>
      <rPr>
        <sz val="12"/>
        <color theme="1"/>
        <rFont val="Calibri"/>
        <family val="2"/>
      </rPr>
      <t>*1</t>
    </r>
    <r>
      <rPr>
        <sz val="12"/>
        <color theme="1"/>
        <rFont val="宋体"/>
        <family val="3"/>
        <charset val="134"/>
      </rPr>
      <t>，眠宁素</t>
    </r>
    <r>
      <rPr>
        <sz val="12"/>
        <color theme="1"/>
        <rFont val="Calibri"/>
        <family val="2"/>
      </rPr>
      <t>*1</t>
    </r>
    <r>
      <rPr>
        <sz val="12"/>
        <color theme="1"/>
        <rFont val="宋体"/>
        <family val="3"/>
        <charset val="134"/>
      </rPr>
      <t>，肝宝</t>
    </r>
    <r>
      <rPr>
        <sz val="12"/>
        <color theme="1"/>
        <rFont val="Calibri"/>
        <family val="2"/>
      </rPr>
      <t>*3</t>
    </r>
  </si>
  <si>
    <t>谷帅</t>
  </si>
  <si>
    <t>110223198610044260</t>
  </si>
  <si>
    <t>谷帅110223198610044260</t>
  </si>
  <si>
    <t>9769116724297</t>
  </si>
  <si>
    <t>SC20200033079</t>
  </si>
  <si>
    <t>艾桦</t>
  </si>
  <si>
    <t>广东省广州市增城区新塘镇水南工业区内广州歌誉家居用品有限公司</t>
  </si>
  <si>
    <t>362502198203180436</t>
  </si>
  <si>
    <t>艾桦362502198203180436</t>
  </si>
  <si>
    <t>9769116655697</t>
  </si>
  <si>
    <t>SC20200033495</t>
  </si>
  <si>
    <r>
      <rPr>
        <sz val="12"/>
        <color theme="1"/>
        <rFont val="宋体"/>
        <family val="3"/>
        <charset val="134"/>
      </rPr>
      <t>妇康宁</t>
    </r>
    <r>
      <rPr>
        <sz val="12"/>
        <color theme="1"/>
        <rFont val="Calibri"/>
        <family val="2"/>
      </rPr>
      <t>*2</t>
    </r>
    <r>
      <rPr>
        <sz val="12"/>
        <color theme="1"/>
        <rFont val="宋体"/>
        <family val="3"/>
        <charset val="134"/>
      </rPr>
      <t>，鱼油</t>
    </r>
    <r>
      <rPr>
        <sz val="12"/>
        <color theme="1"/>
        <rFont val="Calibri"/>
        <family val="2"/>
      </rPr>
      <t>*2</t>
    </r>
    <r>
      <rPr>
        <sz val="12"/>
        <color theme="1"/>
        <rFont val="宋体"/>
        <family val="3"/>
        <charset val="134"/>
      </rPr>
      <t>，日霜</t>
    </r>
    <r>
      <rPr>
        <sz val="12"/>
        <color theme="1"/>
        <rFont val="Calibri"/>
        <family val="2"/>
      </rPr>
      <t>*2</t>
    </r>
    <r>
      <rPr>
        <sz val="12"/>
        <color theme="1"/>
        <rFont val="宋体"/>
        <family val="3"/>
        <charset val="134"/>
      </rPr>
      <t>，洗面奶</t>
    </r>
    <r>
      <rPr>
        <sz val="12"/>
        <color theme="1"/>
        <rFont val="Calibri"/>
        <family val="2"/>
      </rPr>
      <t>*2</t>
    </r>
    <r>
      <rPr>
        <sz val="12"/>
        <color theme="1"/>
        <rFont val="宋体"/>
        <family val="3"/>
        <charset val="134"/>
      </rPr>
      <t>，钙</t>
    </r>
    <r>
      <rPr>
        <sz val="12"/>
        <color theme="1"/>
        <rFont val="Calibri"/>
        <family val="2"/>
      </rPr>
      <t>*1</t>
    </r>
  </si>
  <si>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28G</t>
    </r>
    <r>
      <rPr>
        <sz val="12"/>
        <color theme="1"/>
        <rFont val="宋体"/>
        <family val="3"/>
        <charset val="134"/>
      </rPr>
      <t>，</t>
    </r>
    <r>
      <rPr>
        <sz val="12"/>
        <color theme="1"/>
        <rFont val="Calibri"/>
        <family val="2"/>
      </rPr>
      <t>28G</t>
    </r>
    <r>
      <rPr>
        <sz val="12"/>
        <color theme="1"/>
        <rFont val="宋体"/>
        <family val="3"/>
        <charset val="134"/>
      </rPr>
      <t>，</t>
    </r>
    <r>
      <rPr>
        <sz val="12"/>
        <color theme="1"/>
        <rFont val="Calibri"/>
        <family val="2"/>
      </rPr>
      <t>112</t>
    </r>
    <r>
      <rPr>
        <sz val="12"/>
        <color theme="1"/>
        <rFont val="宋体"/>
        <family val="3"/>
        <charset val="134"/>
      </rPr>
      <t>粒</t>
    </r>
  </si>
  <si>
    <t>徐艳</t>
  </si>
  <si>
    <t>陕西省渭南市蒲城县尧山镇胜利街道</t>
  </si>
  <si>
    <t>500228199103013389</t>
  </si>
  <si>
    <t>徐艳500228199103013389</t>
  </si>
  <si>
    <t>9769116691997</t>
  </si>
  <si>
    <t>SC20200018290</t>
  </si>
  <si>
    <t>健骼宁*4，女宝*1，维生素*4，心宝*5</t>
  </si>
  <si>
    <t>440102196507164045</t>
  </si>
  <si>
    <t>邓伟清440102196507164045</t>
  </si>
  <si>
    <t>9769116659597</t>
  </si>
  <si>
    <t>SC20200035235</t>
  </si>
  <si>
    <r>
      <rPr>
        <sz val="12"/>
        <color theme="1"/>
        <rFont val="宋体"/>
        <family val="3"/>
        <charset val="134"/>
      </rPr>
      <t>精华</t>
    </r>
    <r>
      <rPr>
        <sz val="12"/>
        <color theme="1"/>
        <rFont val="Calibri"/>
        <family val="2"/>
      </rPr>
      <t>*1</t>
    </r>
    <r>
      <rPr>
        <sz val="12"/>
        <color theme="1"/>
        <rFont val="宋体"/>
        <family val="3"/>
        <charset val="134"/>
      </rPr>
      <t>，眼霜</t>
    </r>
    <r>
      <rPr>
        <sz val="12"/>
        <color theme="1"/>
        <rFont val="Calibri"/>
        <family val="2"/>
      </rPr>
      <t>*2</t>
    </r>
    <r>
      <rPr>
        <sz val="12"/>
        <color theme="1"/>
        <rFont val="宋体"/>
        <family val="3"/>
        <charset val="134"/>
      </rPr>
      <t>，粉水</t>
    </r>
    <r>
      <rPr>
        <sz val="12"/>
        <color theme="1"/>
        <rFont val="Calibri"/>
        <family val="2"/>
      </rPr>
      <t>*1</t>
    </r>
    <r>
      <rPr>
        <sz val="12"/>
        <color theme="1"/>
        <rFont val="宋体"/>
        <family val="3"/>
        <charset val="134"/>
      </rPr>
      <t>，乳霜</t>
    </r>
    <r>
      <rPr>
        <sz val="12"/>
        <color theme="1"/>
        <rFont val="Calibri"/>
        <family val="2"/>
      </rPr>
      <t>*1</t>
    </r>
  </si>
  <si>
    <t>50ML，15ML，400ML，100ML</t>
  </si>
  <si>
    <t>黄琼</t>
  </si>
  <si>
    <t>420112199003102724</t>
  </si>
  <si>
    <t>黄琼420112199003102724</t>
  </si>
  <si>
    <t>9769116605797</t>
  </si>
  <si>
    <t>SC20200034390</t>
  </si>
  <si>
    <r>
      <rPr>
        <sz val="12"/>
        <color theme="1"/>
        <rFont val="宋体"/>
        <family val="3"/>
        <charset val="134"/>
      </rPr>
      <t>褪黑素</t>
    </r>
    <r>
      <rPr>
        <sz val="12"/>
        <color theme="1"/>
        <rFont val="Calibri"/>
        <family val="2"/>
      </rPr>
      <t>*6</t>
    </r>
    <r>
      <rPr>
        <sz val="12"/>
        <color theme="1"/>
        <rFont val="宋体"/>
        <family val="3"/>
        <charset val="134"/>
      </rPr>
      <t>，小项链</t>
    </r>
    <r>
      <rPr>
        <sz val="12"/>
        <color theme="1"/>
        <rFont val="Calibri"/>
        <family val="2"/>
      </rPr>
      <t>*1</t>
    </r>
    <r>
      <rPr>
        <sz val="12"/>
        <color theme="1"/>
        <rFont val="宋体"/>
        <family val="3"/>
        <charset val="134"/>
      </rPr>
      <t>，手链</t>
    </r>
    <r>
      <rPr>
        <sz val="12"/>
        <color theme="1"/>
        <rFont val="Calibri"/>
        <family val="2"/>
      </rPr>
      <t>*1</t>
    </r>
  </si>
  <si>
    <t>WEBBER，SWAROVSKI，SWAROVSKI</t>
  </si>
  <si>
    <t>罗艺琳</t>
  </si>
  <si>
    <t>天津市和平区南市大街31号万全小学</t>
  </si>
  <si>
    <t>44020219870121002X</t>
  </si>
  <si>
    <t>罗艺琳44020219870121002X</t>
  </si>
  <si>
    <t>9769116705297</t>
  </si>
  <si>
    <t>SC20190054810</t>
  </si>
  <si>
    <r>
      <rPr>
        <sz val="12"/>
        <color theme="1"/>
        <rFont val="宋体"/>
        <family val="3"/>
        <charset val="134"/>
      </rPr>
      <t>杯子</t>
    </r>
    <r>
      <rPr>
        <sz val="12"/>
        <color theme="1"/>
        <rFont val="Calibri"/>
        <family val="2"/>
      </rPr>
      <t>*1</t>
    </r>
    <r>
      <rPr>
        <sz val="12"/>
        <color theme="1"/>
        <rFont val="宋体"/>
        <family val="3"/>
        <charset val="134"/>
      </rPr>
      <t>，唇膏</t>
    </r>
    <r>
      <rPr>
        <sz val="12"/>
        <color theme="1"/>
        <rFont val="Calibri"/>
        <family val="2"/>
      </rPr>
      <t>*1</t>
    </r>
    <r>
      <rPr>
        <sz val="12"/>
        <color theme="1"/>
        <rFont val="宋体"/>
        <family val="3"/>
        <charset val="134"/>
      </rPr>
      <t>，口红</t>
    </r>
    <r>
      <rPr>
        <sz val="12"/>
        <color theme="1"/>
        <rFont val="Calibri"/>
        <family val="2"/>
      </rPr>
      <t>*2</t>
    </r>
    <r>
      <rPr>
        <sz val="12"/>
        <color theme="1"/>
        <rFont val="宋体"/>
        <family val="3"/>
        <charset val="134"/>
      </rPr>
      <t>，粉胶</t>
    </r>
    <r>
      <rPr>
        <sz val="12"/>
        <color theme="1"/>
        <rFont val="Calibri"/>
        <family val="2"/>
      </rPr>
      <t>*1</t>
    </r>
    <r>
      <rPr>
        <sz val="12"/>
        <color theme="1"/>
        <rFont val="宋体"/>
        <family val="3"/>
        <charset val="134"/>
      </rPr>
      <t>，面霜小样</t>
    </r>
    <r>
      <rPr>
        <sz val="12"/>
        <color theme="1"/>
        <rFont val="Calibri"/>
        <family val="2"/>
      </rPr>
      <t>*4</t>
    </r>
  </si>
  <si>
    <t>CONTIGO，MAC，FORMULA，ELIZABETH ARDEN，CLARINS</t>
  </si>
  <si>
    <t>，，，，15ML</t>
  </si>
  <si>
    <t>220222197103150805</t>
  </si>
  <si>
    <t>王辉220222197103150805</t>
  </si>
  <si>
    <t>9769148282897</t>
  </si>
  <si>
    <t>SC20190054507</t>
  </si>
  <si>
    <r>
      <rPr>
        <sz val="12"/>
        <color theme="1"/>
        <rFont val="宋体"/>
        <family val="3"/>
        <charset val="134"/>
      </rPr>
      <t>精华</t>
    </r>
    <r>
      <rPr>
        <sz val="12"/>
        <color theme="1"/>
        <rFont val="Calibri"/>
        <family val="2"/>
      </rPr>
      <t>*1</t>
    </r>
    <r>
      <rPr>
        <sz val="12"/>
        <color theme="1"/>
        <rFont val="宋体"/>
        <family val="3"/>
        <charset val="134"/>
      </rPr>
      <t>，化妆水</t>
    </r>
    <r>
      <rPr>
        <sz val="12"/>
        <color theme="1"/>
        <rFont val="Calibri"/>
        <family val="2"/>
      </rPr>
      <t>*1</t>
    </r>
    <r>
      <rPr>
        <sz val="12"/>
        <color theme="1"/>
        <rFont val="宋体"/>
        <family val="3"/>
        <charset val="134"/>
      </rPr>
      <t>，面霜小样</t>
    </r>
    <r>
      <rPr>
        <sz val="12"/>
        <color theme="1"/>
        <rFont val="Calibri"/>
        <family val="2"/>
      </rPr>
      <t>*1</t>
    </r>
    <r>
      <rPr>
        <sz val="12"/>
        <color theme="1"/>
        <rFont val="宋体"/>
        <family val="3"/>
        <charset val="134"/>
      </rPr>
      <t>，眼霜小样</t>
    </r>
    <r>
      <rPr>
        <sz val="12"/>
        <color theme="1"/>
        <rFont val="Calibri"/>
        <family val="2"/>
      </rPr>
      <t>*1</t>
    </r>
    <r>
      <rPr>
        <sz val="12"/>
        <color theme="1"/>
        <rFont val="宋体"/>
        <family val="3"/>
        <charset val="134"/>
      </rPr>
      <t>，面霜</t>
    </r>
    <r>
      <rPr>
        <sz val="12"/>
        <color theme="1"/>
        <rFont val="Calibri"/>
        <family val="2"/>
      </rPr>
      <t>*1</t>
    </r>
    <r>
      <rPr>
        <sz val="12"/>
        <color theme="1"/>
        <rFont val="宋体"/>
        <family val="3"/>
        <charset val="134"/>
      </rPr>
      <t>，面霜小样</t>
    </r>
    <r>
      <rPr>
        <sz val="12"/>
        <color theme="1"/>
        <rFont val="Calibri"/>
        <family val="2"/>
      </rPr>
      <t>*1</t>
    </r>
    <r>
      <rPr>
        <sz val="12"/>
        <color theme="1"/>
        <rFont val="宋体"/>
        <family val="3"/>
        <charset val="134"/>
      </rPr>
      <t>，精华小样</t>
    </r>
    <r>
      <rPr>
        <sz val="12"/>
        <color theme="1"/>
        <rFont val="Calibri"/>
        <family val="2"/>
      </rPr>
      <t>*1</t>
    </r>
  </si>
  <si>
    <t>LANCOME，LANCOME，LANCOME，LANCOME，ESTEE LAUDER，ESTEE LAUDER，ESTEE LAUDER</t>
  </si>
  <si>
    <t>20ML，400ML，15ML，5ML，50ML，15ML，7ML</t>
  </si>
  <si>
    <t>张丹</t>
  </si>
  <si>
    <t>江苏省南京市白下区中山南路新百三楼帝欧豹专柜</t>
  </si>
  <si>
    <t>110111198704132025</t>
  </si>
  <si>
    <t>张丹110111198704132025</t>
  </si>
  <si>
    <t>9769116698497</t>
  </si>
  <si>
    <t>SC20190054550</t>
  </si>
  <si>
    <t>KATE SPADE</t>
  </si>
  <si>
    <t>李娟</t>
  </si>
  <si>
    <t>342426198310060028</t>
  </si>
  <si>
    <t>李娟342426198310060028</t>
  </si>
  <si>
    <t>9769116737597</t>
  </si>
  <si>
    <t>SC20190054826</t>
  </si>
  <si>
    <r>
      <rPr>
        <sz val="12"/>
        <color theme="1"/>
        <rFont val="宋体"/>
        <family val="3"/>
        <charset val="134"/>
      </rPr>
      <t>眼霜小样</t>
    </r>
    <r>
      <rPr>
        <sz val="12"/>
        <color theme="1"/>
        <rFont val="Calibri"/>
        <family val="2"/>
      </rPr>
      <t>*1</t>
    </r>
    <r>
      <rPr>
        <sz val="12"/>
        <color theme="1"/>
        <rFont val="宋体"/>
        <family val="3"/>
        <charset val="134"/>
      </rPr>
      <t>，睫毛膏小样</t>
    </r>
    <r>
      <rPr>
        <sz val="12"/>
        <color theme="1"/>
        <rFont val="Calibri"/>
        <family val="2"/>
      </rPr>
      <t>*1</t>
    </r>
    <r>
      <rPr>
        <sz val="12"/>
        <color theme="1"/>
        <rFont val="宋体"/>
        <family val="3"/>
        <charset val="134"/>
      </rPr>
      <t>，眼霜小样</t>
    </r>
    <r>
      <rPr>
        <sz val="12"/>
        <color theme="1"/>
        <rFont val="Calibri"/>
        <family val="2"/>
      </rPr>
      <t>*1</t>
    </r>
    <r>
      <rPr>
        <sz val="12"/>
        <color theme="1"/>
        <rFont val="宋体"/>
        <family val="3"/>
        <charset val="134"/>
      </rPr>
      <t>，精华小样</t>
    </r>
    <r>
      <rPr>
        <sz val="12"/>
        <color theme="1"/>
        <rFont val="Calibri"/>
        <family val="2"/>
      </rPr>
      <t>*1</t>
    </r>
    <r>
      <rPr>
        <sz val="12"/>
        <color theme="1"/>
        <rFont val="宋体"/>
        <family val="3"/>
        <charset val="134"/>
      </rPr>
      <t>，精华小样</t>
    </r>
    <r>
      <rPr>
        <sz val="12"/>
        <color theme="1"/>
        <rFont val="Calibri"/>
        <family val="2"/>
      </rPr>
      <t>*1</t>
    </r>
    <r>
      <rPr>
        <sz val="12"/>
        <color theme="1"/>
        <rFont val="宋体"/>
        <family val="3"/>
        <charset val="134"/>
      </rPr>
      <t>，面膜小样</t>
    </r>
    <r>
      <rPr>
        <sz val="12"/>
        <color theme="1"/>
        <rFont val="Calibri"/>
        <family val="2"/>
      </rPr>
      <t>*1</t>
    </r>
    <r>
      <rPr>
        <sz val="12"/>
        <color theme="1"/>
        <rFont val="宋体"/>
        <family val="3"/>
        <charset val="134"/>
      </rPr>
      <t>，赠品包</t>
    </r>
    <r>
      <rPr>
        <sz val="12"/>
        <color theme="1"/>
        <rFont val="Calibri"/>
        <family val="2"/>
      </rPr>
      <t>*1</t>
    </r>
    <r>
      <rPr>
        <sz val="12"/>
        <color theme="1"/>
        <rFont val="宋体"/>
        <family val="3"/>
        <charset val="134"/>
      </rPr>
      <t>，香水小样</t>
    </r>
    <r>
      <rPr>
        <sz val="12"/>
        <color theme="1"/>
        <rFont val="Calibri"/>
        <family val="2"/>
      </rPr>
      <t>*1</t>
    </r>
    <r>
      <rPr>
        <sz val="12"/>
        <color theme="1"/>
        <rFont val="宋体"/>
        <family val="3"/>
        <charset val="134"/>
      </rPr>
      <t>，杯子</t>
    </r>
    <r>
      <rPr>
        <sz val="12"/>
        <color theme="1"/>
        <rFont val="Calibri"/>
        <family val="2"/>
      </rPr>
      <t>*1</t>
    </r>
  </si>
  <si>
    <t>LANCOME，LANCOME，ESTEE LAUDER，SHISEIDO，ELIZABETH ARDEN，ORIGINS，SHOPPERS，DIOR，CONTIGO</t>
  </si>
  <si>
    <t>3ML，2ML，3ML，10ML，5ML，15ML，，5ML，</t>
  </si>
  <si>
    <t>何晓阳</t>
  </si>
  <si>
    <t>河南省郑州市中原区建设西路100号院14号楼1单元3号</t>
  </si>
  <si>
    <t>林晓燕</t>
  </si>
  <si>
    <t>440509197902100042</t>
  </si>
  <si>
    <t>林晓燕440509197902100042</t>
  </si>
  <si>
    <t>9769148285997</t>
  </si>
  <si>
    <t>SC20190054811</t>
  </si>
  <si>
    <r>
      <rPr>
        <sz val="12"/>
        <color theme="1"/>
        <rFont val="宋体"/>
        <family val="3"/>
        <charset val="134"/>
      </rPr>
      <t>手包</t>
    </r>
    <r>
      <rPr>
        <sz val="12"/>
        <color theme="1"/>
        <rFont val="Calibri"/>
        <family val="2"/>
      </rPr>
      <t>*1</t>
    </r>
    <r>
      <rPr>
        <sz val="12"/>
        <color theme="1"/>
        <rFont val="宋体"/>
        <family val="3"/>
        <charset val="134"/>
      </rPr>
      <t>，护手霜小样</t>
    </r>
    <r>
      <rPr>
        <sz val="12"/>
        <color theme="1"/>
        <rFont val="Calibri"/>
        <family val="2"/>
      </rPr>
      <t>*1</t>
    </r>
    <r>
      <rPr>
        <sz val="12"/>
        <color theme="1"/>
        <rFont val="宋体"/>
        <family val="3"/>
        <charset val="134"/>
      </rPr>
      <t>，面膜小样</t>
    </r>
    <r>
      <rPr>
        <sz val="12"/>
        <color theme="1"/>
        <rFont val="Calibri"/>
        <family val="2"/>
      </rPr>
      <t>*1</t>
    </r>
    <r>
      <rPr>
        <sz val="12"/>
        <color theme="1"/>
        <rFont val="宋体"/>
        <family val="3"/>
        <charset val="134"/>
      </rPr>
      <t>，精华小样</t>
    </r>
    <r>
      <rPr>
        <sz val="12"/>
        <color theme="1"/>
        <rFont val="Calibri"/>
        <family val="2"/>
      </rPr>
      <t>*1</t>
    </r>
    <r>
      <rPr>
        <sz val="12"/>
        <color theme="1"/>
        <rFont val="宋体"/>
        <family val="3"/>
        <charset val="134"/>
      </rPr>
      <t>，精华</t>
    </r>
    <r>
      <rPr>
        <sz val="12"/>
        <color theme="1"/>
        <rFont val="Calibri"/>
        <family val="2"/>
      </rPr>
      <t>*1</t>
    </r>
  </si>
  <si>
    <t>COACH，CLARINS，CLARINS，CLARINS，THE ORDINARY</t>
  </si>
  <si>
    <t>，30ML，30ML，15ML，</t>
  </si>
  <si>
    <t>李梦姣</t>
  </si>
  <si>
    <t>河南省郑州市金水区三全路丰庆路交叉口瑞穗苑1号楼</t>
  </si>
  <si>
    <t>410105199002080206</t>
  </si>
  <si>
    <t>李梦姣410105199002080206</t>
  </si>
  <si>
    <t>9769148287697</t>
  </si>
  <si>
    <t>SC20190054509</t>
  </si>
  <si>
    <t>李浽云</t>
  </si>
  <si>
    <t>河南省郑州市金水区东明路209号工银小区</t>
  </si>
  <si>
    <t>罗静</t>
  </si>
  <si>
    <t>430223198811035525</t>
  </si>
  <si>
    <t>罗静430223198811035525</t>
  </si>
  <si>
    <t>9769116678597</t>
  </si>
  <si>
    <t>SC20200035876</t>
  </si>
  <si>
    <r>
      <rPr>
        <sz val="12"/>
        <color theme="1"/>
        <rFont val="Calibri"/>
        <family val="2"/>
      </rPr>
      <t>维生素B</t>
    </r>
    <r>
      <rPr>
        <sz val="12"/>
        <color theme="1"/>
        <rFont val="SimSun"/>
        <charset val="134"/>
      </rPr>
      <t>族</t>
    </r>
    <r>
      <rPr>
        <sz val="12"/>
        <color theme="1"/>
        <rFont val="Calibri"/>
        <family val="2"/>
      </rPr>
      <t>*2</t>
    </r>
    <r>
      <rPr>
        <sz val="12"/>
        <color theme="1"/>
        <rFont val="宋体"/>
        <family val="3"/>
        <charset val="134"/>
      </rPr>
      <t>，综合营养素</t>
    </r>
    <r>
      <rPr>
        <sz val="12"/>
        <color theme="1"/>
        <rFont val="Calibri"/>
        <family val="2"/>
      </rPr>
      <t>*6</t>
    </r>
    <r>
      <rPr>
        <sz val="12"/>
        <color theme="1"/>
        <rFont val="宋体"/>
        <family val="3"/>
        <charset val="134"/>
      </rPr>
      <t>，口罩</t>
    </r>
    <r>
      <rPr>
        <sz val="12"/>
        <color theme="1"/>
        <rFont val="Calibri"/>
        <family val="2"/>
      </rPr>
      <t>*2</t>
    </r>
  </si>
  <si>
    <t>HEALLE，HEALLE，MASKS</t>
  </si>
  <si>
    <t>60，60，10个</t>
  </si>
  <si>
    <t>张翌日</t>
  </si>
  <si>
    <t>广东省广州市白云区解放北路金桂园E3-806</t>
  </si>
  <si>
    <t>110108196509286371</t>
  </si>
  <si>
    <t>张翌日110108196509286371</t>
  </si>
  <si>
    <t>9769116629597</t>
  </si>
  <si>
    <t>sc20200022245</t>
  </si>
  <si>
    <r>
      <rPr>
        <sz val="12"/>
        <color theme="1"/>
        <rFont val="宋体"/>
        <family val="3"/>
        <charset val="134"/>
      </rPr>
      <t>葡萄籽</t>
    </r>
    <r>
      <rPr>
        <sz val="12"/>
        <color theme="1"/>
        <rFont val="Calibri"/>
        <family val="2"/>
      </rPr>
      <t>*2</t>
    </r>
    <r>
      <rPr>
        <sz val="12"/>
        <color theme="1"/>
        <rFont val="宋体"/>
        <family val="3"/>
        <charset val="134"/>
      </rPr>
      <t>，鱼油</t>
    </r>
    <r>
      <rPr>
        <sz val="12"/>
        <color theme="1"/>
        <rFont val="Calibri"/>
        <family val="2"/>
      </rPr>
      <t>*2</t>
    </r>
  </si>
  <si>
    <t>韩丽丽</t>
  </si>
  <si>
    <t>黑龙江省哈尔滨市道里区四方台大道桐楠格领誉小区A4-3-2203</t>
  </si>
  <si>
    <t>230206198110121443</t>
  </si>
  <si>
    <t>韩丽丽230206198110121443</t>
  </si>
  <si>
    <t>9769148301597</t>
  </si>
  <si>
    <t>sc20200038114</t>
  </si>
  <si>
    <t>徐颢芸</t>
  </si>
  <si>
    <t>510212198201178941</t>
  </si>
  <si>
    <t>徐颢芸510212198201178941</t>
  </si>
  <si>
    <t>9769116612897</t>
  </si>
  <si>
    <t>sc20200033616</t>
  </si>
  <si>
    <r>
      <rPr>
        <sz val="12"/>
        <color theme="1"/>
        <rFont val="宋体"/>
        <family val="3"/>
        <charset val="134"/>
      </rPr>
      <t>大豆蛋白奶昔</t>
    </r>
    <r>
      <rPr>
        <sz val="12"/>
        <color theme="1"/>
        <rFont val="Calibri"/>
        <family val="2"/>
      </rPr>
      <t>*1</t>
    </r>
  </si>
  <si>
    <t>546G</t>
  </si>
  <si>
    <t>范海燕</t>
  </si>
  <si>
    <t>广东省广州市番禺区祈福新村青怡居5街5号5楼C</t>
  </si>
  <si>
    <t>510724198712053123</t>
  </si>
  <si>
    <t>范海燕510724198712053123</t>
  </si>
  <si>
    <t>9769116627897</t>
  </si>
  <si>
    <t>sc20200034495</t>
  </si>
  <si>
    <r>
      <rPr>
        <sz val="12"/>
        <color theme="1"/>
        <rFont val="宋体"/>
        <family val="3"/>
        <charset val="134"/>
      </rPr>
      <t>大蓝胶</t>
    </r>
    <r>
      <rPr>
        <sz val="12"/>
        <color theme="1"/>
        <rFont val="Calibri"/>
        <family val="2"/>
      </rPr>
      <t>*3</t>
    </r>
    <r>
      <rPr>
        <sz val="12"/>
        <color theme="1"/>
        <rFont val="宋体"/>
        <family val="3"/>
        <charset val="134"/>
      </rPr>
      <t>，面膜</t>
    </r>
    <r>
      <rPr>
        <sz val="12"/>
        <color theme="1"/>
        <rFont val="Calibri"/>
        <family val="2"/>
      </rPr>
      <t>*3</t>
    </r>
    <r>
      <rPr>
        <sz val="12"/>
        <color theme="1"/>
        <rFont val="宋体"/>
        <family val="3"/>
        <charset val="134"/>
      </rPr>
      <t>，磨砂膏</t>
    </r>
    <r>
      <rPr>
        <sz val="12"/>
        <color theme="1"/>
        <rFont val="Calibri"/>
        <family val="2"/>
      </rPr>
      <t>*1</t>
    </r>
    <r>
      <rPr>
        <sz val="12"/>
        <color theme="1"/>
        <rFont val="宋体"/>
        <family val="3"/>
        <charset val="134"/>
      </rPr>
      <t>，保湿喷雾</t>
    </r>
    <r>
      <rPr>
        <sz val="12"/>
        <color theme="1"/>
        <rFont val="Calibri"/>
        <family val="2"/>
      </rPr>
      <t>*2</t>
    </r>
    <r>
      <rPr>
        <sz val="12"/>
        <color theme="1"/>
        <rFont val="宋体"/>
        <family val="3"/>
        <charset val="134"/>
      </rPr>
      <t>，脸胶</t>
    </r>
    <r>
      <rPr>
        <sz val="12"/>
        <color theme="1"/>
        <rFont val="Calibri"/>
        <family val="2"/>
      </rPr>
      <t>*2</t>
    </r>
  </si>
  <si>
    <t>150ML，100ML，100ML，250ML，32ML</t>
  </si>
  <si>
    <t>王卉</t>
  </si>
  <si>
    <t>广东省深圳市福田保税区长宝路长宝大厦A段景福精品潮菜</t>
  </si>
  <si>
    <t>51020219641021592X</t>
  </si>
  <si>
    <t>王卉51020219641021592X</t>
  </si>
  <si>
    <t>9769116733597</t>
  </si>
  <si>
    <t>sc20200038109</t>
  </si>
  <si>
    <r>
      <rPr>
        <sz val="12"/>
        <color theme="1"/>
        <rFont val="宋体"/>
        <family val="3"/>
        <charset val="134"/>
      </rPr>
      <t>维生素</t>
    </r>
    <r>
      <rPr>
        <sz val="12"/>
        <color theme="1"/>
        <rFont val="Calibri"/>
        <family val="2"/>
      </rPr>
      <t>*2</t>
    </r>
    <r>
      <rPr>
        <sz val="12"/>
        <color theme="1"/>
        <rFont val="宋体"/>
        <family val="3"/>
        <charset val="134"/>
      </rPr>
      <t>，雌青舒</t>
    </r>
    <r>
      <rPr>
        <sz val="12"/>
        <color theme="1"/>
        <rFont val="Calibri"/>
        <family val="2"/>
      </rPr>
      <t>*2</t>
    </r>
    <r>
      <rPr>
        <sz val="12"/>
        <color theme="1"/>
        <rFont val="宋体"/>
        <family val="3"/>
        <charset val="134"/>
      </rPr>
      <t>，葡萄籽</t>
    </r>
    <r>
      <rPr>
        <sz val="12"/>
        <color theme="1"/>
        <rFont val="Calibri"/>
        <family val="2"/>
      </rPr>
      <t>*2</t>
    </r>
    <r>
      <rPr>
        <sz val="12"/>
        <color theme="1"/>
        <rFont val="宋体"/>
        <family val="3"/>
        <charset val="134"/>
      </rPr>
      <t>，辅酶</t>
    </r>
    <r>
      <rPr>
        <sz val="12"/>
        <color theme="1"/>
        <rFont val="Calibri"/>
        <family val="2"/>
      </rPr>
      <t>*2</t>
    </r>
    <r>
      <rPr>
        <sz val="12"/>
        <color theme="1"/>
        <rFont val="宋体"/>
        <family val="3"/>
        <charset val="134"/>
      </rPr>
      <t>，纤维粉</t>
    </r>
    <r>
      <rPr>
        <sz val="12"/>
        <color theme="1"/>
        <rFont val="Calibri"/>
        <family val="2"/>
      </rPr>
      <t>*1</t>
    </r>
    <r>
      <rPr>
        <sz val="12"/>
        <color theme="1"/>
        <rFont val="宋体"/>
        <family val="3"/>
        <charset val="134"/>
      </rPr>
      <t>，代餐</t>
    </r>
    <r>
      <rPr>
        <sz val="12"/>
        <color theme="1"/>
        <rFont val="Calibri"/>
        <family val="2"/>
      </rPr>
      <t>*1</t>
    </r>
  </si>
  <si>
    <r>
      <rPr>
        <sz val="12"/>
        <color theme="1"/>
        <rFont val="Calibri"/>
        <family val="2"/>
      </rPr>
      <t>112</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392G</t>
    </r>
    <r>
      <rPr>
        <sz val="12"/>
        <color theme="1"/>
        <rFont val="宋体"/>
        <family val="3"/>
        <charset val="134"/>
      </rPr>
      <t>，</t>
    </r>
    <r>
      <rPr>
        <sz val="12"/>
        <color theme="1"/>
        <rFont val="Calibri"/>
        <family val="2"/>
      </rPr>
      <t>546G</t>
    </r>
  </si>
  <si>
    <t>李洁妮</t>
  </si>
  <si>
    <t>360102195702174340</t>
  </si>
  <si>
    <t>李洁妮360102195702174340</t>
  </si>
  <si>
    <t>9769148574097</t>
  </si>
  <si>
    <t>SC20200034019</t>
  </si>
  <si>
    <r>
      <rPr>
        <sz val="12"/>
        <color theme="1"/>
        <rFont val="宋体"/>
        <family val="3"/>
        <charset val="134"/>
      </rPr>
      <t>防晒套盒</t>
    </r>
    <r>
      <rPr>
        <sz val="12"/>
        <color theme="1"/>
        <rFont val="Calibri"/>
        <family val="2"/>
      </rPr>
      <t>*6</t>
    </r>
    <r>
      <rPr>
        <sz val="12"/>
        <color theme="1"/>
        <rFont val="宋体"/>
        <family val="3"/>
        <charset val="134"/>
      </rPr>
      <t>，香水</t>
    </r>
    <r>
      <rPr>
        <sz val="12"/>
        <color theme="1"/>
        <rFont val="Calibri"/>
        <family val="2"/>
      </rPr>
      <t>*1</t>
    </r>
  </si>
  <si>
    <t>SHISEIDO，CHANEL</t>
  </si>
  <si>
    <t>李舒湲</t>
  </si>
  <si>
    <t>220202198101314828</t>
  </si>
  <si>
    <t>李舒湲220202198101314828</t>
  </si>
  <si>
    <t>9769148587297</t>
  </si>
  <si>
    <t>SC20200031543</t>
  </si>
  <si>
    <r>
      <rPr>
        <sz val="12"/>
        <color theme="1"/>
        <rFont val="宋体"/>
        <family val="3"/>
        <charset val="134"/>
      </rPr>
      <t>青少年营养素</t>
    </r>
    <r>
      <rPr>
        <sz val="12"/>
        <color theme="1"/>
        <rFont val="Calibri"/>
        <family val="2"/>
      </rPr>
      <t>*3</t>
    </r>
    <r>
      <rPr>
        <sz val="12"/>
        <color theme="1"/>
        <rFont val="宋体"/>
        <family val="3"/>
        <charset val="134"/>
      </rPr>
      <t>，鱼油</t>
    </r>
    <r>
      <rPr>
        <sz val="12"/>
        <color theme="1"/>
        <rFont val="Calibri"/>
        <family val="2"/>
      </rPr>
      <t>*1</t>
    </r>
    <r>
      <rPr>
        <sz val="12"/>
        <color theme="1"/>
        <rFont val="宋体"/>
        <family val="3"/>
        <charset val="134"/>
      </rPr>
      <t>，心脏宝</t>
    </r>
    <r>
      <rPr>
        <sz val="12"/>
        <color theme="1"/>
        <rFont val="Calibri"/>
        <family val="2"/>
      </rPr>
      <t>*4</t>
    </r>
    <r>
      <rPr>
        <sz val="12"/>
        <color theme="1"/>
        <rFont val="宋体"/>
        <family val="3"/>
        <charset val="134"/>
      </rPr>
      <t>，保列健</t>
    </r>
    <r>
      <rPr>
        <sz val="12"/>
        <color theme="1"/>
        <rFont val="Calibri"/>
        <family val="2"/>
      </rPr>
      <t>*4</t>
    </r>
  </si>
  <si>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28</t>
    </r>
    <r>
      <rPr>
        <sz val="12"/>
        <color theme="1"/>
        <rFont val="宋体"/>
        <family val="3"/>
        <charset val="134"/>
      </rPr>
      <t>粒</t>
    </r>
  </si>
  <si>
    <t>张琦岩</t>
  </si>
  <si>
    <t>231002197306180525</t>
  </si>
  <si>
    <t>张琦岩231002197306180525</t>
  </si>
  <si>
    <t>9769148577597</t>
  </si>
  <si>
    <t>SC20200034219</t>
  </si>
  <si>
    <r>
      <rPr>
        <sz val="12"/>
        <color theme="1"/>
        <rFont val="宋体"/>
        <family val="3"/>
        <charset val="134"/>
      </rPr>
      <t>膏药</t>
    </r>
    <r>
      <rPr>
        <sz val="12"/>
        <color theme="1"/>
        <rFont val="Calibri"/>
        <family val="2"/>
      </rPr>
      <t>*7</t>
    </r>
    <r>
      <rPr>
        <sz val="12"/>
        <color theme="1"/>
        <rFont val="宋体"/>
        <family val="3"/>
        <charset val="134"/>
      </rPr>
      <t>，口红</t>
    </r>
    <r>
      <rPr>
        <sz val="12"/>
        <color theme="1"/>
        <rFont val="Calibri"/>
        <family val="2"/>
      </rPr>
      <t>*5</t>
    </r>
  </si>
  <si>
    <t>SALONPAS，YSL</t>
  </si>
  <si>
    <t>沈金虎</t>
  </si>
  <si>
    <t>330511196406170617</t>
  </si>
  <si>
    <t>沈金虎330511196406170617</t>
  </si>
  <si>
    <t>9769148592697</t>
  </si>
  <si>
    <t>SC20200022977</t>
  </si>
  <si>
    <r>
      <rPr>
        <sz val="12"/>
        <color theme="1"/>
        <rFont val="宋体"/>
        <family val="3"/>
        <charset val="134"/>
      </rPr>
      <t>口红</t>
    </r>
    <r>
      <rPr>
        <sz val="12"/>
        <color theme="1"/>
        <rFont val="Calibri"/>
        <family val="2"/>
      </rPr>
      <t>*3</t>
    </r>
    <r>
      <rPr>
        <sz val="12"/>
        <color theme="1"/>
        <rFont val="宋体"/>
        <family val="3"/>
        <charset val="134"/>
      </rPr>
      <t>，护手</t>
    </r>
    <r>
      <rPr>
        <sz val="12"/>
        <color theme="1"/>
        <rFont val="Calibri"/>
        <family val="2"/>
      </rPr>
      <t>*3</t>
    </r>
    <r>
      <rPr>
        <sz val="12"/>
        <color theme="1"/>
        <rFont val="宋体"/>
        <family val="3"/>
        <charset val="134"/>
      </rPr>
      <t>，洁面</t>
    </r>
    <r>
      <rPr>
        <sz val="12"/>
        <color theme="1"/>
        <rFont val="Calibri"/>
        <family val="2"/>
      </rPr>
      <t>*2</t>
    </r>
    <r>
      <rPr>
        <sz val="12"/>
        <color theme="1"/>
        <rFont val="宋体"/>
        <family val="3"/>
        <charset val="134"/>
      </rPr>
      <t>，面霜</t>
    </r>
    <r>
      <rPr>
        <sz val="12"/>
        <color theme="1"/>
        <rFont val="Calibri"/>
        <family val="2"/>
      </rPr>
      <t>*2</t>
    </r>
    <r>
      <rPr>
        <sz val="12"/>
        <color theme="1"/>
        <rFont val="宋体"/>
        <family val="3"/>
        <charset val="134"/>
      </rPr>
      <t>，黄油</t>
    </r>
    <r>
      <rPr>
        <sz val="12"/>
        <color theme="1"/>
        <rFont val="Calibri"/>
        <family val="2"/>
      </rPr>
      <t>*2</t>
    </r>
  </si>
  <si>
    <t>MAC，CLINIQUE，CLINIQUE，CLINIQUE，CLINIQUE</t>
  </si>
  <si>
    <t>，75ML，150ML，50ML，50ML</t>
  </si>
  <si>
    <t>天津市和平区体育馆街大理道109号岳阳道小学</t>
  </si>
  <si>
    <t>500233199307131978</t>
  </si>
  <si>
    <t>罗飞500233199307131978</t>
  </si>
  <si>
    <t>9769148594397</t>
  </si>
  <si>
    <t>SC20200032964</t>
  </si>
  <si>
    <r>
      <rPr>
        <sz val="12"/>
        <color theme="1"/>
        <rFont val="宋体"/>
        <family val="3"/>
        <charset val="134"/>
      </rPr>
      <t>小包</t>
    </r>
    <r>
      <rPr>
        <sz val="12"/>
        <color theme="1"/>
        <rFont val="Calibri"/>
        <family val="2"/>
      </rPr>
      <t>*2</t>
    </r>
  </si>
  <si>
    <t>窦晓利</t>
  </si>
  <si>
    <t>天津市和平区南营门街社区卫生服务中心四楼（昆明路62号）</t>
  </si>
  <si>
    <t>130402198011092423</t>
  </si>
  <si>
    <t>窦晓利130402198011092423</t>
  </si>
  <si>
    <t>9769148634897</t>
  </si>
  <si>
    <t>SC20200033209</t>
  </si>
  <si>
    <r>
      <rPr>
        <sz val="12"/>
        <color theme="1"/>
        <rFont val="宋体"/>
        <family val="3"/>
        <charset val="134"/>
      </rPr>
      <t>蜗牛霜</t>
    </r>
    <r>
      <rPr>
        <sz val="12"/>
        <color theme="1"/>
        <rFont val="Calibri"/>
        <family val="2"/>
      </rPr>
      <t>*1</t>
    </r>
    <r>
      <rPr>
        <sz val="12"/>
        <color theme="1"/>
        <rFont val="宋体"/>
        <family val="3"/>
        <charset val="134"/>
      </rPr>
      <t>，口红</t>
    </r>
    <r>
      <rPr>
        <sz val="12"/>
        <color theme="1"/>
        <rFont val="Calibri"/>
        <family val="2"/>
      </rPr>
      <t>*3</t>
    </r>
    <r>
      <rPr>
        <sz val="12"/>
        <color theme="1"/>
        <rFont val="宋体"/>
        <family val="3"/>
        <charset val="134"/>
      </rPr>
      <t>，口红</t>
    </r>
    <r>
      <rPr>
        <sz val="12"/>
        <color theme="1"/>
        <rFont val="Calibri"/>
        <family val="2"/>
      </rPr>
      <t>*1</t>
    </r>
  </si>
  <si>
    <t>MIZON，YSL，YSL</t>
  </si>
  <si>
    <t>王倩文</t>
  </si>
  <si>
    <t>天津市和平区南门外大街393号郡城家园4-1402</t>
  </si>
  <si>
    <t>210281199504016428</t>
  </si>
  <si>
    <t>王倩文210281199504016428</t>
  </si>
  <si>
    <t>9769148741497</t>
  </si>
  <si>
    <t>SC02349000006</t>
  </si>
  <si>
    <t>梁婉婷</t>
  </si>
  <si>
    <t>广东省深圳市宝安中心区新湖西城雅筑DB03</t>
  </si>
  <si>
    <t>440106198502120320</t>
  </si>
  <si>
    <t>梁婉婷440106198502120320</t>
  </si>
  <si>
    <t>9769148742897</t>
  </si>
  <si>
    <t>SC03290200003</t>
  </si>
  <si>
    <t>夏科</t>
  </si>
  <si>
    <t>320381198310253210</t>
  </si>
  <si>
    <t>夏科320381198310253210</t>
  </si>
  <si>
    <t>9769148743197</t>
  </si>
  <si>
    <t>SC20200023843</t>
  </si>
  <si>
    <t>杨结媚</t>
  </si>
  <si>
    <t>440111197406095141</t>
  </si>
  <si>
    <t>杨结媚440111197406095141</t>
  </si>
  <si>
    <t>9769148744597</t>
  </si>
  <si>
    <t>SC02384300005</t>
  </si>
  <si>
    <t>扎西拉姆</t>
  </si>
  <si>
    <t>542621197804200029</t>
  </si>
  <si>
    <t>扎西拉姆542621197804200029</t>
  </si>
  <si>
    <t>9769148745997</t>
  </si>
  <si>
    <t>SC02384300009</t>
  </si>
  <si>
    <t>130302198202092527</t>
  </si>
  <si>
    <t>刘炎130302198202092527</t>
  </si>
  <si>
    <t>9769116697597</t>
  </si>
  <si>
    <t>SC20200033770</t>
  </si>
  <si>
    <t>李碧云</t>
  </si>
  <si>
    <t>330122198808250026</t>
  </si>
  <si>
    <t>李碧云330122198808250026</t>
  </si>
  <si>
    <t>9769148746297</t>
  </si>
  <si>
    <t>SC02174500050</t>
  </si>
  <si>
    <t>朱祺</t>
  </si>
  <si>
    <t>广东省深圳市宝安中心区裕安一路3076号菁英趣庭1栋8E</t>
  </si>
  <si>
    <t>310113198111065525</t>
  </si>
  <si>
    <t>朱祺310113198111065525</t>
  </si>
  <si>
    <t>9769148628597</t>
  </si>
  <si>
    <t>SC20200035087</t>
  </si>
  <si>
    <r>
      <rPr>
        <sz val="12"/>
        <color theme="1"/>
        <rFont val="宋体"/>
        <family val="3"/>
        <charset val="134"/>
      </rPr>
      <t>心脏宝</t>
    </r>
    <r>
      <rPr>
        <sz val="12"/>
        <color theme="1"/>
        <rFont val="Calibri"/>
        <family val="2"/>
      </rPr>
      <t>*2</t>
    </r>
    <r>
      <rPr>
        <sz val="12"/>
        <color theme="1"/>
        <rFont val="宋体"/>
        <family val="3"/>
        <charset val="134"/>
      </rPr>
      <t>，妇康宁</t>
    </r>
    <r>
      <rPr>
        <sz val="12"/>
        <color theme="1"/>
        <rFont val="Calibri"/>
        <family val="2"/>
      </rPr>
      <t>*2</t>
    </r>
    <r>
      <rPr>
        <sz val="12"/>
        <color theme="1"/>
        <rFont val="宋体"/>
        <family val="3"/>
        <charset val="134"/>
      </rPr>
      <t>，锐智宝</t>
    </r>
    <r>
      <rPr>
        <sz val="12"/>
        <color theme="1"/>
        <rFont val="Calibri"/>
        <family val="2"/>
      </rPr>
      <t>*2</t>
    </r>
    <r>
      <rPr>
        <sz val="12"/>
        <color theme="1"/>
        <rFont val="宋体"/>
        <family val="3"/>
        <charset val="134"/>
      </rPr>
      <t>，男宝</t>
    </r>
    <r>
      <rPr>
        <sz val="12"/>
        <color theme="1"/>
        <rFont val="Calibri"/>
        <family val="2"/>
      </rPr>
      <t>*2</t>
    </r>
    <r>
      <rPr>
        <sz val="12"/>
        <color theme="1"/>
        <rFont val="宋体"/>
        <family val="3"/>
        <charset val="134"/>
      </rPr>
      <t>，眠宁素</t>
    </r>
    <r>
      <rPr>
        <sz val="12"/>
        <color theme="1"/>
        <rFont val="Calibri"/>
        <family val="2"/>
      </rPr>
      <t>*3</t>
    </r>
    <r>
      <rPr>
        <sz val="12"/>
        <color theme="1"/>
        <rFont val="宋体"/>
        <family val="3"/>
        <charset val="134"/>
      </rPr>
      <t>，维生素</t>
    </r>
    <r>
      <rPr>
        <sz val="12"/>
        <color theme="1"/>
        <rFont val="Calibri"/>
        <family val="2"/>
      </rPr>
      <t>*1</t>
    </r>
  </si>
  <si>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28</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168</t>
    </r>
    <r>
      <rPr>
        <sz val="12"/>
        <color theme="1"/>
        <rFont val="宋体"/>
        <family val="3"/>
        <charset val="134"/>
      </rPr>
      <t>粒</t>
    </r>
  </si>
  <si>
    <t>陈俊丽</t>
  </si>
  <si>
    <t>411424198807060028</t>
  </si>
  <si>
    <t>陈俊丽411424198807060028</t>
  </si>
  <si>
    <t>9769148747697</t>
  </si>
  <si>
    <t>SC03298100003</t>
  </si>
  <si>
    <t>成晓丽</t>
  </si>
  <si>
    <t>辽宁省丹东市元宝区宝山大街76号丹东市第一医院八道门诊3楼口腔科</t>
  </si>
  <si>
    <t>320624197109270021</t>
  </si>
  <si>
    <t>成晓丽320624197109270021</t>
  </si>
  <si>
    <t>9769148748097</t>
  </si>
  <si>
    <t>SC03298200002</t>
  </si>
  <si>
    <t>高鹏</t>
  </si>
  <si>
    <t>370202197309104916</t>
  </si>
  <si>
    <t>高鹏370202197309104916</t>
  </si>
  <si>
    <t>9769148749397</t>
  </si>
  <si>
    <t>SC20200032611</t>
  </si>
  <si>
    <t>杜建清</t>
  </si>
  <si>
    <t>440103197805182728</t>
  </si>
  <si>
    <t>杜建清440103197805182728</t>
  </si>
  <si>
    <t>9769148633497</t>
  </si>
  <si>
    <t>SC20200033752</t>
  </si>
  <si>
    <r>
      <rPr>
        <sz val="12"/>
        <color theme="1"/>
        <rFont val="宋体"/>
        <family val="3"/>
        <charset val="134"/>
      </rPr>
      <t>健康包</t>
    </r>
    <r>
      <rPr>
        <sz val="12"/>
        <color theme="1"/>
        <rFont val="Calibri"/>
        <family val="2"/>
      </rPr>
      <t>*1</t>
    </r>
    <r>
      <rPr>
        <sz val="12"/>
        <color theme="1"/>
        <rFont val="宋体"/>
        <family val="3"/>
        <charset val="134"/>
      </rPr>
      <t>，基本</t>
    </r>
    <r>
      <rPr>
        <sz val="12"/>
        <color theme="1"/>
        <rFont val="Calibri"/>
        <family val="2"/>
      </rPr>
      <t>V*2</t>
    </r>
    <r>
      <rPr>
        <sz val="12"/>
        <color theme="1"/>
        <rFont val="宋体"/>
        <family val="3"/>
        <charset val="134"/>
      </rPr>
      <t>，基本</t>
    </r>
    <r>
      <rPr>
        <sz val="12"/>
        <color theme="1"/>
        <rFont val="Calibri"/>
        <family val="2"/>
      </rPr>
      <t>M*2</t>
    </r>
    <r>
      <rPr>
        <sz val="12"/>
        <color theme="1"/>
        <rFont val="宋体"/>
        <family val="3"/>
        <charset val="134"/>
      </rPr>
      <t>，心脏宝</t>
    </r>
    <r>
      <rPr>
        <sz val="12"/>
        <color theme="1"/>
        <rFont val="Calibri"/>
        <family val="2"/>
      </rPr>
      <t>*2</t>
    </r>
    <r>
      <rPr>
        <sz val="12"/>
        <color theme="1"/>
        <rFont val="宋体"/>
        <family val="3"/>
        <charset val="134"/>
      </rPr>
      <t>，视力宝</t>
    </r>
    <r>
      <rPr>
        <sz val="12"/>
        <color theme="1"/>
        <rFont val="Calibri"/>
        <family val="2"/>
      </rPr>
      <t>*3</t>
    </r>
  </si>
  <si>
    <t>韩富强</t>
  </si>
  <si>
    <t>北京市海淀区上地九街9号数码科技广场</t>
  </si>
  <si>
    <t>150204196903020632</t>
  </si>
  <si>
    <t>韩富强150204196903020632</t>
  </si>
  <si>
    <t>9769148557797</t>
  </si>
  <si>
    <t>SC20200000775</t>
  </si>
  <si>
    <r>
      <rPr>
        <sz val="12"/>
        <color theme="1"/>
        <rFont val="宋体"/>
        <family val="3"/>
        <charset val="134"/>
      </rPr>
      <t>儿童鱼油</t>
    </r>
    <r>
      <rPr>
        <sz val="12"/>
        <color theme="1"/>
        <rFont val="Calibri"/>
        <family val="2"/>
      </rPr>
      <t>*4</t>
    </r>
    <r>
      <rPr>
        <sz val="12"/>
        <color theme="1"/>
        <rFont val="宋体"/>
        <family val="3"/>
        <charset val="134"/>
      </rPr>
      <t>，鱼油</t>
    </r>
    <r>
      <rPr>
        <sz val="12"/>
        <color theme="1"/>
        <rFont val="Calibri"/>
        <family val="2"/>
      </rPr>
      <t>*2</t>
    </r>
    <r>
      <rPr>
        <sz val="12"/>
        <color theme="1"/>
        <rFont val="宋体"/>
        <family val="3"/>
        <charset val="134"/>
      </rPr>
      <t>，钙</t>
    </r>
    <r>
      <rPr>
        <sz val="12"/>
        <color theme="1"/>
        <rFont val="Calibri"/>
        <family val="2"/>
      </rPr>
      <t>*4</t>
    </r>
  </si>
  <si>
    <r>
      <rPr>
        <sz val="12"/>
        <color theme="1"/>
        <rFont val="Calibri"/>
        <family val="2"/>
      </rPr>
      <t>14</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112</t>
    </r>
    <r>
      <rPr>
        <sz val="12"/>
        <color theme="1"/>
        <rFont val="宋体"/>
        <family val="3"/>
        <charset val="134"/>
      </rPr>
      <t>粒</t>
    </r>
  </si>
  <si>
    <t>510121198008262261</t>
  </si>
  <si>
    <t>张晓丽510121198008262261</t>
  </si>
  <si>
    <t>9769148603997</t>
  </si>
  <si>
    <t>SC20200007080</t>
  </si>
  <si>
    <r>
      <rPr>
        <sz val="12"/>
        <color theme="1"/>
        <rFont val="宋体"/>
        <family val="3"/>
        <charset val="134"/>
      </rPr>
      <t>视力宝</t>
    </r>
    <r>
      <rPr>
        <sz val="12"/>
        <color theme="1"/>
        <rFont val="Calibri"/>
        <family val="2"/>
      </rPr>
      <t>*1</t>
    </r>
    <r>
      <rPr>
        <sz val="12"/>
        <color theme="1"/>
        <rFont val="宋体"/>
        <family val="3"/>
        <charset val="134"/>
      </rPr>
      <t>，酵素</t>
    </r>
    <r>
      <rPr>
        <sz val="12"/>
        <color theme="1"/>
        <rFont val="Calibri"/>
        <family val="2"/>
      </rPr>
      <t>*6</t>
    </r>
    <r>
      <rPr>
        <sz val="12"/>
        <color theme="1"/>
        <rFont val="宋体"/>
        <family val="3"/>
        <charset val="134"/>
      </rPr>
      <t>，骨骼宁</t>
    </r>
    <r>
      <rPr>
        <sz val="12"/>
        <color theme="1"/>
        <rFont val="Calibri"/>
        <family val="2"/>
      </rPr>
      <t>*6</t>
    </r>
  </si>
  <si>
    <t>蒋翠霞</t>
  </si>
  <si>
    <t>210423197610012429</t>
  </si>
  <si>
    <t>蒋翠霞210423197610012429</t>
  </si>
  <si>
    <t>9769148627797</t>
  </si>
  <si>
    <t>SC20200032927</t>
  </si>
  <si>
    <r>
      <rPr>
        <sz val="12"/>
        <color theme="1"/>
        <rFont val="宋体"/>
        <family val="3"/>
        <charset val="134"/>
      </rPr>
      <t>鱼油</t>
    </r>
    <r>
      <rPr>
        <sz val="12"/>
        <color theme="1"/>
        <rFont val="Calibri"/>
        <family val="2"/>
      </rPr>
      <t>*2</t>
    </r>
    <r>
      <rPr>
        <sz val="12"/>
        <color theme="1"/>
        <rFont val="宋体"/>
        <family val="3"/>
        <charset val="134"/>
      </rPr>
      <t>，视力宝</t>
    </r>
    <r>
      <rPr>
        <sz val="12"/>
        <color theme="1"/>
        <rFont val="Calibri"/>
        <family val="2"/>
      </rPr>
      <t>*2</t>
    </r>
    <r>
      <rPr>
        <sz val="12"/>
        <color theme="1"/>
        <rFont val="宋体"/>
        <family val="3"/>
        <charset val="134"/>
      </rPr>
      <t>，基本营养素</t>
    </r>
    <r>
      <rPr>
        <sz val="12"/>
        <color theme="1"/>
        <rFont val="Calibri"/>
        <family val="2"/>
      </rPr>
      <t>*2</t>
    </r>
    <r>
      <rPr>
        <sz val="12"/>
        <color theme="1"/>
        <rFont val="宋体"/>
        <family val="3"/>
        <charset val="134"/>
      </rPr>
      <t>，女宝</t>
    </r>
    <r>
      <rPr>
        <sz val="12"/>
        <color theme="1"/>
        <rFont val="Calibri"/>
        <family val="2"/>
      </rPr>
      <t>*2</t>
    </r>
    <r>
      <rPr>
        <sz val="12"/>
        <color theme="1"/>
        <rFont val="宋体"/>
        <family val="3"/>
        <charset val="134"/>
      </rPr>
      <t>，锐知宝</t>
    </r>
    <r>
      <rPr>
        <sz val="12"/>
        <color theme="1"/>
        <rFont val="Calibri"/>
        <family val="2"/>
      </rPr>
      <t>*2</t>
    </r>
  </si>
  <si>
    <t>邓琦</t>
  </si>
  <si>
    <t>110106198709173327</t>
  </si>
  <si>
    <t>邓琦110106198709173327</t>
  </si>
  <si>
    <t>9769148750297</t>
  </si>
  <si>
    <t>SC02384300013</t>
  </si>
  <si>
    <t>李武仁</t>
  </si>
  <si>
    <t>广东省广州市保税区保盈大道43号</t>
  </si>
  <si>
    <t>530102197511233759</t>
  </si>
  <si>
    <t>李武仁530102197511233759</t>
  </si>
  <si>
    <t>9769148751697</t>
  </si>
  <si>
    <t>SC02384300017</t>
  </si>
  <si>
    <t>肖凤滨</t>
  </si>
  <si>
    <t>210106196212302167</t>
  </si>
  <si>
    <t>肖凤滨210106196212302167</t>
  </si>
  <si>
    <t>9769148752097</t>
  </si>
  <si>
    <t>SC02384100008</t>
  </si>
  <si>
    <t>刘琦</t>
  </si>
  <si>
    <t>广东省广州市从化区街口街道雍和苑A区3栋（放A区蜜蜂箱或物管处请发信息提醒）</t>
  </si>
  <si>
    <t>430821198303310025</t>
  </si>
  <si>
    <t>刘琦430821198303310025</t>
  </si>
  <si>
    <t>9769148753397</t>
  </si>
  <si>
    <t>SC02384100012</t>
  </si>
  <si>
    <t>毛翔宇</t>
  </si>
  <si>
    <t>广东省广州市从化区珠光御景山水城乐誉佳超市代收</t>
  </si>
  <si>
    <t>130684198508287010</t>
  </si>
  <si>
    <t>毛翔宇130684198508287010</t>
  </si>
  <si>
    <t>9769148338697</t>
  </si>
  <si>
    <t>SC20200007941</t>
  </si>
  <si>
    <r>
      <rPr>
        <sz val="12"/>
        <color theme="1"/>
        <rFont val="宋体"/>
        <family val="3"/>
        <charset val="134"/>
      </rPr>
      <t>基本营养素</t>
    </r>
    <r>
      <rPr>
        <sz val="12"/>
        <color theme="1"/>
        <rFont val="Calibri"/>
        <family val="2"/>
      </rPr>
      <t>*10</t>
    </r>
    <r>
      <rPr>
        <sz val="12"/>
        <color theme="1"/>
        <rFont val="宋体"/>
        <family val="3"/>
        <charset val="134"/>
      </rPr>
      <t>，纤维素</t>
    </r>
    <r>
      <rPr>
        <sz val="12"/>
        <color theme="1"/>
        <rFont val="Calibri"/>
        <family val="2"/>
      </rPr>
      <t>*1</t>
    </r>
  </si>
  <si>
    <t>沈颖洁</t>
  </si>
  <si>
    <t>310104197910260449</t>
  </si>
  <si>
    <t>沈颖洁310104197910260449</t>
  </si>
  <si>
    <t>9769148495197</t>
  </si>
  <si>
    <t>SC20200025483</t>
  </si>
  <si>
    <r>
      <rPr>
        <sz val="12"/>
        <color theme="1"/>
        <rFont val="宋体"/>
        <family val="3"/>
        <charset val="134"/>
      </rPr>
      <t>面霜</t>
    </r>
    <r>
      <rPr>
        <sz val="12"/>
        <color theme="1"/>
        <rFont val="Calibri"/>
        <family val="2"/>
      </rPr>
      <t>*2</t>
    </r>
    <r>
      <rPr>
        <sz val="12"/>
        <color theme="1"/>
        <rFont val="宋体"/>
        <family val="3"/>
        <charset val="134"/>
      </rPr>
      <t>，睫毛膏</t>
    </r>
    <r>
      <rPr>
        <sz val="12"/>
        <color theme="1"/>
        <rFont val="Calibri"/>
        <family val="2"/>
      </rPr>
      <t>*1</t>
    </r>
    <r>
      <rPr>
        <sz val="12"/>
        <color theme="1"/>
        <rFont val="宋体"/>
        <family val="3"/>
        <charset val="134"/>
      </rPr>
      <t>，精华</t>
    </r>
    <r>
      <rPr>
        <sz val="12"/>
        <color theme="1"/>
        <rFont val="Calibri"/>
        <family val="2"/>
      </rPr>
      <t>*2</t>
    </r>
    <r>
      <rPr>
        <sz val="12"/>
        <color theme="1"/>
        <rFont val="宋体"/>
        <family val="3"/>
        <charset val="134"/>
      </rPr>
      <t>，粉底</t>
    </r>
    <r>
      <rPr>
        <sz val="12"/>
        <color theme="1"/>
        <rFont val="Calibri"/>
        <family val="2"/>
      </rPr>
      <t>*3</t>
    </r>
    <r>
      <rPr>
        <sz val="12"/>
        <color theme="1"/>
        <rFont val="宋体"/>
        <family val="3"/>
        <charset val="134"/>
      </rPr>
      <t>，粉底刷</t>
    </r>
    <r>
      <rPr>
        <sz val="12"/>
        <color theme="1"/>
        <rFont val="Calibri"/>
        <family val="2"/>
      </rPr>
      <t>*1</t>
    </r>
    <r>
      <rPr>
        <sz val="12"/>
        <color theme="1"/>
        <rFont val="宋体"/>
        <family val="3"/>
        <charset val="134"/>
      </rPr>
      <t>，面霜套装</t>
    </r>
    <r>
      <rPr>
        <sz val="12"/>
        <color theme="1"/>
        <rFont val="Calibri"/>
        <family val="2"/>
      </rPr>
      <t>*1</t>
    </r>
  </si>
  <si>
    <t>CLINIQUE，MAC，ESTEE LAUDER，ESTEE LAUDER，BOBBI BROWN，ESTEE LAUDER</t>
  </si>
  <si>
    <t>童丹晴</t>
  </si>
  <si>
    <t>广东省云浮市云城区云城街道世纪1号第10号商铺万合鼎盛广告策划</t>
  </si>
  <si>
    <t>330282199101181748</t>
  </si>
  <si>
    <t>童丹晴330282199101181748</t>
  </si>
  <si>
    <t>9769148326797</t>
  </si>
  <si>
    <t>SC20200031112</t>
  </si>
  <si>
    <r>
      <rPr>
        <sz val="12"/>
        <color theme="1"/>
        <rFont val="宋体"/>
        <family val="3"/>
        <charset val="134"/>
      </rPr>
      <t>面霜</t>
    </r>
    <r>
      <rPr>
        <sz val="12"/>
        <color theme="1"/>
        <rFont val="Calibri"/>
        <family val="2"/>
      </rPr>
      <t>*2</t>
    </r>
    <r>
      <rPr>
        <sz val="12"/>
        <color theme="1"/>
        <rFont val="宋体"/>
        <family val="3"/>
        <charset val="134"/>
      </rPr>
      <t>，面膜</t>
    </r>
    <r>
      <rPr>
        <sz val="12"/>
        <color theme="1"/>
        <rFont val="Calibri"/>
        <family val="2"/>
      </rPr>
      <t>*1</t>
    </r>
    <r>
      <rPr>
        <sz val="12"/>
        <color theme="1"/>
        <rFont val="宋体"/>
        <family val="3"/>
        <charset val="134"/>
      </rPr>
      <t>，化妆包</t>
    </r>
    <r>
      <rPr>
        <sz val="12"/>
        <color theme="1"/>
        <rFont val="Calibri"/>
        <family val="2"/>
      </rPr>
      <t>*1</t>
    </r>
  </si>
  <si>
    <t>OLAY，KIEHL'S，KIEHL'S</t>
  </si>
  <si>
    <t>50ML，125ML，</t>
  </si>
  <si>
    <t>颜焰</t>
  </si>
  <si>
    <t>广西桂林市临桂新村麓湖国际空中墅C3-3</t>
  </si>
  <si>
    <t>45030319730425102X</t>
  </si>
  <si>
    <t>颜焰45030319730425102X</t>
  </si>
  <si>
    <t>9769148351497</t>
  </si>
  <si>
    <t>SC20200019260</t>
  </si>
  <si>
    <r>
      <rPr>
        <sz val="12"/>
        <color theme="1"/>
        <rFont val="宋体"/>
        <family val="3"/>
        <charset val="134"/>
      </rPr>
      <t>裤子</t>
    </r>
    <r>
      <rPr>
        <sz val="12"/>
        <color theme="1"/>
        <rFont val="Calibri"/>
        <family val="2"/>
      </rPr>
      <t>*2</t>
    </r>
  </si>
  <si>
    <t>宋爱华</t>
  </si>
  <si>
    <t>广东省珠海市香洲区沿河东路399号钰海名门三栋2105房</t>
  </si>
  <si>
    <t>440401196509230464</t>
  </si>
  <si>
    <t>宋爱华440401196509230464</t>
  </si>
  <si>
    <t>9769148498297</t>
  </si>
  <si>
    <t>SC20200034389</t>
  </si>
  <si>
    <r>
      <rPr>
        <sz val="12"/>
        <color theme="1"/>
        <rFont val="Calibri"/>
        <family val="2"/>
      </rPr>
      <t>T</t>
    </r>
    <r>
      <rPr>
        <sz val="12"/>
        <color theme="1"/>
        <rFont val="宋体"/>
        <family val="3"/>
        <charset val="134"/>
      </rPr>
      <t>恤</t>
    </r>
    <r>
      <rPr>
        <sz val="12"/>
        <color theme="1"/>
        <rFont val="Calibri"/>
        <family val="2"/>
      </rPr>
      <t>*1</t>
    </r>
    <r>
      <rPr>
        <sz val="12"/>
        <color theme="1"/>
        <rFont val="宋体"/>
        <family val="3"/>
        <charset val="134"/>
      </rPr>
      <t>，妆前乳</t>
    </r>
    <r>
      <rPr>
        <sz val="12"/>
        <color theme="1"/>
        <rFont val="Calibri"/>
        <family val="2"/>
      </rPr>
      <t>*2</t>
    </r>
    <r>
      <rPr>
        <sz val="12"/>
        <color theme="1"/>
        <rFont val="宋体"/>
        <family val="3"/>
        <charset val="134"/>
      </rPr>
      <t>，小天鹅</t>
    </r>
    <r>
      <rPr>
        <sz val="12"/>
        <color theme="1"/>
        <rFont val="Calibri"/>
        <family val="2"/>
      </rPr>
      <t>*1</t>
    </r>
  </si>
  <si>
    <t>32°HEAT，ELIZABETH ARDEN，SWAROVSKI</t>
  </si>
  <si>
    <r>
      <rPr>
        <sz val="12"/>
        <color theme="1"/>
        <rFont val="Calibri"/>
        <family val="2"/>
      </rPr>
      <t>S</t>
    </r>
    <r>
      <rPr>
        <sz val="12"/>
        <color theme="1"/>
        <rFont val="宋体"/>
        <family val="3"/>
        <charset val="134"/>
      </rPr>
      <t>码，</t>
    </r>
    <r>
      <rPr>
        <sz val="12"/>
        <color theme="1"/>
        <rFont val="Calibri"/>
        <family val="2"/>
      </rPr>
      <t>15ML</t>
    </r>
    <r>
      <rPr>
        <sz val="12"/>
        <color theme="1"/>
        <rFont val="宋体"/>
        <family val="3"/>
        <charset val="134"/>
      </rPr>
      <t>，</t>
    </r>
  </si>
  <si>
    <t>王春育</t>
  </si>
  <si>
    <t>四川省成都市锦江区晨辉东路301号</t>
  </si>
  <si>
    <t>王瑛</t>
  </si>
  <si>
    <t>230624198707080060</t>
  </si>
  <si>
    <t>王瑛230624198707080060</t>
  </si>
  <si>
    <t>9769148504797</t>
  </si>
  <si>
    <t>SC20200035450</t>
  </si>
  <si>
    <r>
      <rPr>
        <sz val="12"/>
        <color theme="1"/>
        <rFont val="宋体"/>
        <family val="3"/>
        <charset val="134"/>
      </rPr>
      <t>精华</t>
    </r>
    <r>
      <rPr>
        <sz val="12"/>
        <color theme="1"/>
        <rFont val="Calibri"/>
        <family val="2"/>
      </rPr>
      <t>*2</t>
    </r>
    <r>
      <rPr>
        <sz val="12"/>
        <color theme="1"/>
        <rFont val="宋体"/>
        <family val="3"/>
        <charset val="134"/>
      </rPr>
      <t>，粉底</t>
    </r>
    <r>
      <rPr>
        <sz val="12"/>
        <color theme="1"/>
        <rFont val="Calibri"/>
        <family val="2"/>
      </rPr>
      <t>*1</t>
    </r>
    <r>
      <rPr>
        <sz val="12"/>
        <color theme="1"/>
        <rFont val="宋体"/>
        <family val="3"/>
        <charset val="134"/>
      </rPr>
      <t>，手霜</t>
    </r>
    <r>
      <rPr>
        <sz val="12"/>
        <color theme="1"/>
        <rFont val="Calibri"/>
        <family val="2"/>
      </rPr>
      <t>*2</t>
    </r>
    <r>
      <rPr>
        <sz val="12"/>
        <color theme="1"/>
        <rFont val="宋体"/>
        <family val="3"/>
        <charset val="134"/>
      </rPr>
      <t>，维</t>
    </r>
    <r>
      <rPr>
        <sz val="12"/>
        <color theme="1"/>
        <rFont val="Calibri"/>
        <family val="2"/>
      </rPr>
      <t>C</t>
    </r>
    <r>
      <rPr>
        <sz val="12"/>
        <color theme="1"/>
        <rFont val="宋体"/>
        <family val="3"/>
        <charset val="134"/>
      </rPr>
      <t>粉</t>
    </r>
    <r>
      <rPr>
        <sz val="12"/>
        <color theme="1"/>
        <rFont val="Calibri"/>
        <family val="2"/>
      </rPr>
      <t>*1</t>
    </r>
    <r>
      <rPr>
        <sz val="12"/>
        <color theme="1"/>
        <rFont val="宋体"/>
        <family val="3"/>
        <charset val="134"/>
      </rPr>
      <t>，面霜小样</t>
    </r>
    <r>
      <rPr>
        <sz val="12"/>
        <color theme="1"/>
        <rFont val="Calibri"/>
        <family val="2"/>
      </rPr>
      <t>*7</t>
    </r>
  </si>
  <si>
    <t>THE ORDINARY，SHISEIDO，SHISEIDO，Emergen-C，SHISEIDO</t>
  </si>
  <si>
    <r>
      <rPr>
        <sz val="12"/>
        <color theme="1"/>
        <rFont val="宋体"/>
        <family val="3"/>
        <charset val="134"/>
      </rPr>
      <t>，，，，</t>
    </r>
    <r>
      <rPr>
        <sz val="12"/>
        <color theme="1"/>
        <rFont val="Calibri"/>
        <family val="2"/>
      </rPr>
      <t>18ML</t>
    </r>
  </si>
  <si>
    <t>陈美彬</t>
  </si>
  <si>
    <t>福建省福州市鼓楼区杨桥路19号衣锦华庭1期1号楼</t>
  </si>
  <si>
    <t>福建省福州市鼓楼区东水路18号东方花园1-402</t>
  </si>
  <si>
    <t>350103196912300068</t>
  </si>
  <si>
    <t>陈美彬350103196912300068</t>
  </si>
  <si>
    <t>9769148447097</t>
  </si>
  <si>
    <t>SC20190094826</t>
  </si>
  <si>
    <r>
      <rPr>
        <sz val="12"/>
        <color theme="1"/>
        <rFont val="Calibri"/>
        <family val="2"/>
      </rPr>
      <t>T</t>
    </r>
    <r>
      <rPr>
        <sz val="12"/>
        <color theme="1"/>
        <rFont val="宋体"/>
        <family val="3"/>
        <charset val="134"/>
      </rPr>
      <t>恤</t>
    </r>
    <r>
      <rPr>
        <sz val="12"/>
        <color theme="1"/>
        <rFont val="Calibri"/>
        <family val="2"/>
      </rPr>
      <t>*4</t>
    </r>
    <r>
      <rPr>
        <sz val="12"/>
        <color theme="1"/>
        <rFont val="宋体"/>
        <family val="3"/>
        <charset val="134"/>
      </rPr>
      <t>，睡衣</t>
    </r>
    <r>
      <rPr>
        <sz val="12"/>
        <color theme="1"/>
        <rFont val="Calibri"/>
        <family val="2"/>
      </rPr>
      <t>*</t>
    </r>
    <r>
      <rPr>
        <sz val="12"/>
        <color theme="1"/>
        <rFont val="宋体"/>
        <family val="3"/>
        <charset val="134"/>
      </rPr>
      <t>，长袖</t>
    </r>
    <r>
      <rPr>
        <sz val="12"/>
        <color theme="1"/>
        <rFont val="Calibri"/>
        <family val="2"/>
      </rPr>
      <t>*1</t>
    </r>
  </si>
  <si>
    <t>FILA，VS，POLO</t>
  </si>
  <si>
    <t>XL，，</t>
  </si>
  <si>
    <t>徐洁</t>
  </si>
  <si>
    <t>652323198608200028</t>
  </si>
  <si>
    <t>徐洁652323198608200028</t>
  </si>
  <si>
    <t>9769148347497</t>
  </si>
  <si>
    <t>SC20190098548</t>
  </si>
  <si>
    <r>
      <rPr>
        <sz val="12"/>
        <color theme="1"/>
        <rFont val="宋体"/>
        <family val="3"/>
        <charset val="134"/>
      </rPr>
      <t>妇康宁</t>
    </r>
    <r>
      <rPr>
        <sz val="12"/>
        <color theme="1"/>
        <rFont val="Calibri"/>
        <family val="2"/>
      </rPr>
      <t>*4</t>
    </r>
    <r>
      <rPr>
        <sz val="12"/>
        <color theme="1"/>
        <rFont val="宋体"/>
        <family val="3"/>
        <charset val="134"/>
      </rPr>
      <t>，益生菌</t>
    </r>
    <r>
      <rPr>
        <sz val="12"/>
        <color theme="1"/>
        <rFont val="Calibri"/>
        <family val="2"/>
      </rPr>
      <t>*6</t>
    </r>
  </si>
  <si>
    <r>
      <rPr>
        <sz val="12"/>
        <color theme="1"/>
        <rFont val="Calibri"/>
        <family val="2"/>
      </rPr>
      <t>84</t>
    </r>
    <r>
      <rPr>
        <sz val="12"/>
        <color theme="1"/>
        <rFont val="宋体"/>
        <family val="3"/>
        <charset val="134"/>
      </rPr>
      <t>粒，</t>
    </r>
    <r>
      <rPr>
        <sz val="12"/>
        <color theme="1"/>
        <rFont val="Calibri"/>
        <family val="2"/>
      </rPr>
      <t>14</t>
    </r>
    <r>
      <rPr>
        <sz val="12"/>
        <color theme="1"/>
        <rFont val="宋体"/>
        <family val="3"/>
        <charset val="134"/>
      </rPr>
      <t>条</t>
    </r>
  </si>
  <si>
    <t>姚一青</t>
  </si>
  <si>
    <t>330107198002214428</t>
  </si>
  <si>
    <t>姚一青330107198002214428</t>
  </si>
  <si>
    <t>9769148505597</t>
  </si>
  <si>
    <t>SC20200035517</t>
  </si>
  <si>
    <r>
      <rPr>
        <sz val="12"/>
        <color theme="1"/>
        <rFont val="宋体"/>
        <family val="3"/>
        <charset val="134"/>
      </rPr>
      <t>精华素</t>
    </r>
    <r>
      <rPr>
        <sz val="12"/>
        <color theme="1"/>
        <rFont val="Calibri"/>
        <family val="2"/>
      </rPr>
      <t>*2</t>
    </r>
    <r>
      <rPr>
        <sz val="12"/>
        <color theme="1"/>
        <rFont val="宋体"/>
        <family val="3"/>
        <charset val="134"/>
      </rPr>
      <t>，润肤乳</t>
    </r>
    <r>
      <rPr>
        <sz val="12"/>
        <color theme="1"/>
        <rFont val="Calibri"/>
        <family val="2"/>
      </rPr>
      <t>*1</t>
    </r>
  </si>
  <si>
    <t>30ML，150ML</t>
  </si>
  <si>
    <t>张梦圆</t>
  </si>
  <si>
    <t>36052119940106004X</t>
  </si>
  <si>
    <t>张梦圆36052119940106004X</t>
  </si>
  <si>
    <t>9769148754797</t>
  </si>
  <si>
    <t>SC02384100016</t>
  </si>
  <si>
    <t>李翔</t>
  </si>
  <si>
    <t xml:space="preserve">广东省广州市南沙区南沙澳园4区 18栋 </t>
  </si>
  <si>
    <t>广东省广州市南沙区冬瓜宇村珠电路12号</t>
  </si>
  <si>
    <t>420106197109103358</t>
  </si>
  <si>
    <t>李翔420106197109103358</t>
  </si>
  <si>
    <t>9769148755597</t>
  </si>
  <si>
    <t>SC02384100020</t>
  </si>
  <si>
    <t>唐英</t>
  </si>
  <si>
    <t>广东省广州市南沙区东涌镇东丽园4巷5号</t>
  </si>
  <si>
    <t>230105197809190323</t>
  </si>
  <si>
    <t>唐英230105197809190323</t>
  </si>
  <si>
    <t>9769148593097</t>
  </si>
  <si>
    <t>SC20200033102</t>
  </si>
  <si>
    <t>郑婷</t>
  </si>
  <si>
    <t>广东省广州市从化太平经济开发区丰盈路6号马贝建筑材料（广州）有限公司</t>
  </si>
  <si>
    <t>362522198508100041</t>
  </si>
  <si>
    <t>郑婷362522198508100041</t>
  </si>
  <si>
    <t>9769148612797</t>
  </si>
  <si>
    <t>SC20200020804</t>
  </si>
  <si>
    <t>马洁</t>
  </si>
  <si>
    <t>山东省德州市德城区中茂家园十五号楼2-0302</t>
  </si>
  <si>
    <t>510122198703255529</t>
  </si>
  <si>
    <t>马洁510122198703255529</t>
  </si>
  <si>
    <t>9769148614497</t>
  </si>
  <si>
    <t>SC20200020795</t>
  </si>
  <si>
    <t>李柏林</t>
  </si>
  <si>
    <t>山东省日照市北京路211号（王府大街天泰建筑安装工程有限公司）4楼408室</t>
  </si>
  <si>
    <t>211202198103084017</t>
  </si>
  <si>
    <t>李柏林211202198103084017</t>
  </si>
  <si>
    <t>9769116707097</t>
  </si>
  <si>
    <t>MM2020100780</t>
  </si>
  <si>
    <t>532101199502220643</t>
  </si>
  <si>
    <t>刘奇532101199502220643</t>
  </si>
  <si>
    <t>9769148298197</t>
  </si>
  <si>
    <t>MM2020100784</t>
  </si>
  <si>
    <t>崔伟</t>
  </si>
  <si>
    <t>370202197708145432</t>
  </si>
  <si>
    <t>崔伟370202197708145432</t>
  </si>
  <si>
    <t>9769116714597</t>
  </si>
  <si>
    <t>MM2020100795</t>
  </si>
  <si>
    <r>
      <rPr>
        <sz val="12"/>
        <color rgb="FF000000"/>
        <rFont val="Heiti SC Light"/>
        <family val="1"/>
      </rPr>
      <t>面霜</t>
    </r>
    <r>
      <rPr>
        <sz val="12"/>
        <color rgb="FF000000"/>
        <rFont val="Arial"/>
        <family val="2"/>
      </rPr>
      <t>*4</t>
    </r>
  </si>
  <si>
    <t>曹田</t>
  </si>
  <si>
    <t>湖南省常德市 中国人寿保险股份有限公司常德分公司武陵大道777号</t>
  </si>
  <si>
    <t>412821196310062129</t>
  </si>
  <si>
    <t>曹田412821196310062129</t>
  </si>
  <si>
    <t>9769148313497</t>
  </si>
  <si>
    <t>MM2020100804</t>
  </si>
  <si>
    <t>眼胶*1，面胶*2</t>
  </si>
  <si>
    <t>施龙和</t>
  </si>
  <si>
    <t xml:space="preserve">江西省景德镇市浮梁县颐景花园5栋1单201 </t>
  </si>
  <si>
    <t>360212197102022535</t>
  </si>
  <si>
    <t>施龙和360212197102022535</t>
  </si>
  <si>
    <t>9769148546197</t>
  </si>
  <si>
    <t>SC20200034553</t>
  </si>
  <si>
    <r>
      <rPr>
        <sz val="12"/>
        <color theme="1"/>
        <rFont val="宋体"/>
        <family val="3"/>
        <charset val="134"/>
      </rPr>
      <t>打底裤</t>
    </r>
    <r>
      <rPr>
        <sz val="12"/>
        <color theme="1"/>
        <rFont val="Calibri"/>
        <family val="2"/>
      </rPr>
      <t>*3</t>
    </r>
    <r>
      <rPr>
        <sz val="12"/>
        <color theme="1"/>
        <rFont val="宋体"/>
        <family val="3"/>
        <charset val="134"/>
      </rPr>
      <t>，牙疼灵</t>
    </r>
    <r>
      <rPr>
        <sz val="12"/>
        <color theme="1"/>
        <rFont val="Calibri"/>
        <family val="2"/>
      </rPr>
      <t>*2</t>
    </r>
  </si>
  <si>
    <t>TNA，BOIRON</t>
  </si>
  <si>
    <r>
      <rPr>
        <sz val="12"/>
        <color theme="1"/>
        <rFont val="宋体"/>
        <family val="3"/>
        <charset val="134"/>
      </rPr>
      <t>，</t>
    </r>
    <r>
      <rPr>
        <sz val="12"/>
        <color theme="1"/>
        <rFont val="Calibri"/>
        <family val="2"/>
      </rPr>
      <t>30</t>
    </r>
    <r>
      <rPr>
        <sz val="12"/>
        <color theme="1"/>
        <rFont val="宋体"/>
        <family val="3"/>
        <charset val="134"/>
      </rPr>
      <t>支</t>
    </r>
  </si>
  <si>
    <t>薛群</t>
  </si>
  <si>
    <t>江苏省苏州市新区珠江路508-1苏州菱富铝业</t>
  </si>
  <si>
    <t>程小</t>
  </si>
  <si>
    <t>510824198510286549</t>
  </si>
  <si>
    <t>程小510824198510286549</t>
  </si>
  <si>
    <t>9769148517097</t>
  </si>
  <si>
    <t>SC20200028741</t>
  </si>
  <si>
    <r>
      <rPr>
        <sz val="12"/>
        <color theme="1"/>
        <rFont val="宋体"/>
        <family val="3"/>
        <charset val="134"/>
      </rPr>
      <t>益生菌</t>
    </r>
    <r>
      <rPr>
        <sz val="12"/>
        <color theme="1"/>
        <rFont val="Calibri"/>
        <family val="2"/>
      </rPr>
      <t>*4</t>
    </r>
    <r>
      <rPr>
        <sz val="12"/>
        <color theme="1"/>
        <rFont val="宋体"/>
        <family val="3"/>
        <charset val="134"/>
      </rPr>
      <t>，舒肝宝</t>
    </r>
    <r>
      <rPr>
        <sz val="12"/>
        <color theme="1"/>
        <rFont val="Calibri"/>
        <family val="2"/>
      </rPr>
      <t>*4</t>
    </r>
    <r>
      <rPr>
        <sz val="12"/>
        <color theme="1"/>
        <rFont val="宋体"/>
        <family val="3"/>
        <charset val="134"/>
      </rPr>
      <t>，心脏宝</t>
    </r>
    <r>
      <rPr>
        <sz val="12"/>
        <color theme="1"/>
        <rFont val="Calibri"/>
        <family val="2"/>
      </rPr>
      <t>*4</t>
    </r>
    <r>
      <rPr>
        <sz val="12"/>
        <color theme="1"/>
        <rFont val="宋体"/>
        <family val="3"/>
        <charset val="134"/>
      </rPr>
      <t>，眠宁素</t>
    </r>
    <r>
      <rPr>
        <sz val="12"/>
        <color theme="1"/>
        <rFont val="Calibri"/>
        <family val="2"/>
      </rPr>
      <t>*1</t>
    </r>
  </si>
  <si>
    <r>
      <rPr>
        <sz val="12"/>
        <color theme="1"/>
        <rFont val="Calibri"/>
        <family val="2"/>
      </rPr>
      <t>14</t>
    </r>
    <r>
      <rPr>
        <sz val="12"/>
        <color theme="1"/>
        <rFont val="宋体"/>
        <family val="3"/>
        <charset val="134"/>
      </rPr>
      <t>条，</t>
    </r>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</si>
  <si>
    <t>杨高桦</t>
  </si>
  <si>
    <t>江苏省南京市江宁区东南大学九龙湖校区梅园快递服务中心</t>
  </si>
  <si>
    <t>440803198310060326</t>
  </si>
  <si>
    <t>杨高桦440803198310060326</t>
  </si>
  <si>
    <t>9769148547597</t>
  </si>
  <si>
    <t>SC20200028736</t>
  </si>
  <si>
    <r>
      <rPr>
        <sz val="12"/>
        <color theme="1"/>
        <rFont val="Calibri"/>
        <family val="2"/>
      </rPr>
      <t>56</t>
    </r>
    <r>
      <rPr>
        <sz val="12"/>
        <color theme="1"/>
        <rFont val="宋体"/>
        <family val="3"/>
        <charset val="134"/>
      </rPr>
      <t>袋</t>
    </r>
  </si>
  <si>
    <t>李露薇</t>
  </si>
  <si>
    <t>410103198810110023</t>
  </si>
  <si>
    <t>李露薇410103198810110023</t>
  </si>
  <si>
    <t>9769148379797</t>
  </si>
  <si>
    <t>SC20200021346</t>
  </si>
  <si>
    <r>
      <rPr>
        <sz val="12"/>
        <color theme="1"/>
        <rFont val="宋体"/>
        <family val="3"/>
        <charset val="134"/>
      </rPr>
      <t>鱼油</t>
    </r>
    <r>
      <rPr>
        <sz val="12"/>
        <color theme="1"/>
        <rFont val="Calibri"/>
        <family val="2"/>
      </rPr>
      <t>*6</t>
    </r>
    <r>
      <rPr>
        <sz val="12"/>
        <color theme="1"/>
        <rFont val="宋体"/>
        <family val="3"/>
        <charset val="134"/>
      </rPr>
      <t>，妇康宁</t>
    </r>
    <r>
      <rPr>
        <sz val="12"/>
        <color theme="1"/>
        <rFont val="Calibri"/>
        <family val="2"/>
      </rPr>
      <t>*4</t>
    </r>
  </si>
  <si>
    <t>乔友敏</t>
  </si>
  <si>
    <t>山东省青岛市崂山区银川东路17号1号楼1单元201</t>
  </si>
  <si>
    <t>370831198209130788</t>
  </si>
  <si>
    <t>乔友敏370831198209130788</t>
  </si>
  <si>
    <t>9769148406997</t>
  </si>
  <si>
    <t>SC20200033597</t>
  </si>
  <si>
    <r>
      <rPr>
        <sz val="12"/>
        <color theme="1"/>
        <rFont val="宋体"/>
        <family val="3"/>
        <charset val="134"/>
      </rPr>
      <t>健康包</t>
    </r>
    <r>
      <rPr>
        <sz val="12"/>
        <color theme="1"/>
        <rFont val="Calibri"/>
        <family val="2"/>
      </rPr>
      <t>*1</t>
    </r>
    <r>
      <rPr>
        <sz val="12"/>
        <color theme="1"/>
        <rFont val="宋体"/>
        <family val="3"/>
        <charset val="134"/>
      </rPr>
      <t>，心脏宝</t>
    </r>
    <r>
      <rPr>
        <sz val="12"/>
        <color theme="1"/>
        <rFont val="Calibri"/>
        <family val="2"/>
      </rPr>
      <t>*6</t>
    </r>
    <r>
      <rPr>
        <sz val="12"/>
        <color theme="1"/>
        <rFont val="宋体"/>
        <family val="3"/>
        <charset val="134"/>
      </rPr>
      <t>，眠宁素</t>
    </r>
    <r>
      <rPr>
        <sz val="12"/>
        <color theme="1"/>
        <rFont val="Calibri"/>
        <family val="2"/>
      </rPr>
      <t>*5</t>
    </r>
  </si>
  <si>
    <r>
      <rPr>
        <sz val="12"/>
        <color theme="1"/>
        <rFont val="Calibri"/>
        <family val="2"/>
      </rPr>
      <t>56</t>
    </r>
    <r>
      <rPr>
        <sz val="12"/>
        <color theme="1"/>
        <rFont val="宋体"/>
        <family val="3"/>
        <charset val="134"/>
      </rPr>
      <t>包，</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</si>
  <si>
    <t>陈城</t>
  </si>
  <si>
    <t>230202198006021412</t>
  </si>
  <si>
    <t>陈城230202198006021412</t>
  </si>
  <si>
    <t>9769148352897</t>
  </si>
  <si>
    <t>SC20200033595</t>
  </si>
  <si>
    <t>肝宝*2，维生素*1，鱼油*2，健骼宁*2，益生菌*2，心脏宝*2</t>
  </si>
  <si>
    <r>
      <rPr>
        <sz val="12"/>
        <color theme="1"/>
        <rFont val="Calibri"/>
        <family val="2"/>
      </rPr>
      <t>84</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56</t>
    </r>
    <r>
      <rPr>
        <sz val="12"/>
        <color theme="1"/>
        <rFont val="宋体"/>
        <family val="3"/>
        <charset val="134"/>
      </rPr>
      <t>粒，</t>
    </r>
    <r>
      <rPr>
        <sz val="12"/>
        <color theme="1"/>
        <rFont val="Calibri"/>
        <family val="2"/>
      </rPr>
      <t>84</t>
    </r>
    <r>
      <rPr>
        <sz val="12"/>
        <color theme="1"/>
        <rFont val="宋体"/>
        <family val="3"/>
        <charset val="134"/>
      </rPr>
      <t>粒，</t>
    </r>
    <r>
      <rPr>
        <sz val="12"/>
        <color theme="1"/>
        <rFont val="Calibri"/>
        <family val="2"/>
      </rPr>
      <t>14</t>
    </r>
    <r>
      <rPr>
        <sz val="12"/>
        <color theme="1"/>
        <rFont val="宋体"/>
        <family val="3"/>
        <charset val="134"/>
      </rPr>
      <t>条，</t>
    </r>
    <r>
      <rPr>
        <sz val="12"/>
        <color theme="1"/>
        <rFont val="Calibri"/>
        <family val="2"/>
      </rPr>
      <t>56</t>
    </r>
    <r>
      <rPr>
        <sz val="12"/>
        <color theme="1"/>
        <rFont val="宋体"/>
        <family val="3"/>
        <charset val="134"/>
      </rPr>
      <t>粒</t>
    </r>
  </si>
  <si>
    <t>张晓梅</t>
  </si>
  <si>
    <t>210882198811091246</t>
  </si>
  <si>
    <t>张晓梅210882198811091246</t>
  </si>
  <si>
    <t>9769148344397</t>
  </si>
  <si>
    <t>SC20200033603</t>
  </si>
  <si>
    <r>
      <rPr>
        <sz val="12"/>
        <color theme="1"/>
        <rFont val="宋体"/>
        <family val="3"/>
        <charset val="134"/>
      </rPr>
      <t>基本营养素</t>
    </r>
    <r>
      <rPr>
        <sz val="12"/>
        <color theme="1"/>
        <rFont val="Calibri"/>
        <family val="2"/>
      </rPr>
      <t>*4</t>
    </r>
    <r>
      <rPr>
        <sz val="12"/>
        <color theme="1"/>
        <rFont val="宋体"/>
        <family val="3"/>
        <charset val="134"/>
      </rPr>
      <t>，葡萄籽</t>
    </r>
    <r>
      <rPr>
        <sz val="12"/>
        <color theme="1"/>
        <rFont val="Calibri"/>
        <family val="2"/>
      </rPr>
      <t>*6</t>
    </r>
    <r>
      <rPr>
        <sz val="12"/>
        <color theme="1"/>
        <rFont val="宋体"/>
        <family val="3"/>
        <charset val="134"/>
      </rPr>
      <t>，鱼油</t>
    </r>
    <r>
      <rPr>
        <sz val="12"/>
        <color theme="1"/>
        <rFont val="Calibri"/>
        <family val="2"/>
      </rPr>
      <t>*2</t>
    </r>
  </si>
  <si>
    <t>360111196710020027</t>
  </si>
  <si>
    <t>王玉宇360111196710020027</t>
  </si>
  <si>
    <t>9769148324097</t>
  </si>
  <si>
    <t>SC20190091046</t>
  </si>
  <si>
    <r>
      <rPr>
        <sz val="12"/>
        <color theme="1"/>
        <rFont val="宋体"/>
        <family val="3"/>
        <charset val="134"/>
      </rPr>
      <t>定制包</t>
    </r>
    <r>
      <rPr>
        <sz val="12"/>
        <color theme="1"/>
        <rFont val="Calibri"/>
        <family val="2"/>
      </rPr>
      <t>*1</t>
    </r>
    <r>
      <rPr>
        <sz val="12"/>
        <color theme="1"/>
        <rFont val="宋体"/>
        <family val="3"/>
        <charset val="134"/>
      </rPr>
      <t>，健康包</t>
    </r>
    <r>
      <rPr>
        <sz val="12"/>
        <color theme="1"/>
        <rFont val="Calibri"/>
        <family val="2"/>
      </rPr>
      <t>*1</t>
    </r>
  </si>
  <si>
    <t>辽宁省营口市人力资源社会保障局</t>
  </si>
  <si>
    <t>210821197709223620</t>
  </si>
  <si>
    <t>刘英杰210821197709223620</t>
  </si>
  <si>
    <t>9769148304697</t>
  </si>
  <si>
    <t>SC20200034578</t>
  </si>
  <si>
    <r>
      <rPr>
        <sz val="12"/>
        <color theme="1"/>
        <rFont val="宋体"/>
        <family val="3"/>
        <charset val="134"/>
      </rPr>
      <t>爽肤水</t>
    </r>
    <r>
      <rPr>
        <sz val="12"/>
        <color theme="1"/>
        <rFont val="Calibri"/>
        <family val="2"/>
      </rPr>
      <t>*1</t>
    </r>
    <r>
      <rPr>
        <sz val="12"/>
        <color theme="1"/>
        <rFont val="宋体"/>
        <family val="3"/>
        <charset val="134"/>
      </rPr>
      <t>，防晒霜</t>
    </r>
    <r>
      <rPr>
        <sz val="12"/>
        <color theme="1"/>
        <rFont val="Calibri"/>
        <family val="2"/>
      </rPr>
      <t>*2</t>
    </r>
    <r>
      <rPr>
        <sz val="12"/>
        <color theme="1"/>
        <rFont val="宋体"/>
        <family val="3"/>
        <charset val="134"/>
      </rPr>
      <t>，小样精华</t>
    </r>
    <r>
      <rPr>
        <sz val="12"/>
        <color theme="1"/>
        <rFont val="Calibri"/>
        <family val="2"/>
      </rPr>
      <t>*4</t>
    </r>
    <r>
      <rPr>
        <sz val="12"/>
        <color theme="1"/>
        <rFont val="宋体"/>
        <family val="3"/>
        <charset val="134"/>
      </rPr>
      <t>，眼霜</t>
    </r>
    <r>
      <rPr>
        <sz val="12"/>
        <color theme="1"/>
        <rFont val="Calibri"/>
        <family val="2"/>
      </rPr>
      <t>*1</t>
    </r>
  </si>
  <si>
    <t>LANCOME，LANCOME，ESTEE LAUDER，ESTEE LAUDER</t>
  </si>
  <si>
    <t>400ML，30ML，7ML，15ML</t>
  </si>
  <si>
    <t>孙林杰</t>
  </si>
  <si>
    <t>河北省巨鹿县新苑小区北门</t>
  </si>
  <si>
    <t>320902199211017548</t>
  </si>
  <si>
    <t>孙林杰320902199211017548</t>
  </si>
  <si>
    <t>9769148756497</t>
  </si>
  <si>
    <t>SC20200032625</t>
  </si>
  <si>
    <t>高岩</t>
  </si>
  <si>
    <t>山东省日照市奎山街道许家园村</t>
  </si>
  <si>
    <t>210203196412164527</t>
  </si>
  <si>
    <t>高岩210203196412164527</t>
  </si>
  <si>
    <t>9769148757897</t>
  </si>
  <si>
    <t>SC02399700002</t>
  </si>
  <si>
    <t>黄丹萍</t>
  </si>
  <si>
    <t>山东省枣庄市中区振兴中路10号海参店</t>
  </si>
  <si>
    <t>350583198711265449</t>
  </si>
  <si>
    <t>黄丹萍350583198711265449</t>
  </si>
  <si>
    <t>9769148758197</t>
  </si>
  <si>
    <t>SC03262400002</t>
  </si>
  <si>
    <t>李宏海</t>
  </si>
  <si>
    <t>山东省德州市经济开发区康博大道美邻美郡小区2单元1202</t>
  </si>
  <si>
    <t>110106198709121818</t>
  </si>
  <si>
    <t>李宏海110106198709121818</t>
  </si>
  <si>
    <t>9769148759597</t>
  </si>
  <si>
    <t>SC03467700003</t>
  </si>
  <si>
    <t>河北省石家庄市东风路136号全球通大厦</t>
  </si>
  <si>
    <t>110108198212240056</t>
  </si>
  <si>
    <t>邹珂110108198212240056</t>
  </si>
  <si>
    <t>9769148760497</t>
  </si>
  <si>
    <t>SC03467700007</t>
  </si>
  <si>
    <t>廖敏玲</t>
  </si>
  <si>
    <t>河北省石家庄市体育南大街15号石家庄第三医院CT室</t>
  </si>
  <si>
    <t>350124199406121089</t>
  </si>
  <si>
    <t>廖敏玲350124199406121089</t>
  </si>
  <si>
    <t>9769148761897</t>
  </si>
  <si>
    <t>SC03261100005</t>
  </si>
  <si>
    <t>陆丽</t>
  </si>
  <si>
    <t>辽宁省鞍山市铁东区东亚第一城1期4号楼3302</t>
  </si>
  <si>
    <t>320683198210054168</t>
  </si>
  <si>
    <t>陆丽320683198210054168</t>
  </si>
  <si>
    <t>9769116620297</t>
  </si>
  <si>
    <t>SC20200022594</t>
  </si>
  <si>
    <r>
      <rPr>
        <sz val="12"/>
        <rFont val="宋体"/>
        <family val="3"/>
        <charset val="134"/>
      </rPr>
      <t>太阳镜</t>
    </r>
    <r>
      <rPr>
        <sz val="12"/>
        <rFont val="Calibri"/>
        <family val="2"/>
      </rPr>
      <t>*3</t>
    </r>
  </si>
  <si>
    <t>MIRA</t>
  </si>
  <si>
    <r>
      <rPr>
        <sz val="12"/>
        <rFont val="宋体"/>
        <family val="3"/>
        <charset val="134"/>
      </rPr>
      <t>飞蓝</t>
    </r>
    <r>
      <rPr>
        <sz val="12"/>
        <rFont val="Calibri"/>
        <family val="2"/>
      </rPr>
      <t>+</t>
    </r>
    <r>
      <rPr>
        <sz val="12"/>
        <rFont val="宋体"/>
        <family val="3"/>
        <charset val="134"/>
      </rPr>
      <t>飞紫</t>
    </r>
    <r>
      <rPr>
        <sz val="12"/>
        <rFont val="Calibri"/>
        <family val="2"/>
      </rPr>
      <t>+</t>
    </r>
    <r>
      <rPr>
        <sz val="12"/>
        <rFont val="宋体"/>
        <family val="3"/>
        <charset val="134"/>
      </rPr>
      <t>雅黑</t>
    </r>
  </si>
  <si>
    <t>陈岩</t>
  </si>
  <si>
    <t>辽宁省鞍山市铁东区二一九路馨园小区</t>
  </si>
  <si>
    <t>210204195807024301</t>
  </si>
  <si>
    <t>陈岩210204195807024301</t>
  </si>
  <si>
    <t>9769116640697</t>
  </si>
  <si>
    <t>SC20200022595</t>
  </si>
  <si>
    <r>
      <rPr>
        <sz val="12"/>
        <rFont val="宋体"/>
        <family val="3"/>
        <charset val="134"/>
      </rPr>
      <t>偏光镜</t>
    </r>
    <r>
      <rPr>
        <sz val="12"/>
        <rFont val="Calibri"/>
        <family val="2"/>
      </rPr>
      <t>*3</t>
    </r>
  </si>
  <si>
    <r>
      <rPr>
        <sz val="12"/>
        <rFont val="宋体"/>
        <family val="3"/>
        <charset val="134"/>
      </rPr>
      <t>雅黑</t>
    </r>
    <r>
      <rPr>
        <sz val="12"/>
        <rFont val="Calibri"/>
        <family val="2"/>
      </rPr>
      <t>+</t>
    </r>
    <r>
      <rPr>
        <sz val="12"/>
        <rFont val="宋体"/>
        <family val="3"/>
        <charset val="134"/>
      </rPr>
      <t>海黑</t>
    </r>
    <r>
      <rPr>
        <sz val="12"/>
        <rFont val="Calibri"/>
        <family val="2"/>
      </rPr>
      <t>+</t>
    </r>
    <r>
      <rPr>
        <sz val="12"/>
        <rFont val="宋体"/>
        <family val="3"/>
        <charset val="134"/>
      </rPr>
      <t>海蓝</t>
    </r>
  </si>
  <si>
    <t>洪珣</t>
  </si>
  <si>
    <t>辽宁省鞍山市铁东区爱群街19-13</t>
  </si>
  <si>
    <t>戚秋红</t>
  </si>
  <si>
    <t>150402197609102445</t>
  </si>
  <si>
    <t>戚秋红150402197609102445</t>
  </si>
  <si>
    <t>9769148430297</t>
  </si>
  <si>
    <t>SC20200035432</t>
  </si>
  <si>
    <r>
      <rPr>
        <sz val="12"/>
        <rFont val="宋体"/>
        <family val="3"/>
        <charset val="134"/>
      </rPr>
      <t>面霜三件套</t>
    </r>
    <r>
      <rPr>
        <sz val="12"/>
        <rFont val="Calibri"/>
        <family val="2"/>
      </rPr>
      <t>*3</t>
    </r>
  </si>
  <si>
    <t>曲晓刚</t>
  </si>
  <si>
    <t>天津市和平区南门外大街57号招商银行</t>
  </si>
  <si>
    <t>230102197105012810</t>
  </si>
  <si>
    <t>曲晓刚230102197105012810</t>
  </si>
  <si>
    <t>9769148418897</t>
  </si>
  <si>
    <t>SC20200034372</t>
  </si>
  <si>
    <r>
      <rPr>
        <sz val="12"/>
        <rFont val="宋体"/>
        <family val="3"/>
        <charset val="134"/>
      </rPr>
      <t>面霜三件套</t>
    </r>
    <r>
      <rPr>
        <sz val="12"/>
        <rFont val="Calibri"/>
        <family val="2"/>
      </rPr>
      <t>*1</t>
    </r>
  </si>
  <si>
    <t>韩菲</t>
  </si>
  <si>
    <t>天津市河东区检察院十五经路8号</t>
  </si>
  <si>
    <t>孙晓怡</t>
  </si>
  <si>
    <t>310225198907045221</t>
  </si>
  <si>
    <t>孙晓怡310225198907045221</t>
  </si>
  <si>
    <t>9769148415797</t>
  </si>
  <si>
    <t>SC20200034381</t>
  </si>
  <si>
    <t>回丽红</t>
  </si>
  <si>
    <t>天津市南开区王府一号二期6号楼1302</t>
  </si>
  <si>
    <t>王莅</t>
  </si>
  <si>
    <t>130126198705100082</t>
  </si>
  <si>
    <t>王莅130126198705100082</t>
  </si>
  <si>
    <t>9769148412697</t>
  </si>
  <si>
    <t>SC20200034402</t>
  </si>
  <si>
    <t>杨力</t>
  </si>
  <si>
    <t>天津市南开区嘉陵道天房天拖3期兰坪路盈艺园5号楼底商（云龙里居委会）</t>
  </si>
  <si>
    <t>吴亚琴</t>
  </si>
  <si>
    <t>430103198209270580</t>
  </si>
  <si>
    <t>吴亚琴430103198209270580</t>
  </si>
  <si>
    <t>9769148413097</t>
  </si>
  <si>
    <t>SC20200034407</t>
  </si>
  <si>
    <t>天津市南开区津涞公路津涞花园3号楼1门103</t>
  </si>
  <si>
    <t>刘刚</t>
  </si>
  <si>
    <t>310101196310230816</t>
  </si>
  <si>
    <t>刘刚310101196310230816</t>
  </si>
  <si>
    <t>9769148639697</t>
  </si>
  <si>
    <t>SC20200035113</t>
  </si>
  <si>
    <t>徐甫霞</t>
  </si>
  <si>
    <t>江苏省苏州市高新区荷澜庭10-204</t>
  </si>
  <si>
    <t>341181197909075042</t>
  </si>
  <si>
    <t>徐甫霞341181197909075042</t>
  </si>
  <si>
    <t>扫描排序</t>
  </si>
  <si>
    <t>车号</t>
  </si>
  <si>
    <t>主单号</t>
  </si>
  <si>
    <t>分单号</t>
  </si>
  <si>
    <t>快递单号</t>
  </si>
  <si>
    <t>快递类型</t>
  </si>
  <si>
    <t>扫描次数</t>
  </si>
  <si>
    <t>品名</t>
  </si>
  <si>
    <t>计费重量</t>
  </si>
  <si>
    <t>实际重量</t>
  </si>
  <si>
    <t>收件人电话</t>
  </si>
  <si>
    <t>收件人邮编</t>
  </si>
  <si>
    <t>寄件公司</t>
  </si>
  <si>
    <t>寄件人地址</t>
  </si>
  <si>
    <t>寄件人电话</t>
  </si>
  <si>
    <t>寄件人邮编</t>
  </si>
  <si>
    <t>集包地</t>
  </si>
  <si>
    <t>业务类型</t>
  </si>
  <si>
    <t>始发网点</t>
  </si>
  <si>
    <t>大头笔</t>
  </si>
  <si>
    <t>体积</t>
  </si>
  <si>
    <t>韵达中远</t>
  </si>
  <si>
    <t>168-4351 NO.3 RAOD</t>
  </si>
  <si>
    <t>天津455加</t>
  </si>
  <si>
    <t>序号</t>
  </si>
  <si>
    <t>航空主单号码</t>
  </si>
  <si>
    <t>中外运分单号</t>
  </si>
  <si>
    <t>客户参考号</t>
  </si>
  <si>
    <t>发货人</t>
  </si>
  <si>
    <t>发货人
电话</t>
  </si>
  <si>
    <t>发货
地址</t>
  </si>
  <si>
    <t>发货
国家</t>
  </si>
  <si>
    <t>收货人</t>
  </si>
  <si>
    <t>收货人
电话</t>
  </si>
  <si>
    <t>收货
地址</t>
  </si>
  <si>
    <t>收货
省份</t>
  </si>
  <si>
    <t>收货人身份证号码</t>
  </si>
  <si>
    <t>包裹
件数</t>
  </si>
  <si>
    <t>包裹
重量</t>
  </si>
  <si>
    <t>包裹价格
（人民币）</t>
  </si>
  <si>
    <t>内物
序号</t>
  </si>
  <si>
    <t>内物品名1</t>
  </si>
  <si>
    <t>规格型号1</t>
  </si>
  <si>
    <t>内物
行邮税税号</t>
  </si>
  <si>
    <t>内物
数量1</t>
  </si>
  <si>
    <t>内物
单位1</t>
  </si>
  <si>
    <t>内物单价
（人民币）</t>
  </si>
  <si>
    <t>内物总价
（人民币）</t>
  </si>
  <si>
    <t>内物品名2</t>
  </si>
  <si>
    <t>规格型号2</t>
  </si>
  <si>
    <t>内物
数量2</t>
  </si>
  <si>
    <t>内物
单位2</t>
  </si>
  <si>
    <t>SINO-CANADA INTERNATIONAL COURIER LTD</t>
  </si>
  <si>
    <t>168-4351 NO.3 ROAD</t>
  </si>
  <si>
    <t>CANADA</t>
  </si>
  <si>
    <t>客户</t>
  </si>
  <si>
    <t>原寄地</t>
  </si>
  <si>
    <t>关联单号</t>
  </si>
  <si>
    <t>分运单号</t>
  </si>
  <si>
    <t>寄件人</t>
  </si>
  <si>
    <t>内件信息</t>
  </si>
  <si>
    <t>备注</t>
  </si>
  <si>
    <t>SINO</t>
  </si>
  <si>
    <t>温哥华</t>
  </si>
  <si>
    <t>604-2070338</t>
  </si>
  <si>
    <t>#168 - 4351 NO.3 Road, Richmond, BC, CA</t>
  </si>
  <si>
    <t>海外单号</t>
  </si>
  <si>
    <t>发件人姓名</t>
  </si>
  <si>
    <t>发件人地址</t>
  </si>
  <si>
    <t>发件人电话</t>
  </si>
  <si>
    <t>收件人姓名</t>
  </si>
  <si>
    <t>收件人省</t>
  </si>
  <si>
    <t>收件人市</t>
  </si>
  <si>
    <t>收件人区</t>
  </si>
  <si>
    <t>重量</t>
  </si>
  <si>
    <t>货物信息</t>
  </si>
  <si>
    <t>SINO-CANADA</t>
  </si>
  <si>
    <t>168-4351 NO.3 ROAD RICHMOND BC</t>
  </si>
  <si>
    <t>面霜*1</t>
  </si>
  <si>
    <t>75ML*2+3.2ML精华</t>
  </si>
  <si>
    <t>手霜*2</t>
  </si>
  <si>
    <t>GLYSOMED</t>
  </si>
  <si>
    <t>250ML</t>
  </si>
  <si>
    <t>手霜*1</t>
  </si>
  <si>
    <t>儿童钙片*2</t>
  </si>
  <si>
    <t>PROGRESSIVE</t>
  </si>
  <si>
    <t>钙片*6</t>
  </si>
  <si>
    <t>AS CALCIUM</t>
  </si>
  <si>
    <t>益生菌*15</t>
  </si>
  <si>
    <t>30粒</t>
  </si>
  <si>
    <t>感冒滴剂*12</t>
  </si>
  <si>
    <t>心脏宝*10</t>
  </si>
  <si>
    <t>葡萄籽*4</t>
  </si>
  <si>
    <t>粉底液*6</t>
  </si>
  <si>
    <t>30ML</t>
  </si>
  <si>
    <t>小样精华*2</t>
  </si>
  <si>
    <t>7ML</t>
  </si>
  <si>
    <t>爽肤水*6</t>
  </si>
  <si>
    <t>400ML</t>
  </si>
  <si>
    <t>75ML+50ML+15ML</t>
  </si>
  <si>
    <t>袜子*1</t>
  </si>
  <si>
    <t>BENCH</t>
  </si>
  <si>
    <t>COLE HAAN</t>
  </si>
  <si>
    <t>T恤*1</t>
  </si>
  <si>
    <t>COOL</t>
  </si>
  <si>
    <t>烹饪香料*1</t>
  </si>
  <si>
    <t>CLUB HOUSE</t>
  </si>
  <si>
    <t>845G</t>
  </si>
  <si>
    <t>舒肝宝*6</t>
  </si>
  <si>
    <t>84粒</t>
  </si>
  <si>
    <t>基本营养素*4</t>
  </si>
  <si>
    <t>112粒</t>
  </si>
  <si>
    <t>雌青舒*1</t>
  </si>
  <si>
    <t>56粒</t>
  </si>
  <si>
    <t>鱼油*4</t>
  </si>
  <si>
    <t>精华素*3</t>
  </si>
  <si>
    <t>晚霜*1</t>
  </si>
  <si>
    <t>肉苁蓉*10</t>
  </si>
  <si>
    <t>KEY OF HEALTH</t>
  </si>
  <si>
    <t>免疫宝*5</t>
  </si>
  <si>
    <t>HEALLE</t>
  </si>
  <si>
    <t>60粒</t>
  </si>
  <si>
    <t>脸胶*2</t>
  </si>
  <si>
    <t>舒纹精华*2</t>
  </si>
  <si>
    <t>修复晚霜*2</t>
  </si>
  <si>
    <t>冰河泥*2</t>
  </si>
  <si>
    <t>磨砂膏*1</t>
  </si>
  <si>
    <t>敷面膏*1</t>
  </si>
  <si>
    <t>保湿喷雾*1</t>
  </si>
  <si>
    <t>面胶*5</t>
  </si>
  <si>
    <t>面胶*3</t>
  </si>
  <si>
    <t>精华素*1</t>
  </si>
  <si>
    <t>美白精华*1</t>
  </si>
  <si>
    <t>洗面奶*1</t>
  </si>
  <si>
    <t>90ML</t>
  </si>
  <si>
    <t>面膜*1</t>
  </si>
  <si>
    <t>118ML</t>
  </si>
  <si>
    <t>日霜*1</t>
  </si>
  <si>
    <t>身体霜*1</t>
  </si>
  <si>
    <t>150ML</t>
  </si>
  <si>
    <t>健康包*2</t>
  </si>
  <si>
    <t>心宝*2</t>
  </si>
  <si>
    <t>钙镁片*1</t>
  </si>
  <si>
    <t>葡萄籽*1</t>
  </si>
  <si>
    <t>益生菌*2</t>
  </si>
  <si>
    <t>健骼宁*2</t>
  </si>
  <si>
    <t>基本营养素*2</t>
  </si>
  <si>
    <t>儿童营养素*2</t>
  </si>
  <si>
    <t>心宝*1</t>
  </si>
  <si>
    <t>维生素*1</t>
  </si>
  <si>
    <t>钙镁片*2</t>
  </si>
  <si>
    <t>保列健*4</t>
  </si>
  <si>
    <t>益生菌*1</t>
  </si>
  <si>
    <t>基本营养素*3</t>
  </si>
  <si>
    <t>保列健*3</t>
  </si>
  <si>
    <t>葡萄籽*2</t>
  </si>
  <si>
    <t>眠宁素*1</t>
  </si>
  <si>
    <t>钙片*2</t>
  </si>
  <si>
    <t>益生菌*4</t>
  </si>
  <si>
    <t>心脏宝*3</t>
  </si>
  <si>
    <t>保列健*2</t>
  </si>
  <si>
    <t>钙镁片*3</t>
  </si>
  <si>
    <t>健骼宁*3</t>
  </si>
  <si>
    <t>肝宝*4</t>
  </si>
  <si>
    <t>维生素*3</t>
  </si>
  <si>
    <t>鱼油*3</t>
  </si>
  <si>
    <t>矿物质*3</t>
  </si>
  <si>
    <t>手表*1</t>
  </si>
  <si>
    <t>水桶包*1</t>
  </si>
  <si>
    <t>手提包*1</t>
  </si>
  <si>
    <t>健康包*1</t>
  </si>
  <si>
    <t>咀嚼钙*4</t>
  </si>
  <si>
    <t>酵素*6</t>
  </si>
  <si>
    <t>健康套装*1</t>
  </si>
  <si>
    <t>56包</t>
  </si>
  <si>
    <t>视力宝*8</t>
  </si>
  <si>
    <t>28粒</t>
  </si>
  <si>
    <t>紧肤露*1</t>
  </si>
  <si>
    <t>225ML</t>
  </si>
  <si>
    <t>肉苁蓉提取物*12</t>
  </si>
  <si>
    <t>钙*2</t>
  </si>
  <si>
    <t>100粒</t>
  </si>
  <si>
    <t>面霜*3</t>
  </si>
  <si>
    <t>OLAY</t>
  </si>
  <si>
    <t>牙膏*2</t>
  </si>
  <si>
    <t>110G</t>
  </si>
  <si>
    <t>口红*2</t>
  </si>
  <si>
    <t>4.5G</t>
  </si>
  <si>
    <t>内裤*2</t>
  </si>
  <si>
    <t>KIRKLAND</t>
  </si>
  <si>
    <t>衬衫*2</t>
  </si>
  <si>
    <t>POLO</t>
  </si>
  <si>
    <t>染发剂*2</t>
  </si>
  <si>
    <t>HERBATINT</t>
  </si>
  <si>
    <t>135ML</t>
  </si>
  <si>
    <t>纤维素*2</t>
  </si>
  <si>
    <t>辅酶*2</t>
  </si>
  <si>
    <t>肝宝*2</t>
  </si>
  <si>
    <t>鱼油*2</t>
  </si>
  <si>
    <t>家居裤*1</t>
  </si>
  <si>
    <t>CK</t>
  </si>
  <si>
    <t>裤子*2</t>
  </si>
  <si>
    <t>精华*1</t>
  </si>
  <si>
    <t>CLARINS</t>
  </si>
  <si>
    <t>粉水*1</t>
  </si>
  <si>
    <t>面膜*8</t>
  </si>
  <si>
    <t>减脂粉*4</t>
  </si>
  <si>
    <t>蓝珍珠*2</t>
  </si>
  <si>
    <t>蓝珍珠面霜*1</t>
  </si>
  <si>
    <t>抗皱精华*1</t>
  </si>
  <si>
    <t>纤维素*1</t>
  </si>
  <si>
    <t>面霜*2</t>
  </si>
  <si>
    <t>小包*1</t>
  </si>
  <si>
    <t>打底裤*1</t>
  </si>
  <si>
    <t>TF</t>
  </si>
  <si>
    <t>内衣*1</t>
  </si>
  <si>
    <t>泡沫滚轴*1</t>
  </si>
  <si>
    <t>裤子*1</t>
  </si>
  <si>
    <t>T恤*3</t>
  </si>
  <si>
    <t>水杯*1</t>
  </si>
  <si>
    <t>CONTIGO</t>
  </si>
  <si>
    <t>防晒*1</t>
  </si>
  <si>
    <t>健骼宁*1</t>
  </si>
  <si>
    <t>心脏宝*14</t>
  </si>
  <si>
    <t>舒肝宝*2</t>
  </si>
  <si>
    <t>雌青舒*2</t>
  </si>
  <si>
    <t>益生菌*5</t>
  </si>
  <si>
    <t>14条</t>
  </si>
  <si>
    <t>舒肝片*4</t>
  </si>
  <si>
    <t>心脏宝*2</t>
  </si>
  <si>
    <t>基础如沛*1</t>
  </si>
  <si>
    <t>60包</t>
  </si>
  <si>
    <t>排毒抗衰胶囊*1</t>
  </si>
  <si>
    <t>180粒+60粒</t>
  </si>
  <si>
    <t>长青配方*1</t>
  </si>
  <si>
    <t>维生素胶囊*1</t>
  </si>
  <si>
    <t>绿茶胶囊*1</t>
  </si>
  <si>
    <t>75ML</t>
  </si>
  <si>
    <t>爽肤水*1</t>
  </si>
  <si>
    <t>维生素*2</t>
  </si>
  <si>
    <t>钙片*4</t>
  </si>
  <si>
    <t>绿茶*2</t>
  </si>
  <si>
    <t>辅酶*4</t>
  </si>
  <si>
    <t>补水面膜*2</t>
  </si>
  <si>
    <t>面霜三件套*1</t>
  </si>
  <si>
    <t>衬衣*1</t>
  </si>
  <si>
    <t>M</t>
  </si>
  <si>
    <t>童装*1</t>
  </si>
  <si>
    <t>L</t>
  </si>
  <si>
    <t>红色XL</t>
  </si>
  <si>
    <t>日霜*3</t>
  </si>
  <si>
    <t>晚霜*3</t>
  </si>
  <si>
    <t>眼霜*3</t>
  </si>
  <si>
    <t>鱼油*10</t>
  </si>
  <si>
    <t>鱼油*1</t>
  </si>
  <si>
    <t>细胞营养素*1</t>
  </si>
  <si>
    <t>肝宝*1</t>
  </si>
  <si>
    <t>营养餐*1</t>
  </si>
  <si>
    <t>28G</t>
  </si>
  <si>
    <t>打底裤*2</t>
  </si>
  <si>
    <t>面霜小样*2</t>
  </si>
  <si>
    <t>5ML</t>
  </si>
  <si>
    <t>裤子*3</t>
  </si>
  <si>
    <t>背心*2</t>
  </si>
  <si>
    <t>腰包*1</t>
  </si>
  <si>
    <t>项链*1</t>
  </si>
  <si>
    <t>精华*15</t>
  </si>
  <si>
    <t>控油爽肤水*3</t>
  </si>
  <si>
    <t>防晒霜*11</t>
  </si>
  <si>
    <t>益生菌*12</t>
  </si>
  <si>
    <t>血压仪*1</t>
  </si>
  <si>
    <t>妇康宁*10</t>
  </si>
  <si>
    <t>益生菌*3</t>
  </si>
  <si>
    <t>敷面膏*3</t>
  </si>
  <si>
    <t>补水面膜*1</t>
  </si>
  <si>
    <t>芦荟*1</t>
  </si>
  <si>
    <t>洁面乳*1</t>
  </si>
  <si>
    <t>钙片*3</t>
  </si>
  <si>
    <t>心脏宝*1</t>
  </si>
  <si>
    <t>葡萄籽*3</t>
  </si>
  <si>
    <t>液体洁肤*1</t>
  </si>
  <si>
    <t>洗发水*1</t>
  </si>
  <si>
    <t>小茶沛*2</t>
  </si>
  <si>
    <t>健骼宁*10</t>
  </si>
  <si>
    <t>益生菌*7</t>
  </si>
  <si>
    <t>钙镁片*4</t>
  </si>
  <si>
    <t>美容仪*1</t>
  </si>
  <si>
    <t>消化酵素*6</t>
  </si>
  <si>
    <t>钙*1</t>
  </si>
  <si>
    <t>视力宝*3</t>
  </si>
  <si>
    <t>奶腊*1</t>
  </si>
  <si>
    <t>AMWAY</t>
  </si>
  <si>
    <t>蛋白粉*1</t>
  </si>
  <si>
    <t>儿童维生素*1</t>
  </si>
  <si>
    <t>胡萝卜素*1</t>
  </si>
  <si>
    <t>维生素软糖*1</t>
  </si>
  <si>
    <t>定制包*2</t>
  </si>
  <si>
    <t>爽肤水*2</t>
  </si>
  <si>
    <t>小样精华*4</t>
  </si>
  <si>
    <t>3ML</t>
  </si>
  <si>
    <t>粉底液*1</t>
  </si>
  <si>
    <t>小样精华*3</t>
  </si>
  <si>
    <t>MAC</t>
  </si>
  <si>
    <t>2G</t>
  </si>
  <si>
    <t>唇釉*2</t>
  </si>
  <si>
    <t>打底膏*2</t>
  </si>
  <si>
    <t>1.8G</t>
  </si>
  <si>
    <t>益生菌*6</t>
  </si>
  <si>
    <t>健康100套装*3</t>
  </si>
  <si>
    <t>眼霜*2</t>
  </si>
  <si>
    <t>辅酶*8</t>
  </si>
  <si>
    <t>心宝*3</t>
  </si>
  <si>
    <t>葡萄籽*6</t>
  </si>
  <si>
    <t>肝宝*3</t>
  </si>
  <si>
    <t>锐知宝*3</t>
  </si>
  <si>
    <t>基本营养素*6</t>
  </si>
  <si>
    <t>心宝*4</t>
  </si>
  <si>
    <t>女宝*2</t>
  </si>
  <si>
    <t>WHEN</t>
  </si>
  <si>
    <t>芦荟*2</t>
  </si>
  <si>
    <t>INFINITE ALOE</t>
  </si>
  <si>
    <t>57G</t>
  </si>
  <si>
    <t>项链*2</t>
  </si>
  <si>
    <t>染发*5</t>
  </si>
  <si>
    <t>PETER THOMAS</t>
  </si>
  <si>
    <t>SILKS</t>
  </si>
  <si>
    <t>FORMULA</t>
  </si>
  <si>
    <t>精华*2</t>
  </si>
  <si>
    <t>粉胶*1</t>
  </si>
  <si>
    <t>杯子*1</t>
  </si>
  <si>
    <t>口红*1</t>
  </si>
  <si>
    <t>YSL</t>
  </si>
  <si>
    <t>KIEHL'S</t>
  </si>
  <si>
    <t>身体乳*1</t>
  </si>
  <si>
    <t>袜子*3</t>
  </si>
  <si>
    <t>CHANEL</t>
  </si>
  <si>
    <t>FILORGA</t>
  </si>
  <si>
    <t>面霜小样*1</t>
  </si>
  <si>
    <t>20ML</t>
  </si>
  <si>
    <t>精华小样*1</t>
  </si>
  <si>
    <t>卸妆水小样*1</t>
  </si>
  <si>
    <t>口红小样*1</t>
  </si>
  <si>
    <t>SKII</t>
  </si>
  <si>
    <t>基础*2</t>
  </si>
  <si>
    <t>视力宝*4</t>
  </si>
  <si>
    <t>钙*5</t>
  </si>
  <si>
    <t>复合粉*8</t>
  </si>
  <si>
    <t>牙膏*5</t>
  </si>
  <si>
    <t>冰河泥*1</t>
  </si>
  <si>
    <t>200G</t>
  </si>
  <si>
    <t>芦荟胶*2</t>
  </si>
  <si>
    <t>60ML</t>
  </si>
  <si>
    <t>LUMI导头*1</t>
  </si>
  <si>
    <t>修复精华*1</t>
  </si>
  <si>
    <t>芦荟胶*1</t>
  </si>
  <si>
    <t>高保湿霜*1</t>
  </si>
  <si>
    <t>代餐粉*1盒</t>
  </si>
  <si>
    <t>28包</t>
  </si>
  <si>
    <t>精油*6</t>
  </si>
  <si>
    <t>芦荟胶*14</t>
  </si>
  <si>
    <t>维生素*4</t>
  </si>
  <si>
    <t>168粒</t>
  </si>
  <si>
    <t>妇康宁*2</t>
  </si>
  <si>
    <t>安睡宝*4</t>
  </si>
  <si>
    <t>五日清肠*1</t>
  </si>
  <si>
    <t>15粒</t>
  </si>
  <si>
    <t>维骨力*4</t>
  </si>
  <si>
    <t>眠宁素*2</t>
  </si>
  <si>
    <t>营养餐*4</t>
  </si>
  <si>
    <t>儿童营养素*1</t>
  </si>
  <si>
    <t>维生素*5</t>
  </si>
  <si>
    <t>维生素C*1</t>
  </si>
  <si>
    <t>钙片*1</t>
  </si>
  <si>
    <t>身体乳*2</t>
  </si>
  <si>
    <t>身体油*2</t>
  </si>
  <si>
    <t>乳液*1</t>
  </si>
  <si>
    <t>防晒霜*1</t>
  </si>
  <si>
    <t>心脏宝*4</t>
  </si>
  <si>
    <t>健骼宁*4</t>
  </si>
  <si>
    <t>眼精华*5</t>
  </si>
  <si>
    <t>小样眼影*2</t>
  </si>
  <si>
    <t>小样口红*3</t>
  </si>
  <si>
    <t>小样睫毛*6</t>
  </si>
  <si>
    <t>小样卸妆*4</t>
  </si>
  <si>
    <t>小样面膜*1</t>
  </si>
  <si>
    <t>蜗牛霜*1</t>
  </si>
  <si>
    <t>MIZON</t>
  </si>
  <si>
    <t>口红*5</t>
  </si>
  <si>
    <t>小黑瓶*3</t>
  </si>
  <si>
    <t>视力宝*2</t>
  </si>
  <si>
    <t>酵素*1</t>
  </si>
  <si>
    <t>56袋</t>
  </si>
  <si>
    <t>长青配方*2</t>
  </si>
  <si>
    <t>晚霜*7</t>
  </si>
  <si>
    <t>平方复配*2</t>
  </si>
  <si>
    <t>240粒</t>
  </si>
  <si>
    <t>辅酶*5</t>
  </si>
  <si>
    <t>骨配方*1</t>
  </si>
  <si>
    <t>180粒</t>
  </si>
  <si>
    <t>敷面膏*2</t>
  </si>
  <si>
    <t>舒纹精华*5</t>
  </si>
  <si>
    <t>磨砂膏*6</t>
  </si>
  <si>
    <t>紧肤水*5</t>
  </si>
  <si>
    <t>紧肤粉*5</t>
  </si>
  <si>
    <t>眼胶*3</t>
  </si>
  <si>
    <t>面胶*1</t>
  </si>
  <si>
    <t>眼胶*2</t>
  </si>
  <si>
    <t>补水面膜*7</t>
  </si>
  <si>
    <t>抗皱*3</t>
  </si>
  <si>
    <t>晚霜*2</t>
  </si>
  <si>
    <t>补水面膜*10</t>
  </si>
  <si>
    <t>抗皱*6</t>
  </si>
  <si>
    <t>抗皱*1</t>
  </si>
  <si>
    <t>晚霜*6</t>
  </si>
  <si>
    <t>塑料杯*6</t>
  </si>
  <si>
    <t>蓝莓素*5</t>
  </si>
  <si>
    <t>综合营养素*10</t>
  </si>
  <si>
    <t>舒缓神经胶囊*10</t>
  </si>
  <si>
    <t>呼吸系统胶囊*4</t>
  </si>
  <si>
    <t>多维*6</t>
  </si>
  <si>
    <t>IRONKIDS</t>
  </si>
  <si>
    <t>PLATINUM</t>
  </si>
  <si>
    <t>益生菌*16</t>
  </si>
  <si>
    <t>益生益*16</t>
  </si>
  <si>
    <t>护心胶囊*10</t>
  </si>
  <si>
    <t>粉胶*4</t>
  </si>
  <si>
    <t>金胶*2</t>
  </si>
  <si>
    <t>50ML*2</t>
  </si>
  <si>
    <t>爽肤水*3</t>
  </si>
  <si>
    <t>牙刷头*1</t>
  </si>
  <si>
    <t>PHILIPS</t>
  </si>
  <si>
    <t>5支</t>
  </si>
  <si>
    <t>鱼油*7</t>
  </si>
  <si>
    <t>咀嚼钙*1</t>
  </si>
  <si>
    <t>精华素*5</t>
  </si>
  <si>
    <t>青少年营养素*3</t>
  </si>
  <si>
    <t>鱼油*8</t>
  </si>
  <si>
    <t>健骨宁*2</t>
  </si>
  <si>
    <t>鞋子*1</t>
  </si>
  <si>
    <t>6码黑色</t>
  </si>
  <si>
    <t>粉饼*1</t>
  </si>
  <si>
    <t>化妆盒*2</t>
  </si>
  <si>
    <t>酵素*4</t>
  </si>
  <si>
    <t>心脏宝*6</t>
  </si>
  <si>
    <t>酵素*3</t>
  </si>
  <si>
    <t>男宝*3</t>
  </si>
  <si>
    <t>基本V*2</t>
  </si>
  <si>
    <t>基本M*2</t>
  </si>
  <si>
    <t>综合营养*2</t>
  </si>
  <si>
    <t>90粒</t>
  </si>
  <si>
    <t>健康包*3</t>
  </si>
  <si>
    <t>大蓝胶*3</t>
  </si>
  <si>
    <t>保湿喷雾*2</t>
  </si>
  <si>
    <t>益生菌*8</t>
  </si>
  <si>
    <t>粉水*3</t>
  </si>
  <si>
    <t>化妆包*1</t>
  </si>
  <si>
    <t>蓝珍珠*6</t>
  </si>
  <si>
    <t>蓝珍珠面霜*2</t>
  </si>
  <si>
    <t>脸胶*1</t>
  </si>
  <si>
    <t>导头*2</t>
  </si>
  <si>
    <t>葡萄籽精华*2</t>
  </si>
  <si>
    <t>葡萄籽*5</t>
  </si>
  <si>
    <t>眼霜*1</t>
  </si>
  <si>
    <t>口红套*2</t>
  </si>
  <si>
    <t>双萃*1</t>
  </si>
  <si>
    <t>红腰子*2</t>
  </si>
  <si>
    <t>SHISEIDO</t>
  </si>
  <si>
    <t>背心*1</t>
  </si>
  <si>
    <t>羽绒服*1</t>
  </si>
  <si>
    <t>汗巾*1</t>
  </si>
  <si>
    <t>背心*4</t>
  </si>
  <si>
    <t>清爽啫喱*3</t>
  </si>
  <si>
    <t>T恤*2</t>
  </si>
  <si>
    <t>发圈*1</t>
  </si>
  <si>
    <t>CHAMPION</t>
  </si>
  <si>
    <t>打底衫*1</t>
  </si>
  <si>
    <t>蓝水*1</t>
  </si>
  <si>
    <t>上衣*1</t>
  </si>
  <si>
    <t>TOMMY</t>
  </si>
  <si>
    <t>视力宝*1</t>
  </si>
  <si>
    <t>消化酵素*10</t>
  </si>
  <si>
    <t>蓝珍珠*4</t>
  </si>
  <si>
    <t>肌修精华*2</t>
  </si>
  <si>
    <t>咖啡*1</t>
  </si>
  <si>
    <t>ZAVIDA</t>
  </si>
  <si>
    <t>皮绳*1</t>
  </si>
  <si>
    <t>血压计*1</t>
  </si>
  <si>
    <t>妆前乳*1</t>
  </si>
  <si>
    <t>益生菌*10</t>
  </si>
  <si>
    <t>口腔益生菌*1</t>
  </si>
  <si>
    <t>粉底*3</t>
  </si>
  <si>
    <t>面霜套装*1</t>
  </si>
  <si>
    <t>CLINIQUE</t>
  </si>
  <si>
    <t>钥匙扣*1</t>
  </si>
  <si>
    <t>睫毛膏*2</t>
  </si>
  <si>
    <t>眉笔*1</t>
  </si>
  <si>
    <t>打底裤*8</t>
  </si>
  <si>
    <t>湿凝霜*1</t>
  </si>
  <si>
    <t>洁面啫喱*1</t>
  </si>
  <si>
    <t>蛋白粉*3</t>
  </si>
  <si>
    <t>儿童服装*4</t>
  </si>
  <si>
    <t>JUSTICE</t>
  </si>
  <si>
    <t>童鞋*1</t>
  </si>
  <si>
    <t>VANS</t>
  </si>
  <si>
    <t>防晒*3</t>
  </si>
  <si>
    <t>口红*3</t>
  </si>
  <si>
    <t>3G</t>
  </si>
  <si>
    <t>唇釉*3</t>
  </si>
  <si>
    <t>打底膏*3</t>
  </si>
  <si>
    <t>锐知宝*2</t>
  </si>
  <si>
    <t>护肝片*1</t>
  </si>
  <si>
    <t>PURE-LE</t>
  </si>
  <si>
    <t>200粒</t>
  </si>
  <si>
    <t>SPA机*1</t>
  </si>
  <si>
    <t>舒纹精华精华*1</t>
  </si>
  <si>
    <t>头发精华*1</t>
  </si>
  <si>
    <t>肝宝*7</t>
  </si>
  <si>
    <t>视力宝*6</t>
  </si>
  <si>
    <t>活力奥米加*7</t>
  </si>
  <si>
    <t>粉胶*2</t>
  </si>
  <si>
    <t>袜子*4</t>
  </si>
  <si>
    <t>天鹅*1</t>
  </si>
  <si>
    <t>洁面*1</t>
  </si>
  <si>
    <t>洁面小样*1</t>
  </si>
  <si>
    <t>7粒</t>
  </si>
  <si>
    <t>化妆水*2</t>
  </si>
  <si>
    <t>面霜小样*5</t>
  </si>
  <si>
    <t>化妆水*3</t>
  </si>
  <si>
    <t>手包*</t>
  </si>
  <si>
    <t>男宝*1</t>
  </si>
  <si>
    <t>眼配方*3</t>
  </si>
  <si>
    <t>30包</t>
  </si>
  <si>
    <t>舒宝*1</t>
  </si>
  <si>
    <t>视力宝*5</t>
  </si>
  <si>
    <t>蛋白粉*4</t>
  </si>
  <si>
    <t>消化酵素*2</t>
  </si>
  <si>
    <t>代餐1</t>
  </si>
  <si>
    <t>336G</t>
  </si>
  <si>
    <t>80G</t>
  </si>
  <si>
    <t>锐智宝*3</t>
  </si>
  <si>
    <t>安睡宝*5</t>
  </si>
  <si>
    <t>蛋白粉*2</t>
  </si>
  <si>
    <t>代餐*2</t>
  </si>
  <si>
    <t>儿童营养*2</t>
  </si>
  <si>
    <t>锐知宝*1</t>
  </si>
  <si>
    <t>女宝*1</t>
  </si>
  <si>
    <t>粉水*6</t>
  </si>
  <si>
    <t>眠宁素*4</t>
  </si>
  <si>
    <t>痔疮膏*14</t>
  </si>
  <si>
    <t>ANUSOL</t>
  </si>
  <si>
    <t>褪黑素*4</t>
  </si>
  <si>
    <t>WEBBER</t>
  </si>
  <si>
    <t>卸妆小样*2</t>
  </si>
  <si>
    <t>睫毛小样*4</t>
  </si>
  <si>
    <t>口红小样*2</t>
  </si>
  <si>
    <t>眼影小样*1</t>
  </si>
  <si>
    <t>颈霜*4</t>
  </si>
  <si>
    <t>钙*3</t>
  </si>
  <si>
    <t>维生素D*3</t>
  </si>
  <si>
    <t>湿凝霜*2</t>
  </si>
  <si>
    <t>滋润补湿霜*6</t>
  </si>
  <si>
    <t>修护晚霜*1</t>
  </si>
  <si>
    <t>面胶*4</t>
  </si>
  <si>
    <t>面胶*2</t>
  </si>
  <si>
    <t>巧克力代餐*2</t>
  </si>
  <si>
    <t>保列健*1</t>
  </si>
  <si>
    <t>辅酶*10</t>
  </si>
  <si>
    <t>小样精华*1</t>
  </si>
  <si>
    <t>粉底液*2</t>
  </si>
  <si>
    <t>125ML</t>
  </si>
  <si>
    <t>1.8ML</t>
  </si>
  <si>
    <t>健骼宁*6</t>
  </si>
  <si>
    <t>维C*5</t>
  </si>
  <si>
    <t>纤维素*3</t>
  </si>
  <si>
    <t>健骨宁*10</t>
  </si>
  <si>
    <t>锐知宝*4</t>
  </si>
  <si>
    <t>洗发水*2</t>
  </si>
  <si>
    <t>补水面膜*3</t>
  </si>
  <si>
    <t>脏力宝*2</t>
  </si>
  <si>
    <t>115ML</t>
  </si>
  <si>
    <t>防晒*2</t>
  </si>
  <si>
    <t>眠宁素*6</t>
  </si>
  <si>
    <t>蛋白质粉*1</t>
  </si>
  <si>
    <t>564G</t>
  </si>
  <si>
    <t>双肩包*1</t>
  </si>
  <si>
    <t>背心*3</t>
  </si>
  <si>
    <t>蓝莓素*3</t>
  </si>
  <si>
    <t>综合营养素*2</t>
  </si>
  <si>
    <t>蓝莓胶囊*5</t>
  </si>
  <si>
    <t>BILL</t>
  </si>
  <si>
    <t>AS</t>
  </si>
  <si>
    <t>卫生巾*1</t>
  </si>
  <si>
    <t>ALWAYS</t>
  </si>
  <si>
    <t>妇康宝*8</t>
  </si>
  <si>
    <t>面膜*5</t>
  </si>
  <si>
    <t>25ML*8</t>
  </si>
  <si>
    <t>洗手液*1</t>
  </si>
  <si>
    <t>长青配方*3</t>
  </si>
  <si>
    <t>肌修精华*1</t>
  </si>
  <si>
    <t>小样面霜*3</t>
  </si>
  <si>
    <t>眼霜*4</t>
  </si>
  <si>
    <t>小样睫毛膏*6</t>
  </si>
  <si>
    <t>28条</t>
  </si>
  <si>
    <t>牙膏*1</t>
  </si>
  <si>
    <t>113G</t>
  </si>
  <si>
    <t>细胞营养素*2</t>
  </si>
  <si>
    <t>心宝*9</t>
  </si>
  <si>
    <t>鱼油*6</t>
  </si>
  <si>
    <t>粉底*4</t>
  </si>
  <si>
    <t>内衣*2</t>
  </si>
  <si>
    <t>护足霜*1</t>
  </si>
  <si>
    <t>BAYER</t>
  </si>
  <si>
    <t>90G+270G</t>
  </si>
  <si>
    <t>Dermal Therapy</t>
  </si>
  <si>
    <t>90G</t>
  </si>
  <si>
    <t>精华*10</t>
  </si>
  <si>
    <t>面霜*5</t>
  </si>
  <si>
    <t>蜗牛霜*2</t>
  </si>
  <si>
    <t>孕妇营养素*10</t>
  </si>
  <si>
    <t>精华素*2</t>
  </si>
  <si>
    <t>洗面奶*2</t>
  </si>
  <si>
    <t>面膜*2</t>
  </si>
  <si>
    <t>粉胶*5</t>
  </si>
  <si>
    <t>钙镁片*10</t>
  </si>
  <si>
    <t>心脏宝*8</t>
  </si>
  <si>
    <t>卸妆液*1</t>
  </si>
  <si>
    <t>FRESCELL</t>
  </si>
  <si>
    <t>洁面摩丝*1</t>
  </si>
  <si>
    <t>面部精华*1</t>
  </si>
  <si>
    <t>消化酵素*3</t>
  </si>
  <si>
    <t>妇康宁*6</t>
  </si>
  <si>
    <t>儿童服装*3</t>
  </si>
  <si>
    <t>OSHKOSH</t>
  </si>
  <si>
    <t>雌青舒*3</t>
  </si>
  <si>
    <t>眼部精华*3</t>
  </si>
  <si>
    <t>小样精华*10</t>
  </si>
  <si>
    <t>内衣*8</t>
  </si>
  <si>
    <t>VS</t>
  </si>
  <si>
    <t>内衣*3</t>
  </si>
  <si>
    <t>唇釉*4</t>
  </si>
  <si>
    <t>口红*4</t>
  </si>
  <si>
    <t>打底膏*4</t>
  </si>
  <si>
    <t>小样*4</t>
  </si>
  <si>
    <t>葡萄籽精华*3</t>
  </si>
  <si>
    <t>气垫粉底*1</t>
  </si>
  <si>
    <t>ARMANI</t>
  </si>
  <si>
    <t>去皱精华*1</t>
  </si>
  <si>
    <t>25ML</t>
  </si>
  <si>
    <t>FARMACY</t>
  </si>
  <si>
    <t>117G</t>
  </si>
  <si>
    <t>船袜*3</t>
  </si>
  <si>
    <t>棕瓶*4</t>
  </si>
  <si>
    <t>高保湿*2</t>
  </si>
  <si>
    <t>文胸*2</t>
  </si>
  <si>
    <t>VICTORIA'S SECRET</t>
  </si>
  <si>
    <t>眼霜小样*1</t>
  </si>
  <si>
    <t>睫毛膏小样*1</t>
  </si>
  <si>
    <t>2ML</t>
  </si>
  <si>
    <t>10ML</t>
  </si>
  <si>
    <t>面膜小样*1</t>
  </si>
  <si>
    <t>ORIGINS</t>
  </si>
  <si>
    <t>赠品包*1</t>
  </si>
  <si>
    <t>睡衣*1</t>
  </si>
  <si>
    <t>BEAHBODY</t>
  </si>
  <si>
    <t>发油小样*4</t>
  </si>
  <si>
    <t>MOROCO</t>
  </si>
  <si>
    <t>化妆刷*1</t>
  </si>
  <si>
    <t>闪粉*1</t>
  </si>
  <si>
    <t>ARTIST COUTURE</t>
  </si>
  <si>
    <t>腮红*1</t>
  </si>
  <si>
    <t>遮瑕膏*1</t>
  </si>
  <si>
    <t>FENTY BEAUTY</t>
  </si>
  <si>
    <t>乳液赠品*1</t>
  </si>
  <si>
    <t>草本氨基酸*4</t>
  </si>
  <si>
    <t>复合粉*1</t>
  </si>
  <si>
    <t>8片</t>
  </si>
  <si>
    <t>纤维粉*1</t>
  </si>
  <si>
    <t>胶囊*2</t>
  </si>
  <si>
    <t>冲剂饮料*1</t>
  </si>
  <si>
    <t>安睡宝*3</t>
  </si>
  <si>
    <t>男宝*4</t>
  </si>
  <si>
    <t>基本维生素*3</t>
  </si>
  <si>
    <t>男宝*2</t>
  </si>
  <si>
    <t>口腔益生菌*4</t>
  </si>
  <si>
    <t>关节灵*1</t>
  </si>
  <si>
    <t>粉水*2</t>
  </si>
  <si>
    <t>蓝水*3</t>
  </si>
  <si>
    <t>汽车香水*2</t>
  </si>
  <si>
    <t>睫毛小样*6</t>
  </si>
  <si>
    <t>口红小样*5</t>
  </si>
  <si>
    <t>卸妆小样*4</t>
  </si>
  <si>
    <t>香水*2</t>
  </si>
  <si>
    <t>4ML</t>
  </si>
  <si>
    <t>维生素C*2</t>
  </si>
  <si>
    <t>剃须刀5系</t>
  </si>
  <si>
    <t>眼胶*5</t>
  </si>
  <si>
    <t>面霜三件套*2</t>
  </si>
  <si>
    <t>防晒膏*1</t>
  </si>
  <si>
    <t>THINKBABY</t>
  </si>
  <si>
    <t>89ML</t>
  </si>
  <si>
    <t>NUTRIPUR</t>
  </si>
  <si>
    <t>紫草膏*2</t>
  </si>
  <si>
    <t>BURT'S BEES</t>
  </si>
  <si>
    <t>15G</t>
  </si>
  <si>
    <t>益生益*1</t>
  </si>
  <si>
    <t>NATURE'S WAY</t>
  </si>
  <si>
    <t>维C*3</t>
  </si>
  <si>
    <t>JAMIESON</t>
  </si>
  <si>
    <t>1000MG</t>
  </si>
  <si>
    <t>维C*1</t>
  </si>
  <si>
    <t>SISU</t>
  </si>
  <si>
    <t>痛风灵*10</t>
  </si>
  <si>
    <t>ORGANIKA</t>
  </si>
  <si>
    <t>150粒</t>
  </si>
  <si>
    <t>蜂胶*6</t>
  </si>
  <si>
    <t>鱼油*9</t>
  </si>
  <si>
    <t>小样精华*6</t>
  </si>
  <si>
    <t>40ML</t>
  </si>
  <si>
    <t>6ML</t>
  </si>
  <si>
    <t>唇釉*1</t>
  </si>
  <si>
    <t>卸妆水*1</t>
  </si>
  <si>
    <t>GLAMGLOW</t>
  </si>
  <si>
    <t>50ML+10ML+10ML</t>
  </si>
  <si>
    <t>基本营养素*8</t>
  </si>
  <si>
    <t>精华素*6</t>
  </si>
  <si>
    <t>健骼宁*5</t>
  </si>
  <si>
    <t>心宝*6</t>
  </si>
  <si>
    <t>前列宝*3</t>
  </si>
  <si>
    <t>邮差包*1</t>
  </si>
  <si>
    <t>消化酵素*1</t>
  </si>
  <si>
    <t>FRESH</t>
  </si>
  <si>
    <t>摇摇杯*1</t>
  </si>
  <si>
    <t>综合营养素*4</t>
  </si>
  <si>
    <t>磁力面膜*2</t>
  </si>
  <si>
    <t>喷雾*2</t>
  </si>
  <si>
    <t>心脏宝*5</t>
  </si>
  <si>
    <t>20G</t>
  </si>
  <si>
    <t>上衣*2</t>
  </si>
  <si>
    <t>灰色8码</t>
  </si>
  <si>
    <t>妇康宁*3</t>
  </si>
  <si>
    <t>多维*2</t>
  </si>
  <si>
    <t>矿物质*2</t>
  </si>
  <si>
    <t>24ML*5</t>
  </si>
  <si>
    <t>维生素胶囊*2</t>
  </si>
  <si>
    <t>洗发水*3</t>
  </si>
  <si>
    <t>钙片*5</t>
  </si>
  <si>
    <t>肌修*1</t>
  </si>
  <si>
    <t>小样口红*1</t>
  </si>
  <si>
    <t>8ML</t>
  </si>
  <si>
    <t>小项链*2</t>
  </si>
  <si>
    <t>小样面霜*4</t>
  </si>
  <si>
    <t>小样精华*8</t>
  </si>
  <si>
    <t>内裤*1</t>
  </si>
  <si>
    <t>心宝*10</t>
  </si>
  <si>
    <t>关节灵*3</t>
  </si>
  <si>
    <t>消化酶*2</t>
  </si>
  <si>
    <t>精华小样*2</t>
  </si>
  <si>
    <t>1.5ML</t>
  </si>
  <si>
    <t>小隔离*6</t>
  </si>
  <si>
    <t>眼影*1</t>
  </si>
  <si>
    <t>高光*1</t>
  </si>
  <si>
    <t>芦荟*6</t>
  </si>
  <si>
    <t>沐浴露*1</t>
  </si>
  <si>
    <t>AVEENO</t>
  </si>
  <si>
    <t>UNDER ARMOUR</t>
  </si>
  <si>
    <t>帽子*1</t>
  </si>
  <si>
    <t>日霜*2</t>
  </si>
  <si>
    <t>5张</t>
  </si>
  <si>
    <t>打底膏*1</t>
  </si>
  <si>
    <t>唇釉*5</t>
  </si>
  <si>
    <t>基本营养素*1</t>
  </si>
  <si>
    <t>打底裤*3</t>
  </si>
  <si>
    <t>绿茶精*1</t>
  </si>
  <si>
    <t>心宝*5</t>
  </si>
  <si>
    <t>乳霜*1</t>
  </si>
  <si>
    <t>褪黑素*6</t>
  </si>
  <si>
    <t>小项链*1</t>
  </si>
  <si>
    <t>手链*1</t>
  </si>
  <si>
    <t>唇膏*1</t>
  </si>
  <si>
    <t>面霜小样*4</t>
  </si>
  <si>
    <t>化妆水*1</t>
  </si>
  <si>
    <t>SHOPPERS</t>
  </si>
  <si>
    <t>香水小样*1</t>
  </si>
  <si>
    <t>DIOR</t>
  </si>
  <si>
    <t>手包*1</t>
  </si>
  <si>
    <t>护手霜小样*1</t>
  </si>
  <si>
    <t>维生素B族*2</t>
  </si>
  <si>
    <t>综合营养素*6</t>
  </si>
  <si>
    <t>口罩*2</t>
  </si>
  <si>
    <t>MASKS</t>
  </si>
  <si>
    <t>10个</t>
  </si>
  <si>
    <t>大豆蛋白奶昔*1</t>
  </si>
  <si>
    <t>9769116599297</t>
  </si>
  <si>
    <t>sc20200033613</t>
  </si>
  <si>
    <t>谈琳</t>
  </si>
  <si>
    <t>310225198901143429</t>
  </si>
  <si>
    <t>面膜*3</t>
  </si>
  <si>
    <t>32ML</t>
  </si>
  <si>
    <t>代餐*1</t>
  </si>
  <si>
    <t>防晒套盒*6</t>
  </si>
  <si>
    <t>香水*1</t>
  </si>
  <si>
    <t>膏药*7</t>
  </si>
  <si>
    <t>SALONPAS</t>
  </si>
  <si>
    <t>护手*3</t>
  </si>
  <si>
    <t>洁面*2</t>
  </si>
  <si>
    <t>黄油*2</t>
  </si>
  <si>
    <t>小包*2</t>
  </si>
  <si>
    <t>锐智宝*2</t>
  </si>
  <si>
    <t>眠宁素*3</t>
  </si>
  <si>
    <t>儿童鱼油*4</t>
  </si>
  <si>
    <t>14粒</t>
  </si>
  <si>
    <t>钙*4</t>
  </si>
  <si>
    <t>骨骼宁*6</t>
  </si>
  <si>
    <t>基本营养素*10</t>
  </si>
  <si>
    <t>睫毛膏*1</t>
  </si>
  <si>
    <t>粉底刷*1</t>
  </si>
  <si>
    <t>BOBBI BROWN</t>
  </si>
  <si>
    <t>32°HEAT</t>
  </si>
  <si>
    <t>S码</t>
  </si>
  <si>
    <t>妆前乳*2</t>
  </si>
  <si>
    <t>小天鹅*1</t>
  </si>
  <si>
    <t>粉底*1</t>
  </si>
  <si>
    <t>维C粉*1</t>
  </si>
  <si>
    <t>Emergen-C</t>
  </si>
  <si>
    <t>面霜小样*7</t>
  </si>
  <si>
    <t>18ML</t>
  </si>
  <si>
    <t>T恤*4</t>
  </si>
  <si>
    <t>XL</t>
  </si>
  <si>
    <t>睡衣*</t>
  </si>
  <si>
    <t>长袖*1</t>
  </si>
  <si>
    <t>妇康宁*4</t>
  </si>
  <si>
    <t>润肤乳*1</t>
  </si>
  <si>
    <t>面霜*4</t>
  </si>
  <si>
    <t>眼胶*1</t>
  </si>
  <si>
    <t>牙疼灵*2</t>
  </si>
  <si>
    <t>30支</t>
  </si>
  <si>
    <t>舒肝宝*4</t>
  </si>
  <si>
    <t>眠宁素*5</t>
  </si>
  <si>
    <t>定制包*1</t>
  </si>
  <si>
    <t>防晒霜*2</t>
  </si>
  <si>
    <t>太阳镜*3</t>
  </si>
  <si>
    <t>飞蓝+飞紫+雅黑</t>
  </si>
  <si>
    <t>偏光镜*3</t>
  </si>
  <si>
    <t>雅黑+海黑+海蓝</t>
  </si>
  <si>
    <t>面霜三件套*3</t>
  </si>
</sst>
</file>

<file path=xl/styles.xml><?xml version="1.0" encoding="utf-8"?>
<styleSheet xmlns="http://schemas.openxmlformats.org/spreadsheetml/2006/main">
  <numFmts count="7">
    <numFmt numFmtId="177" formatCode="&quot;￥&quot;#,##0.00;&quot;￥&quot;\-#,##0.00"/>
    <numFmt numFmtId="179" formatCode="0_ "/>
    <numFmt numFmtId="180" formatCode="&quot;￥&quot;#,##0.00_);[Red]\(&quot;￥&quot;#,##0.00\)"/>
    <numFmt numFmtId="181" formatCode="0_);[Red]\(0\)"/>
    <numFmt numFmtId="182" formatCode="0.00_ "/>
    <numFmt numFmtId="184" formatCode="#,##0.00;[Red]#,##0.00"/>
    <numFmt numFmtId="186" formatCode="&quot;￥&quot;#,##0.00;[Red]&quot;￥&quot;#,##0.00"/>
  </numFmts>
  <fonts count="48">
    <font>
      <sz val="11"/>
      <color theme="1"/>
      <name val="宋体"/>
      <charset val="134"/>
      <scheme val="minor"/>
    </font>
    <font>
      <sz val="11"/>
      <color theme="1"/>
      <name val="宋体"/>
      <charset val="134"/>
    </font>
    <font>
      <sz val="11"/>
      <color rgb="FFFF0000"/>
      <name val="宋体"/>
      <family val="2"/>
      <scheme val="minor"/>
    </font>
    <font>
      <sz val="12"/>
      <color theme="1"/>
      <name val="宋体"/>
      <charset val="134"/>
    </font>
    <font>
      <sz val="12"/>
      <name val="Calibri"/>
      <family val="2"/>
    </font>
    <font>
      <sz val="12"/>
      <color rgb="FF000000"/>
      <name val="Calibri"/>
      <family val="2"/>
    </font>
    <font>
      <sz val="12"/>
      <color theme="1"/>
      <name val="Calibri"/>
      <family val="2"/>
    </font>
    <font>
      <sz val="11"/>
      <color rgb="FF000000"/>
      <name val="Calibri"/>
      <family val="2"/>
    </font>
    <font>
      <sz val="11"/>
      <name val="宋体"/>
      <family val="2"/>
      <scheme val="minor"/>
    </font>
    <font>
      <b/>
      <sz val="9"/>
      <color theme="1"/>
      <name val="微软雅黑"/>
      <charset val="134"/>
    </font>
    <font>
      <sz val="9"/>
      <color theme="1"/>
      <name val="微软雅黑"/>
      <charset val="134"/>
    </font>
    <font>
      <sz val="12"/>
      <color indexed="8"/>
      <name val="Calibri"/>
      <family val="2"/>
    </font>
    <font>
      <sz val="12"/>
      <color rgb="FF000000"/>
      <name val="宋体"/>
      <charset val="134"/>
    </font>
    <font>
      <sz val="12"/>
      <color indexed="8"/>
      <name val="宋体"/>
      <charset val="134"/>
    </font>
    <font>
      <sz val="11"/>
      <color indexed="8"/>
      <name val="宋体"/>
      <charset val="134"/>
    </font>
    <font>
      <sz val="10"/>
      <color indexed="8"/>
      <name val="Arial"/>
      <family val="2"/>
    </font>
    <font>
      <sz val="11"/>
      <color theme="1"/>
      <name val="SimSun-ExtB"/>
      <charset val="134"/>
    </font>
    <font>
      <sz val="12"/>
      <color theme="1"/>
      <name val="SimSun-ExtB"/>
      <charset val="134"/>
    </font>
    <font>
      <b/>
      <sz val="12"/>
      <color indexed="10"/>
      <name val="宋体"/>
      <charset val="134"/>
    </font>
    <font>
      <b/>
      <sz val="11"/>
      <color indexed="10"/>
      <name val="宋体"/>
      <family val="2"/>
      <scheme val="minor"/>
    </font>
    <font>
      <sz val="12"/>
      <name val="SimSun-ExtB"/>
      <charset val="134"/>
    </font>
    <font>
      <b/>
      <sz val="12"/>
      <color indexed="8"/>
      <name val="宋体"/>
      <charset val="134"/>
    </font>
    <font>
      <b/>
      <sz val="11"/>
      <color indexed="8"/>
      <name val="宋体"/>
      <family val="2"/>
      <scheme val="minor"/>
    </font>
    <font>
      <b/>
      <sz val="12"/>
      <color indexed="8"/>
      <name val="SimSun-ExtB"/>
      <charset val="134"/>
    </font>
    <font>
      <sz val="12"/>
      <color rgb="FF000000"/>
      <name val="Heiti SC Light"/>
      <family val="1"/>
    </font>
    <font>
      <sz val="12"/>
      <color rgb="FF000000"/>
      <name val="Arial"/>
      <family val="2"/>
    </font>
    <font>
      <sz val="12"/>
      <name val="宋体"/>
      <family val="2"/>
      <scheme val="minor"/>
    </font>
    <font>
      <b/>
      <sz val="12"/>
      <name val="宋体"/>
      <family val="3"/>
      <charset val="134"/>
    </font>
    <font>
      <b/>
      <sz val="12"/>
      <name val="Calibri"/>
      <family val="2"/>
    </font>
    <font>
      <sz val="11"/>
      <color rgb="FF000000"/>
      <name val="宋体"/>
      <family val="2"/>
      <scheme val="minor"/>
    </font>
    <font>
      <sz val="12"/>
      <name val="宋体"/>
      <family val="3"/>
      <charset val="134"/>
    </font>
    <font>
      <sz val="12"/>
      <name val="宋体"/>
      <family val="1"/>
      <scheme val="major"/>
    </font>
    <font>
      <sz val="10.5"/>
      <color theme="1"/>
      <name val="宋体"/>
      <family val="3"/>
      <charset val="134"/>
    </font>
    <font>
      <sz val="11"/>
      <name val="Arial"/>
      <family val="2"/>
    </font>
    <font>
      <sz val="12"/>
      <color theme="1"/>
      <name val="SimSun"/>
      <charset val="134"/>
    </font>
    <font>
      <sz val="14"/>
      <color theme="1"/>
      <name val="宋体"/>
      <family val="3"/>
      <charset val="134"/>
    </font>
    <font>
      <sz val="12"/>
      <color theme="1"/>
      <name val="宋体"/>
      <family val="2"/>
      <scheme val="minor"/>
    </font>
    <font>
      <sz val="11"/>
      <name val="돋움"/>
      <charset val="134"/>
    </font>
    <font>
      <sz val="10"/>
      <name val="Arial"/>
      <family val="2"/>
    </font>
    <font>
      <b/>
      <sz val="12"/>
      <color indexed="8"/>
      <name val="Calibri"/>
      <family val="2"/>
    </font>
    <font>
      <sz val="9"/>
      <name val="SimSun"/>
      <charset val="134"/>
    </font>
    <font>
      <b/>
      <sz val="9"/>
      <name val="SimSun"/>
      <charset val="134"/>
    </font>
    <font>
      <sz val="11"/>
      <color theme="1"/>
      <name val="宋体"/>
      <family val="3"/>
      <charset val="134"/>
      <scheme val="minor"/>
    </font>
    <font>
      <b/>
      <sz val="12"/>
      <color indexed="8"/>
      <name val="宋体"/>
      <family val="3"/>
      <charset val="134"/>
    </font>
    <font>
      <sz val="12"/>
      <color theme="1"/>
      <name val="宋体"/>
      <family val="3"/>
      <charset val="134"/>
    </font>
    <font>
      <sz val="12"/>
      <color rgb="FF000000"/>
      <name val="宋体"/>
      <family val="3"/>
      <charset val="134"/>
    </font>
    <font>
      <sz val="8"/>
      <color rgb="FF000000"/>
      <name val="Tahoma"/>
      <family val="2"/>
    </font>
    <font>
      <sz val="9"/>
      <name val="宋体"/>
      <family val="3"/>
      <charset val="134"/>
      <scheme val="minor"/>
    </font>
  </fonts>
  <fills count="13">
    <fill>
      <patternFill patternType="none"/>
    </fill>
    <fill>
      <patternFill patternType="gray125"/>
    </fill>
    <fill>
      <patternFill patternType="solid">
        <fgColor rgb="FFFFFF00"/>
        <bgColor indexed="64"/>
      </patternFill>
    </fill>
    <fill>
      <patternFill patternType="solid">
        <fgColor theme="9" tint="0.79982909634693444"/>
        <bgColor indexed="64"/>
      </patternFill>
    </fill>
    <fill>
      <patternFill patternType="solid">
        <fgColor rgb="FF92D050"/>
        <bgColor indexed="64"/>
      </patternFill>
    </fill>
    <fill>
      <patternFill patternType="solid">
        <fgColor rgb="FF00B0F0"/>
        <bgColor indexed="64"/>
      </patternFill>
    </fill>
    <fill>
      <patternFill patternType="solid">
        <fgColor theme="9" tint="0.39982299264503923"/>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indexed="22"/>
        <bgColor indexed="0"/>
      </patternFill>
    </fill>
    <fill>
      <patternFill patternType="solid">
        <fgColor theme="0"/>
        <bgColor indexed="64"/>
      </patternFill>
    </fill>
    <fill>
      <patternFill patternType="solid">
        <fgColor theme="0"/>
        <bgColor indexed="0"/>
      </patternFill>
    </fill>
    <fill>
      <patternFill patternType="solid">
        <fgColor rgb="FFFFFF00"/>
        <bgColor indexed="0"/>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s>
  <cellStyleXfs count="10">
    <xf numFmtId="0" fontId="0" fillId="0" borderId="0"/>
    <xf numFmtId="0" fontId="14" fillId="0" borderId="0">
      <alignment vertical="center"/>
    </xf>
    <xf numFmtId="0" fontId="42" fillId="0" borderId="0"/>
    <xf numFmtId="0" fontId="37" fillId="0" borderId="0"/>
    <xf numFmtId="0" fontId="14" fillId="0" borderId="0">
      <alignment vertical="center"/>
    </xf>
    <xf numFmtId="0" fontId="30" fillId="0" borderId="0"/>
    <xf numFmtId="0" fontId="42" fillId="0" borderId="0"/>
    <xf numFmtId="0" fontId="30" fillId="0" borderId="0">
      <alignment vertical="center"/>
    </xf>
    <xf numFmtId="0" fontId="11" fillId="0" borderId="0">
      <alignment vertical="center"/>
    </xf>
    <xf numFmtId="0" fontId="38" fillId="0" borderId="0"/>
  </cellStyleXfs>
  <cellXfs count="244">
    <xf numFmtId="0" fontId="0" fillId="0" borderId="0" xfId="0"/>
    <xf numFmtId="0" fontId="0" fillId="0" borderId="0" xfId="0" applyBorder="1"/>
    <xf numFmtId="0" fontId="0" fillId="0" borderId="0" xfId="0" applyBorder="1" applyAlignment="1">
      <alignment horizontal="left" vertical="top"/>
    </xf>
    <xf numFmtId="0" fontId="0" fillId="0" borderId="0" xfId="0" applyFont="1" applyAlignment="1">
      <alignment horizontal="center" vertical="center"/>
    </xf>
    <xf numFmtId="0" fontId="1" fillId="2" borderId="0" xfId="0" applyFont="1" applyFill="1" applyBorder="1" applyAlignment="1">
      <alignment vertical="center"/>
    </xf>
    <xf numFmtId="0" fontId="1" fillId="2" borderId="0" xfId="0" applyFont="1" applyFill="1" applyBorder="1" applyAlignment="1">
      <alignment horizontal="left" vertical="center"/>
    </xf>
    <xf numFmtId="0" fontId="1" fillId="0" borderId="0" xfId="0" applyFont="1" applyFill="1" applyBorder="1" applyAlignment="1">
      <alignment vertical="center"/>
    </xf>
    <xf numFmtId="49" fontId="1" fillId="0" borderId="0" xfId="0" applyNumberFormat="1" applyFont="1" applyBorder="1" applyAlignment="1">
      <alignment vertical="center"/>
    </xf>
    <xf numFmtId="0" fontId="1" fillId="2" borderId="0" xfId="0" applyFont="1" applyFill="1" applyBorder="1" applyAlignment="1">
      <alignment horizontal="center" vertical="center"/>
    </xf>
    <xf numFmtId="49" fontId="1" fillId="2" borderId="0" xfId="0" applyNumberFormat="1" applyFont="1" applyFill="1" applyBorder="1" applyAlignment="1">
      <alignment horizontal="center"/>
    </xf>
    <xf numFmtId="0" fontId="1" fillId="0" borderId="0" xfId="0" applyFont="1" applyBorder="1" applyAlignment="1">
      <alignment vertical="center"/>
    </xf>
    <xf numFmtId="0" fontId="2" fillId="0" borderId="0" xfId="0" applyFont="1" applyFill="1" applyAlignment="1">
      <alignment horizontal="center" vertical="center"/>
    </xf>
    <xf numFmtId="0" fontId="2" fillId="0" borderId="0" xfId="0" applyFont="1" applyAlignment="1">
      <alignment horizontal="center" vertical="center"/>
    </xf>
    <xf numFmtId="0" fontId="3" fillId="2" borderId="0" xfId="0" applyFont="1" applyFill="1" applyBorder="1" applyAlignment="1">
      <alignment vertical="center"/>
    </xf>
    <xf numFmtId="0" fontId="0" fillId="2" borderId="0" xfId="0" applyFont="1" applyFill="1" applyAlignment="1">
      <alignment horizontal="left" vertical="center"/>
    </xf>
    <xf numFmtId="0" fontId="0" fillId="0" borderId="0" xfId="0" applyFill="1" applyBorder="1" applyAlignment="1">
      <alignment horizontal="left" vertical="top"/>
    </xf>
    <xf numFmtId="0" fontId="0" fillId="0" borderId="1" xfId="0" applyFont="1" applyBorder="1" applyAlignment="1">
      <alignment horizontal="left"/>
    </xf>
    <xf numFmtId="0" fontId="0" fillId="0" borderId="1" xfId="0" applyFill="1" applyBorder="1" applyAlignment="1">
      <alignment horizontal="left" vertical="top"/>
    </xf>
    <xf numFmtId="0" fontId="4" fillId="0" borderId="0" xfId="0" applyFont="1" applyFill="1" applyBorder="1" applyAlignment="1">
      <alignment horizontal="left"/>
    </xf>
    <xf numFmtId="0" fontId="5" fillId="0" borderId="0" xfId="0" applyFont="1" applyFill="1" applyBorder="1" applyAlignment="1">
      <alignment horizontal="left" vertical="top"/>
    </xf>
    <xf numFmtId="181" fontId="0" fillId="0" borderId="0" xfId="0" applyNumberFormat="1" applyFill="1" applyBorder="1" applyAlignment="1">
      <alignment vertical="center"/>
    </xf>
    <xf numFmtId="181" fontId="0" fillId="0" borderId="0" xfId="0" applyNumberFormat="1" applyFont="1" applyFill="1" applyBorder="1" applyAlignment="1">
      <alignment vertical="center"/>
    </xf>
    <xf numFmtId="0" fontId="0" fillId="0" borderId="0" xfId="0" applyFont="1" applyFill="1" applyBorder="1" applyAlignment="1">
      <alignment horizontal="left" vertical="top"/>
    </xf>
    <xf numFmtId="0" fontId="6" fillId="0" borderId="0" xfId="0" applyFont="1" applyFill="1" applyBorder="1" applyAlignment="1">
      <alignment horizontal="left"/>
    </xf>
    <xf numFmtId="0" fontId="6" fillId="0" borderId="0" xfId="0" applyFont="1" applyBorder="1" applyAlignment="1">
      <alignment horizontal="left"/>
    </xf>
    <xf numFmtId="0" fontId="7" fillId="0" borderId="0" xfId="0" applyFont="1" applyFill="1" applyAlignment="1">
      <alignment horizontal="left" vertical="top"/>
    </xf>
    <xf numFmtId="0" fontId="8" fillId="0" borderId="0" xfId="0" applyFont="1" applyBorder="1" applyAlignment="1"/>
    <xf numFmtId="0" fontId="7" fillId="0" borderId="0" xfId="0" applyFont="1" applyBorder="1" applyAlignment="1">
      <alignment horizontal="left" vertical="top"/>
    </xf>
    <xf numFmtId="0" fontId="0" fillId="0" borderId="0" xfId="0" applyBorder="1" applyAlignment="1"/>
    <xf numFmtId="0" fontId="4" fillId="0" borderId="0" xfId="0" applyFont="1" applyBorder="1" applyAlignment="1">
      <alignment horizontal="left"/>
    </xf>
    <xf numFmtId="0" fontId="8" fillId="0" borderId="0" xfId="0" applyFont="1" applyFill="1" applyBorder="1" applyAlignment="1">
      <alignment horizontal="left" vertical="top"/>
    </xf>
    <xf numFmtId="0" fontId="0" fillId="0" borderId="0" xfId="0" applyFont="1" applyFill="1" applyAlignment="1"/>
    <xf numFmtId="0" fontId="0" fillId="0" borderId="0" xfId="0" applyFont="1" applyAlignment="1"/>
    <xf numFmtId="0" fontId="7" fillId="0" borderId="0" xfId="0" applyFont="1" applyFill="1" applyBorder="1" applyAlignment="1">
      <alignment horizontal="left" vertical="top"/>
    </xf>
    <xf numFmtId="0" fontId="0" fillId="0" borderId="1" xfId="0" applyBorder="1" applyAlignment="1"/>
    <xf numFmtId="0" fontId="8" fillId="0" borderId="1" xfId="0" applyFont="1" applyFill="1" applyBorder="1" applyAlignment="1">
      <alignment horizontal="left" vertical="top"/>
    </xf>
    <xf numFmtId="0" fontId="0" fillId="0" borderId="1" xfId="0" applyFont="1" applyFill="1" applyBorder="1" applyAlignment="1">
      <alignment horizontal="left" vertical="top"/>
    </xf>
    <xf numFmtId="0" fontId="6" fillId="0" borderId="1" xfId="0" applyFont="1" applyFill="1" applyBorder="1" applyAlignment="1">
      <alignment horizontal="left"/>
    </xf>
    <xf numFmtId="0" fontId="4" fillId="0" borderId="1" xfId="0" applyFont="1" applyBorder="1" applyAlignment="1">
      <alignment horizontal="left"/>
    </xf>
    <xf numFmtId="0" fontId="0" fillId="0" borderId="1" xfId="0" applyFont="1" applyBorder="1" applyAlignment="1"/>
    <xf numFmtId="0" fontId="0" fillId="2" borderId="0" xfId="0" applyFill="1" applyBorder="1"/>
    <xf numFmtId="0" fontId="0" fillId="0" borderId="0" xfId="0" applyFont="1"/>
    <xf numFmtId="0" fontId="0" fillId="0" borderId="0" xfId="0" applyBorder="1" applyAlignment="1">
      <alignment horizontal="center"/>
    </xf>
    <xf numFmtId="0" fontId="0" fillId="0" borderId="0" xfId="0" applyBorder="1" applyAlignment="1">
      <alignment vertical="center"/>
    </xf>
    <xf numFmtId="0" fontId="0" fillId="0" borderId="0" xfId="0" applyFill="1" applyBorder="1" applyAlignment="1">
      <alignment horizontal="center"/>
    </xf>
    <xf numFmtId="0" fontId="0" fillId="0" borderId="0" xfId="0" applyFill="1" applyBorder="1" applyAlignment="1">
      <alignment horizontal="left"/>
    </xf>
    <xf numFmtId="0" fontId="9" fillId="0" borderId="0" xfId="0" applyFont="1" applyBorder="1" applyAlignment="1" applyProtection="1">
      <alignment horizontal="center" vertical="center"/>
    </xf>
    <xf numFmtId="0" fontId="10" fillId="0" borderId="0" xfId="0" applyFont="1" applyBorder="1" applyAlignment="1" applyProtection="1">
      <alignment horizontal="center" vertical="center"/>
      <protection locked="0"/>
    </xf>
    <xf numFmtId="179" fontId="10" fillId="0" borderId="0" xfId="0" applyNumberFormat="1" applyFont="1" applyBorder="1" applyAlignment="1" applyProtection="1">
      <alignment horizontal="center" vertical="center"/>
      <protection locked="0"/>
    </xf>
    <xf numFmtId="0" fontId="10" fillId="0" borderId="1" xfId="0" applyFont="1" applyBorder="1" applyAlignment="1" applyProtection="1">
      <alignment horizontal="center" vertical="center"/>
      <protection locked="0"/>
    </xf>
    <xf numFmtId="186" fontId="10" fillId="0" borderId="0" xfId="0" applyNumberFormat="1" applyFont="1" applyBorder="1" applyAlignment="1" applyProtection="1">
      <alignment horizontal="center" vertical="center"/>
      <protection locked="0"/>
    </xf>
    <xf numFmtId="49" fontId="10" fillId="0" borderId="0" xfId="0" applyNumberFormat="1" applyFont="1" applyBorder="1" applyAlignment="1" applyProtection="1">
      <alignment horizontal="center" vertical="center"/>
      <protection locked="0"/>
    </xf>
    <xf numFmtId="177" fontId="10" fillId="0" borderId="0" xfId="0" applyNumberFormat="1" applyFont="1" applyBorder="1" applyAlignment="1" applyProtection="1">
      <alignment horizontal="center" vertical="center"/>
      <protection locked="0"/>
    </xf>
    <xf numFmtId="180" fontId="10" fillId="0" borderId="0" xfId="0" applyNumberFormat="1" applyFont="1" applyBorder="1" applyAlignment="1" applyProtection="1">
      <alignment horizontal="center" vertical="center"/>
      <protection locked="0"/>
    </xf>
    <xf numFmtId="0" fontId="9" fillId="3" borderId="0" xfId="0" applyFont="1" applyFill="1" applyBorder="1" applyAlignment="1" applyProtection="1">
      <alignment horizontal="center" vertical="center"/>
    </xf>
    <xf numFmtId="49" fontId="9" fillId="2" borderId="0" xfId="0" applyNumberFormat="1" applyFont="1" applyFill="1" applyBorder="1" applyAlignment="1" applyProtection="1">
      <alignment horizontal="center" vertical="center"/>
    </xf>
    <xf numFmtId="179" fontId="9" fillId="4" borderId="0" xfId="0" applyNumberFormat="1" applyFont="1" applyFill="1" applyBorder="1" applyAlignment="1" applyProtection="1">
      <alignment horizontal="center" vertical="center"/>
    </xf>
    <xf numFmtId="0" fontId="9" fillId="5" borderId="0" xfId="0" applyFont="1" applyFill="1" applyBorder="1" applyAlignment="1" applyProtection="1">
      <alignment horizontal="center" vertical="center"/>
    </xf>
    <xf numFmtId="0" fontId="11" fillId="0" borderId="0" xfId="0" applyFont="1" applyFill="1" applyBorder="1" applyAlignment="1">
      <alignment horizontal="left" vertical="top"/>
    </xf>
    <xf numFmtId="0" fontId="4" fillId="0" borderId="0" xfId="0" applyFont="1" applyFill="1" applyBorder="1" applyAlignment="1">
      <alignment horizontal="left" vertical="top"/>
    </xf>
    <xf numFmtId="181" fontId="0" fillId="0" borderId="0" xfId="0" applyNumberFormat="1" applyBorder="1" applyAlignment="1">
      <alignment vertical="center"/>
    </xf>
    <xf numFmtId="0" fontId="11" fillId="0" borderId="0" xfId="0" applyFont="1" applyBorder="1" applyAlignment="1">
      <alignment horizontal="left" vertical="top"/>
    </xf>
    <xf numFmtId="0" fontId="9" fillId="5" borderId="0" xfId="0" applyFont="1" applyFill="1" applyBorder="1" applyAlignment="1" applyProtection="1">
      <alignment horizontal="center" vertical="center" wrapText="1"/>
    </xf>
    <xf numFmtId="0" fontId="9" fillId="6" borderId="1" xfId="0" applyFont="1" applyFill="1" applyBorder="1" applyAlignment="1" applyProtection="1">
      <alignment horizontal="center" vertical="center"/>
    </xf>
    <xf numFmtId="0" fontId="9" fillId="6" borderId="1" xfId="0" applyFont="1" applyFill="1" applyBorder="1" applyAlignment="1" applyProtection="1">
      <alignment horizontal="center" vertical="center" wrapText="1"/>
    </xf>
    <xf numFmtId="0" fontId="9" fillId="6" borderId="0" xfId="0" applyFont="1" applyFill="1" applyBorder="1" applyAlignment="1" applyProtection="1">
      <alignment horizontal="center" vertical="center" wrapText="1"/>
    </xf>
    <xf numFmtId="49" fontId="9" fillId="6" borderId="0" xfId="0" applyNumberFormat="1" applyFont="1" applyFill="1" applyBorder="1" applyAlignment="1" applyProtection="1">
      <alignment horizontal="center" vertical="center"/>
    </xf>
    <xf numFmtId="0" fontId="12" fillId="2" borderId="1" xfId="0" applyFont="1" applyFill="1" applyBorder="1" applyAlignment="1">
      <alignment horizontal="left" vertical="top"/>
    </xf>
    <xf numFmtId="0" fontId="11" fillId="2" borderId="1" xfId="0" applyFont="1" applyFill="1" applyBorder="1" applyAlignment="1">
      <alignment horizontal="left" vertical="top"/>
    </xf>
    <xf numFmtId="0" fontId="13" fillId="2" borderId="1" xfId="0" applyFont="1" applyFill="1" applyBorder="1" applyAlignment="1">
      <alignment horizontal="left" vertical="top"/>
    </xf>
    <xf numFmtId="179" fontId="9" fillId="7" borderId="0" xfId="0" applyNumberFormat="1" applyFont="1" applyFill="1" applyBorder="1" applyAlignment="1" applyProtection="1">
      <alignment horizontal="center" vertical="center" wrapText="1"/>
    </xf>
    <xf numFmtId="186" fontId="9" fillId="7" borderId="0" xfId="0" applyNumberFormat="1"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xf>
    <xf numFmtId="49" fontId="9" fillId="8" borderId="0" xfId="0" applyNumberFormat="1" applyFont="1" applyFill="1" applyBorder="1" applyAlignment="1" applyProtection="1">
      <alignment horizontal="center" vertical="center" wrapText="1"/>
    </xf>
    <xf numFmtId="184" fontId="10" fillId="2" borderId="0" xfId="0" applyNumberFormat="1" applyFont="1" applyFill="1" applyBorder="1" applyAlignment="1" applyProtection="1">
      <alignment horizontal="center" vertical="center"/>
      <protection locked="0"/>
    </xf>
    <xf numFmtId="177" fontId="9" fillId="8" borderId="0" xfId="0" applyNumberFormat="1" applyFont="1" applyFill="1" applyBorder="1" applyAlignment="1" applyProtection="1">
      <alignment horizontal="center" vertical="center" wrapText="1"/>
    </xf>
    <xf numFmtId="180" fontId="9" fillId="8" borderId="0" xfId="0" applyNumberFormat="1" applyFont="1" applyFill="1" applyBorder="1" applyAlignment="1" applyProtection="1">
      <alignment horizontal="center" vertical="center" wrapText="1"/>
    </xf>
    <xf numFmtId="12" fontId="0" fillId="0" borderId="0" xfId="0" applyNumberFormat="1" applyBorder="1" applyAlignment="1">
      <alignment vertical="center"/>
    </xf>
    <xf numFmtId="0" fontId="0" fillId="2" borderId="0" xfId="0" applyFill="1" applyBorder="1" applyAlignment="1">
      <alignment vertical="center"/>
    </xf>
    <xf numFmtId="1" fontId="0" fillId="0" borderId="0" xfId="0" applyNumberFormat="1" applyFont="1" applyFill="1" applyBorder="1" applyAlignment="1">
      <alignment horizontal="left"/>
    </xf>
    <xf numFmtId="1" fontId="0" fillId="0" borderId="0" xfId="0" applyNumberFormat="1" applyBorder="1" applyAlignment="1">
      <alignment vertical="center"/>
    </xf>
    <xf numFmtId="0" fontId="0" fillId="2" borderId="1" xfId="0" applyFill="1" applyBorder="1" applyAlignment="1">
      <alignment vertical="center"/>
    </xf>
    <xf numFmtId="0" fontId="14" fillId="9" borderId="0" xfId="9" applyFont="1" applyFill="1" applyBorder="1" applyAlignment="1">
      <alignment horizontal="center"/>
    </xf>
    <xf numFmtId="1" fontId="15" fillId="0" borderId="0" xfId="2" applyNumberFormat="1" applyFont="1" applyBorder="1" applyAlignment="1">
      <alignment vertical="top"/>
    </xf>
    <xf numFmtId="0" fontId="14" fillId="10" borderId="0" xfId="9" applyFont="1" applyFill="1" applyBorder="1" applyAlignment="1">
      <alignment wrapText="1"/>
    </xf>
    <xf numFmtId="0" fontId="0" fillId="2" borderId="0" xfId="0" applyFont="1" applyFill="1" applyBorder="1" applyAlignment="1">
      <alignment vertical="center"/>
    </xf>
    <xf numFmtId="0" fontId="14" fillId="11" borderId="0" xfId="9" applyFont="1" applyFill="1" applyBorder="1" applyAlignment="1">
      <alignment horizontal="center"/>
    </xf>
    <xf numFmtId="0" fontId="0" fillId="2" borderId="1" xfId="0" applyFont="1" applyFill="1" applyBorder="1" applyAlignment="1">
      <alignment vertical="center"/>
    </xf>
    <xf numFmtId="0" fontId="14" fillId="12" borderId="0" xfId="9" applyFont="1" applyFill="1" applyBorder="1" applyAlignment="1">
      <alignment horizontal="center"/>
    </xf>
    <xf numFmtId="0" fontId="14" fillId="10" borderId="0" xfId="9" applyFont="1" applyFill="1" applyBorder="1" applyAlignment="1"/>
    <xf numFmtId="0" fontId="16" fillId="0" borderId="0" xfId="0" applyFont="1" applyFill="1" applyBorder="1" applyAlignment="1">
      <alignment horizontal="left" vertical="top"/>
    </xf>
    <xf numFmtId="0" fontId="0" fillId="10" borderId="0" xfId="0" applyFill="1" applyBorder="1" applyAlignment="1">
      <alignment horizontal="left" vertical="top"/>
    </xf>
    <xf numFmtId="0" fontId="17" fillId="0" borderId="0" xfId="0" applyFont="1" applyFill="1" applyBorder="1" applyAlignment="1">
      <alignment horizontal="left" vertical="top"/>
    </xf>
    <xf numFmtId="49" fontId="0" fillId="0" borderId="0" xfId="0" applyNumberFormat="1" applyFill="1" applyBorder="1" applyAlignment="1">
      <alignment horizontal="left" vertical="top"/>
    </xf>
    <xf numFmtId="0" fontId="18" fillId="0" borderId="0" xfId="0" applyFont="1" applyFill="1" applyBorder="1" applyAlignment="1">
      <alignment horizontal="left" vertical="top"/>
    </xf>
    <xf numFmtId="0" fontId="19" fillId="0" borderId="0" xfId="0" applyFont="1" applyFill="1" applyBorder="1" applyAlignment="1">
      <alignment horizontal="left" vertical="top"/>
    </xf>
    <xf numFmtId="2" fontId="0" fillId="0" borderId="0" xfId="0" applyNumberFormat="1" applyFill="1" applyBorder="1" applyAlignment="1">
      <alignment horizontal="left" vertical="top"/>
    </xf>
    <xf numFmtId="58" fontId="19" fillId="0" borderId="0" xfId="0" applyNumberFormat="1" applyFont="1" applyFill="1" applyBorder="1" applyAlignment="1">
      <alignment horizontal="left" vertical="top"/>
    </xf>
    <xf numFmtId="0" fontId="4" fillId="0" borderId="1" xfId="0" applyFont="1" applyFill="1" applyBorder="1" applyAlignment="1">
      <alignment horizontal="left" vertical="top"/>
    </xf>
    <xf numFmtId="0" fontId="20" fillId="0" borderId="1" xfId="0" applyFont="1" applyFill="1" applyBorder="1" applyAlignment="1">
      <alignment horizontal="left" vertical="top"/>
    </xf>
    <xf numFmtId="2" fontId="4" fillId="0" borderId="1" xfId="0" applyNumberFormat="1" applyFont="1" applyFill="1" applyBorder="1" applyAlignment="1">
      <alignment horizontal="left" vertical="top"/>
    </xf>
    <xf numFmtId="0" fontId="21" fillId="0" borderId="1" xfId="0" applyFont="1" applyFill="1" applyBorder="1" applyAlignment="1">
      <alignment horizontal="left" vertical="top"/>
    </xf>
    <xf numFmtId="0" fontId="22" fillId="0" borderId="1" xfId="0" applyFont="1" applyFill="1" applyBorder="1" applyAlignment="1">
      <alignment horizontal="left" vertical="top"/>
    </xf>
    <xf numFmtId="0" fontId="23" fillId="0" borderId="1" xfId="0" applyFont="1" applyFill="1" applyBorder="1" applyAlignment="1">
      <alignment horizontal="left" vertical="top"/>
    </xf>
    <xf numFmtId="2" fontId="21" fillId="0" borderId="1" xfId="0" applyNumberFormat="1" applyFont="1" applyFill="1" applyBorder="1" applyAlignment="1">
      <alignment horizontal="left" vertical="top"/>
    </xf>
    <xf numFmtId="0" fontId="0" fillId="0" borderId="0" xfId="0" applyFont="1" applyBorder="1" applyAlignment="1">
      <alignment horizontal="left" vertical="top"/>
    </xf>
    <xf numFmtId="0" fontId="6" fillId="0" borderId="1" xfId="0" applyFont="1" applyBorder="1" applyAlignment="1">
      <alignment horizontal="left"/>
    </xf>
    <xf numFmtId="182" fontId="6" fillId="0" borderId="1" xfId="0" applyNumberFormat="1" applyFont="1" applyBorder="1" applyAlignment="1">
      <alignment horizontal="left"/>
    </xf>
    <xf numFmtId="0" fontId="6" fillId="10" borderId="1" xfId="0" applyFont="1" applyFill="1" applyBorder="1" applyAlignment="1">
      <alignment horizontal="left"/>
    </xf>
    <xf numFmtId="0" fontId="3" fillId="0" borderId="1" xfId="0" applyFont="1" applyBorder="1" applyAlignment="1">
      <alignment horizontal="left"/>
    </xf>
    <xf numFmtId="182" fontId="4" fillId="0" borderId="1" xfId="0" applyNumberFormat="1" applyFont="1" applyFill="1" applyBorder="1" applyAlignment="1">
      <alignment horizontal="left"/>
    </xf>
    <xf numFmtId="0" fontId="24" fillId="0" borderId="1" xfId="0" applyFont="1" applyBorder="1" applyAlignment="1">
      <alignment horizontal="left"/>
    </xf>
    <xf numFmtId="0" fontId="25" fillId="0" borderId="1" xfId="0" applyFont="1" applyBorder="1" applyAlignment="1">
      <alignment horizontal="left"/>
    </xf>
    <xf numFmtId="0" fontId="6" fillId="0" borderId="1" xfId="0" applyFont="1" applyFill="1" applyBorder="1" applyAlignment="1">
      <alignment horizontal="left" vertical="top"/>
    </xf>
    <xf numFmtId="0" fontId="0" fillId="0" borderId="1" xfId="0" applyBorder="1" applyAlignment="1">
      <alignment horizontal="left"/>
    </xf>
    <xf numFmtId="182" fontId="6" fillId="0" borderId="1" xfId="0" applyNumberFormat="1" applyFont="1" applyFill="1" applyBorder="1" applyAlignment="1">
      <alignment horizontal="left"/>
    </xf>
    <xf numFmtId="0" fontId="3" fillId="0" borderId="1" xfId="0" applyFont="1" applyFill="1" applyBorder="1" applyAlignment="1">
      <alignment horizontal="left"/>
    </xf>
    <xf numFmtId="0" fontId="4" fillId="0" borderId="1" xfId="0" applyFont="1" applyFill="1" applyBorder="1" applyAlignment="1">
      <alignment horizontal="left"/>
    </xf>
    <xf numFmtId="0" fontId="26" fillId="0" borderId="0" xfId="0" applyFont="1" applyFill="1" applyBorder="1" applyAlignment="1">
      <alignment horizontal="left" vertical="top"/>
    </xf>
    <xf numFmtId="0" fontId="4" fillId="10" borderId="1" xfId="0" applyFont="1" applyFill="1" applyBorder="1" applyAlignment="1">
      <alignment horizontal="left" vertical="top" wrapText="1"/>
    </xf>
    <xf numFmtId="0" fontId="21" fillId="10" borderId="1" xfId="0" applyNumberFormat="1" applyFont="1" applyFill="1" applyBorder="1" applyAlignment="1">
      <alignment horizontal="left" vertical="top" wrapText="1"/>
    </xf>
    <xf numFmtId="0" fontId="0" fillId="4" borderId="1" xfId="0" applyFill="1" applyBorder="1" applyAlignment="1">
      <alignment vertical="center"/>
    </xf>
    <xf numFmtId="0" fontId="8" fillId="4" borderId="0" xfId="5" applyFont="1" applyFill="1"/>
    <xf numFmtId="0" fontId="4" fillId="4" borderId="1" xfId="5" applyNumberFormat="1" applyFont="1" applyFill="1" applyBorder="1" applyAlignment="1">
      <alignment horizontal="left" vertical="top"/>
    </xf>
    <xf numFmtId="0" fontId="4" fillId="4" borderId="0" xfId="5" applyFont="1" applyFill="1" applyBorder="1" applyAlignment="1">
      <alignment horizontal="left" vertical="center"/>
    </xf>
    <xf numFmtId="0" fontId="0" fillId="0" borderId="1" xfId="0" applyBorder="1"/>
    <xf numFmtId="0" fontId="0" fillId="4" borderId="0" xfId="0" applyFill="1" applyBorder="1" applyAlignment="1">
      <alignment vertical="center"/>
    </xf>
    <xf numFmtId="0" fontId="4" fillId="4" borderId="1" xfId="5" applyFont="1" applyFill="1" applyBorder="1" applyAlignment="1">
      <alignment horizontal="left" vertical="top"/>
    </xf>
    <xf numFmtId="0" fontId="4" fillId="4" borderId="1" xfId="5" applyFont="1" applyFill="1" applyBorder="1" applyAlignment="1">
      <alignment horizontal="left"/>
    </xf>
    <xf numFmtId="0" fontId="26" fillId="4" borderId="1" xfId="5" applyFont="1" applyFill="1" applyBorder="1" applyAlignment="1">
      <alignment horizontal="left" vertical="top"/>
    </xf>
    <xf numFmtId="0" fontId="4" fillId="4" borderId="0" xfId="5" applyFont="1" applyFill="1" applyBorder="1" applyAlignment="1">
      <alignment horizontal="left" vertical="top"/>
    </xf>
    <xf numFmtId="0" fontId="24" fillId="10" borderId="1" xfId="0" applyFont="1" applyFill="1" applyBorder="1" applyAlignment="1">
      <alignment horizontal="left"/>
    </xf>
    <xf numFmtId="0" fontId="24" fillId="0" borderId="1" xfId="0" applyFont="1" applyFill="1" applyBorder="1" applyAlignment="1">
      <alignment horizontal="left"/>
    </xf>
    <xf numFmtId="0" fontId="4" fillId="4" borderId="1" xfId="5" applyFont="1" applyFill="1" applyBorder="1" applyAlignment="1">
      <alignment horizontal="left" vertical="center"/>
    </xf>
    <xf numFmtId="0" fontId="29" fillId="0" borderId="1" xfId="0" applyFont="1" applyBorder="1" applyAlignment="1">
      <alignment horizontal="left" vertical="top"/>
    </xf>
    <xf numFmtId="0" fontId="12" fillId="0" borderId="1" xfId="0" applyNumberFormat="1" applyFont="1" applyFill="1" applyBorder="1" applyAlignment="1">
      <alignment horizontal="left"/>
    </xf>
    <xf numFmtId="0" fontId="3" fillId="10" borderId="1" xfId="0" applyFont="1" applyFill="1" applyBorder="1" applyAlignment="1">
      <alignment horizontal="left"/>
    </xf>
    <xf numFmtId="0" fontId="4" fillId="4" borderId="0" xfId="5" applyNumberFormat="1" applyFont="1" applyFill="1" applyBorder="1" applyAlignment="1">
      <alignment horizontal="left" vertical="top"/>
    </xf>
    <xf numFmtId="0" fontId="4" fillId="4" borderId="0" xfId="5" applyFont="1" applyFill="1" applyBorder="1" applyAlignment="1">
      <alignment horizontal="left"/>
    </xf>
    <xf numFmtId="0" fontId="6" fillId="0" borderId="1" xfId="0" applyNumberFormat="1" applyFont="1" applyFill="1" applyBorder="1" applyAlignment="1">
      <alignment horizontal="left"/>
    </xf>
    <xf numFmtId="0" fontId="30" fillId="0" borderId="1" xfId="0" applyFont="1" applyFill="1" applyBorder="1" applyAlignment="1">
      <alignment horizontal="left"/>
    </xf>
    <xf numFmtId="0" fontId="3" fillId="0" borderId="0" xfId="0" applyFont="1" applyBorder="1" applyAlignment="1">
      <alignment horizontal="left"/>
    </xf>
    <xf numFmtId="0" fontId="31" fillId="4" borderId="0" xfId="5" applyNumberFormat="1" applyFont="1" applyFill="1" applyBorder="1" applyAlignment="1">
      <alignment horizontal="left" vertical="center"/>
    </xf>
    <xf numFmtId="0" fontId="11" fillId="0" borderId="1" xfId="0" applyFont="1" applyFill="1" applyBorder="1" applyAlignment="1">
      <alignment horizontal="left" vertical="top"/>
    </xf>
    <xf numFmtId="0" fontId="11" fillId="0" borderId="2" xfId="0" applyFont="1" applyFill="1" applyBorder="1" applyAlignment="1">
      <alignment horizontal="left" vertical="top"/>
    </xf>
    <xf numFmtId="49" fontId="0" fillId="4" borderId="0" xfId="0" applyNumberFormat="1" applyFill="1" applyBorder="1" applyAlignment="1">
      <alignment vertical="center"/>
    </xf>
    <xf numFmtId="0" fontId="12" fillId="0" borderId="1" xfId="0" applyFont="1" applyFill="1" applyBorder="1" applyAlignment="1">
      <alignment horizontal="left"/>
    </xf>
    <xf numFmtId="0" fontId="5" fillId="0" borderId="1" xfId="0" applyFont="1" applyFill="1" applyBorder="1" applyAlignment="1">
      <alignment horizontal="left"/>
    </xf>
    <xf numFmtId="0" fontId="3" fillId="0" borderId="0" xfId="0" applyFont="1" applyFill="1" applyBorder="1" applyAlignment="1">
      <alignment horizontal="left"/>
    </xf>
    <xf numFmtId="0" fontId="4" fillId="4" borderId="0" xfId="1" applyFont="1" applyFill="1" applyBorder="1" applyAlignment="1">
      <alignment horizontal="left" vertical="center"/>
    </xf>
    <xf numFmtId="0" fontId="5" fillId="10" borderId="1" xfId="0" applyFont="1" applyFill="1" applyBorder="1" applyAlignment="1">
      <alignment horizontal="left"/>
    </xf>
    <xf numFmtId="0" fontId="0" fillId="0" borderId="0" xfId="0" applyAlignment="1"/>
    <xf numFmtId="0" fontId="12" fillId="0" borderId="0" xfId="0" applyNumberFormat="1" applyFont="1" applyFill="1" applyBorder="1" applyAlignment="1">
      <alignment horizontal="left"/>
    </xf>
    <xf numFmtId="0" fontId="31" fillId="4" borderId="1" xfId="5" applyFont="1" applyFill="1" applyBorder="1" applyAlignment="1">
      <alignment horizontal="left" vertical="top"/>
    </xf>
    <xf numFmtId="0" fontId="3" fillId="10" borderId="0" xfId="0" applyFont="1" applyFill="1" applyBorder="1" applyAlignment="1">
      <alignment horizontal="left"/>
    </xf>
    <xf numFmtId="0" fontId="8" fillId="4" borderId="1" xfId="5" applyFont="1" applyFill="1" applyBorder="1" applyAlignment="1">
      <alignment horizontal="left"/>
    </xf>
    <xf numFmtId="0" fontId="26" fillId="4" borderId="1" xfId="5" applyFont="1" applyFill="1" applyBorder="1" applyAlignment="1">
      <alignment vertical="top"/>
    </xf>
    <xf numFmtId="0" fontId="26" fillId="4" borderId="0" xfId="5" applyFont="1" applyFill="1" applyBorder="1" applyAlignment="1">
      <alignment horizontal="left"/>
    </xf>
    <xf numFmtId="0" fontId="12" fillId="0" borderId="1" xfId="0" applyFont="1" applyBorder="1" applyAlignment="1">
      <alignment horizontal="left"/>
    </xf>
    <xf numFmtId="0" fontId="5" fillId="0" borderId="1" xfId="0" applyFont="1" applyBorder="1" applyAlignment="1">
      <alignment horizontal="left"/>
    </xf>
    <xf numFmtId="182" fontId="5" fillId="0" borderId="1" xfId="0" applyNumberFormat="1" applyFont="1" applyBorder="1" applyAlignment="1">
      <alignment horizontal="left"/>
    </xf>
    <xf numFmtId="0" fontId="0" fillId="0" borderId="1" xfId="0" applyFont="1" applyFill="1" applyBorder="1" applyAlignment="1"/>
    <xf numFmtId="0" fontId="0" fillId="0" borderId="1" xfId="0" applyFill="1" applyBorder="1" applyAlignment="1"/>
    <xf numFmtId="0" fontId="32" fillId="0" borderId="1" xfId="0" applyFont="1" applyFill="1" applyBorder="1" applyAlignment="1">
      <alignment horizontal="justify" vertical="center"/>
    </xf>
    <xf numFmtId="0" fontId="26" fillId="4" borderId="0" xfId="5" applyNumberFormat="1" applyFont="1" applyFill="1" applyBorder="1" applyAlignment="1">
      <alignment horizontal="left"/>
    </xf>
    <xf numFmtId="0" fontId="33" fillId="4" borderId="0" xfId="5" applyFont="1" applyFill="1" applyBorder="1" applyAlignment="1">
      <alignment horizontal="right"/>
    </xf>
    <xf numFmtId="0" fontId="26" fillId="4" borderId="0" xfId="5" applyFont="1" applyFill="1" applyBorder="1"/>
    <xf numFmtId="0" fontId="4" fillId="4" borderId="1" xfId="5" applyFont="1" applyFill="1" applyBorder="1" applyAlignment="1">
      <alignment horizontal="center" vertical="top"/>
    </xf>
    <xf numFmtId="0" fontId="8" fillId="4" borderId="0" xfId="5" applyFont="1" applyFill="1" applyBorder="1"/>
    <xf numFmtId="0" fontId="17" fillId="0" borderId="1" xfId="0" applyFont="1" applyFill="1" applyBorder="1" applyAlignment="1">
      <alignment horizontal="left" vertical="top"/>
    </xf>
    <xf numFmtId="0" fontId="0" fillId="0" borderId="1" xfId="0" applyFill="1" applyBorder="1" applyAlignment="1">
      <alignment vertical="center"/>
    </xf>
    <xf numFmtId="0" fontId="4" fillId="4" borderId="1" xfId="5" applyNumberFormat="1" applyFont="1" applyFill="1" applyBorder="1" applyAlignment="1">
      <alignment horizontal="left" vertical="center"/>
    </xf>
    <xf numFmtId="0" fontId="34" fillId="10" borderId="1" xfId="0" applyFont="1" applyFill="1" applyBorder="1" applyAlignment="1">
      <alignment horizontal="left"/>
    </xf>
    <xf numFmtId="0" fontId="7" fillId="0" borderId="1" xfId="0" applyFont="1" applyFill="1" applyBorder="1" applyAlignment="1">
      <alignment horizontal="left" vertical="top"/>
    </xf>
    <xf numFmtId="0" fontId="8" fillId="4" borderId="0" xfId="5" applyFont="1" applyFill="1" applyBorder="1" applyAlignment="1">
      <alignment vertical="center"/>
    </xf>
    <xf numFmtId="0" fontId="26" fillId="4" borderId="1" xfId="5" applyNumberFormat="1" applyFont="1" applyFill="1" applyBorder="1" applyAlignment="1">
      <alignment horizontal="left"/>
    </xf>
    <xf numFmtId="0" fontId="11" fillId="0" borderId="1" xfId="0" applyNumberFormat="1" applyFont="1" applyFill="1" applyBorder="1" applyAlignment="1">
      <alignment horizontal="left"/>
    </xf>
    <xf numFmtId="0" fontId="30" fillId="10" borderId="1" xfId="0" applyFont="1" applyFill="1" applyBorder="1" applyAlignment="1">
      <alignment horizontal="left"/>
    </xf>
    <xf numFmtId="0" fontId="8" fillId="4" borderId="1" xfId="5" applyFont="1" applyFill="1" applyBorder="1"/>
    <xf numFmtId="0" fontId="0" fillId="4" borderId="0" xfId="0" applyFont="1" applyFill="1" applyBorder="1" applyAlignment="1">
      <alignment vertical="center"/>
    </xf>
    <xf numFmtId="0" fontId="35" fillId="10" borderId="1" xfId="0" applyFont="1" applyFill="1" applyBorder="1" applyAlignment="1">
      <alignment horizontal="left"/>
    </xf>
    <xf numFmtId="0" fontId="8" fillId="4" borderId="1" xfId="5" applyFont="1" applyFill="1" applyBorder="1" applyAlignment="1">
      <alignment vertical="top"/>
    </xf>
    <xf numFmtId="0" fontId="4" fillId="4" borderId="0" xfId="5" applyNumberFormat="1" applyFont="1" applyFill="1" applyBorder="1" applyAlignment="1">
      <alignment horizontal="left"/>
    </xf>
    <xf numFmtId="0" fontId="3" fillId="0" borderId="1" xfId="0" applyNumberFormat="1" applyFont="1" applyFill="1" applyBorder="1" applyAlignment="1">
      <alignment horizontal="left"/>
    </xf>
    <xf numFmtId="0" fontId="8" fillId="4" borderId="0" xfId="5" applyFont="1" applyFill="1" applyBorder="1" applyAlignment="1">
      <alignment horizontal="left"/>
    </xf>
    <xf numFmtId="0" fontId="29" fillId="0" borderId="0" xfId="0" applyFont="1" applyBorder="1" applyAlignment="1">
      <alignment horizontal="left" vertical="top"/>
    </xf>
    <xf numFmtId="0" fontId="29" fillId="10" borderId="0" xfId="0" applyFont="1" applyFill="1" applyBorder="1" applyAlignment="1">
      <alignment horizontal="left" vertical="top"/>
    </xf>
    <xf numFmtId="0" fontId="4" fillId="4" borderId="0" xfId="5" applyFont="1" applyFill="1" applyAlignment="1">
      <alignment horizontal="left"/>
    </xf>
    <xf numFmtId="0" fontId="26" fillId="4" borderId="0" xfId="5" applyFont="1" applyFill="1" applyBorder="1" applyAlignment="1">
      <alignment horizontal="left" vertical="top"/>
    </xf>
    <xf numFmtId="0" fontId="31" fillId="4" borderId="1" xfId="5" applyFont="1" applyFill="1" applyBorder="1" applyAlignment="1">
      <alignment horizontal="left"/>
    </xf>
    <xf numFmtId="49" fontId="4" fillId="4" borderId="0" xfId="5" applyNumberFormat="1" applyFont="1" applyFill="1" applyBorder="1" applyAlignment="1">
      <alignment horizontal="left" vertical="center"/>
    </xf>
    <xf numFmtId="0" fontId="8" fillId="4" borderId="0" xfId="5" applyFont="1" applyFill="1" applyBorder="1" applyAlignment="1">
      <alignment vertical="top"/>
    </xf>
    <xf numFmtId="0" fontId="36" fillId="0" borderId="1" xfId="0" applyFont="1" applyBorder="1" applyAlignment="1">
      <alignment horizontal="left"/>
    </xf>
    <xf numFmtId="0" fontId="29" fillId="10" borderId="1" xfId="0" applyFont="1" applyFill="1" applyBorder="1" applyAlignment="1">
      <alignment horizontal="left" vertical="top"/>
    </xf>
    <xf numFmtId="0" fontId="0" fillId="0" borderId="1" xfId="0" applyFont="1" applyFill="1" applyBorder="1" applyAlignment="1">
      <alignment vertical="center"/>
    </xf>
    <xf numFmtId="0" fontId="6" fillId="10" borderId="0" xfId="0" applyFont="1" applyFill="1" applyBorder="1" applyAlignment="1">
      <alignment horizontal="left"/>
    </xf>
    <xf numFmtId="179" fontId="4" fillId="4" borderId="0" xfId="5" applyNumberFormat="1" applyFont="1" applyFill="1" applyBorder="1" applyAlignment="1">
      <alignment horizontal="left" vertical="center"/>
    </xf>
    <xf numFmtId="0" fontId="4" fillId="4" borderId="0" xfId="5" applyNumberFormat="1" applyFont="1" applyFill="1" applyBorder="1" applyAlignment="1">
      <alignment horizontal="left" vertical="center"/>
    </xf>
    <xf numFmtId="0" fontId="26" fillId="4" borderId="1" xfId="5" applyNumberFormat="1" applyFont="1" applyFill="1" applyBorder="1" applyAlignment="1">
      <alignment horizontal="left" vertical="top"/>
    </xf>
    <xf numFmtId="0" fontId="26" fillId="4" borderId="1" xfId="5" applyFont="1" applyFill="1" applyBorder="1" applyAlignment="1">
      <alignment horizontal="left"/>
    </xf>
    <xf numFmtId="0" fontId="31" fillId="4" borderId="0" xfId="5" applyFont="1" applyFill="1" applyBorder="1" applyAlignment="1">
      <alignment horizontal="left" vertical="top"/>
    </xf>
    <xf numFmtId="0" fontId="8" fillId="4" borderId="1" xfId="5" applyFont="1" applyFill="1" applyBorder="1" applyAlignment="1">
      <alignment horizontal="left" vertical="center"/>
    </xf>
    <xf numFmtId="0" fontId="25" fillId="0" borderId="1" xfId="0" applyFont="1" applyFill="1" applyBorder="1" applyAlignment="1">
      <alignment horizontal="left"/>
    </xf>
    <xf numFmtId="0" fontId="6" fillId="0" borderId="3" xfId="0" applyFont="1" applyBorder="1" applyAlignment="1">
      <alignment horizontal="left"/>
    </xf>
    <xf numFmtId="182" fontId="6" fillId="0" borderId="3" xfId="0" applyNumberFormat="1" applyFont="1" applyBorder="1" applyAlignment="1">
      <alignment horizontal="left"/>
    </xf>
    <xf numFmtId="0" fontId="3" fillId="0" borderId="4" xfId="0" applyFont="1" applyBorder="1" applyAlignment="1">
      <alignment horizontal="left"/>
    </xf>
    <xf numFmtId="0" fontId="6" fillId="0" borderId="5" xfId="0" applyFont="1" applyBorder="1" applyAlignment="1">
      <alignment horizontal="left"/>
    </xf>
    <xf numFmtId="182" fontId="6" fillId="0" borderId="5" xfId="0" applyNumberFormat="1" applyFont="1" applyBorder="1" applyAlignment="1">
      <alignment horizontal="left"/>
    </xf>
    <xf numFmtId="0" fontId="32" fillId="0" borderId="0" xfId="0" applyFont="1" applyFill="1" applyAlignment="1">
      <alignment horizontal="justify" vertical="center"/>
    </xf>
    <xf numFmtId="0" fontId="6" fillId="0" borderId="0" xfId="0" applyFont="1" applyFill="1" applyBorder="1" applyAlignment="1">
      <alignment horizontal="left" vertical="top"/>
    </xf>
    <xf numFmtId="0" fontId="6" fillId="10" borderId="3" xfId="0" applyFont="1" applyFill="1" applyBorder="1" applyAlignment="1">
      <alignment horizontal="left"/>
    </xf>
    <xf numFmtId="0" fontId="3" fillId="0" borderId="3" xfId="0" applyFont="1" applyBorder="1" applyAlignment="1">
      <alignment horizontal="left"/>
    </xf>
    <xf numFmtId="0" fontId="6" fillId="10" borderId="5" xfId="0" applyFont="1" applyFill="1" applyBorder="1" applyAlignment="1">
      <alignment horizontal="left"/>
    </xf>
    <xf numFmtId="0" fontId="3" fillId="0" borderId="5" xfId="0" applyFont="1" applyBorder="1" applyAlignment="1">
      <alignment horizontal="left"/>
    </xf>
    <xf numFmtId="0" fontId="6" fillId="0" borderId="5" xfId="0" applyFont="1" applyFill="1" applyBorder="1" applyAlignment="1">
      <alignment horizontal="left"/>
    </xf>
    <xf numFmtId="0" fontId="3" fillId="0" borderId="5" xfId="0" applyFont="1" applyFill="1" applyBorder="1" applyAlignment="1">
      <alignment horizontal="left"/>
    </xf>
    <xf numFmtId="0" fontId="0" fillId="0" borderId="0" xfId="0" applyFill="1" applyBorder="1" applyAlignment="1">
      <alignment vertical="center"/>
    </xf>
    <xf numFmtId="0" fontId="0" fillId="0" borderId="5" xfId="0" applyFill="1" applyBorder="1" applyAlignment="1">
      <alignment vertical="center"/>
    </xf>
    <xf numFmtId="0" fontId="30" fillId="0" borderId="0" xfId="0" applyFont="1" applyFill="1" applyBorder="1" applyAlignment="1">
      <alignment horizontal="left"/>
    </xf>
    <xf numFmtId="0" fontId="3" fillId="0" borderId="4" xfId="0" applyFont="1" applyFill="1" applyBorder="1" applyAlignment="1">
      <alignment horizontal="left"/>
    </xf>
    <xf numFmtId="0" fontId="6" fillId="0" borderId="4" xfId="0" applyFont="1" applyBorder="1" applyAlignment="1">
      <alignment horizontal="left"/>
    </xf>
    <xf numFmtId="182" fontId="6" fillId="0" borderId="0" xfId="0" applyNumberFormat="1" applyFont="1" applyBorder="1" applyAlignment="1">
      <alignment horizontal="left"/>
    </xf>
    <xf numFmtId="0" fontId="3" fillId="10" borderId="5" xfId="0" applyFont="1" applyFill="1" applyBorder="1" applyAlignment="1">
      <alignment horizontal="left"/>
    </xf>
    <xf numFmtId="182" fontId="4" fillId="0" borderId="0" xfId="0" applyNumberFormat="1" applyFont="1" applyFill="1" applyBorder="1" applyAlignment="1">
      <alignment horizontal="left"/>
    </xf>
    <xf numFmtId="0" fontId="12" fillId="0" borderId="0" xfId="0" applyFont="1" applyBorder="1" applyAlignment="1">
      <alignment horizontal="left"/>
    </xf>
    <xf numFmtId="0" fontId="5" fillId="0" borderId="0" xfId="0" applyFont="1" applyBorder="1" applyAlignment="1">
      <alignment horizontal="left"/>
    </xf>
    <xf numFmtId="182" fontId="5" fillId="0" borderId="0" xfId="0" applyNumberFormat="1" applyFont="1" applyBorder="1" applyAlignment="1">
      <alignment horizontal="left"/>
    </xf>
    <xf numFmtId="0" fontId="5" fillId="0" borderId="1" xfId="0" applyFont="1" applyFill="1" applyBorder="1" applyAlignment="1">
      <alignment horizontal="left" vertical="top"/>
    </xf>
    <xf numFmtId="0" fontId="5" fillId="10" borderId="0" xfId="0" applyFont="1" applyFill="1" applyBorder="1" applyAlignment="1">
      <alignment horizontal="left"/>
    </xf>
    <xf numFmtId="0" fontId="0" fillId="0" borderId="0" xfId="0" applyFill="1" applyAlignment="1"/>
    <xf numFmtId="0" fontId="0" fillId="4" borderId="1" xfId="0" applyFont="1" applyFill="1" applyBorder="1" applyAlignment="1">
      <alignment vertical="center"/>
    </xf>
    <xf numFmtId="0" fontId="30" fillId="0" borderId="1" xfId="0" applyNumberFormat="1" applyFont="1" applyFill="1" applyBorder="1" applyAlignment="1">
      <alignment horizontal="left"/>
    </xf>
    <xf numFmtId="0" fontId="4" fillId="0" borderId="1" xfId="0" applyNumberFormat="1" applyFont="1" applyFill="1" applyBorder="1" applyAlignment="1">
      <alignment horizontal="left"/>
    </xf>
    <xf numFmtId="2" fontId="4" fillId="0" borderId="0" xfId="0" applyNumberFormat="1" applyFont="1" applyFill="1" applyBorder="1" applyAlignment="1">
      <alignment horizontal="left" vertical="top"/>
    </xf>
    <xf numFmtId="0" fontId="21" fillId="0" borderId="0" xfId="0" applyFont="1" applyFill="1" applyBorder="1" applyAlignment="1">
      <alignment horizontal="left" vertical="top"/>
    </xf>
    <xf numFmtId="0" fontId="22" fillId="0" borderId="0" xfId="0" applyFont="1" applyFill="1" applyBorder="1" applyAlignment="1">
      <alignment horizontal="left" vertical="top"/>
    </xf>
    <xf numFmtId="2" fontId="21" fillId="0" borderId="0" xfId="0" applyNumberFormat="1" applyFont="1" applyFill="1" applyBorder="1" applyAlignment="1">
      <alignment horizontal="left" vertical="top"/>
    </xf>
    <xf numFmtId="0" fontId="4" fillId="0" borderId="0" xfId="0" applyFont="1" applyFill="1" applyBorder="1" applyAlignment="1">
      <alignment horizontal="left" vertical="top" wrapText="1"/>
    </xf>
    <xf numFmtId="0" fontId="21" fillId="0" borderId="0" xfId="0" applyNumberFormat="1" applyFont="1" applyFill="1" applyBorder="1" applyAlignment="1">
      <alignment horizontal="left" vertical="top" wrapText="1"/>
    </xf>
    <xf numFmtId="0" fontId="27" fillId="0" borderId="0" xfId="0" applyFont="1" applyFill="1" applyBorder="1" applyAlignment="1">
      <alignment horizontal="left" vertical="top"/>
    </xf>
    <xf numFmtId="0" fontId="28" fillId="0" borderId="0" xfId="0" applyFont="1" applyFill="1" applyBorder="1" applyAlignment="1">
      <alignment horizontal="left" vertical="top"/>
    </xf>
    <xf numFmtId="0" fontId="27" fillId="0" borderId="1" xfId="0" applyFont="1" applyFill="1" applyBorder="1" applyAlignment="1">
      <alignment horizontal="left" vertical="top"/>
    </xf>
    <xf numFmtId="0" fontId="28" fillId="0" borderId="1" xfId="0" applyFont="1" applyFill="1" applyBorder="1" applyAlignment="1">
      <alignment horizontal="left" vertical="top"/>
    </xf>
  </cellXfs>
  <cellStyles count="10">
    <cellStyle name="_Sheet1" xfId="3"/>
    <cellStyle name="Normal 2" xfId="5"/>
    <cellStyle name="常规" xfId="0" builtinId="0"/>
    <cellStyle name="常规 2" xfId="2"/>
    <cellStyle name="常规 3" xfId="1"/>
    <cellStyle name="常规 4" xfId="7"/>
    <cellStyle name="常规_Sheet1" xfId="9"/>
    <cellStyle name="一般" xfId="6"/>
    <cellStyle name="一般 2" xfId="8"/>
    <cellStyle name="一般 3" xfId="4"/>
  </cellStyles>
  <dxfs count="401">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Radio" checked="Checked" firstButton="1" noThreeD="1" val="0"/>
</file>

<file path=xl/ctrlProps/ctrlProp5.xml><?xml version="1.0" encoding="utf-8"?>
<formControlPr xmlns="http://schemas.microsoft.com/office/spreadsheetml/2009/9/main" objectType="Radio" noThreeD="1" val="0"/>
</file>

<file path=xl/ctrlProps/ctrlProp6.xml><?xml version="1.0" encoding="utf-8"?>
<formControlPr xmlns="http://schemas.microsoft.com/office/spreadsheetml/2009/9/main" objectType="Radio" noThreeD="1" val="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1" Type="http://schemas.openxmlformats.org/officeDocument/2006/relationships/vmlDrawing" Target="../drawings/vmlDrawing1.v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1" Type="http://schemas.openxmlformats.org/officeDocument/2006/relationships/vmlDrawing" Target="../drawings/vmlDrawing2.v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dimension ref="A1:Q6"/>
  <sheetViews>
    <sheetView workbookViewId="0">
      <selection activeCell="B29" sqref="B29"/>
    </sheetView>
  </sheetViews>
  <sheetFormatPr defaultColWidth="9.125" defaultRowHeight="13.5"/>
  <cols>
    <col min="1" max="1" width="12.25" style="1" customWidth="1"/>
    <col min="2" max="2" width="21.375" style="1" customWidth="1"/>
    <col min="3" max="3" width="14.25" style="1" customWidth="1"/>
    <col min="4" max="4" width="30.375" style="1" customWidth="1"/>
    <col min="5" max="5" width="35.375" style="1" customWidth="1"/>
    <col min="6" max="6" width="6.125" style="1" customWidth="1"/>
    <col min="7" max="7" width="12" style="1" customWidth="1"/>
    <col min="8" max="10" width="6.125" style="1" customWidth="1"/>
    <col min="11" max="11" width="8.625" style="1" customWidth="1"/>
    <col min="12" max="12" width="12" style="1" customWidth="1"/>
    <col min="13" max="13" width="56.875" style="1" customWidth="1"/>
    <col min="14" max="14" width="29.375" style="1" customWidth="1"/>
    <col min="15" max="15" width="53.875" style="1" customWidth="1"/>
    <col min="16" max="16" width="29.375" style="1" customWidth="1"/>
    <col min="17" max="17" width="40.25" style="1" customWidth="1"/>
    <col min="18" max="16384" width="9.125" style="1"/>
  </cols>
  <sheetData>
    <row r="1" spans="1:17" ht="14.25">
      <c r="A1" s="95" t="s">
        <v>0</v>
      </c>
      <c r="B1" s="96" t="s">
        <v>1</v>
      </c>
    </row>
    <row r="2" spans="1:17" ht="14.25">
      <c r="A2" s="95" t="s">
        <v>2</v>
      </c>
      <c r="B2" s="96"/>
    </row>
    <row r="3" spans="1:17" ht="14.25">
      <c r="A3" s="95" t="s">
        <v>3</v>
      </c>
      <c r="B3" s="98">
        <f ca="1">TODAY()</f>
        <v>43975</v>
      </c>
    </row>
    <row r="4" spans="1:17" ht="15.75">
      <c r="A4" s="59"/>
      <c r="B4" s="30"/>
      <c r="C4" s="15"/>
      <c r="D4" s="15"/>
      <c r="E4" s="15"/>
      <c r="F4" s="15"/>
      <c r="G4" s="97"/>
      <c r="H4" s="15"/>
      <c r="I4" s="15"/>
      <c r="J4" s="15"/>
      <c r="K4" s="15"/>
      <c r="L4" s="22"/>
      <c r="M4" s="15"/>
      <c r="N4" s="15"/>
      <c r="O4" s="119"/>
      <c r="P4" s="15"/>
      <c r="Q4" s="15"/>
    </row>
    <row r="5" spans="1:17" ht="15.75">
      <c r="A5" s="59"/>
      <c r="B5" s="30"/>
      <c r="C5" s="59"/>
      <c r="D5" s="59"/>
      <c r="E5" s="59"/>
      <c r="F5" s="59"/>
      <c r="G5" s="234"/>
      <c r="H5" s="59"/>
      <c r="I5" s="238"/>
      <c r="J5" s="59"/>
      <c r="K5" s="240" t="s">
        <v>4</v>
      </c>
      <c r="L5" s="241"/>
      <c r="M5" s="241"/>
      <c r="N5" s="240" t="s">
        <v>5</v>
      </c>
      <c r="O5" s="241"/>
      <c r="P5" s="241"/>
      <c r="Q5" s="235"/>
    </row>
    <row r="6" spans="1:17" ht="15.75">
      <c r="A6" s="235" t="s">
        <v>6</v>
      </c>
      <c r="B6" s="236" t="s">
        <v>7</v>
      </c>
      <c r="C6" s="235" t="s">
        <v>8</v>
      </c>
      <c r="D6" s="235" t="s">
        <v>9</v>
      </c>
      <c r="E6" s="235" t="s">
        <v>10</v>
      </c>
      <c r="F6" s="235" t="s">
        <v>11</v>
      </c>
      <c r="G6" s="237" t="s">
        <v>12</v>
      </c>
      <c r="H6" s="235" t="s">
        <v>13</v>
      </c>
      <c r="I6" s="239" t="s">
        <v>14</v>
      </c>
      <c r="J6" s="235" t="s">
        <v>15</v>
      </c>
      <c r="K6" s="235" t="s">
        <v>16</v>
      </c>
      <c r="L6" s="235" t="s">
        <v>17</v>
      </c>
      <c r="M6" s="235" t="s">
        <v>18</v>
      </c>
      <c r="N6" s="102" t="s">
        <v>19</v>
      </c>
      <c r="O6" s="102" t="s">
        <v>20</v>
      </c>
      <c r="P6" s="102" t="s">
        <v>21</v>
      </c>
      <c r="Q6" s="102" t="s">
        <v>22</v>
      </c>
    </row>
  </sheetData>
  <mergeCells count="2">
    <mergeCell ref="K5:M5"/>
    <mergeCell ref="N5:P5"/>
  </mergeCells>
  <phoneticPr fontId="47" type="noConversion"/>
  <pageMargins left="0.69930555555555596" right="0.69930555555555596" top="0.75" bottom="0.75" header="0.3" footer="0.3"/>
  <pageSetup paperSize="9" orientation="portrait"/>
  <legacyDrawing r:id="rId1"/>
</worksheet>
</file>

<file path=xl/worksheets/sheet2.xml><?xml version="1.0" encoding="utf-8"?>
<worksheet xmlns="http://schemas.openxmlformats.org/spreadsheetml/2006/main" xmlns:r="http://schemas.openxmlformats.org/officeDocument/2006/relationships">
  <dimension ref="A1:AA643"/>
  <sheetViews>
    <sheetView tabSelected="1" workbookViewId="0">
      <selection activeCell="M17" sqref="M17"/>
    </sheetView>
  </sheetViews>
  <sheetFormatPr defaultColWidth="10.25" defaultRowHeight="14.25"/>
  <cols>
    <col min="1" max="1" width="11.875" style="15" customWidth="1"/>
    <col min="2" max="2" width="17.625" style="15" customWidth="1"/>
    <col min="3" max="3" width="16.375" style="15" customWidth="1"/>
    <col min="4" max="4" width="36.625" style="15" customWidth="1"/>
    <col min="5" max="5" width="25.125" style="91" customWidth="1"/>
    <col min="6" max="6" width="4.375" style="15" customWidth="1"/>
    <col min="7" max="7" width="6.125" style="15" customWidth="1"/>
    <col min="8" max="8" width="3.75" style="15" customWidth="1"/>
    <col min="9" max="9" width="11.25" style="92" customWidth="1"/>
    <col min="10" max="10" width="7.25" style="15" customWidth="1"/>
    <col min="11" max="11" width="10.625" style="15" customWidth="1"/>
    <col min="12" max="12" width="14.125" style="93" customWidth="1"/>
    <col min="13" max="13" width="36.125" style="15" customWidth="1"/>
    <col min="14" max="14" width="19" style="15" customWidth="1"/>
    <col min="15" max="15" width="43" style="15" customWidth="1"/>
    <col min="16" max="16" width="25.75" style="15" customWidth="1"/>
    <col min="17" max="17" width="37" style="15" customWidth="1"/>
    <col min="18" max="24" width="10.25" style="15"/>
    <col min="25" max="25" width="10.25" style="94"/>
    <col min="26" max="16384" width="10.25" style="15"/>
  </cols>
  <sheetData>
    <row r="1" spans="1:27" ht="15.75">
      <c r="A1" s="95" t="s">
        <v>0</v>
      </c>
      <c r="B1" s="96" t="str">
        <f>DataEntry!B1</f>
        <v>QY005</v>
      </c>
      <c r="G1" s="97"/>
      <c r="O1" s="119"/>
      <c r="X1" s="144"/>
      <c r="Z1" s="144"/>
      <c r="AA1" s="144"/>
    </row>
    <row r="2" spans="1:27" ht="15.75">
      <c r="A2" s="95" t="s">
        <v>2</v>
      </c>
      <c r="B2" s="96"/>
      <c r="G2" s="97"/>
      <c r="O2" s="119"/>
      <c r="X2" s="144"/>
      <c r="Z2" s="144"/>
      <c r="AA2" s="144"/>
    </row>
    <row r="3" spans="1:27" ht="15.75">
      <c r="A3" s="95" t="s">
        <v>3</v>
      </c>
      <c r="B3" s="98">
        <f ca="1">DataEntry!B3</f>
        <v>43975</v>
      </c>
      <c r="G3" s="97"/>
      <c r="O3" s="119"/>
      <c r="X3" s="144"/>
      <c r="Z3" s="144"/>
      <c r="AA3" s="144"/>
    </row>
    <row r="4" spans="1:27" ht="15.75">
      <c r="A4" s="59"/>
      <c r="B4" s="30"/>
      <c r="G4" s="97"/>
      <c r="O4" s="119"/>
      <c r="X4" s="144"/>
      <c r="Z4" s="144"/>
      <c r="AA4" s="144"/>
    </row>
    <row r="5" spans="1:27" ht="15.75">
      <c r="A5" s="99"/>
      <c r="B5" s="35"/>
      <c r="C5" s="99"/>
      <c r="D5" s="99"/>
      <c r="E5" s="100"/>
      <c r="F5" s="99"/>
      <c r="G5" s="101"/>
      <c r="H5" s="99"/>
      <c r="I5" s="120"/>
      <c r="J5" s="99"/>
      <c r="K5" s="242" t="s">
        <v>4</v>
      </c>
      <c r="L5" s="243"/>
      <c r="M5" s="243"/>
      <c r="N5" s="242" t="s">
        <v>5</v>
      </c>
      <c r="O5" s="243"/>
      <c r="P5" s="243"/>
      <c r="Q5" s="102"/>
      <c r="X5" s="144"/>
      <c r="Z5" s="144"/>
      <c r="AA5" s="144"/>
    </row>
    <row r="6" spans="1:27" ht="18" customHeight="1">
      <c r="A6" s="102" t="s">
        <v>6</v>
      </c>
      <c r="B6" s="103" t="s">
        <v>7</v>
      </c>
      <c r="C6" s="102" t="s">
        <v>8</v>
      </c>
      <c r="D6" s="102" t="s">
        <v>9</v>
      </c>
      <c r="E6" s="104" t="s">
        <v>10</v>
      </c>
      <c r="F6" s="102" t="s">
        <v>11</v>
      </c>
      <c r="G6" s="105" t="s">
        <v>12</v>
      </c>
      <c r="H6" s="102" t="s">
        <v>13</v>
      </c>
      <c r="I6" s="121" t="s">
        <v>14</v>
      </c>
      <c r="J6" s="102" t="s">
        <v>15</v>
      </c>
      <c r="K6" s="102" t="s">
        <v>16</v>
      </c>
      <c r="L6" s="104" t="s">
        <v>17</v>
      </c>
      <c r="M6" s="102" t="s">
        <v>18</v>
      </c>
      <c r="N6" s="102" t="s">
        <v>19</v>
      </c>
      <c r="O6" s="102" t="s">
        <v>20</v>
      </c>
      <c r="P6" s="102" t="s">
        <v>21</v>
      </c>
      <c r="Q6" s="102" t="s">
        <v>22</v>
      </c>
      <c r="R6" s="15" t="s">
        <v>23</v>
      </c>
      <c r="X6" s="145"/>
      <c r="Z6" s="145"/>
      <c r="AA6" s="145"/>
    </row>
    <row r="7" spans="1:27" ht="15.75">
      <c r="A7" s="106" t="str">
        <f t="shared" ref="A7:A69" si="0">IF(B7=C7,"","nonono")</f>
        <v>nonono</v>
      </c>
      <c r="B7" s="21" t="s">
        <v>24</v>
      </c>
      <c r="C7" s="20" t="s">
        <v>25</v>
      </c>
      <c r="D7" s="107" t="s">
        <v>26</v>
      </c>
      <c r="E7" s="107" t="s">
        <v>27</v>
      </c>
      <c r="F7" s="107">
        <v>1</v>
      </c>
      <c r="G7" s="108">
        <v>1.72</v>
      </c>
      <c r="H7" s="107">
        <v>4</v>
      </c>
      <c r="I7" s="109" t="s">
        <v>28</v>
      </c>
      <c r="J7" s="107" t="s">
        <v>29</v>
      </c>
      <c r="K7" s="107" t="s">
        <v>30</v>
      </c>
      <c r="L7" s="107">
        <v>13880859619</v>
      </c>
      <c r="M7" s="107" t="s">
        <v>31</v>
      </c>
      <c r="N7" s="122" t="s">
        <v>32</v>
      </c>
      <c r="O7" t="s">
        <v>31</v>
      </c>
      <c r="P7">
        <v>13880859619</v>
      </c>
      <c r="Q7" s="122" t="s">
        <v>33</v>
      </c>
      <c r="R7">
        <f t="shared" ref="R7:R70" si="1">COUNTIF($K$1:$K$2982,K7)</f>
        <v>1</v>
      </c>
      <c r="S7" s="15" t="s">
        <v>34</v>
      </c>
    </row>
    <row r="8" spans="1:27" ht="15.75">
      <c r="A8" s="106" t="str">
        <f t="shared" si="0"/>
        <v>nonono</v>
      </c>
      <c r="B8" s="21" t="s">
        <v>35</v>
      </c>
      <c r="C8" s="20" t="s">
        <v>36</v>
      </c>
      <c r="D8" s="107" t="s">
        <v>37</v>
      </c>
      <c r="E8" s="109" t="s">
        <v>38</v>
      </c>
      <c r="F8" s="107">
        <v>1</v>
      </c>
      <c r="G8" s="108">
        <v>1.95</v>
      </c>
      <c r="H8" s="107">
        <v>8</v>
      </c>
      <c r="I8" s="109" t="s">
        <v>39</v>
      </c>
      <c r="J8" s="107" t="s">
        <v>40</v>
      </c>
      <c r="K8" s="107" t="s">
        <v>41</v>
      </c>
      <c r="L8" s="107">
        <v>13963658628</v>
      </c>
      <c r="M8" s="107" t="s">
        <v>42</v>
      </c>
      <c r="N8" s="122" t="s">
        <v>43</v>
      </c>
      <c r="O8" s="123" t="s">
        <v>44</v>
      </c>
      <c r="P8" s="124">
        <v>18906639519</v>
      </c>
      <c r="Q8" s="122" t="s">
        <v>45</v>
      </c>
      <c r="R8">
        <f t="shared" si="1"/>
        <v>2</v>
      </c>
      <c r="S8" s="15" t="s">
        <v>46</v>
      </c>
    </row>
    <row r="9" spans="1:27" ht="15.75">
      <c r="A9" s="106" t="str">
        <f t="shared" si="0"/>
        <v>nonono</v>
      </c>
      <c r="B9" s="21" t="s">
        <v>47</v>
      </c>
      <c r="C9" s="15" t="s">
        <v>48</v>
      </c>
      <c r="D9" s="107" t="s">
        <v>49</v>
      </c>
      <c r="E9" s="107" t="s">
        <v>50</v>
      </c>
      <c r="F9" s="107">
        <v>1</v>
      </c>
      <c r="G9" s="108">
        <v>0.81</v>
      </c>
      <c r="H9" s="107">
        <v>15</v>
      </c>
      <c r="I9" s="109" t="s">
        <v>51</v>
      </c>
      <c r="J9" s="107" t="s">
        <v>40</v>
      </c>
      <c r="K9" s="107" t="s">
        <v>52</v>
      </c>
      <c r="L9" s="107">
        <v>15862363551</v>
      </c>
      <c r="M9" s="107" t="s">
        <v>53</v>
      </c>
      <c r="N9" s="122" t="s">
        <v>54</v>
      </c>
      <c r="O9" s="123" t="s">
        <v>55</v>
      </c>
      <c r="P9" s="125">
        <v>13914086649</v>
      </c>
      <c r="Q9" s="122" t="s">
        <v>56</v>
      </c>
      <c r="R9">
        <f t="shared" si="1"/>
        <v>2</v>
      </c>
      <c r="S9" s="15" t="s">
        <v>57</v>
      </c>
    </row>
    <row r="10" spans="1:27" ht="15.75">
      <c r="A10" s="106" t="str">
        <f t="shared" si="0"/>
        <v>nonono</v>
      </c>
      <c r="B10" s="21" t="s">
        <v>58</v>
      </c>
      <c r="C10" s="15" t="s">
        <v>59</v>
      </c>
      <c r="D10" s="107" t="s">
        <v>60</v>
      </c>
      <c r="E10" s="107" t="s">
        <v>61</v>
      </c>
      <c r="F10" s="107">
        <v>1</v>
      </c>
      <c r="G10" s="108">
        <v>1.49</v>
      </c>
      <c r="H10" s="107">
        <v>12</v>
      </c>
      <c r="I10" s="109"/>
      <c r="J10" s="107" t="s">
        <v>40</v>
      </c>
      <c r="K10" s="107" t="s">
        <v>62</v>
      </c>
      <c r="L10" s="107">
        <v>13665825563</v>
      </c>
      <c r="M10" s="107" t="s">
        <v>63</v>
      </c>
      <c r="N10" s="126" t="s">
        <v>62</v>
      </c>
      <c r="O10" t="s">
        <v>63</v>
      </c>
      <c r="P10" s="126">
        <v>13665825563</v>
      </c>
      <c r="Q10" s="126" t="s">
        <v>64</v>
      </c>
      <c r="R10">
        <f t="shared" si="1"/>
        <v>1</v>
      </c>
      <c r="S10" s="15" t="s">
        <v>65</v>
      </c>
    </row>
    <row r="11" spans="1:27" ht="15.75">
      <c r="A11" s="106" t="str">
        <f t="shared" si="0"/>
        <v>nonono</v>
      </c>
      <c r="B11" s="21" t="s">
        <v>66</v>
      </c>
      <c r="C11" s="15" t="s">
        <v>67</v>
      </c>
      <c r="D11" s="107" t="s">
        <v>68</v>
      </c>
      <c r="E11" s="107" t="s">
        <v>69</v>
      </c>
      <c r="F11" s="107">
        <v>1</v>
      </c>
      <c r="G11" s="108">
        <v>1.26</v>
      </c>
      <c r="H11" s="107">
        <v>14</v>
      </c>
      <c r="I11" s="109" t="s">
        <v>70</v>
      </c>
      <c r="J11" s="107" t="s">
        <v>40</v>
      </c>
      <c r="K11" s="107" t="s">
        <v>71</v>
      </c>
      <c r="L11" s="107">
        <v>13539989686</v>
      </c>
      <c r="M11" s="107" t="s">
        <v>72</v>
      </c>
      <c r="N11" s="127" t="s">
        <v>73</v>
      </c>
      <c r="O11" s="123" t="s">
        <v>74</v>
      </c>
      <c r="P11" s="128">
        <v>13533083588</v>
      </c>
      <c r="Q11" s="127" t="s">
        <v>75</v>
      </c>
      <c r="R11">
        <f t="shared" si="1"/>
        <v>3</v>
      </c>
      <c r="S11" s="15" t="s">
        <v>76</v>
      </c>
    </row>
    <row r="12" spans="1:27" ht="15.75">
      <c r="A12" s="106" t="str">
        <f t="shared" si="0"/>
        <v>nonono</v>
      </c>
      <c r="B12" s="21" t="s">
        <v>77</v>
      </c>
      <c r="C12" s="15" t="s">
        <v>78</v>
      </c>
      <c r="D12" s="107" t="s">
        <v>79</v>
      </c>
      <c r="E12" s="107" t="s">
        <v>80</v>
      </c>
      <c r="F12" s="107">
        <v>1</v>
      </c>
      <c r="G12" s="108">
        <v>0.81</v>
      </c>
      <c r="H12" s="107">
        <v>8</v>
      </c>
      <c r="I12" s="109" t="s">
        <v>81</v>
      </c>
      <c r="J12" s="107" t="s">
        <v>29</v>
      </c>
      <c r="K12" s="107" t="s">
        <v>82</v>
      </c>
      <c r="L12" s="107">
        <v>15210622672</v>
      </c>
      <c r="M12" s="109" t="s">
        <v>83</v>
      </c>
      <c r="N12" s="127" t="s">
        <v>84</v>
      </c>
      <c r="O12" s="123" t="s">
        <v>85</v>
      </c>
      <c r="P12" s="129">
        <v>13803321678</v>
      </c>
      <c r="Q12" s="127" t="s">
        <v>86</v>
      </c>
      <c r="R12">
        <f t="shared" si="1"/>
        <v>4</v>
      </c>
      <c r="S12" s="15" t="s">
        <v>87</v>
      </c>
    </row>
    <row r="13" spans="1:27" ht="15.75">
      <c r="A13" s="106" t="str">
        <f t="shared" si="0"/>
        <v>nonono</v>
      </c>
      <c r="B13" s="21" t="s">
        <v>88</v>
      </c>
      <c r="C13" s="15" t="s">
        <v>89</v>
      </c>
      <c r="D13" s="107" t="s">
        <v>90</v>
      </c>
      <c r="E13" s="107" t="s">
        <v>91</v>
      </c>
      <c r="F13" s="107">
        <v>1</v>
      </c>
      <c r="G13" s="108">
        <v>3.76</v>
      </c>
      <c r="H13" s="107">
        <v>7</v>
      </c>
      <c r="I13" s="109" t="s">
        <v>92</v>
      </c>
      <c r="J13" s="107" t="s">
        <v>29</v>
      </c>
      <c r="K13" s="107" t="s">
        <v>93</v>
      </c>
      <c r="L13" s="107">
        <v>13390771635</v>
      </c>
      <c r="M13" s="107" t="s">
        <v>94</v>
      </c>
      <c r="N13" s="127" t="s">
        <v>95</v>
      </c>
      <c r="O13" t="s">
        <v>94</v>
      </c>
      <c r="P13">
        <v>13390771635</v>
      </c>
      <c r="Q13" s="127" t="s">
        <v>96</v>
      </c>
      <c r="R13">
        <f t="shared" si="1"/>
        <v>1</v>
      </c>
      <c r="S13" s="15" t="s">
        <v>97</v>
      </c>
    </row>
    <row r="14" spans="1:27" ht="15.75">
      <c r="A14" s="106" t="str">
        <f t="shared" si="0"/>
        <v>nonono</v>
      </c>
      <c r="B14" s="21" t="s">
        <v>98</v>
      </c>
      <c r="C14" s="15" t="s">
        <v>99</v>
      </c>
      <c r="D14" s="107" t="s">
        <v>100</v>
      </c>
      <c r="E14" s="107" t="s">
        <v>101</v>
      </c>
      <c r="F14" s="107">
        <v>1</v>
      </c>
      <c r="G14" s="108">
        <v>1.95</v>
      </c>
      <c r="H14" s="107">
        <v>4</v>
      </c>
      <c r="I14" s="109" t="s">
        <v>102</v>
      </c>
      <c r="J14" s="107" t="s">
        <v>103</v>
      </c>
      <c r="K14" s="107" t="s">
        <v>104</v>
      </c>
      <c r="L14" s="107">
        <v>13642449522</v>
      </c>
      <c r="M14" s="107" t="s">
        <v>105</v>
      </c>
      <c r="N14" t="s">
        <v>104</v>
      </c>
      <c r="O14" t="s">
        <v>105</v>
      </c>
      <c r="P14">
        <v>13642449522</v>
      </c>
      <c r="Q14" t="s">
        <v>106</v>
      </c>
      <c r="R14">
        <f t="shared" si="1"/>
        <v>1</v>
      </c>
      <c r="S14" s="15" t="s">
        <v>107</v>
      </c>
    </row>
    <row r="15" spans="1:27" ht="15.75">
      <c r="A15" s="106" t="str">
        <f t="shared" si="0"/>
        <v>nonono</v>
      </c>
      <c r="B15" s="21" t="s">
        <v>108</v>
      </c>
      <c r="C15" s="15" t="s">
        <v>109</v>
      </c>
      <c r="D15" s="107" t="s">
        <v>110</v>
      </c>
      <c r="E15" s="107" t="s">
        <v>111</v>
      </c>
      <c r="F15" s="107">
        <v>1</v>
      </c>
      <c r="G15" s="108">
        <v>1.95</v>
      </c>
      <c r="H15" s="107">
        <v>15</v>
      </c>
      <c r="I15" s="109" t="s">
        <v>112</v>
      </c>
      <c r="J15" s="107" t="s">
        <v>40</v>
      </c>
      <c r="K15" s="107" t="s">
        <v>113</v>
      </c>
      <c r="L15" s="107">
        <v>15837581275</v>
      </c>
      <c r="M15" s="107" t="s">
        <v>114</v>
      </c>
      <c r="N15" s="127" t="s">
        <v>115</v>
      </c>
      <c r="O15" s="123" t="s">
        <v>116</v>
      </c>
      <c r="P15" s="128">
        <v>13838011920</v>
      </c>
      <c r="Q15" s="127" t="s">
        <v>117</v>
      </c>
      <c r="R15">
        <f t="shared" si="1"/>
        <v>3</v>
      </c>
      <c r="S15" s="15" t="s">
        <v>118</v>
      </c>
    </row>
    <row r="16" spans="1:27" ht="15.75">
      <c r="A16" s="106" t="str">
        <f t="shared" si="0"/>
        <v>nonono</v>
      </c>
      <c r="B16" s="21" t="s">
        <v>119</v>
      </c>
      <c r="C16" s="15" t="s">
        <v>120</v>
      </c>
      <c r="D16" s="107" t="s">
        <v>121</v>
      </c>
      <c r="E16" s="107" t="s">
        <v>122</v>
      </c>
      <c r="F16" s="107">
        <v>1</v>
      </c>
      <c r="G16" s="108">
        <v>0.81</v>
      </c>
      <c r="H16" s="107">
        <v>4</v>
      </c>
      <c r="I16" s="109" t="s">
        <v>123</v>
      </c>
      <c r="J16" s="107" t="s">
        <v>29</v>
      </c>
      <c r="K16" s="107" t="s">
        <v>124</v>
      </c>
      <c r="L16" s="107">
        <v>15720962388</v>
      </c>
      <c r="M16" s="107" t="s">
        <v>125</v>
      </c>
      <c r="N16" s="127" t="s">
        <v>126</v>
      </c>
      <c r="O16" s="123" t="s">
        <v>127</v>
      </c>
      <c r="P16" s="130">
        <v>15870885267</v>
      </c>
      <c r="Q16" s="127" t="s">
        <v>128</v>
      </c>
      <c r="R16">
        <f t="shared" si="1"/>
        <v>3</v>
      </c>
      <c r="S16" s="15" t="s">
        <v>129</v>
      </c>
    </row>
    <row r="17" spans="1:19" ht="15.75">
      <c r="A17" s="106" t="str">
        <f t="shared" si="0"/>
        <v>nonono</v>
      </c>
      <c r="B17" s="21" t="s">
        <v>130</v>
      </c>
      <c r="C17" s="15" t="s">
        <v>131</v>
      </c>
      <c r="D17" s="110" t="s">
        <v>132</v>
      </c>
      <c r="E17" s="107" t="s">
        <v>133</v>
      </c>
      <c r="F17" s="107">
        <v>1</v>
      </c>
      <c r="G17" s="111">
        <v>1.72</v>
      </c>
      <c r="H17" s="107">
        <v>15</v>
      </c>
      <c r="I17" s="109" t="s">
        <v>134</v>
      </c>
      <c r="J17" s="110" t="s">
        <v>40</v>
      </c>
      <c r="K17" s="39" t="s">
        <v>135</v>
      </c>
      <c r="L17" s="34">
        <v>13610961783</v>
      </c>
      <c r="M17" s="39" t="s">
        <v>136</v>
      </c>
      <c r="N17" s="127" t="s">
        <v>137</v>
      </c>
      <c r="O17" s="123" t="s">
        <v>138</v>
      </c>
      <c r="P17" s="125">
        <v>13804230442</v>
      </c>
      <c r="Q17" s="127" t="s">
        <v>139</v>
      </c>
      <c r="R17">
        <f t="shared" si="1"/>
        <v>3</v>
      </c>
      <c r="S17" s="15" t="s">
        <v>140</v>
      </c>
    </row>
    <row r="18" spans="1:19" ht="15.75">
      <c r="A18" s="106" t="str">
        <f t="shared" si="0"/>
        <v>nonono</v>
      </c>
      <c r="B18" s="21" t="s">
        <v>141</v>
      </c>
      <c r="C18" s="17" t="s">
        <v>142</v>
      </c>
      <c r="D18" s="37" t="s">
        <v>143</v>
      </c>
      <c r="E18" s="107" t="s">
        <v>144</v>
      </c>
      <c r="F18" s="107">
        <v>1</v>
      </c>
      <c r="G18" s="108">
        <v>1.49</v>
      </c>
      <c r="H18" s="107">
        <v>11</v>
      </c>
      <c r="I18" s="109" t="s">
        <v>145</v>
      </c>
      <c r="J18" s="107" t="s">
        <v>29</v>
      </c>
      <c r="K18" s="107" t="s">
        <v>146</v>
      </c>
      <c r="L18" s="107">
        <v>15253420938</v>
      </c>
      <c r="M18" s="37" t="s">
        <v>147</v>
      </c>
      <c r="N18" s="127" t="s">
        <v>148</v>
      </c>
      <c r="O18" s="123" t="s">
        <v>149</v>
      </c>
      <c r="P18" s="131">
        <v>15963388072</v>
      </c>
      <c r="Q18" s="127" t="s">
        <v>150</v>
      </c>
      <c r="R18">
        <f t="shared" si="1"/>
        <v>3</v>
      </c>
      <c r="S18" s="15" t="s">
        <v>151</v>
      </c>
    </row>
    <row r="19" spans="1:19" ht="15.75">
      <c r="A19" s="106" t="str">
        <f t="shared" si="0"/>
        <v>nonono</v>
      </c>
      <c r="B19" s="21" t="s">
        <v>152</v>
      </c>
      <c r="C19" s="15" t="s">
        <v>153</v>
      </c>
      <c r="D19" s="37" t="s">
        <v>143</v>
      </c>
      <c r="E19" s="107" t="s">
        <v>144</v>
      </c>
      <c r="F19" s="107">
        <v>1</v>
      </c>
      <c r="G19" s="108">
        <v>1.49</v>
      </c>
      <c r="H19" s="107">
        <v>11</v>
      </c>
      <c r="I19" s="109" t="s">
        <v>145</v>
      </c>
      <c r="J19" s="107" t="s">
        <v>29</v>
      </c>
      <c r="K19" s="37" t="s">
        <v>154</v>
      </c>
      <c r="L19" s="107">
        <v>17091002252</v>
      </c>
      <c r="M19" s="37" t="s">
        <v>155</v>
      </c>
      <c r="N19" s="127" t="s">
        <v>156</v>
      </c>
      <c r="O19" s="123" t="s">
        <v>157</v>
      </c>
      <c r="P19" s="131">
        <v>18353753766</v>
      </c>
      <c r="Q19" s="127" t="s">
        <v>158</v>
      </c>
      <c r="R19">
        <f t="shared" si="1"/>
        <v>2</v>
      </c>
      <c r="S19" s="15" t="s">
        <v>159</v>
      </c>
    </row>
    <row r="20" spans="1:19" ht="15.75">
      <c r="A20" s="106" t="str">
        <f t="shared" si="0"/>
        <v>nonono</v>
      </c>
      <c r="B20" s="21" t="s">
        <v>160</v>
      </c>
      <c r="C20" s="19" t="s">
        <v>161</v>
      </c>
      <c r="D20" s="112" t="s">
        <v>162</v>
      </c>
      <c r="E20" s="113" t="s">
        <v>163</v>
      </c>
      <c r="F20" s="114">
        <v>1</v>
      </c>
      <c r="G20" s="115">
        <v>2.1727272727272702</v>
      </c>
      <c r="H20" s="114">
        <v>5</v>
      </c>
      <c r="I20" s="132" t="s">
        <v>164</v>
      </c>
      <c r="J20" s="133" t="s">
        <v>29</v>
      </c>
      <c r="K20" s="114" t="s">
        <v>165</v>
      </c>
      <c r="L20" s="114">
        <v>15140531165</v>
      </c>
      <c r="M20" s="114" t="s">
        <v>166</v>
      </c>
      <c r="N20" s="127" t="s">
        <v>167</v>
      </c>
      <c r="O20" s="123" t="s">
        <v>168</v>
      </c>
      <c r="P20" s="131">
        <v>13840950332</v>
      </c>
      <c r="Q20" s="127" t="s">
        <v>169</v>
      </c>
      <c r="R20">
        <f t="shared" si="1"/>
        <v>2</v>
      </c>
      <c r="S20" s="15" t="s">
        <v>170</v>
      </c>
    </row>
    <row r="21" spans="1:19" ht="15.75">
      <c r="A21" s="106" t="str">
        <f t="shared" si="0"/>
        <v>nonono</v>
      </c>
      <c r="B21" s="21" t="s">
        <v>171</v>
      </c>
      <c r="C21" s="19" t="s">
        <v>172</v>
      </c>
      <c r="D21" s="112" t="s">
        <v>173</v>
      </c>
      <c r="E21" s="113" t="s">
        <v>163</v>
      </c>
      <c r="F21" s="114">
        <v>1</v>
      </c>
      <c r="G21" s="115">
        <v>1.2636363636363599</v>
      </c>
      <c r="H21" s="114">
        <v>3</v>
      </c>
      <c r="I21" s="132"/>
      <c r="J21" s="133" t="s">
        <v>29</v>
      </c>
      <c r="K21" s="114" t="s">
        <v>174</v>
      </c>
      <c r="L21" s="114">
        <v>13509603170</v>
      </c>
      <c r="M21" s="114" t="s">
        <v>175</v>
      </c>
      <c r="N21" s="127" t="s">
        <v>176</v>
      </c>
      <c r="O21" s="123" t="s">
        <v>177</v>
      </c>
      <c r="P21" s="134">
        <v>19875858842</v>
      </c>
      <c r="Q21" s="127" t="s">
        <v>178</v>
      </c>
      <c r="R21">
        <f t="shared" si="1"/>
        <v>2</v>
      </c>
      <c r="S21" s="15" t="s">
        <v>179</v>
      </c>
    </row>
    <row r="22" spans="1:19" ht="15.75">
      <c r="A22" s="106" t="str">
        <f t="shared" si="0"/>
        <v>nonono</v>
      </c>
      <c r="B22" s="21" t="s">
        <v>180</v>
      </c>
      <c r="C22" s="15" t="s">
        <v>181</v>
      </c>
      <c r="D22" s="107" t="s">
        <v>182</v>
      </c>
      <c r="E22" s="107" t="s">
        <v>183</v>
      </c>
      <c r="F22" s="107">
        <v>1</v>
      </c>
      <c r="G22" s="108">
        <v>0.81</v>
      </c>
      <c r="H22" s="107">
        <v>4</v>
      </c>
      <c r="I22" s="109" t="s">
        <v>184</v>
      </c>
      <c r="J22" s="107" t="s">
        <v>29</v>
      </c>
      <c r="K22" s="107" t="s">
        <v>185</v>
      </c>
      <c r="L22" s="107">
        <v>13620185771</v>
      </c>
      <c r="M22" s="107" t="s">
        <v>186</v>
      </c>
      <c r="N22" s="127" t="s">
        <v>187</v>
      </c>
      <c r="O22" s="123" t="s">
        <v>188</v>
      </c>
      <c r="P22" s="131">
        <v>13822481912</v>
      </c>
      <c r="Q22" s="127" t="s">
        <v>189</v>
      </c>
      <c r="R22">
        <f t="shared" si="1"/>
        <v>2</v>
      </c>
      <c r="S22" s="15" t="s">
        <v>190</v>
      </c>
    </row>
    <row r="23" spans="1:19" ht="15.75">
      <c r="A23" s="106" t="str">
        <f t="shared" si="0"/>
        <v>nonono</v>
      </c>
      <c r="B23" s="21" t="s">
        <v>191</v>
      </c>
      <c r="C23" s="15" t="s">
        <v>192</v>
      </c>
      <c r="D23" s="107" t="s">
        <v>193</v>
      </c>
      <c r="E23" s="107" t="s">
        <v>183</v>
      </c>
      <c r="F23" s="107">
        <v>1</v>
      </c>
      <c r="G23" s="108">
        <v>0.81</v>
      </c>
      <c r="H23" s="107">
        <v>4</v>
      </c>
      <c r="I23" s="109" t="s">
        <v>194</v>
      </c>
      <c r="J23" s="107" t="s">
        <v>29</v>
      </c>
      <c r="K23" s="107" t="s">
        <v>185</v>
      </c>
      <c r="L23" s="107">
        <v>13620185771</v>
      </c>
      <c r="M23" s="107" t="s">
        <v>186</v>
      </c>
      <c r="N23" s="127" t="s">
        <v>195</v>
      </c>
      <c r="O23" t="s">
        <v>186</v>
      </c>
      <c r="P23">
        <v>13620185771</v>
      </c>
      <c r="Q23" s="127" t="s">
        <v>196</v>
      </c>
      <c r="R23">
        <f t="shared" si="1"/>
        <v>2</v>
      </c>
      <c r="S23" s="15" t="s">
        <v>197</v>
      </c>
    </row>
    <row r="24" spans="1:19" ht="15.75">
      <c r="A24" s="106" t="str">
        <f t="shared" si="0"/>
        <v>nonono</v>
      </c>
      <c r="B24" s="21" t="s">
        <v>198</v>
      </c>
      <c r="C24" s="15" t="s">
        <v>199</v>
      </c>
      <c r="D24" s="107" t="s">
        <v>200</v>
      </c>
      <c r="E24" s="107" t="s">
        <v>201</v>
      </c>
      <c r="F24" s="107">
        <v>1</v>
      </c>
      <c r="G24" s="108">
        <v>1.72</v>
      </c>
      <c r="H24" s="107">
        <v>10</v>
      </c>
      <c r="I24" s="109" t="s">
        <v>202</v>
      </c>
      <c r="J24" s="107" t="s">
        <v>40</v>
      </c>
      <c r="K24" s="107" t="s">
        <v>203</v>
      </c>
      <c r="L24" s="107">
        <v>13672440172</v>
      </c>
      <c r="M24" s="135" t="s">
        <v>204</v>
      </c>
      <c r="N24" s="127" t="s">
        <v>205</v>
      </c>
      <c r="O24" s="123" t="s">
        <v>206</v>
      </c>
      <c r="P24" s="131">
        <v>18926238005</v>
      </c>
      <c r="Q24" s="127" t="s">
        <v>207</v>
      </c>
      <c r="R24">
        <f t="shared" si="1"/>
        <v>3</v>
      </c>
      <c r="S24" s="15" t="s">
        <v>208</v>
      </c>
    </row>
    <row r="25" spans="1:19" ht="15.75">
      <c r="A25" s="106" t="str">
        <f t="shared" si="0"/>
        <v>nonono</v>
      </c>
      <c r="B25" s="21" t="s">
        <v>209</v>
      </c>
      <c r="C25" s="15" t="s">
        <v>210</v>
      </c>
      <c r="D25" s="107" t="s">
        <v>211</v>
      </c>
      <c r="E25" s="107" t="s">
        <v>212</v>
      </c>
      <c r="F25" s="107">
        <v>1</v>
      </c>
      <c r="G25" s="108">
        <v>1.49</v>
      </c>
      <c r="H25" s="107">
        <v>15</v>
      </c>
      <c r="I25" s="109" t="s">
        <v>213</v>
      </c>
      <c r="J25" s="107" t="s">
        <v>40</v>
      </c>
      <c r="K25" s="37" t="s">
        <v>214</v>
      </c>
      <c r="L25" s="107">
        <v>13928934034</v>
      </c>
      <c r="M25" s="135" t="s">
        <v>215</v>
      </c>
      <c r="N25" s="127" t="s">
        <v>216</v>
      </c>
      <c r="O25" t="s">
        <v>215</v>
      </c>
      <c r="P25">
        <v>13928934034</v>
      </c>
      <c r="Q25" s="127" t="s">
        <v>217</v>
      </c>
      <c r="R25">
        <f t="shared" si="1"/>
        <v>3</v>
      </c>
      <c r="S25" s="15" t="s">
        <v>218</v>
      </c>
    </row>
    <row r="26" spans="1:19" ht="15.75">
      <c r="A26" s="106" t="str">
        <f t="shared" si="0"/>
        <v>nonono</v>
      </c>
      <c r="B26" s="21" t="s">
        <v>219</v>
      </c>
      <c r="C26" s="15" t="s">
        <v>220</v>
      </c>
      <c r="D26" s="37" t="s">
        <v>221</v>
      </c>
      <c r="E26" s="37" t="s">
        <v>201</v>
      </c>
      <c r="F26" s="37">
        <v>1</v>
      </c>
      <c r="G26" s="116">
        <v>1.49</v>
      </c>
      <c r="H26" s="37">
        <v>12</v>
      </c>
      <c r="I26" s="109" t="s">
        <v>202</v>
      </c>
      <c r="J26" s="107" t="s">
        <v>40</v>
      </c>
      <c r="K26" s="37" t="s">
        <v>222</v>
      </c>
      <c r="L26" s="107">
        <v>13527705551</v>
      </c>
      <c r="M26" s="135" t="s">
        <v>223</v>
      </c>
      <c r="N26" s="127" t="s">
        <v>224</v>
      </c>
      <c r="O26" t="s">
        <v>223</v>
      </c>
      <c r="P26">
        <v>13527705551</v>
      </c>
      <c r="Q26" s="127" t="s">
        <v>225</v>
      </c>
      <c r="R26">
        <f t="shared" si="1"/>
        <v>3</v>
      </c>
      <c r="S26" s="15" t="s">
        <v>226</v>
      </c>
    </row>
    <row r="27" spans="1:19" ht="15.75">
      <c r="A27" s="106" t="str">
        <f t="shared" si="0"/>
        <v>nonono</v>
      </c>
      <c r="B27" s="21" t="s">
        <v>227</v>
      </c>
      <c r="C27" s="15" t="s">
        <v>228</v>
      </c>
      <c r="D27" s="110" t="s">
        <v>132</v>
      </c>
      <c r="E27" s="107" t="s">
        <v>133</v>
      </c>
      <c r="F27" s="107">
        <v>1</v>
      </c>
      <c r="G27" s="111">
        <v>1.72</v>
      </c>
      <c r="H27" s="107">
        <v>15</v>
      </c>
      <c r="I27" s="109" t="s">
        <v>134</v>
      </c>
      <c r="J27" s="110" t="s">
        <v>40</v>
      </c>
      <c r="K27" s="136" t="s">
        <v>229</v>
      </c>
      <c r="L27" s="118">
        <v>13840761783</v>
      </c>
      <c r="M27" s="117" t="s">
        <v>230</v>
      </c>
      <c r="N27" s="127" t="s">
        <v>231</v>
      </c>
      <c r="O27" s="123" t="s">
        <v>232</v>
      </c>
      <c r="P27" s="125">
        <v>15502635188</v>
      </c>
      <c r="Q27" s="127" t="s">
        <v>233</v>
      </c>
      <c r="R27">
        <f t="shared" si="1"/>
        <v>4</v>
      </c>
      <c r="S27" s="15" t="s">
        <v>234</v>
      </c>
    </row>
    <row r="28" spans="1:19" ht="15.75">
      <c r="A28" s="106" t="str">
        <f t="shared" si="0"/>
        <v>nonono</v>
      </c>
      <c r="B28" s="21" t="s">
        <v>235</v>
      </c>
      <c r="C28" s="15" t="s">
        <v>236</v>
      </c>
      <c r="D28" s="110" t="s">
        <v>132</v>
      </c>
      <c r="E28" s="107" t="s">
        <v>133</v>
      </c>
      <c r="F28" s="107">
        <v>1</v>
      </c>
      <c r="G28" s="111">
        <v>1.72</v>
      </c>
      <c r="H28" s="107">
        <v>15</v>
      </c>
      <c r="I28" s="109" t="s">
        <v>134</v>
      </c>
      <c r="J28" s="110" t="s">
        <v>40</v>
      </c>
      <c r="K28" s="39" t="s">
        <v>237</v>
      </c>
      <c r="L28" s="34">
        <v>18341785826</v>
      </c>
      <c r="M28" s="39" t="s">
        <v>238</v>
      </c>
      <c r="N28" s="127" t="s">
        <v>239</v>
      </c>
      <c r="O28" t="s">
        <v>238</v>
      </c>
      <c r="P28">
        <v>18341785826</v>
      </c>
      <c r="Q28" s="127" t="s">
        <v>240</v>
      </c>
      <c r="R28">
        <f t="shared" si="1"/>
        <v>4</v>
      </c>
      <c r="S28" s="15" t="s">
        <v>241</v>
      </c>
    </row>
    <row r="29" spans="1:19" ht="15.75">
      <c r="A29" s="106" t="str">
        <f t="shared" si="0"/>
        <v>nonono</v>
      </c>
      <c r="B29" s="21" t="s">
        <v>242</v>
      </c>
      <c r="C29" s="15" t="s">
        <v>243</v>
      </c>
      <c r="D29" s="110" t="s">
        <v>132</v>
      </c>
      <c r="E29" s="107" t="s">
        <v>133</v>
      </c>
      <c r="F29" s="107">
        <v>1</v>
      </c>
      <c r="G29" s="111">
        <v>1.72</v>
      </c>
      <c r="H29" s="107">
        <v>15</v>
      </c>
      <c r="I29" s="109" t="s">
        <v>134</v>
      </c>
      <c r="J29" s="110" t="s">
        <v>40</v>
      </c>
      <c r="K29" s="39" t="s">
        <v>244</v>
      </c>
      <c r="L29" s="34">
        <v>13940778352</v>
      </c>
      <c r="M29" s="39" t="s">
        <v>245</v>
      </c>
      <c r="N29" s="127" t="s">
        <v>246</v>
      </c>
      <c r="O29" s="123" t="s">
        <v>247</v>
      </c>
      <c r="P29" s="128">
        <v>15642740440</v>
      </c>
      <c r="Q29" s="127" t="s">
        <v>248</v>
      </c>
      <c r="R29">
        <f t="shared" si="1"/>
        <v>4</v>
      </c>
      <c r="S29" s="15" t="s">
        <v>249</v>
      </c>
    </row>
    <row r="30" spans="1:19" ht="15.75">
      <c r="A30" s="106" t="str">
        <f t="shared" si="0"/>
        <v>nonono</v>
      </c>
      <c r="B30" s="21" t="s">
        <v>250</v>
      </c>
      <c r="C30" s="15" t="s">
        <v>251</v>
      </c>
      <c r="D30" s="37" t="s">
        <v>221</v>
      </c>
      <c r="E30" s="37" t="s">
        <v>201</v>
      </c>
      <c r="F30" s="37">
        <v>1</v>
      </c>
      <c r="G30" s="116">
        <v>1.49</v>
      </c>
      <c r="H30" s="37">
        <v>12</v>
      </c>
      <c r="I30" s="109" t="s">
        <v>202</v>
      </c>
      <c r="J30" s="107" t="s">
        <v>40</v>
      </c>
      <c r="K30" s="107" t="s">
        <v>252</v>
      </c>
      <c r="L30" s="107">
        <v>13662476777</v>
      </c>
      <c r="M30" s="135" t="s">
        <v>253</v>
      </c>
      <c r="N30" s="127" t="s">
        <v>254</v>
      </c>
      <c r="O30" s="123" t="s">
        <v>255</v>
      </c>
      <c r="P30" s="128">
        <v>17502026055</v>
      </c>
      <c r="Q30" s="127" t="s">
        <v>256</v>
      </c>
      <c r="R30">
        <f t="shared" si="1"/>
        <v>3</v>
      </c>
      <c r="S30" s="15" t="s">
        <v>257</v>
      </c>
    </row>
    <row r="31" spans="1:19" ht="15.75">
      <c r="A31" s="106" t="str">
        <f t="shared" si="0"/>
        <v>nonono</v>
      </c>
      <c r="B31" s="21" t="s">
        <v>258</v>
      </c>
      <c r="C31" s="15" t="s">
        <v>259</v>
      </c>
      <c r="D31" s="37" t="s">
        <v>260</v>
      </c>
      <c r="E31" s="37" t="s">
        <v>261</v>
      </c>
      <c r="F31" s="37">
        <v>1</v>
      </c>
      <c r="G31" s="116">
        <v>1.49</v>
      </c>
      <c r="H31" s="37">
        <v>13</v>
      </c>
      <c r="I31" s="109" t="s">
        <v>262</v>
      </c>
      <c r="J31" s="107" t="s">
        <v>40</v>
      </c>
      <c r="K31" s="107" t="s">
        <v>263</v>
      </c>
      <c r="L31" s="107">
        <v>13710770402</v>
      </c>
      <c r="M31" s="135" t="s">
        <v>264</v>
      </c>
      <c r="N31" s="127" t="s">
        <v>265</v>
      </c>
      <c r="O31" s="123" t="s">
        <v>266</v>
      </c>
      <c r="P31" s="128">
        <v>13428837406</v>
      </c>
      <c r="Q31" s="127" t="s">
        <v>267</v>
      </c>
      <c r="R31">
        <f t="shared" si="1"/>
        <v>3</v>
      </c>
      <c r="S31" s="15" t="s">
        <v>268</v>
      </c>
    </row>
    <row r="32" spans="1:19" ht="15.75">
      <c r="A32" s="106" t="str">
        <f t="shared" si="0"/>
        <v>nonono</v>
      </c>
      <c r="B32" s="21" t="s">
        <v>269</v>
      </c>
      <c r="C32" s="15" t="s">
        <v>270</v>
      </c>
      <c r="D32" s="107" t="s">
        <v>271</v>
      </c>
      <c r="E32" s="107" t="s">
        <v>261</v>
      </c>
      <c r="F32" s="107">
        <v>1</v>
      </c>
      <c r="G32" s="108">
        <v>1.95</v>
      </c>
      <c r="H32" s="107">
        <v>15</v>
      </c>
      <c r="I32" s="109" t="s">
        <v>262</v>
      </c>
      <c r="J32" s="107" t="s">
        <v>40</v>
      </c>
      <c r="K32" s="107" t="s">
        <v>272</v>
      </c>
      <c r="L32" s="107">
        <v>13928780807</v>
      </c>
      <c r="M32" s="135" t="s">
        <v>273</v>
      </c>
      <c r="N32" s="127" t="s">
        <v>274</v>
      </c>
      <c r="O32" s="123" t="s">
        <v>275</v>
      </c>
      <c r="P32" s="131">
        <v>13247686961</v>
      </c>
      <c r="Q32" s="127" t="s">
        <v>276</v>
      </c>
      <c r="R32">
        <f t="shared" si="1"/>
        <v>3</v>
      </c>
      <c r="S32" s="15" t="s">
        <v>277</v>
      </c>
    </row>
    <row r="33" spans="1:19" ht="15.75">
      <c r="A33" s="106" t="str">
        <f t="shared" si="0"/>
        <v>nonono</v>
      </c>
      <c r="B33" s="21" t="s">
        <v>278</v>
      </c>
      <c r="C33" s="15" t="s">
        <v>279</v>
      </c>
      <c r="D33" s="110" t="s">
        <v>280</v>
      </c>
      <c r="E33" s="107" t="s">
        <v>281</v>
      </c>
      <c r="F33" s="107">
        <v>1</v>
      </c>
      <c r="G33" s="108">
        <v>1.49</v>
      </c>
      <c r="H33" s="107">
        <v>9</v>
      </c>
      <c r="I33" s="137" t="s">
        <v>282</v>
      </c>
      <c r="J33" s="110" t="s">
        <v>40</v>
      </c>
      <c r="K33" s="110" t="s">
        <v>283</v>
      </c>
      <c r="L33" s="107">
        <v>15821041519</v>
      </c>
      <c r="M33" s="110" t="s">
        <v>284</v>
      </c>
      <c r="N33" s="127" t="s">
        <v>285</v>
      </c>
      <c r="O33" s="123" t="s">
        <v>286</v>
      </c>
      <c r="P33" s="131">
        <v>13916846362</v>
      </c>
      <c r="Q33" s="127" t="s">
        <v>287</v>
      </c>
      <c r="R33">
        <f t="shared" si="1"/>
        <v>2</v>
      </c>
      <c r="S33" s="15" t="s">
        <v>288</v>
      </c>
    </row>
    <row r="34" spans="1:19" ht="15.75">
      <c r="A34" s="106" t="str">
        <f t="shared" si="0"/>
        <v>nonono</v>
      </c>
      <c r="B34" s="21" t="s">
        <v>289</v>
      </c>
      <c r="C34" s="15" t="s">
        <v>290</v>
      </c>
      <c r="D34" s="110" t="s">
        <v>291</v>
      </c>
      <c r="E34" s="107" t="s">
        <v>292</v>
      </c>
      <c r="F34" s="107">
        <v>1</v>
      </c>
      <c r="G34" s="108">
        <v>1.04</v>
      </c>
      <c r="H34" s="107">
        <v>1</v>
      </c>
      <c r="I34" s="109"/>
      <c r="J34" s="110" t="s">
        <v>293</v>
      </c>
      <c r="K34" s="117" t="s">
        <v>294</v>
      </c>
      <c r="L34" s="37">
        <v>13664174071</v>
      </c>
      <c r="M34" s="37" t="s">
        <v>295</v>
      </c>
      <c r="N34" s="127" t="s">
        <v>296</v>
      </c>
      <c r="O34" t="s">
        <v>295</v>
      </c>
      <c r="P34">
        <v>13664174071</v>
      </c>
      <c r="Q34" s="127" t="s">
        <v>297</v>
      </c>
      <c r="R34">
        <f t="shared" si="1"/>
        <v>1</v>
      </c>
      <c r="S34" s="15" t="s">
        <v>298</v>
      </c>
    </row>
    <row r="35" spans="1:19" ht="15.75">
      <c r="A35" s="106" t="str">
        <f t="shared" si="0"/>
        <v>nonono</v>
      </c>
      <c r="B35" s="21" t="s">
        <v>299</v>
      </c>
      <c r="C35" s="15" t="s">
        <v>300</v>
      </c>
      <c r="D35" s="117" t="s">
        <v>301</v>
      </c>
      <c r="E35" s="37" t="s">
        <v>302</v>
      </c>
      <c r="F35" s="37">
        <v>1</v>
      </c>
      <c r="G35" s="116">
        <v>1.26</v>
      </c>
      <c r="H35" s="37">
        <v>1</v>
      </c>
      <c r="I35" s="137" t="s">
        <v>303</v>
      </c>
      <c r="J35" s="110" t="s">
        <v>304</v>
      </c>
      <c r="K35" s="110" t="s">
        <v>305</v>
      </c>
      <c r="L35" s="107">
        <v>18995138805</v>
      </c>
      <c r="M35" s="137" t="s">
        <v>306</v>
      </c>
      <c r="N35" s="127" t="s">
        <v>307</v>
      </c>
      <c r="O35" t="s">
        <v>306</v>
      </c>
      <c r="P35" s="126">
        <v>18995138805</v>
      </c>
      <c r="Q35" s="127" t="s">
        <v>308</v>
      </c>
      <c r="R35">
        <f t="shared" si="1"/>
        <v>1</v>
      </c>
      <c r="S35" s="15" t="s">
        <v>309</v>
      </c>
    </row>
    <row r="36" spans="1:19" ht="15.75">
      <c r="A36" s="106" t="str">
        <f t="shared" si="0"/>
        <v>nonono</v>
      </c>
      <c r="B36" s="21" t="s">
        <v>310</v>
      </c>
      <c r="C36" s="15" t="s">
        <v>311</v>
      </c>
      <c r="D36" s="117" t="s">
        <v>312</v>
      </c>
      <c r="E36" s="37" t="s">
        <v>302</v>
      </c>
      <c r="F36" s="37">
        <v>1</v>
      </c>
      <c r="G36" s="116">
        <v>0.81</v>
      </c>
      <c r="H36" s="37">
        <v>1</v>
      </c>
      <c r="I36" s="109"/>
      <c r="J36" s="110" t="s">
        <v>304</v>
      </c>
      <c r="K36" s="110" t="s">
        <v>313</v>
      </c>
      <c r="L36" s="107">
        <v>18910981290</v>
      </c>
      <c r="M36" s="110" t="s">
        <v>314</v>
      </c>
      <c r="N36" s="127" t="s">
        <v>315</v>
      </c>
      <c r="O36" t="s">
        <v>314</v>
      </c>
      <c r="P36" s="126">
        <v>18910981290</v>
      </c>
      <c r="Q36" s="127" t="s">
        <v>316</v>
      </c>
      <c r="R36">
        <f t="shared" si="1"/>
        <v>1</v>
      </c>
      <c r="S36" s="15" t="s">
        <v>317</v>
      </c>
    </row>
    <row r="37" spans="1:19" ht="15.75">
      <c r="A37" s="106" t="str">
        <f t="shared" si="0"/>
        <v>nonono</v>
      </c>
      <c r="B37" s="21" t="s">
        <v>318</v>
      </c>
      <c r="C37" s="15" t="s">
        <v>319</v>
      </c>
      <c r="D37" s="110" t="s">
        <v>320</v>
      </c>
      <c r="E37" s="107" t="s">
        <v>281</v>
      </c>
      <c r="F37" s="107">
        <v>1</v>
      </c>
      <c r="G37" s="108">
        <v>2.17</v>
      </c>
      <c r="H37" s="107">
        <v>11</v>
      </c>
      <c r="I37" s="137" t="s">
        <v>282</v>
      </c>
      <c r="J37" s="110" t="s">
        <v>40</v>
      </c>
      <c r="K37" s="110" t="s">
        <v>321</v>
      </c>
      <c r="L37" s="109">
        <v>13701078667</v>
      </c>
      <c r="M37" s="137" t="s">
        <v>322</v>
      </c>
      <c r="N37" s="127" t="s">
        <v>323</v>
      </c>
      <c r="O37" s="123" t="s">
        <v>324</v>
      </c>
      <c r="P37" s="138">
        <v>13466332447</v>
      </c>
      <c r="Q37" s="127" t="s">
        <v>325</v>
      </c>
      <c r="R37">
        <f t="shared" si="1"/>
        <v>4</v>
      </c>
      <c r="S37" s="15" t="s">
        <v>326</v>
      </c>
    </row>
    <row r="38" spans="1:19" ht="15.75">
      <c r="A38" s="106" t="str">
        <f t="shared" si="0"/>
        <v>nonono</v>
      </c>
      <c r="B38" s="21" t="s">
        <v>327</v>
      </c>
      <c r="C38" s="15" t="s">
        <v>328</v>
      </c>
      <c r="D38" s="110" t="s">
        <v>329</v>
      </c>
      <c r="E38" s="107" t="s">
        <v>281</v>
      </c>
      <c r="F38" s="107">
        <v>1</v>
      </c>
      <c r="G38" s="108">
        <v>1.26</v>
      </c>
      <c r="H38" s="107">
        <v>10</v>
      </c>
      <c r="I38" s="109" t="s">
        <v>330</v>
      </c>
      <c r="J38" s="110" t="s">
        <v>40</v>
      </c>
      <c r="K38" s="110" t="s">
        <v>331</v>
      </c>
      <c r="L38" s="107">
        <v>13906685749</v>
      </c>
      <c r="M38" s="110" t="s">
        <v>332</v>
      </c>
      <c r="N38" s="127" t="s">
        <v>333</v>
      </c>
      <c r="O38" s="123" t="s">
        <v>334</v>
      </c>
      <c r="P38" s="134">
        <v>13957852236</v>
      </c>
      <c r="Q38" s="127" t="s">
        <v>335</v>
      </c>
      <c r="R38">
        <f t="shared" si="1"/>
        <v>3</v>
      </c>
      <c r="S38" s="15" t="s">
        <v>336</v>
      </c>
    </row>
    <row r="39" spans="1:19" ht="15.75">
      <c r="A39" s="106" t="str">
        <f t="shared" si="0"/>
        <v>nonono</v>
      </c>
      <c r="B39" s="21" t="s">
        <v>337</v>
      </c>
      <c r="C39" s="15" t="s">
        <v>338</v>
      </c>
      <c r="D39" s="110" t="s">
        <v>132</v>
      </c>
      <c r="E39" s="107" t="s">
        <v>133</v>
      </c>
      <c r="F39" s="107">
        <v>1</v>
      </c>
      <c r="G39" s="111">
        <v>1.72</v>
      </c>
      <c r="H39" s="107">
        <v>15</v>
      </c>
      <c r="I39" s="109" t="s">
        <v>134</v>
      </c>
      <c r="J39" s="110" t="s">
        <v>40</v>
      </c>
      <c r="K39" s="39" t="s">
        <v>135</v>
      </c>
      <c r="L39" s="34">
        <v>13610961783</v>
      </c>
      <c r="M39" s="39" t="s">
        <v>136</v>
      </c>
      <c r="N39" s="127" t="s">
        <v>339</v>
      </c>
      <c r="O39" s="123" t="s">
        <v>340</v>
      </c>
      <c r="P39" s="128">
        <v>13942091299</v>
      </c>
      <c r="Q39" s="127" t="s">
        <v>341</v>
      </c>
      <c r="R39">
        <f t="shared" si="1"/>
        <v>3</v>
      </c>
      <c r="S39" s="15" t="s">
        <v>342</v>
      </c>
    </row>
    <row r="40" spans="1:19" ht="15.75">
      <c r="A40" s="106" t="str">
        <f t="shared" si="0"/>
        <v>nonono</v>
      </c>
      <c r="B40" s="21" t="s">
        <v>343</v>
      </c>
      <c r="C40" s="15" t="s">
        <v>344</v>
      </c>
      <c r="D40" s="110" t="s">
        <v>132</v>
      </c>
      <c r="E40" s="107" t="s">
        <v>133</v>
      </c>
      <c r="F40" s="107">
        <v>1</v>
      </c>
      <c r="G40" s="111">
        <v>1.72</v>
      </c>
      <c r="H40" s="107">
        <v>15</v>
      </c>
      <c r="I40" s="109" t="s">
        <v>134</v>
      </c>
      <c r="J40" s="110" t="s">
        <v>40</v>
      </c>
      <c r="K40" s="39" t="s">
        <v>345</v>
      </c>
      <c r="L40" s="34">
        <v>13840761783</v>
      </c>
      <c r="M40" s="34" t="s">
        <v>346</v>
      </c>
      <c r="N40" s="127" t="s">
        <v>347</v>
      </c>
      <c r="O40" s="123" t="s">
        <v>348</v>
      </c>
      <c r="P40" s="129">
        <v>15942737772</v>
      </c>
      <c r="Q40" s="127" t="s">
        <v>349</v>
      </c>
      <c r="R40">
        <f t="shared" si="1"/>
        <v>4</v>
      </c>
      <c r="S40" s="15" t="s">
        <v>350</v>
      </c>
    </row>
    <row r="41" spans="1:19" ht="15.75">
      <c r="A41" s="106" t="str">
        <f t="shared" si="0"/>
        <v>nonono</v>
      </c>
      <c r="B41" s="21" t="s">
        <v>351</v>
      </c>
      <c r="C41" s="22" t="s">
        <v>352</v>
      </c>
      <c r="D41" s="118" t="s">
        <v>353</v>
      </c>
      <c r="E41" s="37" t="s">
        <v>133</v>
      </c>
      <c r="F41" s="37">
        <v>1</v>
      </c>
      <c r="G41" s="116">
        <v>1.72</v>
      </c>
      <c r="H41" s="37">
        <v>14</v>
      </c>
      <c r="I41" s="109" t="s">
        <v>354</v>
      </c>
      <c r="J41" s="37" t="s">
        <v>40</v>
      </c>
      <c r="K41" s="37" t="s">
        <v>355</v>
      </c>
      <c r="L41" s="37">
        <v>13911116697</v>
      </c>
      <c r="M41" s="37" t="s">
        <v>356</v>
      </c>
      <c r="N41" s="127" t="s">
        <v>357</v>
      </c>
      <c r="O41" s="123" t="s">
        <v>358</v>
      </c>
      <c r="P41" s="129">
        <v>18268853990</v>
      </c>
      <c r="Q41" s="127" t="s">
        <v>359</v>
      </c>
      <c r="R41">
        <f t="shared" si="1"/>
        <v>4</v>
      </c>
      <c r="S41" s="15" t="s">
        <v>360</v>
      </c>
    </row>
    <row r="42" spans="1:19" ht="15.75">
      <c r="A42" s="106" t="str">
        <f t="shared" si="0"/>
        <v>nonono</v>
      </c>
      <c r="B42" s="21" t="s">
        <v>361</v>
      </c>
      <c r="C42" s="15" t="s">
        <v>362</v>
      </c>
      <c r="D42" s="37" t="s">
        <v>143</v>
      </c>
      <c r="E42" s="107" t="s">
        <v>144</v>
      </c>
      <c r="F42" s="107">
        <v>1</v>
      </c>
      <c r="G42" s="108">
        <v>1.49</v>
      </c>
      <c r="H42" s="107">
        <v>11</v>
      </c>
      <c r="I42" s="109" t="s">
        <v>145</v>
      </c>
      <c r="J42" s="37" t="s">
        <v>29</v>
      </c>
      <c r="K42" s="107" t="s">
        <v>363</v>
      </c>
      <c r="L42" s="107">
        <v>18105042053</v>
      </c>
      <c r="M42" s="37" t="s">
        <v>364</v>
      </c>
      <c r="N42" s="127" t="s">
        <v>365</v>
      </c>
      <c r="O42" s="123" t="s">
        <v>366</v>
      </c>
      <c r="P42" s="139">
        <v>15963380837</v>
      </c>
      <c r="Q42" s="127" t="s">
        <v>367</v>
      </c>
      <c r="R42">
        <f t="shared" si="1"/>
        <v>2</v>
      </c>
      <c r="S42" s="15" t="s">
        <v>368</v>
      </c>
    </row>
    <row r="43" spans="1:19" ht="15.75">
      <c r="A43" s="106" t="str">
        <f t="shared" si="0"/>
        <v>nonono</v>
      </c>
      <c r="B43" s="21" t="s">
        <v>369</v>
      </c>
      <c r="C43" s="15" t="s">
        <v>370</v>
      </c>
      <c r="D43" s="110" t="s">
        <v>371</v>
      </c>
      <c r="E43" s="107" t="s">
        <v>372</v>
      </c>
      <c r="F43" s="107">
        <v>1</v>
      </c>
      <c r="G43" s="108">
        <v>0.81</v>
      </c>
      <c r="H43" s="107">
        <v>7</v>
      </c>
      <c r="I43" s="109" t="s">
        <v>373</v>
      </c>
      <c r="J43" s="110" t="s">
        <v>29</v>
      </c>
      <c r="K43" s="110" t="s">
        <v>374</v>
      </c>
      <c r="L43" s="140">
        <v>15842480156</v>
      </c>
      <c r="M43" s="110" t="s">
        <v>375</v>
      </c>
      <c r="N43" s="127" t="s">
        <v>376</v>
      </c>
      <c r="O43" t="s">
        <v>375</v>
      </c>
      <c r="P43">
        <v>15842480156</v>
      </c>
      <c r="Q43" s="127" t="s">
        <v>377</v>
      </c>
      <c r="R43">
        <f t="shared" si="1"/>
        <v>1</v>
      </c>
      <c r="S43" s="15" t="s">
        <v>378</v>
      </c>
    </row>
    <row r="44" spans="1:19" ht="15.75">
      <c r="A44" s="106" t="str">
        <f t="shared" si="0"/>
        <v>nonono</v>
      </c>
      <c r="B44" s="21" t="s">
        <v>379</v>
      </c>
      <c r="C44" s="15" t="s">
        <v>380</v>
      </c>
      <c r="D44" s="110" t="s">
        <v>381</v>
      </c>
      <c r="E44" s="107" t="s">
        <v>382</v>
      </c>
      <c r="F44" s="107">
        <v>1</v>
      </c>
      <c r="G44" s="108">
        <v>1.72</v>
      </c>
      <c r="H44" s="107">
        <v>6</v>
      </c>
      <c r="I44" s="137" t="s">
        <v>383</v>
      </c>
      <c r="J44" s="110" t="s">
        <v>103</v>
      </c>
      <c r="K44" s="117" t="s">
        <v>384</v>
      </c>
      <c r="L44" s="107">
        <v>13928624134</v>
      </c>
      <c r="M44" s="110" t="s">
        <v>385</v>
      </c>
      <c r="N44" t="s">
        <v>384</v>
      </c>
      <c r="O44" t="s">
        <v>385</v>
      </c>
      <c r="P44">
        <v>13928624134</v>
      </c>
      <c r="Q44" t="s">
        <v>386</v>
      </c>
      <c r="R44">
        <f t="shared" si="1"/>
        <v>1</v>
      </c>
      <c r="S44" s="15" t="s">
        <v>387</v>
      </c>
    </row>
    <row r="45" spans="1:19" ht="15.75">
      <c r="A45" s="106" t="str">
        <f t="shared" si="0"/>
        <v>nonono</v>
      </c>
      <c r="B45" s="21" t="s">
        <v>388</v>
      </c>
      <c r="C45" s="15" t="s">
        <v>389</v>
      </c>
      <c r="D45" s="110" t="s">
        <v>390</v>
      </c>
      <c r="E45" s="107" t="s">
        <v>261</v>
      </c>
      <c r="F45" s="107">
        <v>1</v>
      </c>
      <c r="G45" s="108">
        <v>1.72</v>
      </c>
      <c r="H45" s="107">
        <v>12</v>
      </c>
      <c r="I45" s="137" t="s">
        <v>391</v>
      </c>
      <c r="J45" s="110" t="s">
        <v>40</v>
      </c>
      <c r="K45" s="141" t="s">
        <v>392</v>
      </c>
      <c r="L45" s="107">
        <v>18918016978</v>
      </c>
      <c r="M45" s="117" t="s">
        <v>393</v>
      </c>
      <c r="N45" s="127" t="s">
        <v>394</v>
      </c>
      <c r="O45" s="123" t="s">
        <v>395</v>
      </c>
      <c r="P45" s="134">
        <v>13917730987</v>
      </c>
      <c r="Q45" s="127" t="s">
        <v>396</v>
      </c>
      <c r="R45">
        <f t="shared" si="1"/>
        <v>4</v>
      </c>
      <c r="S45" s="15" t="s">
        <v>397</v>
      </c>
    </row>
    <row r="46" spans="1:19" ht="15.75">
      <c r="A46" s="106" t="str">
        <f t="shared" si="0"/>
        <v>nonono</v>
      </c>
      <c r="B46" s="21" t="s">
        <v>398</v>
      </c>
      <c r="C46" s="15" t="s">
        <v>399</v>
      </c>
      <c r="D46" s="110" t="s">
        <v>400</v>
      </c>
      <c r="E46" s="107" t="s">
        <v>401</v>
      </c>
      <c r="F46" s="107">
        <v>1</v>
      </c>
      <c r="G46" s="108">
        <v>1.04</v>
      </c>
      <c r="H46" s="107">
        <v>3</v>
      </c>
      <c r="I46" s="137" t="s">
        <v>402</v>
      </c>
      <c r="J46" s="110" t="s">
        <v>103</v>
      </c>
      <c r="K46" s="117" t="s">
        <v>403</v>
      </c>
      <c r="L46" s="107">
        <v>18022023303</v>
      </c>
      <c r="M46" s="110" t="s">
        <v>404</v>
      </c>
      <c r="N46" t="s">
        <v>403</v>
      </c>
      <c r="O46" t="s">
        <v>404</v>
      </c>
      <c r="P46">
        <v>18022023303</v>
      </c>
      <c r="Q46" t="s">
        <v>405</v>
      </c>
      <c r="R46">
        <f t="shared" si="1"/>
        <v>1</v>
      </c>
      <c r="S46" s="15" t="s">
        <v>406</v>
      </c>
    </row>
    <row r="47" spans="1:19" ht="15.75">
      <c r="A47" s="106" t="str">
        <f t="shared" si="0"/>
        <v>nonono</v>
      </c>
      <c r="B47" s="21" t="s">
        <v>407</v>
      </c>
      <c r="C47" s="15" t="s">
        <v>408</v>
      </c>
      <c r="D47" s="110" t="s">
        <v>409</v>
      </c>
      <c r="E47" s="107" t="s">
        <v>410</v>
      </c>
      <c r="F47" s="107">
        <v>1</v>
      </c>
      <c r="G47" s="108">
        <v>0.81</v>
      </c>
      <c r="H47" s="107">
        <v>2</v>
      </c>
      <c r="I47" s="109" t="s">
        <v>411</v>
      </c>
      <c r="J47" s="110" t="s">
        <v>29</v>
      </c>
      <c r="K47" s="117" t="s">
        <v>412</v>
      </c>
      <c r="L47" s="107">
        <v>13759876636</v>
      </c>
      <c r="M47" s="110" t="s">
        <v>413</v>
      </c>
      <c r="N47" s="127" t="s">
        <v>414</v>
      </c>
      <c r="O47" t="s">
        <v>413</v>
      </c>
      <c r="P47">
        <v>13759876636</v>
      </c>
      <c r="Q47" s="127" t="s">
        <v>415</v>
      </c>
      <c r="R47">
        <f t="shared" si="1"/>
        <v>1</v>
      </c>
      <c r="S47" s="15" t="s">
        <v>416</v>
      </c>
    </row>
    <row r="48" spans="1:19" ht="15.75">
      <c r="A48" s="106" t="str">
        <f t="shared" si="0"/>
        <v>nonono</v>
      </c>
      <c r="B48" s="21" t="s">
        <v>417</v>
      </c>
      <c r="C48" s="15" t="s">
        <v>418</v>
      </c>
      <c r="D48" s="110" t="s">
        <v>419</v>
      </c>
      <c r="E48" s="107" t="s">
        <v>420</v>
      </c>
      <c r="F48" s="107">
        <v>1</v>
      </c>
      <c r="G48" s="108">
        <v>1.26</v>
      </c>
      <c r="H48" s="107">
        <v>8</v>
      </c>
      <c r="I48" s="109"/>
      <c r="J48" s="110" t="s">
        <v>29</v>
      </c>
      <c r="K48" s="110" t="s">
        <v>421</v>
      </c>
      <c r="L48" s="107">
        <v>13524155250</v>
      </c>
      <c r="M48" s="142" t="s">
        <v>422</v>
      </c>
      <c r="N48" s="127" t="s">
        <v>423</v>
      </c>
      <c r="O48" t="s">
        <v>422</v>
      </c>
      <c r="P48" s="126">
        <v>13524155250</v>
      </c>
      <c r="Q48" s="127" t="s">
        <v>424</v>
      </c>
      <c r="R48">
        <f t="shared" si="1"/>
        <v>1</v>
      </c>
      <c r="S48" s="15" t="s">
        <v>425</v>
      </c>
    </row>
    <row r="49" spans="1:19" ht="15.75">
      <c r="A49" s="106" t="str">
        <f t="shared" si="0"/>
        <v>nonono</v>
      </c>
      <c r="B49" s="21" t="s">
        <v>426</v>
      </c>
      <c r="C49" s="15" t="s">
        <v>427</v>
      </c>
      <c r="D49" s="110" t="s">
        <v>428</v>
      </c>
      <c r="E49" s="107" t="s">
        <v>429</v>
      </c>
      <c r="F49" s="107">
        <v>1</v>
      </c>
      <c r="G49" s="108">
        <v>0.81</v>
      </c>
      <c r="H49" s="107">
        <v>8</v>
      </c>
      <c r="I49" s="137" t="s">
        <v>430</v>
      </c>
      <c r="J49" s="110" t="s">
        <v>29</v>
      </c>
      <c r="K49" s="110" t="s">
        <v>431</v>
      </c>
      <c r="L49" s="107">
        <v>18616197150</v>
      </c>
      <c r="M49" s="110" t="s">
        <v>432</v>
      </c>
      <c r="N49" s="127" t="s">
        <v>433</v>
      </c>
      <c r="O49" t="s">
        <v>432</v>
      </c>
      <c r="P49" s="126">
        <v>18616197150</v>
      </c>
      <c r="Q49" s="127" t="s">
        <v>434</v>
      </c>
      <c r="R49">
        <f t="shared" si="1"/>
        <v>1</v>
      </c>
      <c r="S49" s="15" t="s">
        <v>435</v>
      </c>
    </row>
    <row r="50" spans="1:19" ht="15.75">
      <c r="A50" s="106" t="str">
        <f t="shared" si="0"/>
        <v>nonono</v>
      </c>
      <c r="B50" s="21" t="s">
        <v>436</v>
      </c>
      <c r="C50" s="15" t="s">
        <v>437</v>
      </c>
      <c r="D50" s="110" t="s">
        <v>438</v>
      </c>
      <c r="E50" s="107" t="s">
        <v>111</v>
      </c>
      <c r="F50" s="107">
        <v>1</v>
      </c>
      <c r="G50" s="108">
        <v>1.26</v>
      </c>
      <c r="H50" s="107">
        <v>12</v>
      </c>
      <c r="I50" s="109" t="s">
        <v>439</v>
      </c>
      <c r="J50" s="110" t="s">
        <v>40</v>
      </c>
      <c r="K50" s="110" t="s">
        <v>440</v>
      </c>
      <c r="L50" s="107">
        <v>15912146261</v>
      </c>
      <c r="M50" s="110" t="s">
        <v>441</v>
      </c>
      <c r="N50" s="127" t="s">
        <v>442</v>
      </c>
      <c r="O50" s="123" t="s">
        <v>443</v>
      </c>
      <c r="P50" s="143">
        <v>15287199133</v>
      </c>
      <c r="Q50" s="127" t="s">
        <v>444</v>
      </c>
      <c r="R50">
        <f t="shared" si="1"/>
        <v>2</v>
      </c>
      <c r="S50" s="15" t="s">
        <v>445</v>
      </c>
    </row>
    <row r="51" spans="1:19" ht="15.75">
      <c r="A51" s="106" t="str">
        <f t="shared" si="0"/>
        <v>nonono</v>
      </c>
      <c r="B51" s="21" t="s">
        <v>446</v>
      </c>
      <c r="C51" s="15" t="s">
        <v>447</v>
      </c>
      <c r="D51" s="110" t="s">
        <v>448</v>
      </c>
      <c r="E51" s="107" t="s">
        <v>449</v>
      </c>
      <c r="F51" s="107">
        <v>1</v>
      </c>
      <c r="G51" s="108">
        <v>0.35</v>
      </c>
      <c r="H51" s="107">
        <v>2</v>
      </c>
      <c r="I51" s="109" t="s">
        <v>450</v>
      </c>
      <c r="J51" s="110" t="s">
        <v>29</v>
      </c>
      <c r="K51" s="110" t="s">
        <v>451</v>
      </c>
      <c r="L51" s="107">
        <v>15503402393</v>
      </c>
      <c r="M51" s="110" t="s">
        <v>452</v>
      </c>
      <c r="N51" t="s">
        <v>451</v>
      </c>
      <c r="O51" t="s">
        <v>452</v>
      </c>
      <c r="P51" s="126">
        <v>15503402393</v>
      </c>
      <c r="Q51" t="s">
        <v>453</v>
      </c>
      <c r="R51">
        <f t="shared" si="1"/>
        <v>1</v>
      </c>
      <c r="S51" s="15" t="s">
        <v>454</v>
      </c>
    </row>
    <row r="52" spans="1:19" ht="15.75">
      <c r="A52" s="106" t="str">
        <f t="shared" si="0"/>
        <v>nonono</v>
      </c>
      <c r="B52" s="21" t="s">
        <v>455</v>
      </c>
      <c r="C52" s="15" t="s">
        <v>456</v>
      </c>
      <c r="D52" s="110" t="s">
        <v>291</v>
      </c>
      <c r="E52" s="107" t="s">
        <v>292</v>
      </c>
      <c r="F52" s="107">
        <v>1</v>
      </c>
      <c r="G52" s="108">
        <v>0.81</v>
      </c>
      <c r="H52" s="107">
        <v>1</v>
      </c>
      <c r="I52" s="109"/>
      <c r="J52" s="110" t="s">
        <v>293</v>
      </c>
      <c r="K52" s="117" t="s">
        <v>457</v>
      </c>
      <c r="L52" s="37">
        <v>13580345567</v>
      </c>
      <c r="M52" s="37" t="s">
        <v>458</v>
      </c>
      <c r="N52" s="127" t="s">
        <v>459</v>
      </c>
      <c r="O52" t="s">
        <v>458</v>
      </c>
      <c r="P52">
        <v>13580345567</v>
      </c>
      <c r="Q52" s="127" t="s">
        <v>460</v>
      </c>
      <c r="R52">
        <f t="shared" si="1"/>
        <v>1</v>
      </c>
      <c r="S52" s="15" t="s">
        <v>461</v>
      </c>
    </row>
    <row r="53" spans="1:19" ht="15.75">
      <c r="A53" s="106" t="str">
        <f t="shared" si="0"/>
        <v>nonono</v>
      </c>
      <c r="B53" s="21" t="s">
        <v>462</v>
      </c>
      <c r="C53" s="15" t="s">
        <v>463</v>
      </c>
      <c r="D53" s="110" t="s">
        <v>464</v>
      </c>
      <c r="E53" s="107" t="s">
        <v>465</v>
      </c>
      <c r="F53" s="107">
        <v>1</v>
      </c>
      <c r="G53" s="108">
        <v>1.04</v>
      </c>
      <c r="H53" s="107">
        <v>1</v>
      </c>
      <c r="I53" s="109"/>
      <c r="J53" s="110" t="s">
        <v>304</v>
      </c>
      <c r="K53" s="117" t="s">
        <v>466</v>
      </c>
      <c r="L53" s="37">
        <v>13981983850</v>
      </c>
      <c r="M53" s="37" t="s">
        <v>467</v>
      </c>
      <c r="N53" s="127" t="s">
        <v>468</v>
      </c>
      <c r="O53" t="s">
        <v>467</v>
      </c>
      <c r="P53">
        <v>13981983850</v>
      </c>
      <c r="Q53" s="127" t="s">
        <v>469</v>
      </c>
      <c r="R53">
        <f t="shared" si="1"/>
        <v>1</v>
      </c>
      <c r="S53" s="15" t="s">
        <v>470</v>
      </c>
    </row>
    <row r="54" spans="1:19" ht="15.75">
      <c r="A54" s="106" t="str">
        <f t="shared" si="0"/>
        <v>nonono</v>
      </c>
      <c r="B54" s="21" t="s">
        <v>471</v>
      </c>
      <c r="C54" s="15" t="s">
        <v>472</v>
      </c>
      <c r="D54" s="110" t="s">
        <v>473</v>
      </c>
      <c r="E54" s="107" t="s">
        <v>474</v>
      </c>
      <c r="F54" s="107">
        <v>1</v>
      </c>
      <c r="G54" s="108">
        <v>0.35</v>
      </c>
      <c r="H54" s="107">
        <v>3</v>
      </c>
      <c r="I54" s="137" t="s">
        <v>402</v>
      </c>
      <c r="J54" s="110" t="s">
        <v>103</v>
      </c>
      <c r="K54" s="110" t="s">
        <v>475</v>
      </c>
      <c r="L54" s="107">
        <v>13922733066</v>
      </c>
      <c r="M54" s="110" t="s">
        <v>476</v>
      </c>
      <c r="N54" t="s">
        <v>475</v>
      </c>
      <c r="O54" t="s">
        <v>476</v>
      </c>
      <c r="P54">
        <v>13922733066</v>
      </c>
      <c r="Q54" t="s">
        <v>477</v>
      </c>
      <c r="R54">
        <f t="shared" si="1"/>
        <v>1</v>
      </c>
      <c r="S54" s="15" t="s">
        <v>478</v>
      </c>
    </row>
    <row r="55" spans="1:19" ht="15.75">
      <c r="A55" s="106" t="str">
        <f t="shared" si="0"/>
        <v>nonono</v>
      </c>
      <c r="B55" s="21" t="s">
        <v>479</v>
      </c>
      <c r="C55" s="15" t="s">
        <v>480</v>
      </c>
      <c r="D55" s="110" t="s">
        <v>481</v>
      </c>
      <c r="E55" s="107" t="s">
        <v>482</v>
      </c>
      <c r="F55" s="107">
        <v>1</v>
      </c>
      <c r="G55" s="108">
        <v>0.35</v>
      </c>
      <c r="H55" s="107">
        <v>2</v>
      </c>
      <c r="I55" s="137" t="s">
        <v>402</v>
      </c>
      <c r="J55" s="110" t="s">
        <v>103</v>
      </c>
      <c r="K55" s="110" t="s">
        <v>483</v>
      </c>
      <c r="L55" s="107">
        <v>18696745567</v>
      </c>
      <c r="M55" s="110" t="s">
        <v>484</v>
      </c>
      <c r="N55" t="s">
        <v>483</v>
      </c>
      <c r="O55" t="s">
        <v>484</v>
      </c>
      <c r="P55">
        <v>18696745567</v>
      </c>
      <c r="Q55" t="s">
        <v>485</v>
      </c>
      <c r="R55">
        <f t="shared" si="1"/>
        <v>1</v>
      </c>
      <c r="S55" s="15" t="s">
        <v>486</v>
      </c>
    </row>
    <row r="56" spans="1:19" ht="15.75">
      <c r="A56" s="106" t="str">
        <f t="shared" si="0"/>
        <v>nonono</v>
      </c>
      <c r="B56" s="21" t="s">
        <v>487</v>
      </c>
      <c r="C56" s="15" t="s">
        <v>488</v>
      </c>
      <c r="D56" s="110" t="s">
        <v>489</v>
      </c>
      <c r="E56" s="107" t="s">
        <v>482</v>
      </c>
      <c r="F56" s="107">
        <v>1</v>
      </c>
      <c r="G56" s="108">
        <v>1.26</v>
      </c>
      <c r="H56" s="107">
        <v>2</v>
      </c>
      <c r="I56" s="137" t="s">
        <v>402</v>
      </c>
      <c r="J56" s="110" t="s">
        <v>293</v>
      </c>
      <c r="K56" s="110" t="s">
        <v>490</v>
      </c>
      <c r="L56" s="107">
        <v>15923288889</v>
      </c>
      <c r="M56" s="110" t="s">
        <v>491</v>
      </c>
      <c r="N56" s="126" t="s">
        <v>490</v>
      </c>
      <c r="O56" t="s">
        <v>491</v>
      </c>
      <c r="P56" s="126">
        <v>15923288889</v>
      </c>
      <c r="Q56" s="126" t="s">
        <v>492</v>
      </c>
      <c r="R56">
        <f t="shared" si="1"/>
        <v>1</v>
      </c>
      <c r="S56" s="15" t="s">
        <v>493</v>
      </c>
    </row>
    <row r="57" spans="1:19" ht="15.75">
      <c r="A57" s="106" t="str">
        <f t="shared" si="0"/>
        <v>nonono</v>
      </c>
      <c r="B57" s="21" t="s">
        <v>494</v>
      </c>
      <c r="C57" s="15" t="s">
        <v>495</v>
      </c>
      <c r="D57" s="110" t="s">
        <v>496</v>
      </c>
      <c r="E57" s="107" t="s">
        <v>482</v>
      </c>
      <c r="F57" s="107">
        <v>1</v>
      </c>
      <c r="G57" s="108">
        <v>1.04</v>
      </c>
      <c r="H57" s="107">
        <v>5</v>
      </c>
      <c r="I57" s="137" t="s">
        <v>402</v>
      </c>
      <c r="J57" s="110" t="s">
        <v>103</v>
      </c>
      <c r="K57" s="110" t="s">
        <v>497</v>
      </c>
      <c r="L57" s="107">
        <v>13787106733</v>
      </c>
      <c r="M57" s="110" t="s">
        <v>498</v>
      </c>
      <c r="N57" s="127" t="s">
        <v>499</v>
      </c>
      <c r="O57" s="123" t="s">
        <v>500</v>
      </c>
      <c r="P57" s="128">
        <v>15116220816</v>
      </c>
      <c r="Q57" s="127" t="s">
        <v>501</v>
      </c>
      <c r="R57">
        <f t="shared" si="1"/>
        <v>2</v>
      </c>
      <c r="S57" s="15" t="s">
        <v>502</v>
      </c>
    </row>
    <row r="58" spans="1:19" ht="15.75">
      <c r="A58" s="106" t="str">
        <f t="shared" si="0"/>
        <v>nonono</v>
      </c>
      <c r="B58" s="21" t="s">
        <v>503</v>
      </c>
      <c r="C58" s="15" t="s">
        <v>504</v>
      </c>
      <c r="D58" s="110" t="s">
        <v>291</v>
      </c>
      <c r="E58" s="37" t="s">
        <v>292</v>
      </c>
      <c r="F58" s="107">
        <v>1</v>
      </c>
      <c r="G58" s="108">
        <v>0.81</v>
      </c>
      <c r="H58" s="107">
        <v>1</v>
      </c>
      <c r="I58" s="109"/>
      <c r="J58" s="110" t="s">
        <v>293</v>
      </c>
      <c r="K58" s="117" t="s">
        <v>505</v>
      </c>
      <c r="L58" s="37">
        <v>13898859089</v>
      </c>
      <c r="M58" s="37" t="s">
        <v>506</v>
      </c>
      <c r="N58" t="s">
        <v>505</v>
      </c>
      <c r="O58" t="s">
        <v>506</v>
      </c>
      <c r="P58">
        <v>13898859000</v>
      </c>
      <c r="Q58" t="s">
        <v>507</v>
      </c>
      <c r="R58">
        <f t="shared" si="1"/>
        <v>2</v>
      </c>
      <c r="S58" s="15" t="s">
        <v>508</v>
      </c>
    </row>
    <row r="59" spans="1:19" ht="15.75">
      <c r="A59" s="106" t="str">
        <f t="shared" si="0"/>
        <v>nonono</v>
      </c>
      <c r="B59" s="21" t="s">
        <v>509</v>
      </c>
      <c r="C59" s="15" t="s">
        <v>510</v>
      </c>
      <c r="D59" s="110" t="s">
        <v>291</v>
      </c>
      <c r="E59" s="37" t="s">
        <v>292</v>
      </c>
      <c r="F59" s="107">
        <v>1</v>
      </c>
      <c r="G59" s="108">
        <v>0.81</v>
      </c>
      <c r="H59" s="107">
        <v>1</v>
      </c>
      <c r="I59" s="109"/>
      <c r="J59" s="110" t="s">
        <v>293</v>
      </c>
      <c r="K59" s="117" t="s">
        <v>511</v>
      </c>
      <c r="L59" s="37">
        <v>13980354424</v>
      </c>
      <c r="M59" s="37" t="s">
        <v>512</v>
      </c>
      <c r="N59" s="127" t="s">
        <v>513</v>
      </c>
      <c r="O59" t="s">
        <v>512</v>
      </c>
      <c r="P59">
        <v>13980354424</v>
      </c>
      <c r="Q59" s="146" t="s">
        <v>514</v>
      </c>
      <c r="R59">
        <f t="shared" si="1"/>
        <v>1</v>
      </c>
      <c r="S59" s="15" t="s">
        <v>515</v>
      </c>
    </row>
    <row r="60" spans="1:19" ht="15.75">
      <c r="A60" s="106" t="str">
        <f t="shared" si="0"/>
        <v>nonono</v>
      </c>
      <c r="B60" s="21" t="s">
        <v>516</v>
      </c>
      <c r="C60" s="15" t="s">
        <v>517</v>
      </c>
      <c r="D60" s="110" t="s">
        <v>291</v>
      </c>
      <c r="E60" s="107" t="s">
        <v>292</v>
      </c>
      <c r="F60" s="107">
        <v>1</v>
      </c>
      <c r="G60" s="108">
        <v>1.04</v>
      </c>
      <c r="H60" s="107">
        <v>1</v>
      </c>
      <c r="I60" s="109"/>
      <c r="J60" s="110" t="s">
        <v>293</v>
      </c>
      <c r="K60" s="117" t="s">
        <v>505</v>
      </c>
      <c r="L60" s="37">
        <v>13898859089</v>
      </c>
      <c r="M60" s="37" t="s">
        <v>518</v>
      </c>
      <c r="N60" s="127" t="s">
        <v>519</v>
      </c>
      <c r="O60" t="s">
        <v>518</v>
      </c>
      <c r="P60">
        <v>13898859089</v>
      </c>
      <c r="Q60" s="127" t="s">
        <v>520</v>
      </c>
      <c r="R60">
        <f t="shared" si="1"/>
        <v>2</v>
      </c>
      <c r="S60" s="15" t="s">
        <v>521</v>
      </c>
    </row>
    <row r="61" spans="1:19" ht="15.75">
      <c r="A61" s="106" t="str">
        <f t="shared" si="0"/>
        <v>nonono</v>
      </c>
      <c r="B61" s="21" t="s">
        <v>522</v>
      </c>
      <c r="C61" s="15" t="s">
        <v>523</v>
      </c>
      <c r="D61" s="117" t="s">
        <v>524</v>
      </c>
      <c r="E61" s="37" t="s">
        <v>525</v>
      </c>
      <c r="F61" s="37">
        <v>1</v>
      </c>
      <c r="G61" s="116">
        <v>0.81</v>
      </c>
      <c r="H61" s="37">
        <v>2</v>
      </c>
      <c r="I61" s="137" t="s">
        <v>402</v>
      </c>
      <c r="J61" s="110" t="s">
        <v>293</v>
      </c>
      <c r="K61" s="117" t="s">
        <v>526</v>
      </c>
      <c r="L61" s="37">
        <v>18398540231</v>
      </c>
      <c r="M61" s="37" t="s">
        <v>527</v>
      </c>
      <c r="N61" s="127" t="s">
        <v>528</v>
      </c>
      <c r="O61" t="s">
        <v>527</v>
      </c>
      <c r="P61">
        <v>18398540231</v>
      </c>
      <c r="Q61" s="127" t="s">
        <v>529</v>
      </c>
      <c r="R61">
        <f t="shared" si="1"/>
        <v>1</v>
      </c>
      <c r="S61" s="15" t="s">
        <v>530</v>
      </c>
    </row>
    <row r="62" spans="1:19" ht="15.75">
      <c r="A62" s="106" t="str">
        <f t="shared" si="0"/>
        <v>nonono</v>
      </c>
      <c r="B62" s="21" t="s">
        <v>531</v>
      </c>
      <c r="C62" s="15" t="s">
        <v>532</v>
      </c>
      <c r="D62" s="110" t="s">
        <v>533</v>
      </c>
      <c r="E62" s="37" t="s">
        <v>69</v>
      </c>
      <c r="F62" s="107">
        <v>1</v>
      </c>
      <c r="G62" s="108">
        <v>1.49</v>
      </c>
      <c r="H62" s="107">
        <v>15</v>
      </c>
      <c r="I62" s="137" t="s">
        <v>534</v>
      </c>
      <c r="J62" s="110" t="s">
        <v>40</v>
      </c>
      <c r="K62" s="110" t="s">
        <v>535</v>
      </c>
      <c r="L62" s="107">
        <v>18735571147</v>
      </c>
      <c r="M62" s="110" t="s">
        <v>536</v>
      </c>
      <c r="N62" t="s">
        <v>535</v>
      </c>
      <c r="O62" t="s">
        <v>536</v>
      </c>
      <c r="P62">
        <v>18735571147</v>
      </c>
      <c r="Q62" t="s">
        <v>537</v>
      </c>
      <c r="R62">
        <f t="shared" si="1"/>
        <v>1</v>
      </c>
      <c r="S62" s="15" t="s">
        <v>538</v>
      </c>
    </row>
    <row r="63" spans="1:19" ht="15.75">
      <c r="A63" s="106" t="str">
        <f t="shared" si="0"/>
        <v>nonono</v>
      </c>
      <c r="B63" s="21" t="s">
        <v>539</v>
      </c>
      <c r="C63" s="15" t="s">
        <v>540</v>
      </c>
      <c r="D63" s="117" t="s">
        <v>541</v>
      </c>
      <c r="E63" s="107" t="s">
        <v>261</v>
      </c>
      <c r="F63" s="107">
        <v>1</v>
      </c>
      <c r="G63" s="108">
        <v>1.26</v>
      </c>
      <c r="H63" s="107">
        <v>12</v>
      </c>
      <c r="I63" s="109" t="s">
        <v>542</v>
      </c>
      <c r="J63" s="110" t="s">
        <v>40</v>
      </c>
      <c r="K63" s="110" t="s">
        <v>543</v>
      </c>
      <c r="L63" s="107">
        <v>13736950166</v>
      </c>
      <c r="M63" s="110" t="s">
        <v>544</v>
      </c>
      <c r="N63" t="s">
        <v>543</v>
      </c>
      <c r="O63" t="s">
        <v>544</v>
      </c>
      <c r="P63">
        <v>13736950166</v>
      </c>
      <c r="Q63" t="s">
        <v>545</v>
      </c>
      <c r="R63">
        <f t="shared" si="1"/>
        <v>1</v>
      </c>
      <c r="S63" s="15" t="s">
        <v>546</v>
      </c>
    </row>
    <row r="64" spans="1:19" ht="15.75">
      <c r="A64" s="106" t="str">
        <f t="shared" si="0"/>
        <v>nonono</v>
      </c>
      <c r="B64" s="21" t="s">
        <v>547</v>
      </c>
      <c r="C64" s="15" t="s">
        <v>548</v>
      </c>
      <c r="D64" s="117" t="s">
        <v>549</v>
      </c>
      <c r="E64" s="107" t="s">
        <v>281</v>
      </c>
      <c r="F64" s="107">
        <v>1</v>
      </c>
      <c r="G64" s="108">
        <v>1.26</v>
      </c>
      <c r="H64" s="107">
        <v>8</v>
      </c>
      <c r="I64" s="109" t="s">
        <v>550</v>
      </c>
      <c r="J64" s="110" t="s">
        <v>40</v>
      </c>
      <c r="K64" s="110" t="s">
        <v>551</v>
      </c>
      <c r="L64" s="107">
        <v>15932748608</v>
      </c>
      <c r="M64" s="142" t="s">
        <v>552</v>
      </c>
      <c r="N64" s="127" t="s">
        <v>553</v>
      </c>
      <c r="O64" s="123" t="s">
        <v>554</v>
      </c>
      <c r="P64" s="134">
        <v>13932714630</v>
      </c>
      <c r="Q64" s="127" t="s">
        <v>555</v>
      </c>
      <c r="R64">
        <f t="shared" si="1"/>
        <v>2</v>
      </c>
      <c r="S64" s="15" t="s">
        <v>556</v>
      </c>
    </row>
    <row r="65" spans="1:19" ht="15.75">
      <c r="A65" s="106" t="str">
        <f t="shared" si="0"/>
        <v>nonono</v>
      </c>
      <c r="B65" s="21" t="s">
        <v>557</v>
      </c>
      <c r="C65" s="15" t="s">
        <v>558</v>
      </c>
      <c r="D65" s="110" t="s">
        <v>559</v>
      </c>
      <c r="E65" s="107" t="s">
        <v>560</v>
      </c>
      <c r="F65" s="107">
        <v>1</v>
      </c>
      <c r="G65" s="108">
        <v>1.49</v>
      </c>
      <c r="H65" s="107">
        <v>6</v>
      </c>
      <c r="I65" s="109" t="s">
        <v>561</v>
      </c>
      <c r="J65" s="110" t="s">
        <v>40</v>
      </c>
      <c r="K65" s="137" t="s">
        <v>562</v>
      </c>
      <c r="L65" s="107">
        <v>13760676033</v>
      </c>
      <c r="M65" s="142" t="s">
        <v>563</v>
      </c>
      <c r="N65" s="127" t="s">
        <v>564</v>
      </c>
      <c r="O65" s="123" t="s">
        <v>565</v>
      </c>
      <c r="P65" s="129">
        <v>13450889944</v>
      </c>
      <c r="Q65" s="127" t="s">
        <v>566</v>
      </c>
      <c r="R65">
        <f t="shared" si="1"/>
        <v>3</v>
      </c>
      <c r="S65" s="15" t="s">
        <v>567</v>
      </c>
    </row>
    <row r="66" spans="1:19" ht="15.75">
      <c r="A66" s="106" t="str">
        <f t="shared" si="0"/>
        <v>nonono</v>
      </c>
      <c r="B66" s="21" t="s">
        <v>568</v>
      </c>
      <c r="C66" s="15" t="s">
        <v>569</v>
      </c>
      <c r="D66" s="110" t="s">
        <v>570</v>
      </c>
      <c r="E66" s="107" t="s">
        <v>571</v>
      </c>
      <c r="F66" s="107">
        <v>1</v>
      </c>
      <c r="G66" s="108">
        <v>1.04</v>
      </c>
      <c r="H66" s="107">
        <v>3</v>
      </c>
      <c r="I66" s="109" t="s">
        <v>572</v>
      </c>
      <c r="J66" s="110" t="s">
        <v>29</v>
      </c>
      <c r="K66" s="110" t="s">
        <v>573</v>
      </c>
      <c r="L66" s="107">
        <v>15026709535</v>
      </c>
      <c r="M66" s="142" t="s">
        <v>574</v>
      </c>
      <c r="N66" s="127" t="s">
        <v>575</v>
      </c>
      <c r="O66" t="s">
        <v>574</v>
      </c>
      <c r="P66">
        <v>15026709535</v>
      </c>
      <c r="Q66" s="127" t="s">
        <v>576</v>
      </c>
      <c r="R66">
        <f t="shared" si="1"/>
        <v>1</v>
      </c>
      <c r="S66" s="15" t="s">
        <v>577</v>
      </c>
    </row>
    <row r="67" spans="1:19" ht="15.75">
      <c r="A67" s="106" t="str">
        <f t="shared" si="0"/>
        <v>nonono</v>
      </c>
      <c r="B67" s="21" t="s">
        <v>578</v>
      </c>
      <c r="C67" s="15" t="s">
        <v>579</v>
      </c>
      <c r="D67" s="110" t="s">
        <v>580</v>
      </c>
      <c r="E67" s="107" t="s">
        <v>111</v>
      </c>
      <c r="F67" s="107">
        <v>1</v>
      </c>
      <c r="G67" s="108">
        <v>1.95</v>
      </c>
      <c r="H67" s="107">
        <v>12</v>
      </c>
      <c r="I67" s="109" t="s">
        <v>581</v>
      </c>
      <c r="J67" s="110" t="s">
        <v>40</v>
      </c>
      <c r="K67" s="110" t="s">
        <v>582</v>
      </c>
      <c r="L67" s="107">
        <v>18123574965</v>
      </c>
      <c r="M67" s="142" t="s">
        <v>583</v>
      </c>
      <c r="N67" t="s">
        <v>582</v>
      </c>
      <c r="O67" t="s">
        <v>583</v>
      </c>
      <c r="P67">
        <v>18123574965</v>
      </c>
      <c r="Q67" t="s">
        <v>584</v>
      </c>
      <c r="R67">
        <f t="shared" si="1"/>
        <v>1</v>
      </c>
      <c r="S67" s="15" t="s">
        <v>585</v>
      </c>
    </row>
    <row r="68" spans="1:19" ht="15.75">
      <c r="A68" s="106" t="str">
        <f t="shared" si="0"/>
        <v>nonono</v>
      </c>
      <c r="B68" s="21" t="s">
        <v>586</v>
      </c>
      <c r="C68" s="15" t="s">
        <v>587</v>
      </c>
      <c r="D68" s="110" t="s">
        <v>588</v>
      </c>
      <c r="E68" s="107" t="s">
        <v>429</v>
      </c>
      <c r="F68" s="107">
        <v>1</v>
      </c>
      <c r="G68" s="108">
        <v>1.04</v>
      </c>
      <c r="H68" s="107">
        <v>10</v>
      </c>
      <c r="I68" s="137" t="s">
        <v>430</v>
      </c>
      <c r="J68" s="110" t="s">
        <v>40</v>
      </c>
      <c r="K68" s="110" t="s">
        <v>589</v>
      </c>
      <c r="L68" s="107">
        <v>13817217129</v>
      </c>
      <c r="M68" s="142" t="s">
        <v>590</v>
      </c>
      <c r="N68" s="127" t="s">
        <v>591</v>
      </c>
      <c r="O68" t="s">
        <v>590</v>
      </c>
      <c r="P68">
        <v>13817217129</v>
      </c>
      <c r="Q68" s="127" t="s">
        <v>592</v>
      </c>
      <c r="R68">
        <f t="shared" si="1"/>
        <v>1</v>
      </c>
      <c r="S68" s="15" t="s">
        <v>593</v>
      </c>
    </row>
    <row r="69" spans="1:19" ht="15.75">
      <c r="A69" s="106" t="str">
        <f t="shared" si="0"/>
        <v>nonono</v>
      </c>
      <c r="B69" s="21" t="s">
        <v>594</v>
      </c>
      <c r="C69" s="15" t="s">
        <v>595</v>
      </c>
      <c r="D69" s="110" t="s">
        <v>596</v>
      </c>
      <c r="E69" s="107" t="s">
        <v>597</v>
      </c>
      <c r="F69" s="107">
        <v>1</v>
      </c>
      <c r="G69" s="108">
        <v>1.04</v>
      </c>
      <c r="H69" s="107">
        <v>3</v>
      </c>
      <c r="I69" s="109" t="s">
        <v>598</v>
      </c>
      <c r="J69" s="110" t="s">
        <v>29</v>
      </c>
      <c r="K69" s="110" t="s">
        <v>599</v>
      </c>
      <c r="L69" s="107">
        <v>13752405507</v>
      </c>
      <c r="M69" s="142" t="s">
        <v>600</v>
      </c>
      <c r="N69" t="s">
        <v>599</v>
      </c>
      <c r="O69" t="s">
        <v>600</v>
      </c>
      <c r="P69">
        <v>13752405507</v>
      </c>
      <c r="Q69" t="s">
        <v>601</v>
      </c>
      <c r="R69">
        <f t="shared" si="1"/>
        <v>1</v>
      </c>
      <c r="S69" s="15" t="s">
        <v>602</v>
      </c>
    </row>
    <row r="70" spans="1:19" ht="15.75">
      <c r="A70" s="106" t="str">
        <f t="shared" ref="A70:A133" si="2">IF(B70=C70,"","nonono")</f>
        <v>nonono</v>
      </c>
      <c r="B70" s="21" t="s">
        <v>603</v>
      </c>
      <c r="C70" s="15" t="s">
        <v>604</v>
      </c>
      <c r="D70" s="110" t="s">
        <v>605</v>
      </c>
      <c r="E70" s="37" t="s">
        <v>606</v>
      </c>
      <c r="F70" s="107">
        <v>1</v>
      </c>
      <c r="G70" s="108">
        <v>0.81</v>
      </c>
      <c r="H70" s="107">
        <v>2</v>
      </c>
      <c r="I70" s="109" t="s">
        <v>607</v>
      </c>
      <c r="J70" s="110" t="s">
        <v>29</v>
      </c>
      <c r="K70" s="110" t="s">
        <v>608</v>
      </c>
      <c r="L70" s="107">
        <v>15522166790</v>
      </c>
      <c r="M70" s="142" t="s">
        <v>609</v>
      </c>
      <c r="N70" s="127" t="s">
        <v>610</v>
      </c>
      <c r="O70" t="s">
        <v>609</v>
      </c>
      <c r="P70">
        <v>15522166790</v>
      </c>
      <c r="Q70" s="127" t="s">
        <v>611</v>
      </c>
      <c r="R70">
        <f t="shared" si="1"/>
        <v>1</v>
      </c>
      <c r="S70" s="15" t="s">
        <v>612</v>
      </c>
    </row>
    <row r="71" spans="1:19" ht="15.75">
      <c r="A71" s="106" t="str">
        <f t="shared" si="2"/>
        <v>nonono</v>
      </c>
      <c r="B71" s="21" t="s">
        <v>613</v>
      </c>
      <c r="C71" s="15" t="s">
        <v>614</v>
      </c>
      <c r="D71" s="110" t="s">
        <v>615</v>
      </c>
      <c r="E71" s="107" t="s">
        <v>616</v>
      </c>
      <c r="F71" s="107">
        <v>1</v>
      </c>
      <c r="G71" s="108">
        <v>1.95</v>
      </c>
      <c r="H71" s="107">
        <v>9</v>
      </c>
      <c r="I71" s="109" t="s">
        <v>617</v>
      </c>
      <c r="J71" s="110" t="s">
        <v>29</v>
      </c>
      <c r="K71" s="110" t="s">
        <v>618</v>
      </c>
      <c r="L71" s="107">
        <v>13535909214</v>
      </c>
      <c r="M71" s="142" t="s">
        <v>619</v>
      </c>
      <c r="N71" t="s">
        <v>618</v>
      </c>
      <c r="O71" t="s">
        <v>619</v>
      </c>
      <c r="P71">
        <v>13535909214</v>
      </c>
      <c r="Q71" t="s">
        <v>620</v>
      </c>
      <c r="R71">
        <f t="shared" ref="R71:R134" si="3">COUNTIF($K$1:$K$2982,K71)</f>
        <v>1</v>
      </c>
      <c r="S71" s="15" t="s">
        <v>621</v>
      </c>
    </row>
    <row r="72" spans="1:19" ht="15.75">
      <c r="A72" s="106" t="str">
        <f t="shared" si="2"/>
        <v>nonono</v>
      </c>
      <c r="B72" s="21" t="s">
        <v>622</v>
      </c>
      <c r="C72" s="15" t="s">
        <v>623</v>
      </c>
      <c r="D72" s="110" t="s">
        <v>624</v>
      </c>
      <c r="E72" s="107" t="s">
        <v>625</v>
      </c>
      <c r="F72" s="107">
        <v>1</v>
      </c>
      <c r="G72" s="108">
        <v>1.26</v>
      </c>
      <c r="H72" s="107">
        <v>10</v>
      </c>
      <c r="I72" s="109"/>
      <c r="J72" s="110" t="s">
        <v>40</v>
      </c>
      <c r="K72" s="110" t="s">
        <v>626</v>
      </c>
      <c r="L72" s="107">
        <v>18017976061</v>
      </c>
      <c r="M72" s="142" t="s">
        <v>627</v>
      </c>
      <c r="N72" t="s">
        <v>626</v>
      </c>
      <c r="O72" s="123" t="s">
        <v>628</v>
      </c>
      <c r="P72" s="131">
        <v>13524411670</v>
      </c>
      <c r="Q72" t="s">
        <v>629</v>
      </c>
      <c r="R72">
        <f t="shared" si="3"/>
        <v>2</v>
      </c>
      <c r="S72" s="15" t="s">
        <v>630</v>
      </c>
    </row>
    <row r="73" spans="1:19" ht="15.75">
      <c r="A73" s="106" t="str">
        <f t="shared" si="2"/>
        <v>nonono</v>
      </c>
      <c r="B73" s="21" t="s">
        <v>631</v>
      </c>
      <c r="C73" s="15" t="s">
        <v>632</v>
      </c>
      <c r="D73" s="110" t="s">
        <v>633</v>
      </c>
      <c r="E73" s="107" t="s">
        <v>111</v>
      </c>
      <c r="F73" s="107">
        <v>1</v>
      </c>
      <c r="G73" s="108">
        <v>1.49</v>
      </c>
      <c r="H73" s="107">
        <v>5</v>
      </c>
      <c r="I73" s="109" t="s">
        <v>634</v>
      </c>
      <c r="J73" s="110" t="s">
        <v>40</v>
      </c>
      <c r="K73" s="110" t="s">
        <v>635</v>
      </c>
      <c r="L73" s="107">
        <v>13820680917</v>
      </c>
      <c r="M73" s="142" t="s">
        <v>636</v>
      </c>
      <c r="N73" s="127" t="s">
        <v>637</v>
      </c>
      <c r="O73" s="123" t="s">
        <v>638</v>
      </c>
      <c r="P73" s="130">
        <v>18502683184</v>
      </c>
      <c r="Q73" s="127" t="s">
        <v>639</v>
      </c>
      <c r="R73">
        <f t="shared" si="3"/>
        <v>2</v>
      </c>
      <c r="S73" s="15" t="s">
        <v>640</v>
      </c>
    </row>
    <row r="74" spans="1:19" ht="15.75">
      <c r="A74" s="106" t="str">
        <f t="shared" si="2"/>
        <v>nonono</v>
      </c>
      <c r="B74" s="21" t="s">
        <v>641</v>
      </c>
      <c r="C74" s="15" t="s">
        <v>642</v>
      </c>
      <c r="D74" s="110" t="s">
        <v>643</v>
      </c>
      <c r="E74" s="107" t="s">
        <v>261</v>
      </c>
      <c r="F74" s="107">
        <v>1</v>
      </c>
      <c r="G74" s="108">
        <v>0.81</v>
      </c>
      <c r="H74" s="107">
        <v>5</v>
      </c>
      <c r="I74" s="109" t="s">
        <v>644</v>
      </c>
      <c r="J74" s="110" t="s">
        <v>40</v>
      </c>
      <c r="K74" s="110" t="s">
        <v>645</v>
      </c>
      <c r="L74" s="107">
        <v>18611826456</v>
      </c>
      <c r="M74" s="142" t="s">
        <v>646</v>
      </c>
      <c r="N74" t="s">
        <v>645</v>
      </c>
      <c r="O74" t="s">
        <v>646</v>
      </c>
      <c r="P74" s="126">
        <v>18611826456</v>
      </c>
      <c r="Q74" t="s">
        <v>647</v>
      </c>
      <c r="R74">
        <f t="shared" si="3"/>
        <v>1</v>
      </c>
      <c r="S74" s="15" t="s">
        <v>648</v>
      </c>
    </row>
    <row r="75" spans="1:19" ht="15.75">
      <c r="A75" s="106" t="str">
        <f t="shared" si="2"/>
        <v>nonono</v>
      </c>
      <c r="B75" s="21" t="s">
        <v>649</v>
      </c>
      <c r="C75" s="15" t="s">
        <v>650</v>
      </c>
      <c r="D75" s="110" t="s">
        <v>651</v>
      </c>
      <c r="E75" s="107" t="s">
        <v>69</v>
      </c>
      <c r="F75" s="107">
        <v>1</v>
      </c>
      <c r="G75" s="108">
        <v>0.81</v>
      </c>
      <c r="H75" s="107">
        <v>5</v>
      </c>
      <c r="I75" s="137" t="s">
        <v>402</v>
      </c>
      <c r="J75" s="110" t="s">
        <v>40</v>
      </c>
      <c r="K75" s="110" t="s">
        <v>652</v>
      </c>
      <c r="L75" s="107">
        <v>18906379519</v>
      </c>
      <c r="M75" s="142" t="s">
        <v>653</v>
      </c>
      <c r="N75" t="s">
        <v>652</v>
      </c>
      <c r="O75" t="s">
        <v>653</v>
      </c>
      <c r="P75" s="126">
        <v>18906379519</v>
      </c>
      <c r="Q75" t="s">
        <v>654</v>
      </c>
      <c r="R75">
        <f t="shared" si="3"/>
        <v>1</v>
      </c>
      <c r="S75" s="15" t="s">
        <v>655</v>
      </c>
    </row>
    <row r="76" spans="1:19" ht="15.75">
      <c r="A76" s="106" t="str">
        <f t="shared" si="2"/>
        <v>nonono</v>
      </c>
      <c r="B76" s="21" t="s">
        <v>656</v>
      </c>
      <c r="C76" s="15" t="s">
        <v>657</v>
      </c>
      <c r="D76" s="117" t="s">
        <v>658</v>
      </c>
      <c r="E76" s="107" t="s">
        <v>69</v>
      </c>
      <c r="F76" s="107">
        <v>1</v>
      </c>
      <c r="G76" s="108">
        <v>2.4</v>
      </c>
      <c r="H76" s="107">
        <v>3</v>
      </c>
      <c r="I76" s="109" t="s">
        <v>659</v>
      </c>
      <c r="J76" s="110" t="s">
        <v>40</v>
      </c>
      <c r="K76" s="110" t="s">
        <v>660</v>
      </c>
      <c r="L76" s="107">
        <v>13135347968</v>
      </c>
      <c r="M76" s="142" t="s">
        <v>661</v>
      </c>
      <c r="N76" s="127" t="s">
        <v>662</v>
      </c>
      <c r="O76" s="123" t="s">
        <v>663</v>
      </c>
      <c r="P76" s="128">
        <v>18607347358</v>
      </c>
      <c r="Q76" s="127" t="s">
        <v>664</v>
      </c>
      <c r="R76">
        <f t="shared" si="3"/>
        <v>4</v>
      </c>
      <c r="S76" s="15" t="s">
        <v>665</v>
      </c>
    </row>
    <row r="77" spans="1:19" ht="15.75">
      <c r="A77" s="106" t="str">
        <f t="shared" si="2"/>
        <v>nonono</v>
      </c>
      <c r="B77" s="21" t="s">
        <v>666</v>
      </c>
      <c r="C77" s="15" t="s">
        <v>667</v>
      </c>
      <c r="D77" s="110" t="s">
        <v>668</v>
      </c>
      <c r="E77" s="107" t="s">
        <v>669</v>
      </c>
      <c r="F77" s="107">
        <v>1</v>
      </c>
      <c r="G77" s="108">
        <v>0.81</v>
      </c>
      <c r="H77" s="107">
        <v>4</v>
      </c>
      <c r="I77" s="137" t="s">
        <v>670</v>
      </c>
      <c r="J77" s="110" t="s">
        <v>103</v>
      </c>
      <c r="K77" s="110" t="s">
        <v>671</v>
      </c>
      <c r="L77" s="107">
        <v>15816959063</v>
      </c>
      <c r="M77" s="142" t="s">
        <v>672</v>
      </c>
      <c r="N77" t="s">
        <v>671</v>
      </c>
      <c r="O77" t="s">
        <v>672</v>
      </c>
      <c r="P77" s="126">
        <v>15816959063</v>
      </c>
      <c r="Q77" t="s">
        <v>673</v>
      </c>
      <c r="R77">
        <f t="shared" si="3"/>
        <v>1</v>
      </c>
      <c r="S77" s="15" t="s">
        <v>674</v>
      </c>
    </row>
    <row r="78" spans="1:19" ht="15.75">
      <c r="A78" s="106" t="str">
        <f t="shared" si="2"/>
        <v>nonono</v>
      </c>
      <c r="B78" s="21" t="s">
        <v>675</v>
      </c>
      <c r="C78" s="15" t="s">
        <v>676</v>
      </c>
      <c r="D78" s="110" t="s">
        <v>677</v>
      </c>
      <c r="E78" s="107" t="s">
        <v>678</v>
      </c>
      <c r="F78" s="107">
        <v>1</v>
      </c>
      <c r="G78" s="108">
        <v>1.04</v>
      </c>
      <c r="H78" s="107">
        <v>6</v>
      </c>
      <c r="I78" s="137" t="s">
        <v>282</v>
      </c>
      <c r="J78" s="110" t="s">
        <v>103</v>
      </c>
      <c r="K78" s="110" t="s">
        <v>679</v>
      </c>
      <c r="L78" s="107">
        <v>18675506669</v>
      </c>
      <c r="M78" s="142" t="s">
        <v>680</v>
      </c>
      <c r="N78" s="127" t="s">
        <v>681</v>
      </c>
      <c r="O78" t="s">
        <v>680</v>
      </c>
      <c r="P78" s="126">
        <v>18675506669</v>
      </c>
      <c r="Q78" s="127" t="s">
        <v>682</v>
      </c>
      <c r="R78">
        <f t="shared" si="3"/>
        <v>1</v>
      </c>
      <c r="S78" s="15" t="s">
        <v>683</v>
      </c>
    </row>
    <row r="79" spans="1:19" ht="15.75">
      <c r="A79" s="106" t="str">
        <f t="shared" si="2"/>
        <v>nonono</v>
      </c>
      <c r="B79" s="21" t="s">
        <v>684</v>
      </c>
      <c r="C79" s="15" t="s">
        <v>685</v>
      </c>
      <c r="D79" s="110" t="s">
        <v>686</v>
      </c>
      <c r="E79" s="37" t="s">
        <v>687</v>
      </c>
      <c r="F79" s="107">
        <v>1</v>
      </c>
      <c r="G79" s="108">
        <v>0.35</v>
      </c>
      <c r="H79" s="107">
        <v>1</v>
      </c>
      <c r="I79" s="109"/>
      <c r="J79" s="110" t="s">
        <v>293</v>
      </c>
      <c r="K79" s="110" t="s">
        <v>688</v>
      </c>
      <c r="L79" s="107">
        <v>13114873952</v>
      </c>
      <c r="M79" s="142" t="s">
        <v>689</v>
      </c>
      <c r="N79" s="127" t="s">
        <v>690</v>
      </c>
      <c r="O79" t="s">
        <v>689</v>
      </c>
      <c r="P79" s="126">
        <v>13114873952</v>
      </c>
      <c r="Q79" s="127" t="s">
        <v>691</v>
      </c>
      <c r="R79">
        <f t="shared" si="3"/>
        <v>1</v>
      </c>
      <c r="S79" s="15" t="s">
        <v>692</v>
      </c>
    </row>
    <row r="80" spans="1:19" ht="15.75">
      <c r="A80" s="106" t="str">
        <f t="shared" si="2"/>
        <v>nonono</v>
      </c>
      <c r="B80" s="21" t="s">
        <v>693</v>
      </c>
      <c r="C80" s="15" t="s">
        <v>694</v>
      </c>
      <c r="D80" s="110" t="s">
        <v>695</v>
      </c>
      <c r="E80" s="107" t="s">
        <v>696</v>
      </c>
      <c r="F80" s="107">
        <v>1</v>
      </c>
      <c r="G80" s="116">
        <v>1.49</v>
      </c>
      <c r="H80" s="107">
        <v>15</v>
      </c>
      <c r="I80" s="109"/>
      <c r="J80" s="110" t="s">
        <v>29</v>
      </c>
      <c r="K80" s="110" t="s">
        <v>697</v>
      </c>
      <c r="L80" s="107">
        <v>13635290903</v>
      </c>
      <c r="M80" s="142" t="s">
        <v>698</v>
      </c>
      <c r="N80" s="127" t="s">
        <v>699</v>
      </c>
      <c r="O80" s="123" t="s">
        <v>700</v>
      </c>
      <c r="P80" s="131">
        <v>13799965226</v>
      </c>
      <c r="Q80" s="127" t="s">
        <v>701</v>
      </c>
      <c r="R80">
        <f t="shared" si="3"/>
        <v>3</v>
      </c>
      <c r="S80" s="15" t="s">
        <v>702</v>
      </c>
    </row>
    <row r="81" spans="1:19" ht="15.75">
      <c r="A81" s="106" t="str">
        <f t="shared" si="2"/>
        <v>nonono</v>
      </c>
      <c r="B81" s="21" t="s">
        <v>703</v>
      </c>
      <c r="C81" s="15" t="s">
        <v>704</v>
      </c>
      <c r="D81" s="110" t="s">
        <v>705</v>
      </c>
      <c r="E81" s="107" t="s">
        <v>706</v>
      </c>
      <c r="F81" s="107">
        <v>1</v>
      </c>
      <c r="G81" s="116">
        <v>1.95</v>
      </c>
      <c r="H81" s="107">
        <v>14</v>
      </c>
      <c r="I81" s="137" t="s">
        <v>402</v>
      </c>
      <c r="J81" s="110" t="s">
        <v>29</v>
      </c>
      <c r="K81" s="117" t="s">
        <v>146</v>
      </c>
      <c r="L81" s="37">
        <v>15253420938</v>
      </c>
      <c r="M81" s="149" t="s">
        <v>147</v>
      </c>
      <c r="N81" t="s">
        <v>146</v>
      </c>
      <c r="O81" s="123" t="s">
        <v>707</v>
      </c>
      <c r="P81" s="150">
        <v>15843960569</v>
      </c>
      <c r="Q81" t="s">
        <v>708</v>
      </c>
      <c r="R81">
        <f t="shared" si="3"/>
        <v>3</v>
      </c>
      <c r="S81" s="15" t="s">
        <v>709</v>
      </c>
    </row>
    <row r="82" spans="1:19" ht="15.75">
      <c r="A82" s="106" t="str">
        <f t="shared" si="2"/>
        <v>nonono</v>
      </c>
      <c r="B82" s="21" t="s">
        <v>710</v>
      </c>
      <c r="C82" s="15" t="s">
        <v>711</v>
      </c>
      <c r="D82" s="110" t="s">
        <v>705</v>
      </c>
      <c r="E82" s="107" t="s">
        <v>706</v>
      </c>
      <c r="F82" s="107">
        <v>1</v>
      </c>
      <c r="G82" s="116">
        <v>1.95</v>
      </c>
      <c r="H82" s="107">
        <v>14</v>
      </c>
      <c r="I82" s="137" t="s">
        <v>402</v>
      </c>
      <c r="J82" s="110" t="s">
        <v>29</v>
      </c>
      <c r="K82" s="117" t="s">
        <v>712</v>
      </c>
      <c r="L82" s="37">
        <v>17098714030</v>
      </c>
      <c r="M82" s="117" t="s">
        <v>713</v>
      </c>
      <c r="N82" s="127" t="s">
        <v>714</v>
      </c>
      <c r="O82" t="s">
        <v>713</v>
      </c>
      <c r="P82">
        <v>17098714030</v>
      </c>
      <c r="Q82" s="127" t="s">
        <v>715</v>
      </c>
      <c r="R82">
        <f t="shared" si="3"/>
        <v>3</v>
      </c>
      <c r="S82" s="15" t="s">
        <v>716</v>
      </c>
    </row>
    <row r="83" spans="1:19" ht="15.75">
      <c r="A83" s="106" t="str">
        <f t="shared" si="2"/>
        <v>nonono</v>
      </c>
      <c r="B83" s="21" t="s">
        <v>717</v>
      </c>
      <c r="C83" s="25" t="s">
        <v>718</v>
      </c>
      <c r="D83" s="147" t="s">
        <v>719</v>
      </c>
      <c r="E83" s="148" t="s">
        <v>720</v>
      </c>
      <c r="F83" s="148">
        <v>1</v>
      </c>
      <c r="G83" s="111">
        <v>1.49</v>
      </c>
      <c r="H83" s="148">
        <v>12</v>
      </c>
      <c r="I83" s="151" t="s">
        <v>721</v>
      </c>
      <c r="J83" s="147" t="s">
        <v>40</v>
      </c>
      <c r="K83" s="117" t="s">
        <v>722</v>
      </c>
      <c r="L83" s="37">
        <v>18123680919</v>
      </c>
      <c r="M83" s="117" t="s">
        <v>723</v>
      </c>
      <c r="N83" s="127" t="s">
        <v>724</v>
      </c>
      <c r="O83" s="123" t="s">
        <v>725</v>
      </c>
      <c r="P83" s="131">
        <v>13691688982</v>
      </c>
      <c r="Q83" s="127" t="s">
        <v>726</v>
      </c>
      <c r="R83">
        <f t="shared" si="3"/>
        <v>4</v>
      </c>
      <c r="S83" s="15" t="s">
        <v>727</v>
      </c>
    </row>
    <row r="84" spans="1:19" ht="15.75">
      <c r="A84" s="106" t="str">
        <f t="shared" si="2"/>
        <v>nonono</v>
      </c>
      <c r="B84" s="21" t="s">
        <v>728</v>
      </c>
      <c r="C84" s="15" t="s">
        <v>729</v>
      </c>
      <c r="D84" s="110" t="s">
        <v>132</v>
      </c>
      <c r="E84" s="107" t="s">
        <v>133</v>
      </c>
      <c r="F84" s="107">
        <v>1</v>
      </c>
      <c r="G84" s="111">
        <v>1.72</v>
      </c>
      <c r="H84" s="107">
        <v>15</v>
      </c>
      <c r="I84" s="109" t="s">
        <v>134</v>
      </c>
      <c r="J84" s="110" t="s">
        <v>40</v>
      </c>
      <c r="K84" s="32" t="s">
        <v>244</v>
      </c>
      <c r="L84" s="152">
        <v>13940778352</v>
      </c>
      <c r="M84" s="32" t="s">
        <v>245</v>
      </c>
      <c r="N84" s="127" t="s">
        <v>730</v>
      </c>
      <c r="O84" s="123" t="s">
        <v>731</v>
      </c>
      <c r="P84" s="128">
        <v>18242773111</v>
      </c>
      <c r="Q84" s="127" t="s">
        <v>732</v>
      </c>
      <c r="R84">
        <f t="shared" si="3"/>
        <v>4</v>
      </c>
      <c r="S84" s="15" t="s">
        <v>733</v>
      </c>
    </row>
    <row r="85" spans="1:19" ht="15.75">
      <c r="A85" s="106" t="str">
        <f t="shared" si="2"/>
        <v>nonono</v>
      </c>
      <c r="B85" s="21" t="s">
        <v>734</v>
      </c>
      <c r="C85" s="15" t="s">
        <v>735</v>
      </c>
      <c r="D85" s="110" t="s">
        <v>132</v>
      </c>
      <c r="E85" s="107" t="s">
        <v>133</v>
      </c>
      <c r="F85" s="107">
        <v>1</v>
      </c>
      <c r="G85" s="111">
        <v>1.72</v>
      </c>
      <c r="H85" s="107">
        <v>15</v>
      </c>
      <c r="I85" s="109" t="s">
        <v>134</v>
      </c>
      <c r="J85" s="110" t="s">
        <v>40</v>
      </c>
      <c r="K85" s="153" t="s">
        <v>229</v>
      </c>
      <c r="L85" s="18">
        <v>13840761783</v>
      </c>
      <c r="M85" s="149" t="s">
        <v>230</v>
      </c>
      <c r="N85" s="127" t="s">
        <v>736</v>
      </c>
      <c r="O85" s="123" t="s">
        <v>737</v>
      </c>
      <c r="P85" s="128">
        <v>13591182787</v>
      </c>
      <c r="Q85" s="127" t="s">
        <v>738</v>
      </c>
      <c r="R85">
        <f t="shared" si="3"/>
        <v>4</v>
      </c>
      <c r="S85" s="15" t="s">
        <v>739</v>
      </c>
    </row>
    <row r="86" spans="1:19" ht="15.75">
      <c r="A86" s="106" t="str">
        <f t="shared" si="2"/>
        <v>nonono</v>
      </c>
      <c r="B86" s="21" t="s">
        <v>740</v>
      </c>
      <c r="C86" s="15" t="s">
        <v>741</v>
      </c>
      <c r="D86" s="110" t="s">
        <v>742</v>
      </c>
      <c r="E86" s="107" t="s">
        <v>743</v>
      </c>
      <c r="F86" s="107">
        <v>1</v>
      </c>
      <c r="G86" s="108">
        <v>1.49</v>
      </c>
      <c r="H86" s="107">
        <v>1</v>
      </c>
      <c r="I86" s="109"/>
      <c r="J86" s="110" t="s">
        <v>293</v>
      </c>
      <c r="K86" s="110" t="s">
        <v>744</v>
      </c>
      <c r="L86" s="107">
        <v>13912600773</v>
      </c>
      <c r="M86" s="142" t="s">
        <v>745</v>
      </c>
      <c r="N86" t="s">
        <v>744</v>
      </c>
      <c r="O86" t="s">
        <v>745</v>
      </c>
      <c r="P86" s="126">
        <v>13912600773</v>
      </c>
      <c r="Q86" t="s">
        <v>746</v>
      </c>
      <c r="R86">
        <f t="shared" si="3"/>
        <v>1</v>
      </c>
      <c r="S86" s="15" t="s">
        <v>747</v>
      </c>
    </row>
    <row r="87" spans="1:19" ht="15.75">
      <c r="A87" s="106" t="str">
        <f t="shared" si="2"/>
        <v>nonono</v>
      </c>
      <c r="B87" s="21" t="s">
        <v>748</v>
      </c>
      <c r="C87" s="15" t="s">
        <v>749</v>
      </c>
      <c r="D87" s="110" t="s">
        <v>750</v>
      </c>
      <c r="E87" s="107" t="s">
        <v>625</v>
      </c>
      <c r="F87" s="107">
        <v>1</v>
      </c>
      <c r="G87" s="108">
        <v>0.81</v>
      </c>
      <c r="H87" s="107">
        <v>10</v>
      </c>
      <c r="I87" s="109" t="s">
        <v>751</v>
      </c>
      <c r="J87" s="110" t="s">
        <v>40</v>
      </c>
      <c r="K87" s="110" t="s">
        <v>752</v>
      </c>
      <c r="L87" s="107">
        <v>18958811267</v>
      </c>
      <c r="M87" s="142" t="s">
        <v>753</v>
      </c>
      <c r="N87" s="127" t="s">
        <v>754</v>
      </c>
      <c r="O87" s="123" t="s">
        <v>755</v>
      </c>
      <c r="P87" s="131">
        <v>13968868133</v>
      </c>
      <c r="Q87" s="127" t="s">
        <v>756</v>
      </c>
      <c r="R87">
        <f t="shared" si="3"/>
        <v>4</v>
      </c>
      <c r="S87" s="15" t="s">
        <v>757</v>
      </c>
    </row>
    <row r="88" spans="1:19" ht="15.75">
      <c r="A88" s="106" t="str">
        <f t="shared" si="2"/>
        <v>nonono</v>
      </c>
      <c r="B88" s="21" t="s">
        <v>758</v>
      </c>
      <c r="C88" s="15" t="s">
        <v>759</v>
      </c>
      <c r="D88" s="110" t="s">
        <v>760</v>
      </c>
      <c r="E88" s="37" t="s">
        <v>111</v>
      </c>
      <c r="F88" s="107">
        <v>1</v>
      </c>
      <c r="G88" s="108">
        <v>1.04</v>
      </c>
      <c r="H88" s="107">
        <v>10</v>
      </c>
      <c r="I88" s="109" t="s">
        <v>761</v>
      </c>
      <c r="J88" s="110" t="s">
        <v>40</v>
      </c>
      <c r="K88" s="110" t="s">
        <v>762</v>
      </c>
      <c r="L88" s="107">
        <v>15601686832</v>
      </c>
      <c r="M88" s="142" t="s">
        <v>763</v>
      </c>
      <c r="N88" s="127" t="s">
        <v>764</v>
      </c>
      <c r="O88" s="123" t="s">
        <v>765</v>
      </c>
      <c r="P88" s="131">
        <v>18918906458</v>
      </c>
      <c r="Q88" s="127" t="s">
        <v>766</v>
      </c>
      <c r="R88">
        <f t="shared" si="3"/>
        <v>2</v>
      </c>
      <c r="S88" s="15" t="s">
        <v>767</v>
      </c>
    </row>
    <row r="89" spans="1:19" ht="15.75">
      <c r="A89" s="106" t="str">
        <f t="shared" si="2"/>
        <v>nonono</v>
      </c>
      <c r="B89" s="21" t="s">
        <v>768</v>
      </c>
      <c r="C89" s="15" t="s">
        <v>769</v>
      </c>
      <c r="D89" s="110" t="s">
        <v>770</v>
      </c>
      <c r="E89" s="37" t="s">
        <v>429</v>
      </c>
      <c r="F89" s="107">
        <v>1</v>
      </c>
      <c r="G89" s="108">
        <v>0.81</v>
      </c>
      <c r="H89" s="107">
        <v>6</v>
      </c>
      <c r="I89" s="109" t="s">
        <v>771</v>
      </c>
      <c r="J89" s="110" t="s">
        <v>29</v>
      </c>
      <c r="K89" s="110" t="s">
        <v>772</v>
      </c>
      <c r="L89" s="107">
        <v>13400581997</v>
      </c>
      <c r="M89" s="142" t="s">
        <v>773</v>
      </c>
      <c r="N89" t="s">
        <v>772</v>
      </c>
      <c r="O89" t="s">
        <v>773</v>
      </c>
      <c r="P89" s="126">
        <v>13400581997</v>
      </c>
      <c r="Q89" t="s">
        <v>774</v>
      </c>
      <c r="R89">
        <f t="shared" si="3"/>
        <v>1</v>
      </c>
      <c r="S89" s="15" t="s">
        <v>775</v>
      </c>
    </row>
    <row r="90" spans="1:19" ht="15.75">
      <c r="A90" s="106" t="str">
        <f t="shared" si="2"/>
        <v>nonono</v>
      </c>
      <c r="B90" s="21" t="s">
        <v>776</v>
      </c>
      <c r="C90" s="15" t="s">
        <v>777</v>
      </c>
      <c r="D90" s="110" t="s">
        <v>778</v>
      </c>
      <c r="E90" s="107" t="s">
        <v>111</v>
      </c>
      <c r="F90" s="107">
        <v>1</v>
      </c>
      <c r="G90" s="108">
        <v>1.04</v>
      </c>
      <c r="H90" s="107">
        <v>10</v>
      </c>
      <c r="I90" s="109" t="s">
        <v>779</v>
      </c>
      <c r="J90" s="110" t="s">
        <v>40</v>
      </c>
      <c r="K90" s="110" t="s">
        <v>762</v>
      </c>
      <c r="L90" s="107">
        <v>15601686832</v>
      </c>
      <c r="M90" s="142" t="s">
        <v>763</v>
      </c>
      <c r="N90" s="127" t="s">
        <v>780</v>
      </c>
      <c r="O90" t="s">
        <v>763</v>
      </c>
      <c r="P90" s="126">
        <v>15601686832</v>
      </c>
      <c r="Q90" s="127" t="s">
        <v>781</v>
      </c>
      <c r="R90">
        <f t="shared" si="3"/>
        <v>2</v>
      </c>
      <c r="S90" s="15" t="s">
        <v>782</v>
      </c>
    </row>
    <row r="91" spans="1:19" ht="15.75">
      <c r="A91" s="106" t="str">
        <f t="shared" si="2"/>
        <v>nonono</v>
      </c>
      <c r="B91" s="21" t="s">
        <v>783</v>
      </c>
      <c r="C91" s="15" t="s">
        <v>784</v>
      </c>
      <c r="D91" s="117" t="s">
        <v>785</v>
      </c>
      <c r="E91" s="107" t="s">
        <v>429</v>
      </c>
      <c r="F91" s="107">
        <v>1</v>
      </c>
      <c r="G91" s="108">
        <v>1.04</v>
      </c>
      <c r="H91" s="107">
        <v>6</v>
      </c>
      <c r="I91" s="137" t="s">
        <v>430</v>
      </c>
      <c r="J91" s="110" t="s">
        <v>29</v>
      </c>
      <c r="K91" s="110" t="s">
        <v>786</v>
      </c>
      <c r="L91" s="107">
        <v>13931164773</v>
      </c>
      <c r="M91" s="142" t="s">
        <v>787</v>
      </c>
      <c r="N91" s="127" t="s">
        <v>788</v>
      </c>
      <c r="O91" s="123" t="s">
        <v>789</v>
      </c>
      <c r="P91" s="154">
        <v>18633200688</v>
      </c>
      <c r="Q91" s="127" t="s">
        <v>790</v>
      </c>
      <c r="R91">
        <f t="shared" si="3"/>
        <v>2</v>
      </c>
      <c r="S91" s="15" t="s">
        <v>791</v>
      </c>
    </row>
    <row r="92" spans="1:19" ht="15.75">
      <c r="A92" s="106" t="str">
        <f t="shared" si="2"/>
        <v>nonono</v>
      </c>
      <c r="B92" s="21" t="s">
        <v>792</v>
      </c>
      <c r="C92" s="15" t="s">
        <v>793</v>
      </c>
      <c r="D92" s="110" t="s">
        <v>794</v>
      </c>
      <c r="E92" s="107" t="s">
        <v>625</v>
      </c>
      <c r="F92" s="107">
        <v>1</v>
      </c>
      <c r="G92" s="108">
        <v>0.35</v>
      </c>
      <c r="H92" s="107">
        <v>3</v>
      </c>
      <c r="I92" s="109"/>
      <c r="J92" s="110" t="s">
        <v>40</v>
      </c>
      <c r="K92" s="110" t="s">
        <v>795</v>
      </c>
      <c r="L92" s="107">
        <v>13692494568</v>
      </c>
      <c r="M92" s="155" t="s">
        <v>796</v>
      </c>
      <c r="N92" s="127" t="s">
        <v>797</v>
      </c>
      <c r="O92" t="s">
        <v>796</v>
      </c>
      <c r="P92" s="126">
        <v>13692494568</v>
      </c>
      <c r="Q92" s="127" t="s">
        <v>798</v>
      </c>
      <c r="R92">
        <f t="shared" si="3"/>
        <v>1</v>
      </c>
      <c r="S92" s="15" t="s">
        <v>799</v>
      </c>
    </row>
    <row r="93" spans="1:19" ht="15.75">
      <c r="A93" s="106" t="str">
        <f t="shared" si="2"/>
        <v>nonono</v>
      </c>
      <c r="B93" s="21" t="s">
        <v>800</v>
      </c>
      <c r="C93" s="15" t="s">
        <v>801</v>
      </c>
      <c r="D93" s="110" t="s">
        <v>802</v>
      </c>
      <c r="E93" s="107" t="s">
        <v>625</v>
      </c>
      <c r="F93" s="107">
        <v>1</v>
      </c>
      <c r="G93" s="108">
        <v>1.26</v>
      </c>
      <c r="H93" s="107">
        <v>10</v>
      </c>
      <c r="I93" s="109" t="s">
        <v>751</v>
      </c>
      <c r="J93" s="110" t="s">
        <v>40</v>
      </c>
      <c r="K93" s="110" t="s">
        <v>803</v>
      </c>
      <c r="L93" s="109">
        <v>13905157909</v>
      </c>
      <c r="M93" s="142" t="s">
        <v>804</v>
      </c>
      <c r="N93" s="127" t="s">
        <v>805</v>
      </c>
      <c r="O93" s="41" t="s">
        <v>804</v>
      </c>
      <c r="P93">
        <v>13905157909</v>
      </c>
      <c r="Q93" s="127" t="s">
        <v>806</v>
      </c>
      <c r="R93">
        <f t="shared" si="3"/>
        <v>4</v>
      </c>
      <c r="S93" s="15" t="s">
        <v>807</v>
      </c>
    </row>
    <row r="94" spans="1:19" ht="15.75">
      <c r="A94" s="106" t="str">
        <f t="shared" si="2"/>
        <v>nonono</v>
      </c>
      <c r="B94" s="21" t="s">
        <v>808</v>
      </c>
      <c r="C94" s="15" t="s">
        <v>809</v>
      </c>
      <c r="D94" s="110" t="s">
        <v>810</v>
      </c>
      <c r="E94" s="107" t="s">
        <v>281</v>
      </c>
      <c r="F94" s="107">
        <v>1</v>
      </c>
      <c r="G94" s="108">
        <v>1.26</v>
      </c>
      <c r="H94" s="107">
        <v>13</v>
      </c>
      <c r="I94" s="109" t="s">
        <v>811</v>
      </c>
      <c r="J94" s="110" t="s">
        <v>40</v>
      </c>
      <c r="K94" s="110" t="s">
        <v>812</v>
      </c>
      <c r="L94" s="107">
        <v>13601026293</v>
      </c>
      <c r="M94" s="142" t="s">
        <v>813</v>
      </c>
      <c r="N94" s="127" t="s">
        <v>814</v>
      </c>
      <c r="O94" s="123" t="s">
        <v>815</v>
      </c>
      <c r="P94" s="124">
        <v>13552858821</v>
      </c>
      <c r="Q94" s="127" t="s">
        <v>816</v>
      </c>
      <c r="R94">
        <f t="shared" si="3"/>
        <v>4</v>
      </c>
      <c r="S94" s="15" t="s">
        <v>817</v>
      </c>
    </row>
    <row r="95" spans="1:19" ht="15.75">
      <c r="A95" s="106" t="str">
        <f t="shared" si="2"/>
        <v>nonono</v>
      </c>
      <c r="B95" s="21" t="s">
        <v>818</v>
      </c>
      <c r="C95" s="15" t="s">
        <v>819</v>
      </c>
      <c r="D95" s="110" t="s">
        <v>820</v>
      </c>
      <c r="E95" s="107" t="s">
        <v>821</v>
      </c>
      <c r="F95" s="107">
        <v>1</v>
      </c>
      <c r="G95" s="108">
        <v>0.81</v>
      </c>
      <c r="H95" s="107">
        <v>1</v>
      </c>
      <c r="I95" s="109"/>
      <c r="J95" s="110" t="s">
        <v>822</v>
      </c>
      <c r="K95" s="110" t="s">
        <v>823</v>
      </c>
      <c r="L95" s="107">
        <v>15851888777</v>
      </c>
      <c r="M95" s="110" t="s">
        <v>824</v>
      </c>
      <c r="N95" s="127" t="s">
        <v>825</v>
      </c>
      <c r="O95" t="s">
        <v>824</v>
      </c>
      <c r="P95" s="126">
        <v>15851888777</v>
      </c>
      <c r="Q95" s="127" t="s">
        <v>826</v>
      </c>
      <c r="R95">
        <f t="shared" si="3"/>
        <v>1</v>
      </c>
      <c r="S95" s="15" t="s">
        <v>827</v>
      </c>
    </row>
    <row r="96" spans="1:19" ht="15.75">
      <c r="A96" s="106" t="str">
        <f t="shared" si="2"/>
        <v>nonono</v>
      </c>
      <c r="B96" s="21" t="s">
        <v>828</v>
      </c>
      <c r="C96" s="15" t="s">
        <v>829</v>
      </c>
      <c r="D96" s="110" t="s">
        <v>830</v>
      </c>
      <c r="E96" s="107" t="s">
        <v>281</v>
      </c>
      <c r="F96" s="107">
        <v>1</v>
      </c>
      <c r="G96" s="108">
        <v>1.04</v>
      </c>
      <c r="H96" s="107">
        <v>12</v>
      </c>
      <c r="I96" s="109" t="s">
        <v>831</v>
      </c>
      <c r="J96" s="110" t="s">
        <v>40</v>
      </c>
      <c r="K96" s="110" t="s">
        <v>832</v>
      </c>
      <c r="L96" s="107">
        <v>13957852776</v>
      </c>
      <c r="M96" s="137" t="s">
        <v>833</v>
      </c>
      <c r="N96" s="127" t="s">
        <v>834</v>
      </c>
      <c r="O96" s="41" t="s">
        <v>833</v>
      </c>
      <c r="P96" s="126">
        <v>13957852776</v>
      </c>
      <c r="Q96" s="127" t="s">
        <v>835</v>
      </c>
      <c r="R96">
        <f t="shared" si="3"/>
        <v>4</v>
      </c>
      <c r="S96" s="15" t="s">
        <v>836</v>
      </c>
    </row>
    <row r="97" spans="1:19" ht="15.75">
      <c r="A97" s="106" t="str">
        <f t="shared" si="2"/>
        <v>nonono</v>
      </c>
      <c r="B97" s="21" t="s">
        <v>837</v>
      </c>
      <c r="C97" s="15" t="s">
        <v>838</v>
      </c>
      <c r="D97" s="110" t="s">
        <v>839</v>
      </c>
      <c r="E97" s="107" t="s">
        <v>261</v>
      </c>
      <c r="F97" s="107">
        <v>1</v>
      </c>
      <c r="G97" s="108">
        <v>1.26</v>
      </c>
      <c r="H97" s="107">
        <v>10</v>
      </c>
      <c r="I97" s="109" t="s">
        <v>840</v>
      </c>
      <c r="J97" s="110" t="s">
        <v>40</v>
      </c>
      <c r="K97" s="110" t="s">
        <v>841</v>
      </c>
      <c r="L97" s="107">
        <v>13857400062</v>
      </c>
      <c r="M97" s="110" t="s">
        <v>842</v>
      </c>
      <c r="N97" s="127" t="s">
        <v>843</v>
      </c>
      <c r="O97" s="123" t="s">
        <v>844</v>
      </c>
      <c r="P97" s="129">
        <v>15058843665</v>
      </c>
      <c r="Q97" s="127" t="s">
        <v>845</v>
      </c>
      <c r="R97">
        <f t="shared" si="3"/>
        <v>3</v>
      </c>
      <c r="S97" s="15" t="s">
        <v>846</v>
      </c>
    </row>
    <row r="98" spans="1:19" ht="15.75">
      <c r="A98" s="106" t="str">
        <f t="shared" si="2"/>
        <v>nonono</v>
      </c>
      <c r="B98" s="21" t="s">
        <v>847</v>
      </c>
      <c r="C98" s="15" t="s">
        <v>848</v>
      </c>
      <c r="D98" s="117" t="s">
        <v>849</v>
      </c>
      <c r="E98" s="37" t="s">
        <v>850</v>
      </c>
      <c r="F98" s="107">
        <v>1</v>
      </c>
      <c r="G98" s="108">
        <v>2.63</v>
      </c>
      <c r="H98" s="107">
        <v>7</v>
      </c>
      <c r="I98" s="137" t="s">
        <v>851</v>
      </c>
      <c r="J98" s="110" t="s">
        <v>40</v>
      </c>
      <c r="K98" s="110" t="s">
        <v>852</v>
      </c>
      <c r="L98" s="107">
        <v>13117728655</v>
      </c>
      <c r="M98" s="137" t="s">
        <v>853</v>
      </c>
      <c r="N98" s="127" t="s">
        <v>854</v>
      </c>
      <c r="O98" t="s">
        <v>853</v>
      </c>
      <c r="P98" s="126">
        <v>13117728655</v>
      </c>
      <c r="Q98" s="127" t="s">
        <v>855</v>
      </c>
      <c r="R98">
        <f t="shared" si="3"/>
        <v>1</v>
      </c>
      <c r="S98" s="15" t="s">
        <v>856</v>
      </c>
    </row>
    <row r="99" spans="1:19" ht="15.75">
      <c r="A99" s="106" t="str">
        <f t="shared" si="2"/>
        <v>nonono</v>
      </c>
      <c r="B99" s="21" t="s">
        <v>857</v>
      </c>
      <c r="C99" s="15" t="s">
        <v>858</v>
      </c>
      <c r="D99" s="110" t="s">
        <v>859</v>
      </c>
      <c r="E99" s="107" t="s">
        <v>625</v>
      </c>
      <c r="F99" s="107">
        <v>1</v>
      </c>
      <c r="G99" s="108">
        <v>1.04</v>
      </c>
      <c r="H99" s="107">
        <v>2</v>
      </c>
      <c r="I99" s="109"/>
      <c r="J99" s="110" t="s">
        <v>40</v>
      </c>
      <c r="K99" s="110" t="s">
        <v>860</v>
      </c>
      <c r="L99" s="107">
        <v>15941753117</v>
      </c>
      <c r="M99" s="137" t="s">
        <v>861</v>
      </c>
      <c r="N99" s="127" t="s">
        <v>862</v>
      </c>
      <c r="O99" t="s">
        <v>861</v>
      </c>
      <c r="P99" s="126">
        <v>15941753117</v>
      </c>
      <c r="Q99" s="127" t="s">
        <v>863</v>
      </c>
      <c r="R99">
        <f t="shared" si="3"/>
        <v>2</v>
      </c>
      <c r="S99" s="15" t="s">
        <v>864</v>
      </c>
    </row>
    <row r="100" spans="1:19" ht="15.75">
      <c r="A100" s="106" t="str">
        <f t="shared" si="2"/>
        <v>nonono</v>
      </c>
      <c r="B100" s="21" t="s">
        <v>865</v>
      </c>
      <c r="C100" s="15" t="s">
        <v>866</v>
      </c>
      <c r="D100" s="110" t="s">
        <v>867</v>
      </c>
      <c r="E100" s="37" t="s">
        <v>868</v>
      </c>
      <c r="F100" s="107">
        <v>1</v>
      </c>
      <c r="G100" s="108">
        <v>1.49</v>
      </c>
      <c r="H100" s="107">
        <v>9</v>
      </c>
      <c r="I100" s="109" t="s">
        <v>869</v>
      </c>
      <c r="J100" s="110" t="s">
        <v>29</v>
      </c>
      <c r="K100" s="110" t="s">
        <v>870</v>
      </c>
      <c r="L100" s="107">
        <v>15652037350</v>
      </c>
      <c r="M100" s="135" t="s">
        <v>871</v>
      </c>
      <c r="N100" s="127" t="s">
        <v>872</v>
      </c>
      <c r="O100" s="123" t="s">
        <v>873</v>
      </c>
      <c r="P100" s="128">
        <v>15522943484</v>
      </c>
      <c r="Q100" s="127" t="s">
        <v>874</v>
      </c>
      <c r="R100">
        <f t="shared" si="3"/>
        <v>4</v>
      </c>
      <c r="S100" s="15" t="s">
        <v>875</v>
      </c>
    </row>
    <row r="101" spans="1:19" ht="15.75">
      <c r="A101" s="106" t="str">
        <f t="shared" si="2"/>
        <v>nonono</v>
      </c>
      <c r="B101" s="21" t="s">
        <v>876</v>
      </c>
      <c r="C101" s="15" t="s">
        <v>877</v>
      </c>
      <c r="D101" s="110" t="s">
        <v>878</v>
      </c>
      <c r="E101" s="107" t="s">
        <v>80</v>
      </c>
      <c r="F101" s="107">
        <v>1</v>
      </c>
      <c r="G101" s="108">
        <v>0.81</v>
      </c>
      <c r="H101" s="107">
        <v>9</v>
      </c>
      <c r="I101" s="109" t="s">
        <v>81</v>
      </c>
      <c r="J101" s="110" t="s">
        <v>29</v>
      </c>
      <c r="K101" s="110" t="s">
        <v>879</v>
      </c>
      <c r="L101" s="107">
        <v>18330660293</v>
      </c>
      <c r="M101" s="135" t="s">
        <v>880</v>
      </c>
      <c r="N101" s="127" t="s">
        <v>881</v>
      </c>
      <c r="O101" s="123" t="s">
        <v>882</v>
      </c>
      <c r="P101" s="131">
        <v>13180345166</v>
      </c>
      <c r="Q101" s="127" t="s">
        <v>883</v>
      </c>
      <c r="R101">
        <f t="shared" si="3"/>
        <v>4</v>
      </c>
      <c r="S101" s="15" t="s">
        <v>884</v>
      </c>
    </row>
    <row r="102" spans="1:19" ht="15.75">
      <c r="A102" s="106" t="str">
        <f t="shared" si="2"/>
        <v>nonono</v>
      </c>
      <c r="B102" s="21" t="s">
        <v>885</v>
      </c>
      <c r="C102" s="15" t="s">
        <v>886</v>
      </c>
      <c r="D102" s="110" t="s">
        <v>887</v>
      </c>
      <c r="E102" s="107" t="s">
        <v>888</v>
      </c>
      <c r="F102" s="107">
        <v>1</v>
      </c>
      <c r="G102" s="108">
        <v>1.26</v>
      </c>
      <c r="H102" s="107">
        <v>8</v>
      </c>
      <c r="I102" s="109" t="s">
        <v>889</v>
      </c>
      <c r="J102" s="110" t="s">
        <v>29</v>
      </c>
      <c r="K102" s="110" t="s">
        <v>890</v>
      </c>
      <c r="L102" s="107">
        <v>18733631372</v>
      </c>
      <c r="M102" s="135" t="s">
        <v>880</v>
      </c>
      <c r="N102" s="127" t="s">
        <v>891</v>
      </c>
      <c r="O102" s="123" t="s">
        <v>892</v>
      </c>
      <c r="P102" s="128">
        <v>15231610316</v>
      </c>
      <c r="Q102" s="127" t="s">
        <v>893</v>
      </c>
      <c r="R102">
        <f t="shared" si="3"/>
        <v>2</v>
      </c>
      <c r="S102" s="15" t="s">
        <v>894</v>
      </c>
    </row>
    <row r="103" spans="1:19" ht="15.75">
      <c r="A103" s="106" t="str">
        <f t="shared" si="2"/>
        <v>nonono</v>
      </c>
      <c r="B103" s="21" t="s">
        <v>895</v>
      </c>
      <c r="C103" s="15" t="s">
        <v>896</v>
      </c>
      <c r="D103" s="117" t="s">
        <v>897</v>
      </c>
      <c r="E103" s="37" t="s">
        <v>69</v>
      </c>
      <c r="F103" s="37">
        <v>1</v>
      </c>
      <c r="G103" s="116">
        <v>0.81</v>
      </c>
      <c r="H103" s="37">
        <v>8</v>
      </c>
      <c r="I103" s="137" t="s">
        <v>898</v>
      </c>
      <c r="J103" s="110" t="s">
        <v>40</v>
      </c>
      <c r="K103" s="110" t="s">
        <v>899</v>
      </c>
      <c r="L103" s="107">
        <v>18903126532</v>
      </c>
      <c r="M103" s="110" t="s">
        <v>900</v>
      </c>
      <c r="N103" s="127" t="s">
        <v>901</v>
      </c>
      <c r="O103" s="123" t="s">
        <v>902</v>
      </c>
      <c r="P103" s="128">
        <v>13731663195</v>
      </c>
      <c r="Q103" s="127" t="s">
        <v>903</v>
      </c>
      <c r="R103">
        <f t="shared" si="3"/>
        <v>4</v>
      </c>
      <c r="S103" s="15" t="s">
        <v>904</v>
      </c>
    </row>
    <row r="104" spans="1:19" ht="15.75">
      <c r="A104" s="106" t="str">
        <f t="shared" si="2"/>
        <v>nonono</v>
      </c>
      <c r="B104" s="21" t="s">
        <v>905</v>
      </c>
      <c r="C104" s="15" t="s">
        <v>906</v>
      </c>
      <c r="D104" s="117" t="s">
        <v>907</v>
      </c>
      <c r="E104" s="37" t="s">
        <v>908</v>
      </c>
      <c r="F104" s="37">
        <v>1</v>
      </c>
      <c r="G104" s="116">
        <v>0.81</v>
      </c>
      <c r="H104" s="37">
        <v>1</v>
      </c>
      <c r="I104" s="109"/>
      <c r="J104" s="110" t="s">
        <v>29</v>
      </c>
      <c r="K104" s="110" t="s">
        <v>909</v>
      </c>
      <c r="L104" s="107">
        <v>13904520232</v>
      </c>
      <c r="M104" s="110" t="s">
        <v>910</v>
      </c>
      <c r="N104" s="127" t="s">
        <v>911</v>
      </c>
      <c r="O104" t="s">
        <v>910</v>
      </c>
      <c r="P104" s="126">
        <v>13904520232</v>
      </c>
      <c r="Q104" s="127" t="s">
        <v>912</v>
      </c>
      <c r="R104">
        <f t="shared" si="3"/>
        <v>1</v>
      </c>
      <c r="S104" s="15" t="s">
        <v>913</v>
      </c>
    </row>
    <row r="105" spans="1:19" ht="15.75">
      <c r="A105" s="106" t="str">
        <f t="shared" si="2"/>
        <v>nonono</v>
      </c>
      <c r="B105" s="21" t="s">
        <v>914</v>
      </c>
      <c r="C105" s="15" t="s">
        <v>915</v>
      </c>
      <c r="D105" s="110" t="s">
        <v>916</v>
      </c>
      <c r="E105" s="107" t="s">
        <v>625</v>
      </c>
      <c r="F105" s="107">
        <v>1</v>
      </c>
      <c r="G105" s="108">
        <v>1.72</v>
      </c>
      <c r="H105" s="107">
        <v>3</v>
      </c>
      <c r="I105" s="109"/>
      <c r="J105" s="110" t="s">
        <v>40</v>
      </c>
      <c r="K105" s="110" t="s">
        <v>917</v>
      </c>
      <c r="L105" s="107">
        <v>15900779722</v>
      </c>
      <c r="M105" s="110" t="s">
        <v>918</v>
      </c>
      <c r="N105" s="127" t="s">
        <v>919</v>
      </c>
      <c r="O105" s="123" t="s">
        <v>920</v>
      </c>
      <c r="P105" s="134">
        <v>13520244573</v>
      </c>
      <c r="Q105" s="127" t="s">
        <v>921</v>
      </c>
      <c r="R105">
        <f t="shared" si="3"/>
        <v>2</v>
      </c>
      <c r="S105" s="15" t="s">
        <v>922</v>
      </c>
    </row>
    <row r="106" spans="1:19" ht="15.75">
      <c r="A106" s="106" t="str">
        <f t="shared" si="2"/>
        <v>nonono</v>
      </c>
      <c r="B106" s="21" t="s">
        <v>923</v>
      </c>
      <c r="C106" s="15" t="s">
        <v>924</v>
      </c>
      <c r="D106" s="110" t="s">
        <v>925</v>
      </c>
      <c r="E106" s="107" t="s">
        <v>429</v>
      </c>
      <c r="F106" s="107">
        <v>1</v>
      </c>
      <c r="G106" s="108">
        <v>1.04</v>
      </c>
      <c r="H106" s="107">
        <v>13</v>
      </c>
      <c r="I106" s="109" t="s">
        <v>926</v>
      </c>
      <c r="J106" s="110" t="s">
        <v>40</v>
      </c>
      <c r="K106" s="110" t="s">
        <v>927</v>
      </c>
      <c r="L106" s="107">
        <v>13770660472</v>
      </c>
      <c r="M106" s="110" t="s">
        <v>928</v>
      </c>
      <c r="N106" s="127" t="s">
        <v>929</v>
      </c>
      <c r="O106" t="s">
        <v>928</v>
      </c>
      <c r="P106" s="126">
        <v>13770660472</v>
      </c>
      <c r="Q106" s="127" t="s">
        <v>930</v>
      </c>
      <c r="R106">
        <f t="shared" si="3"/>
        <v>1</v>
      </c>
      <c r="S106" s="15" t="s">
        <v>931</v>
      </c>
    </row>
    <row r="107" spans="1:19" ht="15.75">
      <c r="A107" s="106" t="str">
        <f t="shared" si="2"/>
        <v>nonono</v>
      </c>
      <c r="B107" s="21" t="s">
        <v>932</v>
      </c>
      <c r="C107" s="15" t="s">
        <v>933</v>
      </c>
      <c r="D107" s="110" t="s">
        <v>934</v>
      </c>
      <c r="E107" s="107" t="s">
        <v>111</v>
      </c>
      <c r="F107" s="107">
        <v>1</v>
      </c>
      <c r="G107" s="108">
        <v>1.72</v>
      </c>
      <c r="H107" s="107">
        <v>15</v>
      </c>
      <c r="I107" s="137" t="s">
        <v>430</v>
      </c>
      <c r="J107" s="110" t="s">
        <v>40</v>
      </c>
      <c r="K107" s="110" t="s">
        <v>935</v>
      </c>
      <c r="L107" s="107">
        <v>13544528260</v>
      </c>
      <c r="M107" s="117" t="s">
        <v>936</v>
      </c>
      <c r="N107" s="127" t="s">
        <v>937</v>
      </c>
      <c r="O107" s="123" t="s">
        <v>938</v>
      </c>
      <c r="P107" s="134">
        <v>13902327820</v>
      </c>
      <c r="Q107" s="127" t="s">
        <v>939</v>
      </c>
      <c r="R107">
        <f t="shared" si="3"/>
        <v>2</v>
      </c>
      <c r="S107" s="15" t="s">
        <v>940</v>
      </c>
    </row>
    <row r="108" spans="1:19" ht="15.75">
      <c r="A108" s="106" t="str">
        <f t="shared" si="2"/>
        <v>nonono</v>
      </c>
      <c r="B108" s="21" t="s">
        <v>941</v>
      </c>
      <c r="C108" s="15" t="s">
        <v>942</v>
      </c>
      <c r="D108" s="110" t="s">
        <v>943</v>
      </c>
      <c r="E108" s="107" t="s">
        <v>201</v>
      </c>
      <c r="F108" s="107">
        <v>1</v>
      </c>
      <c r="G108" s="108">
        <v>1.72</v>
      </c>
      <c r="H108" s="107">
        <v>15</v>
      </c>
      <c r="I108" s="137" t="s">
        <v>944</v>
      </c>
      <c r="J108" s="110" t="s">
        <v>40</v>
      </c>
      <c r="K108" s="117" t="s">
        <v>945</v>
      </c>
      <c r="L108" s="107">
        <v>13512756600</v>
      </c>
      <c r="M108" s="135" t="s">
        <v>946</v>
      </c>
      <c r="N108" s="127" t="s">
        <v>947</v>
      </c>
      <c r="O108" s="123" t="s">
        <v>948</v>
      </c>
      <c r="P108" s="131">
        <v>15918652320</v>
      </c>
      <c r="Q108" s="127" t="s">
        <v>949</v>
      </c>
      <c r="R108">
        <f t="shared" si="3"/>
        <v>3</v>
      </c>
      <c r="S108" s="15" t="s">
        <v>950</v>
      </c>
    </row>
    <row r="109" spans="1:19" ht="15.75">
      <c r="A109" s="106" t="str">
        <f t="shared" si="2"/>
        <v>nonono</v>
      </c>
      <c r="B109" s="21" t="s">
        <v>951</v>
      </c>
      <c r="C109" s="15" t="s">
        <v>952</v>
      </c>
      <c r="D109" s="110" t="s">
        <v>953</v>
      </c>
      <c r="E109" s="107" t="s">
        <v>261</v>
      </c>
      <c r="F109" s="107">
        <v>1</v>
      </c>
      <c r="G109" s="108">
        <v>1.95</v>
      </c>
      <c r="H109" s="107">
        <v>15</v>
      </c>
      <c r="I109" s="137" t="s">
        <v>391</v>
      </c>
      <c r="J109" s="110" t="s">
        <v>40</v>
      </c>
      <c r="K109" s="117" t="s">
        <v>954</v>
      </c>
      <c r="L109" s="107">
        <v>13808869361</v>
      </c>
      <c r="M109" s="117" t="s">
        <v>955</v>
      </c>
      <c r="N109" s="127" t="s">
        <v>956</v>
      </c>
      <c r="O109" s="123" t="s">
        <v>957</v>
      </c>
      <c r="P109" s="129">
        <v>13728026148</v>
      </c>
      <c r="Q109" s="127" t="s">
        <v>958</v>
      </c>
      <c r="R109">
        <f t="shared" si="3"/>
        <v>3</v>
      </c>
      <c r="S109" s="15" t="s">
        <v>959</v>
      </c>
    </row>
    <row r="110" spans="1:19" ht="15.75">
      <c r="A110" s="106" t="str">
        <f t="shared" si="2"/>
        <v>nonono</v>
      </c>
      <c r="B110" s="21" t="s">
        <v>960</v>
      </c>
      <c r="C110" s="15" t="s">
        <v>961</v>
      </c>
      <c r="D110" s="110" t="s">
        <v>962</v>
      </c>
      <c r="E110" s="107" t="s">
        <v>111</v>
      </c>
      <c r="F110" s="107">
        <v>1</v>
      </c>
      <c r="G110" s="108">
        <v>1.26</v>
      </c>
      <c r="H110" s="107">
        <v>15</v>
      </c>
      <c r="I110" s="137" t="s">
        <v>430</v>
      </c>
      <c r="J110" s="110" t="s">
        <v>40</v>
      </c>
      <c r="K110" s="110" t="s">
        <v>963</v>
      </c>
      <c r="L110" s="107">
        <v>13609093091</v>
      </c>
      <c r="M110" s="135" t="s">
        <v>964</v>
      </c>
      <c r="N110" s="127" t="s">
        <v>965</v>
      </c>
      <c r="O110" s="123" t="s">
        <v>966</v>
      </c>
      <c r="P110" s="128">
        <v>15011768411</v>
      </c>
      <c r="Q110" s="127" t="s">
        <v>967</v>
      </c>
      <c r="R110">
        <f t="shared" si="3"/>
        <v>3</v>
      </c>
      <c r="S110" s="15" t="s">
        <v>968</v>
      </c>
    </row>
    <row r="111" spans="1:19" ht="15.75">
      <c r="A111" s="106" t="str">
        <f t="shared" si="2"/>
        <v>nonono</v>
      </c>
      <c r="B111" s="21" t="s">
        <v>969</v>
      </c>
      <c r="C111" s="15" t="s">
        <v>970</v>
      </c>
      <c r="D111" s="110" t="s">
        <v>971</v>
      </c>
      <c r="E111" s="107" t="s">
        <v>201</v>
      </c>
      <c r="F111" s="107">
        <v>1</v>
      </c>
      <c r="G111" s="108">
        <v>1.72</v>
      </c>
      <c r="H111" s="107">
        <v>11</v>
      </c>
      <c r="I111" s="109" t="s">
        <v>972</v>
      </c>
      <c r="J111" s="110" t="s">
        <v>40</v>
      </c>
      <c r="K111" s="110" t="s">
        <v>973</v>
      </c>
      <c r="L111" s="107">
        <v>15091139613</v>
      </c>
      <c r="M111" s="137" t="s">
        <v>974</v>
      </c>
      <c r="N111" t="s">
        <v>973</v>
      </c>
      <c r="O111" t="s">
        <v>974</v>
      </c>
      <c r="P111" s="126">
        <v>15091139613</v>
      </c>
      <c r="Q111" t="s">
        <v>975</v>
      </c>
      <c r="R111">
        <f t="shared" si="3"/>
        <v>1</v>
      </c>
      <c r="S111" s="15" t="s">
        <v>976</v>
      </c>
    </row>
    <row r="112" spans="1:19" ht="15.75">
      <c r="A112" s="106" t="str">
        <f t="shared" si="2"/>
        <v>nonono</v>
      </c>
      <c r="B112" s="21" t="s">
        <v>977</v>
      </c>
      <c r="C112" s="15" t="s">
        <v>978</v>
      </c>
      <c r="D112" s="110" t="s">
        <v>979</v>
      </c>
      <c r="E112" s="107" t="s">
        <v>111</v>
      </c>
      <c r="F112" s="107">
        <v>1</v>
      </c>
      <c r="G112" s="108">
        <v>0.81</v>
      </c>
      <c r="H112" s="107">
        <v>9</v>
      </c>
      <c r="I112" s="137" t="s">
        <v>430</v>
      </c>
      <c r="J112" s="110" t="s">
        <v>40</v>
      </c>
      <c r="K112" s="110" t="s">
        <v>980</v>
      </c>
      <c r="L112" s="107">
        <v>13501522178</v>
      </c>
      <c r="M112" s="110" t="s">
        <v>981</v>
      </c>
      <c r="N112" s="127" t="s">
        <v>982</v>
      </c>
      <c r="O112" s="123" t="s">
        <v>983</v>
      </c>
      <c r="P112" s="156">
        <v>13450256887</v>
      </c>
      <c r="Q112" s="127" t="s">
        <v>984</v>
      </c>
      <c r="R112">
        <f t="shared" si="3"/>
        <v>2</v>
      </c>
      <c r="S112" s="15" t="s">
        <v>985</v>
      </c>
    </row>
    <row r="113" spans="1:19" ht="15.75">
      <c r="A113" s="106" t="str">
        <f t="shared" si="2"/>
        <v>nonono</v>
      </c>
      <c r="B113" s="21" t="s">
        <v>986</v>
      </c>
      <c r="C113" s="15" t="s">
        <v>987</v>
      </c>
      <c r="D113" s="110" t="s">
        <v>988</v>
      </c>
      <c r="E113" s="37" t="s">
        <v>989</v>
      </c>
      <c r="F113" s="107">
        <v>1</v>
      </c>
      <c r="G113" s="108">
        <v>0.81</v>
      </c>
      <c r="H113" s="107">
        <v>5</v>
      </c>
      <c r="I113" s="109" t="s">
        <v>990</v>
      </c>
      <c r="J113" s="110" t="s">
        <v>29</v>
      </c>
      <c r="K113" s="110" t="s">
        <v>991</v>
      </c>
      <c r="L113" s="107">
        <v>17695963119</v>
      </c>
      <c r="M113" s="135" t="s">
        <v>992</v>
      </c>
      <c r="N113" s="127" t="s">
        <v>993</v>
      </c>
      <c r="O113" s="123" t="s">
        <v>994</v>
      </c>
      <c r="P113" s="128">
        <v>13752186681</v>
      </c>
      <c r="Q113" s="127" t="s">
        <v>995</v>
      </c>
      <c r="R113">
        <f t="shared" si="3"/>
        <v>3</v>
      </c>
      <c r="S113" s="15" t="s">
        <v>996</v>
      </c>
    </row>
    <row r="114" spans="1:19" ht="15.75">
      <c r="A114" s="106" t="str">
        <f t="shared" si="2"/>
        <v>nonono</v>
      </c>
      <c r="B114" s="21" t="s">
        <v>997</v>
      </c>
      <c r="C114" s="15" t="s">
        <v>998</v>
      </c>
      <c r="D114" s="110" t="s">
        <v>999</v>
      </c>
      <c r="E114" s="37" t="s">
        <v>1000</v>
      </c>
      <c r="F114" s="107">
        <v>1</v>
      </c>
      <c r="G114" s="108">
        <v>1.1299999999999999</v>
      </c>
      <c r="H114" s="107">
        <v>6</v>
      </c>
      <c r="I114" s="137" t="s">
        <v>402</v>
      </c>
      <c r="J114" s="110" t="s">
        <v>293</v>
      </c>
      <c r="K114" s="110" t="s">
        <v>1001</v>
      </c>
      <c r="L114" s="107">
        <v>13920730582</v>
      </c>
      <c r="M114" s="135" t="s">
        <v>1002</v>
      </c>
      <c r="N114" s="127" t="s">
        <v>1003</v>
      </c>
      <c r="O114" t="s">
        <v>1002</v>
      </c>
      <c r="P114">
        <v>13920730582</v>
      </c>
      <c r="Q114" s="127" t="s">
        <v>1004</v>
      </c>
      <c r="R114">
        <f t="shared" si="3"/>
        <v>1</v>
      </c>
      <c r="S114" s="15" t="s">
        <v>1005</v>
      </c>
    </row>
    <row r="115" spans="1:19" ht="15.75">
      <c r="A115" s="106" t="str">
        <f t="shared" si="2"/>
        <v>nonono</v>
      </c>
      <c r="B115" s="21" t="s">
        <v>1006</v>
      </c>
      <c r="C115" s="15" t="s">
        <v>1007</v>
      </c>
      <c r="D115" s="110" t="s">
        <v>1008</v>
      </c>
      <c r="E115" s="37" t="s">
        <v>1009</v>
      </c>
      <c r="F115" s="107">
        <v>1</v>
      </c>
      <c r="G115" s="108">
        <v>1.95</v>
      </c>
      <c r="H115" s="107">
        <v>7</v>
      </c>
      <c r="I115" s="137" t="s">
        <v>391</v>
      </c>
      <c r="J115" s="110" t="s">
        <v>29</v>
      </c>
      <c r="K115" s="110" t="s">
        <v>1010</v>
      </c>
      <c r="L115" s="107">
        <v>15838198670</v>
      </c>
      <c r="M115" s="117" t="s">
        <v>1011</v>
      </c>
      <c r="N115" s="127" t="s">
        <v>1012</v>
      </c>
      <c r="O115" t="s">
        <v>1011</v>
      </c>
      <c r="P115" s="126">
        <v>15838198670</v>
      </c>
      <c r="Q115" s="127" t="s">
        <v>1013</v>
      </c>
      <c r="R115">
        <f t="shared" si="3"/>
        <v>1</v>
      </c>
      <c r="S115" s="15" t="s">
        <v>1014</v>
      </c>
    </row>
    <row r="116" spans="1:19" ht="15.75">
      <c r="A116" s="106" t="str">
        <f t="shared" si="2"/>
        <v>nonono</v>
      </c>
      <c r="B116" s="21" t="s">
        <v>1015</v>
      </c>
      <c r="C116" s="15" t="s">
        <v>1016</v>
      </c>
      <c r="D116" s="110" t="s">
        <v>1017</v>
      </c>
      <c r="E116" s="107" t="s">
        <v>1018</v>
      </c>
      <c r="F116" s="107">
        <v>1</v>
      </c>
      <c r="G116" s="108">
        <v>1.04</v>
      </c>
      <c r="H116" s="107">
        <v>3</v>
      </c>
      <c r="I116" s="109" t="s">
        <v>1019</v>
      </c>
      <c r="J116" s="110" t="s">
        <v>293</v>
      </c>
      <c r="K116" s="110" t="s">
        <v>1020</v>
      </c>
      <c r="L116" s="107">
        <v>15803879267</v>
      </c>
      <c r="M116" s="110" t="s">
        <v>1021</v>
      </c>
      <c r="N116" t="s">
        <v>1020</v>
      </c>
      <c r="O116" t="s">
        <v>1021</v>
      </c>
      <c r="P116" s="126">
        <v>15803879267</v>
      </c>
      <c r="Q116" t="s">
        <v>1022</v>
      </c>
      <c r="R116">
        <f t="shared" si="3"/>
        <v>1</v>
      </c>
      <c r="S116" s="15" t="s">
        <v>1023</v>
      </c>
    </row>
    <row r="117" spans="1:19" ht="15.75">
      <c r="A117" s="106" t="str">
        <f t="shared" si="2"/>
        <v>nonono</v>
      </c>
      <c r="B117" s="21" t="s">
        <v>1024</v>
      </c>
      <c r="C117" s="15" t="s">
        <v>1025</v>
      </c>
      <c r="D117" s="110" t="s">
        <v>1026</v>
      </c>
      <c r="E117" s="37" t="s">
        <v>1027</v>
      </c>
      <c r="F117" s="107">
        <v>1</v>
      </c>
      <c r="G117" s="108">
        <v>1.95</v>
      </c>
      <c r="H117" s="107">
        <v>9</v>
      </c>
      <c r="I117" s="137" t="s">
        <v>944</v>
      </c>
      <c r="J117" s="110" t="s">
        <v>29</v>
      </c>
      <c r="K117" s="110" t="s">
        <v>1028</v>
      </c>
      <c r="L117" s="107">
        <v>15037170532</v>
      </c>
      <c r="M117" s="135" t="s">
        <v>1029</v>
      </c>
      <c r="N117" s="127" t="s">
        <v>1030</v>
      </c>
      <c r="O117" s="123" t="s">
        <v>1031</v>
      </c>
      <c r="P117" s="129">
        <v>13598022892</v>
      </c>
      <c r="Q117" s="127" t="s">
        <v>1032</v>
      </c>
      <c r="R117">
        <f t="shared" si="3"/>
        <v>2</v>
      </c>
      <c r="S117" s="15" t="s">
        <v>1033</v>
      </c>
    </row>
    <row r="118" spans="1:19" ht="15.75">
      <c r="A118" s="106" t="str">
        <f t="shared" si="2"/>
        <v>nonono</v>
      </c>
      <c r="B118" s="21" t="s">
        <v>1034</v>
      </c>
      <c r="C118" s="15" t="s">
        <v>1035</v>
      </c>
      <c r="D118" s="110" t="s">
        <v>1036</v>
      </c>
      <c r="E118" s="37" t="s">
        <v>1037</v>
      </c>
      <c r="F118" s="107">
        <v>1</v>
      </c>
      <c r="G118" s="108">
        <v>1.26</v>
      </c>
      <c r="H118" s="107">
        <v>7</v>
      </c>
      <c r="I118" s="109" t="s">
        <v>1038</v>
      </c>
      <c r="J118" s="110" t="s">
        <v>29</v>
      </c>
      <c r="K118" s="110" t="s">
        <v>1039</v>
      </c>
      <c r="L118" s="107">
        <v>18738522711</v>
      </c>
      <c r="M118" s="110" t="s">
        <v>1040</v>
      </c>
      <c r="N118" s="127" t="s">
        <v>1041</v>
      </c>
      <c r="O118" t="s">
        <v>1040</v>
      </c>
      <c r="P118" s="126">
        <v>18738522711</v>
      </c>
      <c r="Q118" s="127" t="s">
        <v>1042</v>
      </c>
      <c r="R118">
        <f t="shared" si="3"/>
        <v>1</v>
      </c>
      <c r="S118" s="15" t="s">
        <v>1043</v>
      </c>
    </row>
    <row r="119" spans="1:19" ht="15.75">
      <c r="A119" s="106" t="str">
        <f t="shared" si="2"/>
        <v>nonono</v>
      </c>
      <c r="B119" s="21" t="s">
        <v>1044</v>
      </c>
      <c r="C119" s="15" t="s">
        <v>1045</v>
      </c>
      <c r="D119" s="117" t="s">
        <v>1046</v>
      </c>
      <c r="E119" s="37" t="s">
        <v>1047</v>
      </c>
      <c r="F119" s="37">
        <v>1</v>
      </c>
      <c r="G119" s="116">
        <v>1.04</v>
      </c>
      <c r="H119" s="37">
        <v>8</v>
      </c>
      <c r="I119" s="109" t="s">
        <v>1048</v>
      </c>
      <c r="J119" s="117" t="s">
        <v>29</v>
      </c>
      <c r="K119" s="110" t="s">
        <v>1049</v>
      </c>
      <c r="L119" s="107">
        <v>15838109510</v>
      </c>
      <c r="M119" s="110" t="s">
        <v>1050</v>
      </c>
      <c r="N119" s="127" t="s">
        <v>1051</v>
      </c>
      <c r="O119" t="s">
        <v>1050</v>
      </c>
      <c r="P119" s="126">
        <v>15838109510</v>
      </c>
      <c r="Q119" s="127" t="s">
        <v>1052</v>
      </c>
      <c r="R119">
        <f t="shared" si="3"/>
        <v>1</v>
      </c>
      <c r="S119" s="15" t="s">
        <v>1053</v>
      </c>
    </row>
    <row r="120" spans="1:19" ht="15.75">
      <c r="A120" s="106" t="str">
        <f t="shared" si="2"/>
        <v>nonono</v>
      </c>
      <c r="B120" s="21" t="s">
        <v>1054</v>
      </c>
      <c r="C120" s="15" t="s">
        <v>1055</v>
      </c>
      <c r="D120" s="117" t="s">
        <v>1056</v>
      </c>
      <c r="E120" s="37" t="s">
        <v>1057</v>
      </c>
      <c r="F120" s="37">
        <v>1</v>
      </c>
      <c r="G120" s="116">
        <v>2.17</v>
      </c>
      <c r="H120" s="37">
        <v>5</v>
      </c>
      <c r="I120" s="109" t="s">
        <v>1058</v>
      </c>
      <c r="J120" s="117" t="s">
        <v>29</v>
      </c>
      <c r="K120" s="110" t="s">
        <v>1059</v>
      </c>
      <c r="L120" s="107">
        <v>18201556612</v>
      </c>
      <c r="M120" s="110" t="s">
        <v>1060</v>
      </c>
      <c r="N120" s="127" t="s">
        <v>1061</v>
      </c>
      <c r="O120" t="s">
        <v>1060</v>
      </c>
      <c r="P120" s="126">
        <v>18201556612</v>
      </c>
      <c r="Q120" s="127" t="s">
        <v>1062</v>
      </c>
      <c r="R120">
        <f t="shared" si="3"/>
        <v>1</v>
      </c>
      <c r="S120" s="15" t="s">
        <v>1063</v>
      </c>
    </row>
    <row r="121" spans="1:19" ht="15.75">
      <c r="A121" s="106" t="str">
        <f t="shared" si="2"/>
        <v>nonono</v>
      </c>
      <c r="B121" s="21" t="s">
        <v>1064</v>
      </c>
      <c r="C121" s="15" t="s">
        <v>1065</v>
      </c>
      <c r="D121" s="110" t="s">
        <v>1066</v>
      </c>
      <c r="E121" s="107" t="s">
        <v>111</v>
      </c>
      <c r="F121" s="107">
        <v>1</v>
      </c>
      <c r="G121" s="108">
        <v>1.72</v>
      </c>
      <c r="H121" s="107">
        <v>12</v>
      </c>
      <c r="I121" s="109" t="s">
        <v>1067</v>
      </c>
      <c r="J121" s="110" t="s">
        <v>40</v>
      </c>
      <c r="K121" s="110" t="s">
        <v>1068</v>
      </c>
      <c r="L121" s="107">
        <v>18630403702</v>
      </c>
      <c r="M121" s="110" t="s">
        <v>1069</v>
      </c>
      <c r="N121" s="127" t="s">
        <v>1070</v>
      </c>
      <c r="O121" t="s">
        <v>1069</v>
      </c>
      <c r="P121">
        <v>18630403702</v>
      </c>
      <c r="Q121" s="127" t="s">
        <v>1071</v>
      </c>
      <c r="R121">
        <f t="shared" si="3"/>
        <v>4</v>
      </c>
      <c r="S121" s="15" t="s">
        <v>1072</v>
      </c>
    </row>
    <row r="122" spans="1:19" ht="15.75">
      <c r="A122" s="106" t="str">
        <f t="shared" si="2"/>
        <v>nonono</v>
      </c>
      <c r="B122" s="21" t="s">
        <v>1073</v>
      </c>
      <c r="C122" s="15" t="s">
        <v>1074</v>
      </c>
      <c r="D122" s="110" t="s">
        <v>1075</v>
      </c>
      <c r="E122" s="107" t="s">
        <v>706</v>
      </c>
      <c r="F122" s="107">
        <v>1</v>
      </c>
      <c r="G122" s="108">
        <v>0.81</v>
      </c>
      <c r="H122" s="107">
        <v>3</v>
      </c>
      <c r="I122" s="137" t="s">
        <v>402</v>
      </c>
      <c r="J122" s="110" t="s">
        <v>29</v>
      </c>
      <c r="K122" s="110" t="s">
        <v>1076</v>
      </c>
      <c r="L122" s="107">
        <v>18295618888</v>
      </c>
      <c r="M122" s="110" t="s">
        <v>1077</v>
      </c>
      <c r="N122" s="127" t="s">
        <v>1078</v>
      </c>
      <c r="O122" t="s">
        <v>1077</v>
      </c>
      <c r="P122" s="126">
        <v>18295618888</v>
      </c>
      <c r="Q122" s="127" t="s">
        <v>1079</v>
      </c>
      <c r="R122">
        <f t="shared" si="3"/>
        <v>1</v>
      </c>
      <c r="S122" s="15" t="s">
        <v>1080</v>
      </c>
    </row>
    <row r="123" spans="1:19" ht="15.75">
      <c r="A123" s="106" t="str">
        <f t="shared" si="2"/>
        <v>nonono</v>
      </c>
      <c r="B123" s="21" t="s">
        <v>1081</v>
      </c>
      <c r="C123" s="15" t="s">
        <v>1082</v>
      </c>
      <c r="D123" s="110" t="s">
        <v>1083</v>
      </c>
      <c r="E123" s="37" t="s">
        <v>1084</v>
      </c>
      <c r="F123" s="107">
        <v>1</v>
      </c>
      <c r="G123" s="108">
        <v>1.95</v>
      </c>
      <c r="H123" s="107">
        <v>8</v>
      </c>
      <c r="I123" s="109" t="s">
        <v>1085</v>
      </c>
      <c r="J123" s="110" t="s">
        <v>40</v>
      </c>
      <c r="K123" s="110" t="s">
        <v>1086</v>
      </c>
      <c r="L123" s="107">
        <v>13882248118</v>
      </c>
      <c r="M123" s="110" t="s">
        <v>1087</v>
      </c>
      <c r="N123" s="127" t="s">
        <v>1088</v>
      </c>
      <c r="O123" s="123" t="s">
        <v>1089</v>
      </c>
      <c r="P123" s="157">
        <v>13683443229</v>
      </c>
      <c r="Q123" s="127" t="s">
        <v>1090</v>
      </c>
      <c r="R123">
        <f t="shared" si="3"/>
        <v>4</v>
      </c>
      <c r="S123" s="15" t="s">
        <v>1091</v>
      </c>
    </row>
    <row r="124" spans="1:19" ht="15.75">
      <c r="A124" s="106" t="str">
        <f t="shared" si="2"/>
        <v>nonono</v>
      </c>
      <c r="B124" s="21" t="s">
        <v>1092</v>
      </c>
      <c r="C124" s="15" t="s">
        <v>1093</v>
      </c>
      <c r="D124" s="110" t="s">
        <v>1094</v>
      </c>
      <c r="E124" s="107" t="s">
        <v>281</v>
      </c>
      <c r="F124" s="107">
        <v>1</v>
      </c>
      <c r="G124" s="108">
        <v>1.26</v>
      </c>
      <c r="H124" s="107">
        <v>9</v>
      </c>
      <c r="I124" s="137" t="s">
        <v>1095</v>
      </c>
      <c r="J124" s="110" t="s">
        <v>40</v>
      </c>
      <c r="K124" s="110" t="s">
        <v>1096</v>
      </c>
      <c r="L124" s="107">
        <v>13886165108</v>
      </c>
      <c r="M124" s="110" t="s">
        <v>1097</v>
      </c>
      <c r="N124" s="127" t="s">
        <v>1098</v>
      </c>
      <c r="O124" t="s">
        <v>1097</v>
      </c>
      <c r="P124" s="126">
        <v>13886165108</v>
      </c>
      <c r="Q124" s="127" t="s">
        <v>1099</v>
      </c>
      <c r="R124">
        <f t="shared" si="3"/>
        <v>1</v>
      </c>
      <c r="S124" s="15" t="s">
        <v>1100</v>
      </c>
    </row>
    <row r="125" spans="1:19" ht="15.75">
      <c r="A125" s="106" t="str">
        <f t="shared" si="2"/>
        <v>nonono</v>
      </c>
      <c r="B125" s="21" t="s">
        <v>1101</v>
      </c>
      <c r="C125" s="15" t="s">
        <v>1102</v>
      </c>
      <c r="D125" s="110" t="s">
        <v>1103</v>
      </c>
      <c r="E125" s="107" t="s">
        <v>560</v>
      </c>
      <c r="F125" s="107">
        <v>1</v>
      </c>
      <c r="G125" s="108">
        <v>1.04</v>
      </c>
      <c r="H125" s="107">
        <v>8</v>
      </c>
      <c r="I125" s="109" t="s">
        <v>1104</v>
      </c>
      <c r="J125" s="110" t="s">
        <v>29</v>
      </c>
      <c r="K125" s="110" t="s">
        <v>1105</v>
      </c>
      <c r="L125" s="107">
        <v>13923489399</v>
      </c>
      <c r="M125" s="110" t="s">
        <v>1106</v>
      </c>
      <c r="N125" t="s">
        <v>1105</v>
      </c>
      <c r="O125" s="41" t="s">
        <v>1106</v>
      </c>
      <c r="P125" s="126">
        <v>13923489399</v>
      </c>
      <c r="Q125" t="s">
        <v>1107</v>
      </c>
      <c r="R125">
        <f t="shared" si="3"/>
        <v>2</v>
      </c>
      <c r="S125" s="15" t="s">
        <v>1108</v>
      </c>
    </row>
    <row r="126" spans="1:19" ht="15.75">
      <c r="A126" s="106" t="str">
        <f t="shared" si="2"/>
        <v>nonono</v>
      </c>
      <c r="B126" s="21" t="s">
        <v>1109</v>
      </c>
      <c r="C126" s="15" t="s">
        <v>1110</v>
      </c>
      <c r="D126" s="110" t="s">
        <v>1111</v>
      </c>
      <c r="E126" s="107" t="s">
        <v>1112</v>
      </c>
      <c r="F126" s="107">
        <v>1</v>
      </c>
      <c r="G126" s="108">
        <v>0.81</v>
      </c>
      <c r="H126" s="107">
        <v>6</v>
      </c>
      <c r="I126" s="109" t="s">
        <v>1113</v>
      </c>
      <c r="J126" s="110" t="s">
        <v>29</v>
      </c>
      <c r="K126" s="110" t="s">
        <v>1114</v>
      </c>
      <c r="L126" s="107">
        <v>13684931304</v>
      </c>
      <c r="M126" s="110" t="s">
        <v>1115</v>
      </c>
      <c r="N126" t="s">
        <v>1114</v>
      </c>
      <c r="O126" t="s">
        <v>1115</v>
      </c>
      <c r="P126" s="126">
        <v>13684931304</v>
      </c>
      <c r="Q126" t="s">
        <v>1116</v>
      </c>
      <c r="R126">
        <f t="shared" si="3"/>
        <v>1</v>
      </c>
      <c r="S126" s="15" t="s">
        <v>1117</v>
      </c>
    </row>
    <row r="127" spans="1:19" ht="15.75">
      <c r="A127" s="106" t="str">
        <f t="shared" si="2"/>
        <v>nonono</v>
      </c>
      <c r="B127" s="21" t="s">
        <v>1118</v>
      </c>
      <c r="C127" s="15" t="s">
        <v>1119</v>
      </c>
      <c r="D127" s="137" t="s">
        <v>1120</v>
      </c>
      <c r="E127" s="107" t="s">
        <v>625</v>
      </c>
      <c r="F127" s="107">
        <v>1</v>
      </c>
      <c r="G127" s="108">
        <v>1.95</v>
      </c>
      <c r="H127" s="109">
        <v>1</v>
      </c>
      <c r="I127" s="109" t="s">
        <v>1121</v>
      </c>
      <c r="J127" s="110" t="s">
        <v>40</v>
      </c>
      <c r="K127" s="110" t="s">
        <v>1122</v>
      </c>
      <c r="L127" s="107">
        <v>13817013878</v>
      </c>
      <c r="M127" s="110" t="s">
        <v>1123</v>
      </c>
      <c r="N127" s="127" t="s">
        <v>1124</v>
      </c>
      <c r="O127" s="123" t="s">
        <v>1125</v>
      </c>
      <c r="P127" s="158">
        <v>18930529835</v>
      </c>
      <c r="Q127" s="127" t="s">
        <v>1126</v>
      </c>
      <c r="R127">
        <f t="shared" si="3"/>
        <v>4</v>
      </c>
      <c r="S127" s="15" t="s">
        <v>1127</v>
      </c>
    </row>
    <row r="128" spans="1:19" ht="15.75">
      <c r="A128" s="106" t="str">
        <f t="shared" si="2"/>
        <v>nonono</v>
      </c>
      <c r="B128" s="21" t="s">
        <v>1128</v>
      </c>
      <c r="C128" s="15" t="s">
        <v>1129</v>
      </c>
      <c r="D128" s="110" t="s">
        <v>1130</v>
      </c>
      <c r="E128" s="107" t="s">
        <v>1131</v>
      </c>
      <c r="F128" s="107">
        <v>1</v>
      </c>
      <c r="G128" s="108">
        <v>2.85</v>
      </c>
      <c r="H128" s="107">
        <v>6</v>
      </c>
      <c r="I128" s="109" t="s">
        <v>1132</v>
      </c>
      <c r="J128" s="110" t="s">
        <v>293</v>
      </c>
      <c r="K128" s="110" t="s">
        <v>1133</v>
      </c>
      <c r="L128" s="107">
        <v>18722628063</v>
      </c>
      <c r="M128" s="135" t="s">
        <v>1134</v>
      </c>
      <c r="N128" s="127" t="s">
        <v>1135</v>
      </c>
      <c r="O128" s="123" t="s">
        <v>1136</v>
      </c>
      <c r="P128" s="128">
        <v>15373576669</v>
      </c>
      <c r="Q128" s="127" t="s">
        <v>1137</v>
      </c>
      <c r="R128">
        <f t="shared" si="3"/>
        <v>3</v>
      </c>
      <c r="S128" s="15" t="s">
        <v>1138</v>
      </c>
    </row>
    <row r="129" spans="1:19" ht="15.75">
      <c r="A129" s="106" t="str">
        <f t="shared" si="2"/>
        <v>nonono</v>
      </c>
      <c r="B129" s="21" t="s">
        <v>1139</v>
      </c>
      <c r="C129" s="26" t="s">
        <v>1140</v>
      </c>
      <c r="D129" s="110" t="s">
        <v>1141</v>
      </c>
      <c r="E129" s="107" t="s">
        <v>420</v>
      </c>
      <c r="F129" s="107">
        <v>1</v>
      </c>
      <c r="G129" s="108">
        <v>1.72</v>
      </c>
      <c r="H129" s="107">
        <v>14</v>
      </c>
      <c r="I129" s="109" t="s">
        <v>1142</v>
      </c>
      <c r="J129" s="110" t="s">
        <v>29</v>
      </c>
      <c r="K129" s="110" t="s">
        <v>1143</v>
      </c>
      <c r="L129" s="107">
        <v>13266533076</v>
      </c>
      <c r="M129" s="110" t="s">
        <v>1144</v>
      </c>
      <c r="N129" s="127" t="s">
        <v>1145</v>
      </c>
      <c r="O129" s="123" t="s">
        <v>1146</v>
      </c>
      <c r="P129" s="134">
        <v>18948720882</v>
      </c>
      <c r="Q129" s="127" t="s">
        <v>1147</v>
      </c>
      <c r="R129">
        <f t="shared" si="3"/>
        <v>4</v>
      </c>
      <c r="S129" s="15" t="s">
        <v>1148</v>
      </c>
    </row>
    <row r="130" spans="1:19" ht="15.75">
      <c r="A130" s="106" t="str">
        <f t="shared" si="2"/>
        <v>nonono</v>
      </c>
      <c r="B130" s="21" t="s">
        <v>1149</v>
      </c>
      <c r="C130" s="15" t="s">
        <v>1150</v>
      </c>
      <c r="D130" s="107" t="s">
        <v>1151</v>
      </c>
      <c r="E130" s="107" t="s">
        <v>111</v>
      </c>
      <c r="F130" s="107">
        <v>1</v>
      </c>
      <c r="G130" s="108">
        <v>0.81</v>
      </c>
      <c r="H130" s="107">
        <v>12</v>
      </c>
      <c r="I130" s="109" t="s">
        <v>1152</v>
      </c>
      <c r="J130" s="107" t="s">
        <v>40</v>
      </c>
      <c r="K130" s="107" t="s">
        <v>1153</v>
      </c>
      <c r="L130" s="107">
        <v>13313625098</v>
      </c>
      <c r="M130" s="107" t="s">
        <v>1154</v>
      </c>
      <c r="N130" s="127" t="s">
        <v>1155</v>
      </c>
      <c r="O130" s="123" t="s">
        <v>1156</v>
      </c>
      <c r="P130" s="129">
        <v>13945187822</v>
      </c>
      <c r="Q130" s="127" t="s">
        <v>1157</v>
      </c>
      <c r="R130">
        <f t="shared" si="3"/>
        <v>4</v>
      </c>
      <c r="S130" s="15" t="s">
        <v>1158</v>
      </c>
    </row>
    <row r="131" spans="1:19" ht="15.75">
      <c r="A131" s="106" t="str">
        <f t="shared" si="2"/>
        <v>nonono</v>
      </c>
      <c r="B131" s="21" t="s">
        <v>1159</v>
      </c>
      <c r="C131" s="15" t="s">
        <v>1160</v>
      </c>
      <c r="D131" s="37" t="s">
        <v>1161</v>
      </c>
      <c r="E131" s="107" t="s">
        <v>111</v>
      </c>
      <c r="F131" s="107">
        <v>1</v>
      </c>
      <c r="G131" s="108">
        <v>1.72</v>
      </c>
      <c r="H131" s="107">
        <v>8</v>
      </c>
      <c r="I131" s="109" t="s">
        <v>1162</v>
      </c>
      <c r="J131" s="107" t="s">
        <v>40</v>
      </c>
      <c r="K131" s="107" t="s">
        <v>1068</v>
      </c>
      <c r="L131" s="107">
        <v>18630403702</v>
      </c>
      <c r="M131" s="107" t="s">
        <v>1069</v>
      </c>
      <c r="N131" s="127" t="s">
        <v>1163</v>
      </c>
      <c r="O131" s="123" t="s">
        <v>1164</v>
      </c>
      <c r="P131" s="130">
        <v>15320030707</v>
      </c>
      <c r="Q131" s="127" t="s">
        <v>1165</v>
      </c>
      <c r="R131">
        <f t="shared" si="3"/>
        <v>4</v>
      </c>
      <c r="S131" s="15" t="s">
        <v>1166</v>
      </c>
    </row>
    <row r="132" spans="1:19" ht="15.75">
      <c r="A132" s="106" t="str">
        <f t="shared" si="2"/>
        <v>nonono</v>
      </c>
      <c r="B132" s="21" t="s">
        <v>1167</v>
      </c>
      <c r="C132" s="15" t="s">
        <v>1168</v>
      </c>
      <c r="D132" s="37" t="s">
        <v>1169</v>
      </c>
      <c r="E132" s="107" t="s">
        <v>281</v>
      </c>
      <c r="F132" s="107">
        <v>1</v>
      </c>
      <c r="G132" s="108">
        <v>2.85</v>
      </c>
      <c r="H132" s="37">
        <v>10</v>
      </c>
      <c r="I132" s="109" t="s">
        <v>1170</v>
      </c>
      <c r="J132" s="107" t="s">
        <v>40</v>
      </c>
      <c r="K132" s="107" t="s">
        <v>1171</v>
      </c>
      <c r="L132" s="107">
        <v>13689911637</v>
      </c>
      <c r="M132" s="135" t="s">
        <v>1172</v>
      </c>
      <c r="N132" s="127" t="s">
        <v>1173</v>
      </c>
      <c r="O132" s="123" t="s">
        <v>1174</v>
      </c>
      <c r="P132" s="131">
        <v>13689000637</v>
      </c>
      <c r="Q132" s="127" t="s">
        <v>1175</v>
      </c>
      <c r="R132">
        <f t="shared" si="3"/>
        <v>4</v>
      </c>
      <c r="S132" s="15" t="s">
        <v>1176</v>
      </c>
    </row>
    <row r="133" spans="1:19" ht="15.75">
      <c r="A133" s="106" t="str">
        <f t="shared" si="2"/>
        <v>nonono</v>
      </c>
      <c r="B133" s="21" t="s">
        <v>1177</v>
      </c>
      <c r="C133" s="15" t="s">
        <v>1178</v>
      </c>
      <c r="D133" s="37" t="s">
        <v>1179</v>
      </c>
      <c r="E133" s="37" t="s">
        <v>1180</v>
      </c>
      <c r="F133" s="107">
        <v>1</v>
      </c>
      <c r="G133" s="108">
        <v>1.04</v>
      </c>
      <c r="H133" s="37">
        <v>10</v>
      </c>
      <c r="I133" s="109" t="s">
        <v>145</v>
      </c>
      <c r="J133" s="37" t="s">
        <v>40</v>
      </c>
      <c r="K133" s="107" t="s">
        <v>1181</v>
      </c>
      <c r="L133" s="107">
        <v>13321152741</v>
      </c>
      <c r="M133" s="24" t="s">
        <v>1182</v>
      </c>
      <c r="N133" s="127" t="s">
        <v>1183</v>
      </c>
      <c r="O133" s="123" t="s">
        <v>1184</v>
      </c>
      <c r="P133" s="131">
        <v>13807605233</v>
      </c>
      <c r="Q133" s="127" t="s">
        <v>1185</v>
      </c>
      <c r="R133">
        <f t="shared" si="3"/>
        <v>4</v>
      </c>
      <c r="S133" s="15" t="s">
        <v>1186</v>
      </c>
    </row>
    <row r="134" spans="1:19" ht="15.75">
      <c r="A134" s="106" t="str">
        <f t="shared" ref="A134:A197" si="4">IF(B134=C134,"","nonono")</f>
        <v>nonono</v>
      </c>
      <c r="B134" s="21" t="s">
        <v>1187</v>
      </c>
      <c r="C134" s="15" t="s">
        <v>1188</v>
      </c>
      <c r="D134" s="110" t="s">
        <v>1189</v>
      </c>
      <c r="E134" s="107" t="s">
        <v>1190</v>
      </c>
      <c r="F134" s="107">
        <v>1</v>
      </c>
      <c r="G134" s="108">
        <v>1.72</v>
      </c>
      <c r="H134" s="107">
        <v>6</v>
      </c>
      <c r="I134" s="137" t="s">
        <v>430</v>
      </c>
      <c r="J134" s="110" t="s">
        <v>29</v>
      </c>
      <c r="K134" s="117" t="s">
        <v>1191</v>
      </c>
      <c r="L134" s="37">
        <v>18382618053</v>
      </c>
      <c r="M134" s="23" t="s">
        <v>1192</v>
      </c>
      <c r="N134" s="127" t="s">
        <v>1193</v>
      </c>
      <c r="O134" s="123" t="s">
        <v>1194</v>
      </c>
      <c r="P134" s="131">
        <v>13982631997</v>
      </c>
      <c r="Q134" s="127" t="s">
        <v>1195</v>
      </c>
      <c r="R134">
        <f t="shared" si="3"/>
        <v>4</v>
      </c>
      <c r="S134" s="15" t="s">
        <v>1196</v>
      </c>
    </row>
    <row r="135" spans="1:19" ht="15.75">
      <c r="A135" s="106" t="str">
        <f t="shared" si="4"/>
        <v>nonono</v>
      </c>
      <c r="B135" s="21" t="s">
        <v>1197</v>
      </c>
      <c r="C135" s="15" t="s">
        <v>1198</v>
      </c>
      <c r="D135" s="110" t="s">
        <v>1199</v>
      </c>
      <c r="E135" s="107" t="s">
        <v>281</v>
      </c>
      <c r="F135" s="107">
        <v>1</v>
      </c>
      <c r="G135" s="108">
        <v>1.04</v>
      </c>
      <c r="H135" s="107">
        <v>12</v>
      </c>
      <c r="I135" s="109" t="s">
        <v>1200</v>
      </c>
      <c r="J135" s="110" t="s">
        <v>40</v>
      </c>
      <c r="K135" s="110" t="s">
        <v>1201</v>
      </c>
      <c r="L135" s="107">
        <v>13805356723</v>
      </c>
      <c r="M135" s="142" t="s">
        <v>1202</v>
      </c>
      <c r="N135" s="127" t="s">
        <v>1203</v>
      </c>
      <c r="O135" s="123" t="s">
        <v>1204</v>
      </c>
      <c r="P135" s="131">
        <v>13675355765</v>
      </c>
      <c r="Q135" s="127" t="s">
        <v>1205</v>
      </c>
      <c r="R135">
        <f t="shared" ref="R135:R198" si="5">COUNTIF($K$1:$K$2982,K135)</f>
        <v>4</v>
      </c>
      <c r="S135" s="15" t="s">
        <v>1206</v>
      </c>
    </row>
    <row r="136" spans="1:19" ht="15.75">
      <c r="A136" s="106" t="str">
        <f t="shared" si="4"/>
        <v>nonono</v>
      </c>
      <c r="B136" s="21" t="s">
        <v>1207</v>
      </c>
      <c r="C136" s="15" t="s">
        <v>1208</v>
      </c>
      <c r="D136" s="110" t="s">
        <v>1209</v>
      </c>
      <c r="E136" s="107" t="s">
        <v>1210</v>
      </c>
      <c r="F136" s="107">
        <v>1</v>
      </c>
      <c r="G136" s="108">
        <v>0.81</v>
      </c>
      <c r="H136" s="107">
        <v>5</v>
      </c>
      <c r="I136" s="109"/>
      <c r="J136" s="110" t="s">
        <v>29</v>
      </c>
      <c r="K136" s="39" t="s">
        <v>1211</v>
      </c>
      <c r="L136" s="34">
        <v>17695963119</v>
      </c>
      <c r="M136" s="39" t="s">
        <v>992</v>
      </c>
      <c r="N136" t="s">
        <v>1211</v>
      </c>
      <c r="O136" s="123" t="s">
        <v>1212</v>
      </c>
      <c r="P136" s="125">
        <v>13662121620</v>
      </c>
      <c r="Q136" t="s">
        <v>1213</v>
      </c>
      <c r="R136">
        <f t="shared" si="5"/>
        <v>4</v>
      </c>
      <c r="S136" s="15" t="s">
        <v>1214</v>
      </c>
    </row>
    <row r="137" spans="1:19" ht="15.75">
      <c r="A137" s="106" t="str">
        <f t="shared" si="4"/>
        <v>nonono</v>
      </c>
      <c r="B137" s="21" t="s">
        <v>1215</v>
      </c>
      <c r="C137" s="15" t="s">
        <v>1216</v>
      </c>
      <c r="D137" s="117" t="s">
        <v>1217</v>
      </c>
      <c r="E137" s="107" t="s">
        <v>1218</v>
      </c>
      <c r="F137" s="107">
        <v>1</v>
      </c>
      <c r="G137" s="108">
        <v>1.26</v>
      </c>
      <c r="H137" s="107">
        <v>16</v>
      </c>
      <c r="I137" s="137" t="s">
        <v>1219</v>
      </c>
      <c r="J137" s="110" t="s">
        <v>29</v>
      </c>
      <c r="K137" s="39" t="s">
        <v>1220</v>
      </c>
      <c r="L137" s="34">
        <v>17694885170</v>
      </c>
      <c r="M137" s="39" t="s">
        <v>1221</v>
      </c>
      <c r="N137" s="127" t="s">
        <v>1222</v>
      </c>
      <c r="O137" s="41" t="s">
        <v>1221</v>
      </c>
      <c r="P137">
        <v>17694885170</v>
      </c>
      <c r="Q137" s="127" t="s">
        <v>1223</v>
      </c>
      <c r="R137">
        <f t="shared" si="5"/>
        <v>4</v>
      </c>
      <c r="S137" s="15" t="s">
        <v>1224</v>
      </c>
    </row>
    <row r="138" spans="1:19" ht="15.75">
      <c r="A138" s="106" t="str">
        <f t="shared" si="4"/>
        <v>nonono</v>
      </c>
      <c r="B138" s="21" t="s">
        <v>1225</v>
      </c>
      <c r="C138" s="15" t="s">
        <v>1226</v>
      </c>
      <c r="D138" s="110" t="s">
        <v>1227</v>
      </c>
      <c r="E138" s="37" t="s">
        <v>1228</v>
      </c>
      <c r="F138" s="107">
        <v>1</v>
      </c>
      <c r="G138" s="111">
        <v>0.81</v>
      </c>
      <c r="H138" s="107">
        <v>6</v>
      </c>
      <c r="I138" s="137" t="s">
        <v>402</v>
      </c>
      <c r="J138" s="110" t="s">
        <v>29</v>
      </c>
      <c r="K138" s="39" t="s">
        <v>1229</v>
      </c>
      <c r="L138" s="34">
        <v>18722622602</v>
      </c>
      <c r="M138" s="39" t="s">
        <v>1230</v>
      </c>
      <c r="N138" s="127" t="s">
        <v>1231</v>
      </c>
      <c r="O138" s="123" t="s">
        <v>1232</v>
      </c>
      <c r="P138" s="128">
        <v>18002015029</v>
      </c>
      <c r="Q138" s="127" t="s">
        <v>1233</v>
      </c>
      <c r="R138">
        <f t="shared" si="5"/>
        <v>4</v>
      </c>
      <c r="S138" s="15" t="s">
        <v>1234</v>
      </c>
    </row>
    <row r="139" spans="1:19" ht="15.75">
      <c r="A139" s="106" t="str">
        <f t="shared" si="4"/>
        <v>nonono</v>
      </c>
      <c r="B139" s="21" t="s">
        <v>1235</v>
      </c>
      <c r="C139" s="15" t="s">
        <v>1236</v>
      </c>
      <c r="D139" s="110" t="s">
        <v>1237</v>
      </c>
      <c r="E139" s="107" t="s">
        <v>449</v>
      </c>
      <c r="F139" s="107">
        <v>1</v>
      </c>
      <c r="G139" s="111">
        <v>1.04</v>
      </c>
      <c r="H139" s="107">
        <v>3</v>
      </c>
      <c r="I139" s="109" t="s">
        <v>1238</v>
      </c>
      <c r="J139" s="110" t="s">
        <v>29</v>
      </c>
      <c r="K139" s="141" t="s">
        <v>1239</v>
      </c>
      <c r="L139" s="37">
        <v>17694885170</v>
      </c>
      <c r="M139" s="135" t="s">
        <v>1230</v>
      </c>
      <c r="N139" s="127" t="s">
        <v>1240</v>
      </c>
      <c r="O139" s="123" t="s">
        <v>1241</v>
      </c>
      <c r="P139" s="139">
        <v>13512244158</v>
      </c>
      <c r="Q139" s="127" t="s">
        <v>1242</v>
      </c>
      <c r="R139">
        <f t="shared" si="5"/>
        <v>4</v>
      </c>
      <c r="S139" s="15" t="s">
        <v>1243</v>
      </c>
    </row>
    <row r="140" spans="1:19" ht="15.75">
      <c r="A140" s="106" t="str">
        <f t="shared" si="4"/>
        <v>nonono</v>
      </c>
      <c r="B140" s="21" t="s">
        <v>1244</v>
      </c>
      <c r="C140" s="15" t="s">
        <v>1245</v>
      </c>
      <c r="D140" s="110" t="s">
        <v>1246</v>
      </c>
      <c r="E140" s="107" t="s">
        <v>201</v>
      </c>
      <c r="F140" s="107">
        <v>1</v>
      </c>
      <c r="G140" s="108">
        <v>1.04</v>
      </c>
      <c r="H140" s="107">
        <v>10</v>
      </c>
      <c r="I140" s="109" t="s">
        <v>1247</v>
      </c>
      <c r="J140" s="110" t="s">
        <v>40</v>
      </c>
      <c r="K140" s="110" t="s">
        <v>1248</v>
      </c>
      <c r="L140" s="107">
        <v>13801375568</v>
      </c>
      <c r="M140" s="110" t="s">
        <v>1249</v>
      </c>
      <c r="N140" s="127" t="s">
        <v>1250</v>
      </c>
      <c r="O140" t="s">
        <v>1249</v>
      </c>
      <c r="P140" s="126">
        <v>13801375568</v>
      </c>
      <c r="Q140" s="127" t="s">
        <v>1251</v>
      </c>
      <c r="R140">
        <f t="shared" si="5"/>
        <v>3</v>
      </c>
      <c r="S140" s="15" t="s">
        <v>1252</v>
      </c>
    </row>
    <row r="141" spans="1:19" ht="15.75">
      <c r="A141" s="106" t="str">
        <f t="shared" si="4"/>
        <v>nonono</v>
      </c>
      <c r="B141" s="21" t="s">
        <v>1253</v>
      </c>
      <c r="C141" s="27" t="s">
        <v>1254</v>
      </c>
      <c r="D141" s="159" t="s">
        <v>1255</v>
      </c>
      <c r="E141" s="160" t="s">
        <v>429</v>
      </c>
      <c r="F141" s="160">
        <v>1</v>
      </c>
      <c r="G141" s="161">
        <v>1.72</v>
      </c>
      <c r="H141" s="160">
        <v>11</v>
      </c>
      <c r="I141" s="151" t="s">
        <v>1256</v>
      </c>
      <c r="J141" s="159" t="s">
        <v>40</v>
      </c>
      <c r="K141" s="159" t="s">
        <v>1257</v>
      </c>
      <c r="L141" s="160">
        <v>18820285826</v>
      </c>
      <c r="M141" s="159" t="s">
        <v>1258</v>
      </c>
      <c r="N141" s="127" t="s">
        <v>1259</v>
      </c>
      <c r="O141" s="41" t="s">
        <v>1258</v>
      </c>
      <c r="P141" s="126">
        <v>18820285826</v>
      </c>
      <c r="Q141" s="127" t="s">
        <v>1260</v>
      </c>
      <c r="R141">
        <f t="shared" si="5"/>
        <v>4</v>
      </c>
      <c r="S141" s="15" t="s">
        <v>1261</v>
      </c>
    </row>
    <row r="142" spans="1:19" ht="15.75">
      <c r="A142" s="106" t="str">
        <f t="shared" si="4"/>
        <v>nonono</v>
      </c>
      <c r="B142" s="21" t="s">
        <v>1262</v>
      </c>
      <c r="C142" s="22" t="s">
        <v>1263</v>
      </c>
      <c r="D142" s="37" t="s">
        <v>1264</v>
      </c>
      <c r="E142" s="37" t="s">
        <v>429</v>
      </c>
      <c r="F142" s="107">
        <v>1</v>
      </c>
      <c r="G142" s="108">
        <f>3/2.2-0.1</f>
        <v>1.2636363636363599</v>
      </c>
      <c r="H142" s="37">
        <v>10</v>
      </c>
      <c r="I142" s="109" t="s">
        <v>1265</v>
      </c>
      <c r="J142" s="37" t="s">
        <v>29</v>
      </c>
      <c r="K142" s="107" t="s">
        <v>1266</v>
      </c>
      <c r="L142" s="107">
        <v>13611066495</v>
      </c>
      <c r="M142" s="110" t="s">
        <v>1267</v>
      </c>
      <c r="N142" s="127" t="s">
        <v>1268</v>
      </c>
      <c r="O142" s="123" t="s">
        <v>1269</v>
      </c>
      <c r="P142" s="128">
        <v>13611100945</v>
      </c>
      <c r="Q142" s="127" t="s">
        <v>1270</v>
      </c>
      <c r="R142">
        <f t="shared" si="5"/>
        <v>4</v>
      </c>
      <c r="S142" s="15" t="s">
        <v>1271</v>
      </c>
    </row>
    <row r="143" spans="1:19" ht="15.75">
      <c r="A143" s="106" t="str">
        <f t="shared" si="4"/>
        <v>nonono</v>
      </c>
      <c r="B143" s="21" t="s">
        <v>1272</v>
      </c>
      <c r="C143" s="28" t="s">
        <v>1273</v>
      </c>
      <c r="D143" s="107" t="s">
        <v>1274</v>
      </c>
      <c r="E143" s="107" t="s">
        <v>420</v>
      </c>
      <c r="F143" s="107">
        <v>1</v>
      </c>
      <c r="G143" s="108">
        <v>0.81</v>
      </c>
      <c r="H143" s="107">
        <v>2</v>
      </c>
      <c r="I143" s="109"/>
      <c r="J143" s="107" t="s">
        <v>40</v>
      </c>
      <c r="K143" s="162" t="s">
        <v>1275</v>
      </c>
      <c r="L143" s="163">
        <v>15672663259</v>
      </c>
      <c r="M143" s="164" t="s">
        <v>1276</v>
      </c>
      <c r="N143" s="127" t="s">
        <v>1277</v>
      </c>
      <c r="O143" s="123" t="s">
        <v>1278</v>
      </c>
      <c r="P143" s="134">
        <v>13434605237</v>
      </c>
      <c r="Q143" s="127" t="s">
        <v>1279</v>
      </c>
      <c r="R143">
        <f t="shared" si="5"/>
        <v>5</v>
      </c>
      <c r="S143" s="15" t="s">
        <v>1280</v>
      </c>
    </row>
    <row r="144" spans="1:19" ht="25.5">
      <c r="A144" s="106" t="str">
        <f t="shared" si="4"/>
        <v>nonono</v>
      </c>
      <c r="B144" s="21" t="s">
        <v>1281</v>
      </c>
      <c r="C144" s="28" t="s">
        <v>1282</v>
      </c>
      <c r="D144" s="107" t="s">
        <v>1274</v>
      </c>
      <c r="E144" s="107" t="s">
        <v>420</v>
      </c>
      <c r="F144" s="107">
        <v>1</v>
      </c>
      <c r="G144" s="108">
        <v>0.81</v>
      </c>
      <c r="H144" s="107">
        <v>2</v>
      </c>
      <c r="I144" s="109"/>
      <c r="J144" s="107" t="s">
        <v>40</v>
      </c>
      <c r="K144" s="162" t="s">
        <v>1283</v>
      </c>
      <c r="L144" s="163">
        <v>18926224930</v>
      </c>
      <c r="M144" s="164" t="s">
        <v>1284</v>
      </c>
      <c r="N144" s="127" t="s">
        <v>1285</v>
      </c>
      <c r="O144" s="41" t="s">
        <v>1284</v>
      </c>
      <c r="P144" s="126">
        <v>18926224930</v>
      </c>
      <c r="Q144" s="127" t="s">
        <v>1286</v>
      </c>
      <c r="R144">
        <f t="shared" si="5"/>
        <v>4</v>
      </c>
      <c r="S144" s="15" t="s">
        <v>1287</v>
      </c>
    </row>
    <row r="145" spans="1:19" ht="15.75">
      <c r="A145" s="106" t="str">
        <f t="shared" si="4"/>
        <v>nonono</v>
      </c>
      <c r="B145" s="21" t="s">
        <v>1288</v>
      </c>
      <c r="C145" s="28" t="s">
        <v>1289</v>
      </c>
      <c r="D145" s="107" t="s">
        <v>1274</v>
      </c>
      <c r="E145" s="107" t="s">
        <v>420</v>
      </c>
      <c r="F145" s="107">
        <v>1</v>
      </c>
      <c r="G145" s="108">
        <v>0.81</v>
      </c>
      <c r="H145" s="107">
        <v>2</v>
      </c>
      <c r="I145" s="109"/>
      <c r="J145" s="107" t="s">
        <v>40</v>
      </c>
      <c r="K145" s="162" t="s">
        <v>1290</v>
      </c>
      <c r="L145" s="163">
        <v>18922776708</v>
      </c>
      <c r="M145" s="164" t="s">
        <v>1291</v>
      </c>
      <c r="N145" s="127" t="s">
        <v>1292</v>
      </c>
      <c r="O145" t="s">
        <v>1291</v>
      </c>
      <c r="P145">
        <v>18922776708</v>
      </c>
      <c r="Q145" s="127" t="s">
        <v>1293</v>
      </c>
      <c r="R145">
        <f t="shared" si="5"/>
        <v>3</v>
      </c>
      <c r="S145" s="15" t="s">
        <v>1294</v>
      </c>
    </row>
    <row r="146" spans="1:19" ht="15.75">
      <c r="A146" s="106" t="str">
        <f t="shared" si="4"/>
        <v>nonono</v>
      </c>
      <c r="B146" s="21" t="s">
        <v>1295</v>
      </c>
      <c r="C146" s="15" t="s">
        <v>1296</v>
      </c>
      <c r="D146" s="110" t="s">
        <v>132</v>
      </c>
      <c r="E146" s="107" t="s">
        <v>133</v>
      </c>
      <c r="F146" s="107">
        <v>1</v>
      </c>
      <c r="G146" s="111">
        <v>1.72</v>
      </c>
      <c r="H146" s="107">
        <v>15</v>
      </c>
      <c r="I146" s="109" t="s">
        <v>134</v>
      </c>
      <c r="J146" s="110" t="s">
        <v>40</v>
      </c>
      <c r="K146" s="32" t="s">
        <v>345</v>
      </c>
      <c r="L146" s="152">
        <v>13840761783</v>
      </c>
      <c r="M146" s="152" t="s">
        <v>346</v>
      </c>
      <c r="N146" s="127" t="s">
        <v>1297</v>
      </c>
      <c r="O146" s="123" t="s">
        <v>1298</v>
      </c>
      <c r="P146" s="131">
        <v>13342385225</v>
      </c>
      <c r="Q146" s="127" t="s">
        <v>1299</v>
      </c>
      <c r="R146">
        <f t="shared" si="5"/>
        <v>4</v>
      </c>
      <c r="S146" s="15" t="s">
        <v>1300</v>
      </c>
    </row>
    <row r="147" spans="1:19" ht="15.75">
      <c r="A147" s="106" t="str">
        <f t="shared" si="4"/>
        <v>nonono</v>
      </c>
      <c r="B147" s="21" t="s">
        <v>1301</v>
      </c>
      <c r="C147" s="15" t="s">
        <v>1302</v>
      </c>
      <c r="D147" s="110" t="s">
        <v>132</v>
      </c>
      <c r="E147" s="107" t="s">
        <v>133</v>
      </c>
      <c r="F147" s="107">
        <v>1</v>
      </c>
      <c r="G147" s="111">
        <v>1.72</v>
      </c>
      <c r="H147" s="107">
        <v>15</v>
      </c>
      <c r="I147" s="109" t="s">
        <v>134</v>
      </c>
      <c r="J147" s="110" t="s">
        <v>40</v>
      </c>
      <c r="K147" s="32" t="s">
        <v>1303</v>
      </c>
      <c r="L147" s="152">
        <v>13610961783</v>
      </c>
      <c r="M147" s="152" t="s">
        <v>1304</v>
      </c>
      <c r="N147" s="127" t="s">
        <v>1305</v>
      </c>
      <c r="O147" s="41" t="s">
        <v>1304</v>
      </c>
      <c r="P147" s="126">
        <v>15510961783</v>
      </c>
      <c r="Q147" s="127" t="s">
        <v>1306</v>
      </c>
      <c r="R147">
        <f t="shared" si="5"/>
        <v>4</v>
      </c>
      <c r="S147" s="15" t="s">
        <v>1307</v>
      </c>
    </row>
    <row r="148" spans="1:19" ht="15.75">
      <c r="A148" s="106" t="str">
        <f t="shared" si="4"/>
        <v>nonono</v>
      </c>
      <c r="B148" s="21" t="s">
        <v>1308</v>
      </c>
      <c r="C148" s="22" t="s">
        <v>1309</v>
      </c>
      <c r="D148" s="118" t="s">
        <v>353</v>
      </c>
      <c r="E148" s="37" t="s">
        <v>133</v>
      </c>
      <c r="F148" s="37">
        <v>1</v>
      </c>
      <c r="G148" s="116">
        <v>1.72</v>
      </c>
      <c r="H148" s="37">
        <v>14</v>
      </c>
      <c r="I148" s="109" t="s">
        <v>354</v>
      </c>
      <c r="J148" s="37" t="s">
        <v>40</v>
      </c>
      <c r="K148" s="23" t="s">
        <v>355</v>
      </c>
      <c r="L148" s="23">
        <v>13911116697</v>
      </c>
      <c r="M148" s="23" t="s">
        <v>356</v>
      </c>
      <c r="N148" s="127" t="s">
        <v>1310</v>
      </c>
      <c r="O148" s="123" t="s">
        <v>1311</v>
      </c>
      <c r="P148" s="129">
        <v>18106997906</v>
      </c>
      <c r="Q148" s="127" t="s">
        <v>1312</v>
      </c>
      <c r="R148">
        <f t="shared" si="5"/>
        <v>4</v>
      </c>
      <c r="S148" s="15" t="s">
        <v>1313</v>
      </c>
    </row>
    <row r="149" spans="1:19" ht="15.75">
      <c r="A149" s="106" t="str">
        <f t="shared" si="4"/>
        <v>nonono</v>
      </c>
      <c r="B149" s="21" t="s">
        <v>1314</v>
      </c>
      <c r="C149" s="22" t="s">
        <v>1315</v>
      </c>
      <c r="D149" s="37" t="s">
        <v>1316</v>
      </c>
      <c r="E149" s="107" t="s">
        <v>1317</v>
      </c>
      <c r="F149" s="107">
        <v>1</v>
      </c>
      <c r="G149" s="108">
        <v>1.26</v>
      </c>
      <c r="H149" s="107">
        <v>13</v>
      </c>
      <c r="I149" s="109" t="s">
        <v>1318</v>
      </c>
      <c r="J149" s="37" t="s">
        <v>29</v>
      </c>
      <c r="K149" s="24" t="s">
        <v>712</v>
      </c>
      <c r="L149" s="24">
        <v>17098714030</v>
      </c>
      <c r="M149" s="23" t="s">
        <v>713</v>
      </c>
      <c r="N149" s="127" t="s">
        <v>1319</v>
      </c>
      <c r="O149" s="123" t="s">
        <v>1320</v>
      </c>
      <c r="P149" s="139">
        <v>17853588562</v>
      </c>
      <c r="Q149" s="127" t="s">
        <v>1321</v>
      </c>
      <c r="R149">
        <f t="shared" si="5"/>
        <v>3</v>
      </c>
      <c r="S149" s="15" t="s">
        <v>1322</v>
      </c>
    </row>
    <row r="150" spans="1:19" ht="15.75">
      <c r="A150" s="106" t="str">
        <f t="shared" si="4"/>
        <v>nonono</v>
      </c>
      <c r="B150" s="21" t="s">
        <v>1323</v>
      </c>
      <c r="C150" s="28" t="s">
        <v>1324</v>
      </c>
      <c r="D150" s="107" t="s">
        <v>1274</v>
      </c>
      <c r="E150" s="107" t="s">
        <v>420</v>
      </c>
      <c r="F150" s="107">
        <v>1</v>
      </c>
      <c r="G150" s="108">
        <v>0.81</v>
      </c>
      <c r="H150" s="107">
        <v>2</v>
      </c>
      <c r="I150" s="109"/>
      <c r="J150" s="107" t="s">
        <v>40</v>
      </c>
      <c r="K150" s="162" t="s">
        <v>1325</v>
      </c>
      <c r="L150" s="163">
        <v>17098899489</v>
      </c>
      <c r="M150" s="164" t="s">
        <v>1326</v>
      </c>
      <c r="N150" s="127" t="s">
        <v>1327</v>
      </c>
      <c r="O150" t="s">
        <v>1326</v>
      </c>
      <c r="P150" s="126">
        <v>17098899489</v>
      </c>
      <c r="Q150" s="127" t="s">
        <v>1328</v>
      </c>
      <c r="R150">
        <f t="shared" si="5"/>
        <v>4</v>
      </c>
      <c r="S150" s="15" t="s">
        <v>1329</v>
      </c>
    </row>
    <row r="151" spans="1:19" ht="15.75">
      <c r="A151" s="106" t="str">
        <f t="shared" si="4"/>
        <v>nonono</v>
      </c>
      <c r="B151" s="21" t="s">
        <v>1330</v>
      </c>
      <c r="C151" s="28" t="s">
        <v>1331</v>
      </c>
      <c r="D151" s="107" t="s">
        <v>1274</v>
      </c>
      <c r="E151" s="107" t="s">
        <v>420</v>
      </c>
      <c r="F151" s="107">
        <v>1</v>
      </c>
      <c r="G151" s="108">
        <v>0.81</v>
      </c>
      <c r="H151" s="107">
        <v>2</v>
      </c>
      <c r="I151" s="109"/>
      <c r="J151" s="107" t="s">
        <v>40</v>
      </c>
      <c r="K151" s="162" t="s">
        <v>1332</v>
      </c>
      <c r="L151" s="163">
        <v>18926220287</v>
      </c>
      <c r="M151" s="164" t="s">
        <v>1333</v>
      </c>
      <c r="N151" s="127" t="s">
        <v>1334</v>
      </c>
      <c r="O151" s="123" t="s">
        <v>1335</v>
      </c>
      <c r="P151" s="131">
        <v>13802340676</v>
      </c>
      <c r="Q151" s="127" t="s">
        <v>1336</v>
      </c>
      <c r="R151">
        <f t="shared" si="5"/>
        <v>3</v>
      </c>
      <c r="S151" s="15" t="s">
        <v>1337</v>
      </c>
    </row>
    <row r="152" spans="1:19" ht="15.75">
      <c r="A152" s="106" t="str">
        <f t="shared" si="4"/>
        <v>nonono</v>
      </c>
      <c r="B152" s="21" t="s">
        <v>1338</v>
      </c>
      <c r="C152" s="28" t="s">
        <v>1339</v>
      </c>
      <c r="D152" s="107" t="s">
        <v>1340</v>
      </c>
      <c r="E152" s="107" t="s">
        <v>706</v>
      </c>
      <c r="F152" s="107">
        <v>1</v>
      </c>
      <c r="G152" s="108">
        <v>1.49</v>
      </c>
      <c r="H152" s="107">
        <v>10</v>
      </c>
      <c r="I152" s="109" t="s">
        <v>70</v>
      </c>
      <c r="J152" s="107" t="s">
        <v>29</v>
      </c>
      <c r="K152" s="162" t="s">
        <v>1341</v>
      </c>
      <c r="L152" s="163">
        <v>13922769996</v>
      </c>
      <c r="M152" s="164" t="s">
        <v>1342</v>
      </c>
      <c r="N152" s="127" t="s">
        <v>1343</v>
      </c>
      <c r="O152" s="123" t="s">
        <v>1344</v>
      </c>
      <c r="P152" s="139">
        <v>13824801333</v>
      </c>
      <c r="Q152" s="127" t="s">
        <v>1345</v>
      </c>
      <c r="R152">
        <f t="shared" si="5"/>
        <v>4</v>
      </c>
      <c r="S152" s="15" t="s">
        <v>1346</v>
      </c>
    </row>
    <row r="153" spans="1:19" ht="15.75">
      <c r="A153" s="106" t="str">
        <f t="shared" si="4"/>
        <v>nonono</v>
      </c>
      <c r="B153" s="21" t="s">
        <v>1347</v>
      </c>
      <c r="C153" s="28" t="s">
        <v>1348</v>
      </c>
      <c r="D153" s="107" t="s">
        <v>1340</v>
      </c>
      <c r="E153" s="107" t="s">
        <v>706</v>
      </c>
      <c r="F153" s="107">
        <v>1</v>
      </c>
      <c r="G153" s="108">
        <v>1.49</v>
      </c>
      <c r="H153" s="107">
        <v>10</v>
      </c>
      <c r="I153" s="109" t="s">
        <v>70</v>
      </c>
      <c r="J153" s="107" t="s">
        <v>29</v>
      </c>
      <c r="K153" s="162" t="s">
        <v>1349</v>
      </c>
      <c r="L153" s="163">
        <v>18571938601</v>
      </c>
      <c r="M153" s="164" t="s">
        <v>1350</v>
      </c>
      <c r="N153" s="127" t="s">
        <v>1351</v>
      </c>
      <c r="O153" s="123" t="s">
        <v>1352</v>
      </c>
      <c r="P153" s="134">
        <v>15113588839</v>
      </c>
      <c r="Q153" s="127" t="s">
        <v>1353</v>
      </c>
      <c r="R153">
        <f t="shared" si="5"/>
        <v>2</v>
      </c>
      <c r="S153" s="15" t="s">
        <v>1354</v>
      </c>
    </row>
    <row r="154" spans="1:19" ht="15.75">
      <c r="A154" s="106" t="str">
        <f t="shared" si="4"/>
        <v>nonono</v>
      </c>
      <c r="B154" s="21" t="s">
        <v>1355</v>
      </c>
      <c r="C154" s="28" t="s">
        <v>1356</v>
      </c>
      <c r="D154" s="107" t="s">
        <v>1340</v>
      </c>
      <c r="E154" s="107" t="s">
        <v>706</v>
      </c>
      <c r="F154" s="107">
        <v>1</v>
      </c>
      <c r="G154" s="108">
        <v>1.49</v>
      </c>
      <c r="H154" s="107">
        <v>10</v>
      </c>
      <c r="I154" s="109" t="s">
        <v>70</v>
      </c>
      <c r="J154" s="107" t="s">
        <v>29</v>
      </c>
      <c r="K154" s="163" t="s">
        <v>1357</v>
      </c>
      <c r="L154" s="34">
        <v>18928770178</v>
      </c>
      <c r="M154" s="34" t="s">
        <v>1358</v>
      </c>
      <c r="N154" s="127" t="s">
        <v>1359</v>
      </c>
      <c r="O154" s="123" t="s">
        <v>1360</v>
      </c>
      <c r="P154" s="129">
        <v>13929546211</v>
      </c>
      <c r="Q154" s="127" t="s">
        <v>1361</v>
      </c>
      <c r="R154">
        <f t="shared" si="5"/>
        <v>4</v>
      </c>
      <c r="S154" s="15" t="s">
        <v>1362</v>
      </c>
    </row>
    <row r="155" spans="1:19" ht="15.75">
      <c r="A155" s="106" t="str">
        <f t="shared" si="4"/>
        <v>nonono</v>
      </c>
      <c r="B155" s="21" t="s">
        <v>1363</v>
      </c>
      <c r="C155" s="15" t="s">
        <v>1364</v>
      </c>
      <c r="D155" s="110" t="s">
        <v>705</v>
      </c>
      <c r="E155" s="107" t="s">
        <v>706</v>
      </c>
      <c r="F155" s="107">
        <v>1</v>
      </c>
      <c r="G155" s="116">
        <v>1.95</v>
      </c>
      <c r="H155" s="107">
        <v>14</v>
      </c>
      <c r="I155" s="137" t="s">
        <v>402</v>
      </c>
      <c r="J155" s="110" t="s">
        <v>29</v>
      </c>
      <c r="K155" s="117" t="s">
        <v>1365</v>
      </c>
      <c r="L155" s="37">
        <v>18766077610</v>
      </c>
      <c r="M155" s="117" t="s">
        <v>1366</v>
      </c>
      <c r="N155" s="127" t="s">
        <v>1367</v>
      </c>
      <c r="O155" t="s">
        <v>1366</v>
      </c>
      <c r="P155" s="126">
        <v>18766077610</v>
      </c>
      <c r="Q155" s="127" t="s">
        <v>1368</v>
      </c>
      <c r="R155">
        <f t="shared" si="5"/>
        <v>3</v>
      </c>
      <c r="S155" s="15" t="s">
        <v>1369</v>
      </c>
    </row>
    <row r="156" spans="1:19" ht="15.75">
      <c r="A156" s="106" t="str">
        <f t="shared" si="4"/>
        <v>nonono</v>
      </c>
      <c r="B156" s="21" t="s">
        <v>1370</v>
      </c>
      <c r="C156" s="25" t="s">
        <v>1371</v>
      </c>
      <c r="D156" s="147" t="s">
        <v>719</v>
      </c>
      <c r="E156" s="148" t="s">
        <v>720</v>
      </c>
      <c r="F156" s="148">
        <v>1</v>
      </c>
      <c r="G156" s="111">
        <v>1.49</v>
      </c>
      <c r="H156" s="148">
        <v>12</v>
      </c>
      <c r="I156" s="151" t="s">
        <v>721</v>
      </c>
      <c r="J156" s="147" t="s">
        <v>40</v>
      </c>
      <c r="K156" s="117" t="s">
        <v>722</v>
      </c>
      <c r="L156" s="37">
        <v>18123680919</v>
      </c>
      <c r="M156" s="117" t="s">
        <v>723</v>
      </c>
      <c r="N156" s="127" t="s">
        <v>1372</v>
      </c>
      <c r="O156" s="123" t="s">
        <v>1373</v>
      </c>
      <c r="P156" s="165">
        <v>13322999698</v>
      </c>
      <c r="Q156" s="127" t="s">
        <v>1374</v>
      </c>
      <c r="R156">
        <f t="shared" si="5"/>
        <v>4</v>
      </c>
      <c r="S156" s="15" t="s">
        <v>1375</v>
      </c>
    </row>
    <row r="157" spans="1:19" ht="15.75">
      <c r="A157" s="106" t="str">
        <f t="shared" si="4"/>
        <v>nonono</v>
      </c>
      <c r="B157" s="21" t="s">
        <v>1376</v>
      </c>
      <c r="C157" s="15" t="s">
        <v>1377</v>
      </c>
      <c r="D157" s="110" t="s">
        <v>132</v>
      </c>
      <c r="E157" s="107" t="s">
        <v>133</v>
      </c>
      <c r="F157" s="107">
        <v>1</v>
      </c>
      <c r="G157" s="111">
        <v>1.72</v>
      </c>
      <c r="H157" s="107">
        <v>15</v>
      </c>
      <c r="I157" s="109" t="s">
        <v>134</v>
      </c>
      <c r="J157" s="110" t="s">
        <v>40</v>
      </c>
      <c r="K157" s="136" t="s">
        <v>229</v>
      </c>
      <c r="L157" s="118">
        <v>13840761783</v>
      </c>
      <c r="M157" s="117" t="s">
        <v>230</v>
      </c>
      <c r="N157" s="127" t="s">
        <v>1378</v>
      </c>
      <c r="O157" s="123" t="s">
        <v>1379</v>
      </c>
      <c r="P157" s="125">
        <v>15840626918</v>
      </c>
      <c r="Q157" s="127" t="s">
        <v>1380</v>
      </c>
      <c r="R157">
        <f t="shared" si="5"/>
        <v>4</v>
      </c>
      <c r="S157" s="15" t="s">
        <v>1381</v>
      </c>
    </row>
    <row r="158" spans="1:19" ht="15.75">
      <c r="A158" s="106" t="str">
        <f t="shared" si="4"/>
        <v>nonono</v>
      </c>
      <c r="B158" s="21" t="s">
        <v>1382</v>
      </c>
      <c r="C158" s="15" t="s">
        <v>1383</v>
      </c>
      <c r="D158" s="110" t="s">
        <v>132</v>
      </c>
      <c r="E158" s="107" t="s">
        <v>133</v>
      </c>
      <c r="F158" s="107">
        <v>1</v>
      </c>
      <c r="G158" s="111">
        <v>1.72</v>
      </c>
      <c r="H158" s="107">
        <v>15</v>
      </c>
      <c r="I158" s="109" t="s">
        <v>134</v>
      </c>
      <c r="J158" s="110" t="s">
        <v>40</v>
      </c>
      <c r="K158" s="39" t="s">
        <v>237</v>
      </c>
      <c r="L158" s="34">
        <v>18341785826</v>
      </c>
      <c r="M158" s="39" t="s">
        <v>238</v>
      </c>
      <c r="N158" s="127" t="s">
        <v>1384</v>
      </c>
      <c r="O158" s="123" t="s">
        <v>1385</v>
      </c>
      <c r="P158" s="166">
        <v>15842750003</v>
      </c>
      <c r="Q158" s="127" t="s">
        <v>1386</v>
      </c>
      <c r="R158">
        <f t="shared" si="5"/>
        <v>4</v>
      </c>
      <c r="S158" s="15" t="s">
        <v>1387</v>
      </c>
    </row>
    <row r="159" spans="1:19" ht="15.75">
      <c r="A159" s="106" t="str">
        <f t="shared" si="4"/>
        <v>nonono</v>
      </c>
      <c r="B159" s="21" t="s">
        <v>1388</v>
      </c>
      <c r="C159" s="15" t="s">
        <v>1389</v>
      </c>
      <c r="D159" s="110" t="s">
        <v>132</v>
      </c>
      <c r="E159" s="107" t="s">
        <v>133</v>
      </c>
      <c r="F159" s="107">
        <v>1</v>
      </c>
      <c r="G159" s="111">
        <v>1.72</v>
      </c>
      <c r="H159" s="107">
        <v>15</v>
      </c>
      <c r="I159" s="109" t="s">
        <v>134</v>
      </c>
      <c r="J159" s="110" t="s">
        <v>40</v>
      </c>
      <c r="K159" s="39" t="s">
        <v>244</v>
      </c>
      <c r="L159" s="34">
        <v>13940778352</v>
      </c>
      <c r="M159" s="39" t="s">
        <v>245</v>
      </c>
      <c r="N159" s="127" t="s">
        <v>1390</v>
      </c>
      <c r="O159" s="123" t="s">
        <v>1391</v>
      </c>
      <c r="P159" s="128">
        <v>18604275386</v>
      </c>
      <c r="Q159" s="127" t="s">
        <v>1392</v>
      </c>
      <c r="R159">
        <f t="shared" si="5"/>
        <v>4</v>
      </c>
      <c r="S159" s="15" t="s">
        <v>1393</v>
      </c>
    </row>
    <row r="160" spans="1:19" ht="15.75">
      <c r="A160" s="106" t="str">
        <f t="shared" si="4"/>
        <v>nonono</v>
      </c>
      <c r="B160" s="21" t="s">
        <v>1394</v>
      </c>
      <c r="C160" s="22" t="s">
        <v>1395</v>
      </c>
      <c r="D160" s="118" t="s">
        <v>353</v>
      </c>
      <c r="E160" s="37" t="s">
        <v>133</v>
      </c>
      <c r="F160" s="37">
        <v>1</v>
      </c>
      <c r="G160" s="116">
        <v>1.72</v>
      </c>
      <c r="H160" s="37">
        <v>14</v>
      </c>
      <c r="I160" s="109" t="s">
        <v>354</v>
      </c>
      <c r="J160" s="37" t="s">
        <v>40</v>
      </c>
      <c r="K160" s="37" t="s">
        <v>355</v>
      </c>
      <c r="L160" s="37">
        <v>13911116697</v>
      </c>
      <c r="M160" s="37" t="s">
        <v>356</v>
      </c>
      <c r="N160" t="s">
        <v>355</v>
      </c>
      <c r="O160" s="123" t="s">
        <v>1396</v>
      </c>
      <c r="P160" s="125">
        <v>13968160978</v>
      </c>
      <c r="Q160" t="s">
        <v>1397</v>
      </c>
      <c r="R160">
        <f t="shared" si="5"/>
        <v>4</v>
      </c>
      <c r="S160" s="15" t="s">
        <v>1398</v>
      </c>
    </row>
    <row r="161" spans="1:19" ht="15.75">
      <c r="A161" s="106" t="str">
        <f t="shared" si="4"/>
        <v>nonono</v>
      </c>
      <c r="B161" s="21" t="s">
        <v>1399</v>
      </c>
      <c r="C161" s="15" t="s">
        <v>1400</v>
      </c>
      <c r="D161" s="37" t="s">
        <v>1316</v>
      </c>
      <c r="E161" s="107" t="s">
        <v>1317</v>
      </c>
      <c r="F161" s="107">
        <v>1</v>
      </c>
      <c r="G161" s="108">
        <v>1.26</v>
      </c>
      <c r="H161" s="107">
        <v>13</v>
      </c>
      <c r="I161" s="109" t="s">
        <v>1318</v>
      </c>
      <c r="J161" s="37" t="s">
        <v>29</v>
      </c>
      <c r="K161" s="107" t="s">
        <v>1401</v>
      </c>
      <c r="L161" s="107">
        <v>18965022053</v>
      </c>
      <c r="M161" s="37" t="s">
        <v>1402</v>
      </c>
      <c r="N161" t="s">
        <v>1401</v>
      </c>
      <c r="O161" s="123" t="s">
        <v>1403</v>
      </c>
      <c r="P161" s="167">
        <v>18965022053</v>
      </c>
      <c r="Q161" t="s">
        <v>1404</v>
      </c>
      <c r="R161">
        <f t="shared" si="5"/>
        <v>3</v>
      </c>
      <c r="S161" s="15" t="s">
        <v>1405</v>
      </c>
    </row>
    <row r="162" spans="1:19" ht="15.75">
      <c r="A162" s="106" t="str">
        <f t="shared" si="4"/>
        <v>nonono</v>
      </c>
      <c r="B162" s="21" t="s">
        <v>1406</v>
      </c>
      <c r="C162" s="15" t="s">
        <v>1407</v>
      </c>
      <c r="D162" s="37" t="s">
        <v>143</v>
      </c>
      <c r="E162" s="107" t="s">
        <v>144</v>
      </c>
      <c r="F162" s="107">
        <v>1</v>
      </c>
      <c r="G162" s="108">
        <v>1.49</v>
      </c>
      <c r="H162" s="107">
        <v>11</v>
      </c>
      <c r="I162" s="109" t="s">
        <v>145</v>
      </c>
      <c r="J162" s="107" t="s">
        <v>29</v>
      </c>
      <c r="K162" s="107" t="s">
        <v>1401</v>
      </c>
      <c r="L162" s="107">
        <v>18965022053</v>
      </c>
      <c r="M162" s="37" t="s">
        <v>1402</v>
      </c>
      <c r="N162" s="127" t="s">
        <v>1408</v>
      </c>
      <c r="O162" s="123" t="s">
        <v>1409</v>
      </c>
      <c r="P162" s="134">
        <v>15753415801</v>
      </c>
      <c r="Q162" s="127" t="s">
        <v>1410</v>
      </c>
      <c r="R162">
        <f t="shared" si="5"/>
        <v>3</v>
      </c>
      <c r="S162" s="15" t="s">
        <v>1411</v>
      </c>
    </row>
    <row r="163" spans="1:19" ht="15.75">
      <c r="A163" s="106" t="str">
        <f t="shared" si="4"/>
        <v>nonono</v>
      </c>
      <c r="B163" s="21" t="s">
        <v>1412</v>
      </c>
      <c r="C163" s="15" t="s">
        <v>1413</v>
      </c>
      <c r="D163" s="37" t="s">
        <v>143</v>
      </c>
      <c r="E163" s="107" t="s">
        <v>144</v>
      </c>
      <c r="F163" s="107">
        <v>1</v>
      </c>
      <c r="G163" s="108">
        <v>1.49</v>
      </c>
      <c r="H163" s="107">
        <v>11</v>
      </c>
      <c r="I163" s="109" t="s">
        <v>145</v>
      </c>
      <c r="J163" s="107" t="s">
        <v>29</v>
      </c>
      <c r="K163" s="37" t="s">
        <v>712</v>
      </c>
      <c r="L163" s="107">
        <v>17098714030</v>
      </c>
      <c r="M163" s="37" t="s">
        <v>713</v>
      </c>
      <c r="N163" t="s">
        <v>712</v>
      </c>
      <c r="O163" s="123" t="s">
        <v>1414</v>
      </c>
      <c r="P163" s="128">
        <v>18553411666</v>
      </c>
      <c r="Q163" t="s">
        <v>1415</v>
      </c>
      <c r="R163">
        <f t="shared" si="5"/>
        <v>3</v>
      </c>
      <c r="S163" s="15" t="s">
        <v>1416</v>
      </c>
    </row>
    <row r="164" spans="1:19" ht="15.75">
      <c r="A164" s="106" t="str">
        <f t="shared" si="4"/>
        <v>nonono</v>
      </c>
      <c r="B164" s="21" t="s">
        <v>1417</v>
      </c>
      <c r="C164" s="19" t="s">
        <v>1418</v>
      </c>
      <c r="D164" s="112" t="s">
        <v>162</v>
      </c>
      <c r="E164" s="113" t="s">
        <v>163</v>
      </c>
      <c r="F164" s="114">
        <v>1</v>
      </c>
      <c r="G164" s="115">
        <v>2.1727272727272702</v>
      </c>
      <c r="H164" s="114">
        <v>5</v>
      </c>
      <c r="I164" s="132" t="s">
        <v>164</v>
      </c>
      <c r="J164" s="133" t="s">
        <v>29</v>
      </c>
      <c r="K164" s="114" t="s">
        <v>165</v>
      </c>
      <c r="L164" s="114">
        <v>15140531165</v>
      </c>
      <c r="M164" s="114" t="s">
        <v>166</v>
      </c>
      <c r="N164" t="s">
        <v>165</v>
      </c>
      <c r="O164" t="s">
        <v>166</v>
      </c>
      <c r="P164">
        <v>15140531165</v>
      </c>
      <c r="Q164" t="s">
        <v>1419</v>
      </c>
      <c r="R164">
        <f t="shared" si="5"/>
        <v>2</v>
      </c>
      <c r="S164" s="15" t="s">
        <v>1420</v>
      </c>
    </row>
    <row r="165" spans="1:19" ht="15.75">
      <c r="A165" s="106" t="str">
        <f t="shared" si="4"/>
        <v>nonono</v>
      </c>
      <c r="B165" s="21" t="s">
        <v>1421</v>
      </c>
      <c r="C165" s="19" t="s">
        <v>1422</v>
      </c>
      <c r="D165" s="112" t="s">
        <v>1423</v>
      </c>
      <c r="E165" s="113" t="s">
        <v>163</v>
      </c>
      <c r="F165" s="114">
        <v>1</v>
      </c>
      <c r="G165" s="115">
        <v>0.80909090909090897</v>
      </c>
      <c r="H165" s="114">
        <v>3</v>
      </c>
      <c r="I165" s="132"/>
      <c r="J165" s="133" t="s">
        <v>29</v>
      </c>
      <c r="K165" s="114" t="s">
        <v>174</v>
      </c>
      <c r="L165" s="114">
        <v>13509603170</v>
      </c>
      <c r="M165" s="114" t="s">
        <v>175</v>
      </c>
      <c r="N165" s="127" t="s">
        <v>1424</v>
      </c>
      <c r="O165" t="s">
        <v>175</v>
      </c>
      <c r="P165">
        <v>13509603170</v>
      </c>
      <c r="Q165" s="127" t="s">
        <v>1425</v>
      </c>
      <c r="R165">
        <f t="shared" si="5"/>
        <v>2</v>
      </c>
      <c r="S165" s="15" t="s">
        <v>1426</v>
      </c>
    </row>
    <row r="166" spans="1:19" ht="15.75">
      <c r="A166" s="106" t="str">
        <f t="shared" si="4"/>
        <v>nonono</v>
      </c>
      <c r="B166" s="21" t="s">
        <v>1427</v>
      </c>
      <c r="C166" s="28" t="s">
        <v>1428</v>
      </c>
      <c r="D166" s="107" t="s">
        <v>1274</v>
      </c>
      <c r="E166" s="107" t="s">
        <v>420</v>
      </c>
      <c r="F166" s="107">
        <v>1</v>
      </c>
      <c r="G166" s="108">
        <v>0.81</v>
      </c>
      <c r="H166" s="107">
        <v>2</v>
      </c>
      <c r="I166" s="109"/>
      <c r="J166" s="107" t="s">
        <v>40</v>
      </c>
      <c r="K166" s="162" t="s">
        <v>1429</v>
      </c>
      <c r="L166" s="163">
        <v>17180669418</v>
      </c>
      <c r="M166" s="164" t="s">
        <v>1430</v>
      </c>
      <c r="N166" s="127" t="s">
        <v>1431</v>
      </c>
      <c r="O166" s="123" t="s">
        <v>1432</v>
      </c>
      <c r="P166" s="131">
        <v>15816134433</v>
      </c>
      <c r="Q166" s="127" t="s">
        <v>1433</v>
      </c>
      <c r="R166">
        <f t="shared" si="5"/>
        <v>4</v>
      </c>
      <c r="S166" s="15" t="s">
        <v>1434</v>
      </c>
    </row>
    <row r="167" spans="1:19" ht="15.75">
      <c r="A167" s="106" t="str">
        <f t="shared" si="4"/>
        <v>nonono</v>
      </c>
      <c r="B167" s="21" t="s">
        <v>1435</v>
      </c>
      <c r="C167" s="28" t="s">
        <v>1436</v>
      </c>
      <c r="D167" s="107" t="s">
        <v>1274</v>
      </c>
      <c r="E167" s="107" t="s">
        <v>420</v>
      </c>
      <c r="F167" s="107">
        <v>1</v>
      </c>
      <c r="G167" s="108">
        <v>0.81</v>
      </c>
      <c r="H167" s="107">
        <v>2</v>
      </c>
      <c r="I167" s="109"/>
      <c r="J167" s="107" t="s">
        <v>40</v>
      </c>
      <c r="K167" s="162" t="s">
        <v>1357</v>
      </c>
      <c r="L167" s="163">
        <v>18928770178</v>
      </c>
      <c r="M167" s="164" t="s">
        <v>1437</v>
      </c>
      <c r="N167" s="127" t="s">
        <v>1438</v>
      </c>
      <c r="O167" s="123" t="s">
        <v>1439</v>
      </c>
      <c r="P167" s="125">
        <v>13533529391</v>
      </c>
      <c r="Q167" s="127" t="s">
        <v>1440</v>
      </c>
      <c r="R167">
        <f t="shared" si="5"/>
        <v>4</v>
      </c>
      <c r="S167" s="15" t="s">
        <v>1441</v>
      </c>
    </row>
    <row r="168" spans="1:19" ht="15.75">
      <c r="A168" s="106" t="str">
        <f t="shared" si="4"/>
        <v>nonono</v>
      </c>
      <c r="B168" s="21" t="s">
        <v>1442</v>
      </c>
      <c r="C168" s="28" t="s">
        <v>1443</v>
      </c>
      <c r="D168" s="107" t="s">
        <v>1274</v>
      </c>
      <c r="E168" s="107" t="s">
        <v>420</v>
      </c>
      <c r="F168" s="107">
        <v>1</v>
      </c>
      <c r="G168" s="108">
        <v>0.81</v>
      </c>
      <c r="H168" s="107">
        <v>2</v>
      </c>
      <c r="I168" s="109"/>
      <c r="J168" s="107" t="s">
        <v>40</v>
      </c>
      <c r="K168" s="162" t="s">
        <v>1332</v>
      </c>
      <c r="L168" s="163">
        <v>18926220287</v>
      </c>
      <c r="M168" s="164" t="s">
        <v>1333</v>
      </c>
      <c r="N168" s="127" t="s">
        <v>1444</v>
      </c>
      <c r="O168" s="123" t="s">
        <v>1445</v>
      </c>
      <c r="P168" s="128">
        <v>13763025488</v>
      </c>
      <c r="Q168" s="127" t="s">
        <v>1446</v>
      </c>
      <c r="R168">
        <f t="shared" si="5"/>
        <v>3</v>
      </c>
      <c r="S168" s="15" t="s">
        <v>1447</v>
      </c>
    </row>
    <row r="169" spans="1:19" ht="15.75">
      <c r="A169" s="106" t="str">
        <f t="shared" si="4"/>
        <v>nonono</v>
      </c>
      <c r="B169" s="21" t="s">
        <v>1448</v>
      </c>
      <c r="C169" s="19" t="s">
        <v>1449</v>
      </c>
      <c r="D169" s="112" t="s">
        <v>1450</v>
      </c>
      <c r="E169" s="113" t="s">
        <v>1451</v>
      </c>
      <c r="F169" s="114">
        <v>1</v>
      </c>
      <c r="G169" s="115">
        <v>1.0363636363636399</v>
      </c>
      <c r="H169" s="114">
        <v>3</v>
      </c>
      <c r="I169" s="132" t="s">
        <v>402</v>
      </c>
      <c r="J169" s="133" t="s">
        <v>29</v>
      </c>
      <c r="K169" s="114" t="s">
        <v>1452</v>
      </c>
      <c r="L169" s="114">
        <v>13247860122</v>
      </c>
      <c r="M169" s="114" t="s">
        <v>1453</v>
      </c>
      <c r="N169" s="127" t="s">
        <v>1454</v>
      </c>
      <c r="O169" s="123" t="s">
        <v>1455</v>
      </c>
      <c r="P169" s="168">
        <v>13607089823</v>
      </c>
      <c r="Q169" s="127" t="s">
        <v>1456</v>
      </c>
      <c r="R169">
        <f t="shared" si="5"/>
        <v>2</v>
      </c>
      <c r="S169" s="15" t="s">
        <v>1457</v>
      </c>
    </row>
    <row r="170" spans="1:19" ht="15.75">
      <c r="A170" s="106" t="str">
        <f t="shared" si="4"/>
        <v>nonono</v>
      </c>
      <c r="B170" s="21" t="s">
        <v>1458</v>
      </c>
      <c r="C170" s="19" t="s">
        <v>1459</v>
      </c>
      <c r="D170" s="112" t="s">
        <v>1460</v>
      </c>
      <c r="E170" s="113" t="s">
        <v>1451</v>
      </c>
      <c r="F170" s="114">
        <v>1</v>
      </c>
      <c r="G170" s="115">
        <v>1.2636363636363599</v>
      </c>
      <c r="H170" s="114">
        <v>3</v>
      </c>
      <c r="I170" s="132" t="s">
        <v>402</v>
      </c>
      <c r="J170" s="133" t="s">
        <v>29</v>
      </c>
      <c r="K170" s="114" t="s">
        <v>1461</v>
      </c>
      <c r="L170" s="114">
        <v>13003229793</v>
      </c>
      <c r="M170" s="114" t="s">
        <v>1462</v>
      </c>
      <c r="N170" s="127" t="s">
        <v>1463</v>
      </c>
      <c r="O170" s="123" t="s">
        <v>1464</v>
      </c>
      <c r="P170" s="131">
        <v>13816854106</v>
      </c>
      <c r="Q170" s="127" t="s">
        <v>1465</v>
      </c>
      <c r="R170">
        <f t="shared" si="5"/>
        <v>4</v>
      </c>
      <c r="S170" s="15" t="s">
        <v>1466</v>
      </c>
    </row>
    <row r="171" spans="1:19" ht="15.75">
      <c r="A171" s="106" t="str">
        <f t="shared" si="4"/>
        <v>nonono</v>
      </c>
      <c r="B171" s="21" t="s">
        <v>1467</v>
      </c>
      <c r="C171" s="19" t="s">
        <v>1468</v>
      </c>
      <c r="D171" s="112" t="s">
        <v>162</v>
      </c>
      <c r="E171" s="113" t="s">
        <v>163</v>
      </c>
      <c r="F171" s="114">
        <v>1</v>
      </c>
      <c r="G171" s="115">
        <v>1.4909090909090901</v>
      </c>
      <c r="H171" s="114">
        <v>10</v>
      </c>
      <c r="I171" s="132" t="s">
        <v>164</v>
      </c>
      <c r="J171" s="133" t="s">
        <v>29</v>
      </c>
      <c r="K171" s="114" t="s">
        <v>1469</v>
      </c>
      <c r="L171" s="114">
        <v>15862213019</v>
      </c>
      <c r="M171" s="114" t="s">
        <v>1470</v>
      </c>
      <c r="N171" s="127" t="s">
        <v>1471</v>
      </c>
      <c r="O171" s="123" t="s">
        <v>1472</v>
      </c>
      <c r="P171" s="131">
        <v>13773283167</v>
      </c>
      <c r="Q171" s="127" t="s">
        <v>1473</v>
      </c>
      <c r="R171">
        <f t="shared" si="5"/>
        <v>2</v>
      </c>
      <c r="S171" s="15" t="s">
        <v>1474</v>
      </c>
    </row>
    <row r="172" spans="1:19" ht="15.75">
      <c r="A172" s="106" t="str">
        <f t="shared" si="4"/>
        <v>nonono</v>
      </c>
      <c r="B172" s="21" t="s">
        <v>1475</v>
      </c>
      <c r="C172" s="29" t="s">
        <v>1476</v>
      </c>
      <c r="D172" s="110" t="s">
        <v>1477</v>
      </c>
      <c r="E172" s="107" t="s">
        <v>429</v>
      </c>
      <c r="F172" s="107">
        <v>1</v>
      </c>
      <c r="G172" s="108">
        <v>1.49</v>
      </c>
      <c r="H172" s="107">
        <v>14</v>
      </c>
      <c r="I172" s="109" t="s">
        <v>1478</v>
      </c>
      <c r="J172" s="110" t="s">
        <v>29</v>
      </c>
      <c r="K172" s="110" t="s">
        <v>1479</v>
      </c>
      <c r="L172" s="107">
        <v>13459103839</v>
      </c>
      <c r="M172" s="110" t="s">
        <v>1480</v>
      </c>
      <c r="N172" s="127" t="s">
        <v>1481</v>
      </c>
      <c r="O172" s="123" t="s">
        <v>1482</v>
      </c>
      <c r="P172" s="134">
        <v>18963337775</v>
      </c>
      <c r="Q172" s="127" t="s">
        <v>1483</v>
      </c>
      <c r="R172">
        <f t="shared" si="5"/>
        <v>3</v>
      </c>
      <c r="S172" s="15" t="s">
        <v>1484</v>
      </c>
    </row>
    <row r="173" spans="1:19" ht="15.75">
      <c r="A173" s="106" t="str">
        <f t="shared" si="4"/>
        <v>nonono</v>
      </c>
      <c r="B173" s="21" t="s">
        <v>1485</v>
      </c>
      <c r="C173" s="30" t="s">
        <v>1486</v>
      </c>
      <c r="D173" s="110" t="s">
        <v>1477</v>
      </c>
      <c r="E173" s="107" t="s">
        <v>429</v>
      </c>
      <c r="F173" s="107">
        <v>1</v>
      </c>
      <c r="G173" s="108">
        <v>1.49</v>
      </c>
      <c r="H173" s="107">
        <v>14</v>
      </c>
      <c r="I173" s="109" t="s">
        <v>1478</v>
      </c>
      <c r="J173" s="110" t="s">
        <v>29</v>
      </c>
      <c r="K173" s="110" t="s">
        <v>1487</v>
      </c>
      <c r="L173" s="107">
        <v>13455405061</v>
      </c>
      <c r="M173" s="110" t="s">
        <v>364</v>
      </c>
      <c r="N173" s="127" t="s">
        <v>1488</v>
      </c>
      <c r="O173" s="123" t="s">
        <v>1489</v>
      </c>
      <c r="P173" s="131">
        <v>13563330305</v>
      </c>
      <c r="Q173" s="127" t="s">
        <v>1490</v>
      </c>
      <c r="R173">
        <f t="shared" si="5"/>
        <v>3</v>
      </c>
      <c r="S173" s="15" t="s">
        <v>1491</v>
      </c>
    </row>
    <row r="174" spans="1:19" ht="15.75">
      <c r="A174" s="106" t="str">
        <f t="shared" si="4"/>
        <v>nonono</v>
      </c>
      <c r="B174" s="21" t="s">
        <v>1492</v>
      </c>
      <c r="C174" s="22" t="s">
        <v>1493</v>
      </c>
      <c r="D174" s="110" t="s">
        <v>1494</v>
      </c>
      <c r="E174" s="107" t="s">
        <v>706</v>
      </c>
      <c r="F174" s="107">
        <v>1</v>
      </c>
      <c r="G174" s="108">
        <v>1.49</v>
      </c>
      <c r="H174" s="107">
        <v>16</v>
      </c>
      <c r="I174" s="109" t="s">
        <v>1495</v>
      </c>
      <c r="J174" s="110" t="s">
        <v>29</v>
      </c>
      <c r="K174" s="110" t="s">
        <v>1496</v>
      </c>
      <c r="L174" s="107">
        <v>13635279948</v>
      </c>
      <c r="M174" s="110" t="s">
        <v>1497</v>
      </c>
      <c r="N174" s="127" t="s">
        <v>1498</v>
      </c>
      <c r="O174" s="123" t="s">
        <v>1499</v>
      </c>
      <c r="P174" s="169">
        <v>13561907770</v>
      </c>
      <c r="Q174" s="127" t="s">
        <v>1500</v>
      </c>
      <c r="R174">
        <f t="shared" si="5"/>
        <v>4</v>
      </c>
      <c r="S174" s="15" t="s">
        <v>1501</v>
      </c>
    </row>
    <row r="175" spans="1:19" ht="15.75">
      <c r="A175" s="106" t="str">
        <f t="shared" si="4"/>
        <v>nonono</v>
      </c>
      <c r="B175" s="21" t="s">
        <v>1502</v>
      </c>
      <c r="C175" s="22" t="s">
        <v>1503</v>
      </c>
      <c r="D175" s="110" t="s">
        <v>1504</v>
      </c>
      <c r="E175" s="107" t="s">
        <v>429</v>
      </c>
      <c r="F175" s="107">
        <v>1</v>
      </c>
      <c r="G175" s="108">
        <v>1.26</v>
      </c>
      <c r="H175" s="107">
        <v>11</v>
      </c>
      <c r="I175" s="109" t="s">
        <v>1505</v>
      </c>
      <c r="J175" s="110" t="s">
        <v>29</v>
      </c>
      <c r="K175" s="110" t="s">
        <v>1506</v>
      </c>
      <c r="L175" s="107">
        <v>17098714030</v>
      </c>
      <c r="M175" s="110" t="s">
        <v>713</v>
      </c>
      <c r="N175" s="127" t="s">
        <v>1507</v>
      </c>
      <c r="O175" s="123" t="s">
        <v>1508</v>
      </c>
      <c r="P175" s="131">
        <v>15092531239</v>
      </c>
      <c r="Q175" s="127" t="s">
        <v>1509</v>
      </c>
      <c r="R175">
        <f t="shared" si="5"/>
        <v>3</v>
      </c>
      <c r="S175" s="15" t="s">
        <v>1510</v>
      </c>
    </row>
    <row r="176" spans="1:19" ht="15.75">
      <c r="A176" s="106" t="str">
        <f t="shared" si="4"/>
        <v>nonono</v>
      </c>
      <c r="B176" s="21" t="s">
        <v>1511</v>
      </c>
      <c r="C176" s="22" t="s">
        <v>1512</v>
      </c>
      <c r="D176" s="110" t="s">
        <v>1513</v>
      </c>
      <c r="E176" s="107" t="s">
        <v>1514</v>
      </c>
      <c r="F176" s="107">
        <v>1</v>
      </c>
      <c r="G176" s="108">
        <v>3.08</v>
      </c>
      <c r="H176" s="107">
        <v>6</v>
      </c>
      <c r="I176" s="109"/>
      <c r="J176" s="110" t="s">
        <v>293</v>
      </c>
      <c r="K176" s="117" t="s">
        <v>1515</v>
      </c>
      <c r="L176" s="37" t="s">
        <v>1516</v>
      </c>
      <c r="M176" s="117" t="s">
        <v>1517</v>
      </c>
      <c r="N176" s="127" t="s">
        <v>1518</v>
      </c>
      <c r="O176" s="41" t="s">
        <v>1517</v>
      </c>
      <c r="P176" t="s">
        <v>1516</v>
      </c>
      <c r="Q176" s="127" t="s">
        <v>1519</v>
      </c>
      <c r="R176">
        <f t="shared" si="5"/>
        <v>2</v>
      </c>
      <c r="S176" s="15" t="s">
        <v>1520</v>
      </c>
    </row>
    <row r="177" spans="1:19" ht="15.75">
      <c r="A177" s="106" t="str">
        <f t="shared" si="4"/>
        <v>nonono</v>
      </c>
      <c r="B177" s="21" t="s">
        <v>1521</v>
      </c>
      <c r="C177" s="22" t="s">
        <v>1522</v>
      </c>
      <c r="D177" s="110" t="s">
        <v>1513</v>
      </c>
      <c r="E177" s="107" t="s">
        <v>1514</v>
      </c>
      <c r="F177" s="107">
        <v>1</v>
      </c>
      <c r="G177" s="108">
        <v>3.08</v>
      </c>
      <c r="H177" s="107">
        <v>6</v>
      </c>
      <c r="I177" s="109"/>
      <c r="J177" s="110" t="s">
        <v>293</v>
      </c>
      <c r="K177" s="36" t="s">
        <v>1523</v>
      </c>
      <c r="L177" s="170" t="s">
        <v>1524</v>
      </c>
      <c r="M177" s="36" t="s">
        <v>1525</v>
      </c>
      <c r="N177" s="127" t="s">
        <v>1526</v>
      </c>
      <c r="O177" s="123" t="s">
        <v>1527</v>
      </c>
      <c r="P177" s="139">
        <v>19932207067</v>
      </c>
      <c r="Q177" s="127" t="s">
        <v>1528</v>
      </c>
      <c r="R177">
        <f t="shared" si="5"/>
        <v>3</v>
      </c>
      <c r="S177" s="15" t="s">
        <v>1529</v>
      </c>
    </row>
    <row r="178" spans="1:19" ht="15.75">
      <c r="A178" s="106" t="str">
        <f t="shared" si="4"/>
        <v>nonono</v>
      </c>
      <c r="B178" s="21" t="s">
        <v>1530</v>
      </c>
      <c r="C178" s="31" t="s">
        <v>1531</v>
      </c>
      <c r="D178" s="37" t="s">
        <v>1532</v>
      </c>
      <c r="E178" s="37" t="s">
        <v>1533</v>
      </c>
      <c r="F178" s="37">
        <v>1</v>
      </c>
      <c r="G178" s="116">
        <v>1.49</v>
      </c>
      <c r="H178" s="37">
        <v>15</v>
      </c>
      <c r="I178" s="37" t="s">
        <v>1534</v>
      </c>
      <c r="J178" s="117" t="s">
        <v>40</v>
      </c>
      <c r="K178" s="171" t="s">
        <v>1535</v>
      </c>
      <c r="L178" s="171">
        <v>13818301527</v>
      </c>
      <c r="M178" s="171" t="s">
        <v>1536</v>
      </c>
      <c r="N178" s="127" t="s">
        <v>1537</v>
      </c>
      <c r="O178" s="123" t="s">
        <v>1538</v>
      </c>
      <c r="P178" s="172">
        <v>13514188400</v>
      </c>
      <c r="Q178" s="127" t="s">
        <v>1539</v>
      </c>
      <c r="R178">
        <f t="shared" si="5"/>
        <v>2</v>
      </c>
      <c r="S178" s="15" t="s">
        <v>1540</v>
      </c>
    </row>
    <row r="179" spans="1:19" ht="15.75">
      <c r="A179" s="106" t="str">
        <f t="shared" si="4"/>
        <v>nonono</v>
      </c>
      <c r="B179" s="21" t="s">
        <v>1541</v>
      </c>
      <c r="C179" s="31" t="s">
        <v>1542</v>
      </c>
      <c r="D179" s="37" t="s">
        <v>1543</v>
      </c>
      <c r="E179" s="37" t="s">
        <v>1533</v>
      </c>
      <c r="F179" s="37">
        <v>1</v>
      </c>
      <c r="G179" s="116">
        <v>1.49</v>
      </c>
      <c r="H179" s="37">
        <v>15</v>
      </c>
      <c r="I179" s="37" t="s">
        <v>1534</v>
      </c>
      <c r="J179" s="117" t="s">
        <v>40</v>
      </c>
      <c r="K179" s="171" t="s">
        <v>1544</v>
      </c>
      <c r="L179" s="171">
        <v>13130420752</v>
      </c>
      <c r="M179" s="171" t="s">
        <v>1545</v>
      </c>
      <c r="N179" s="127" t="s">
        <v>1546</v>
      </c>
      <c r="O179" t="s">
        <v>1545</v>
      </c>
      <c r="P179" s="126">
        <v>13130420752</v>
      </c>
      <c r="Q179" s="127" t="s">
        <v>1547</v>
      </c>
      <c r="R179">
        <f t="shared" si="5"/>
        <v>1</v>
      </c>
      <c r="S179" s="15" t="s">
        <v>1548</v>
      </c>
    </row>
    <row r="180" spans="1:19" ht="15.75">
      <c r="A180" s="106" t="str">
        <f t="shared" si="4"/>
        <v>nonono</v>
      </c>
      <c r="B180" s="21" t="s">
        <v>1549</v>
      </c>
      <c r="C180" s="32" t="s">
        <v>1550</v>
      </c>
      <c r="D180" s="37" t="s">
        <v>1551</v>
      </c>
      <c r="E180" s="37" t="s">
        <v>1552</v>
      </c>
      <c r="F180" s="37">
        <v>1</v>
      </c>
      <c r="G180" s="116">
        <v>1.95</v>
      </c>
      <c r="H180" s="107">
        <v>15</v>
      </c>
      <c r="I180" s="37" t="s">
        <v>1553</v>
      </c>
      <c r="J180" s="110" t="s">
        <v>40</v>
      </c>
      <c r="K180" s="171" t="s">
        <v>1554</v>
      </c>
      <c r="L180" s="171">
        <v>19990075328</v>
      </c>
      <c r="M180" s="171" t="s">
        <v>1555</v>
      </c>
      <c r="N180" s="127" t="s">
        <v>1556</v>
      </c>
      <c r="O180" s="41" t="s">
        <v>1555</v>
      </c>
      <c r="P180" s="126">
        <v>19990075328</v>
      </c>
      <c r="Q180" s="127" t="s">
        <v>1557</v>
      </c>
      <c r="R180">
        <f t="shared" si="5"/>
        <v>4</v>
      </c>
      <c r="S180" s="15" t="s">
        <v>1558</v>
      </c>
    </row>
    <row r="181" spans="1:19" ht="15.75">
      <c r="A181" s="106" t="str">
        <f t="shared" si="4"/>
        <v>nonono</v>
      </c>
      <c r="B181" s="21" t="s">
        <v>1559</v>
      </c>
      <c r="C181" s="23" t="s">
        <v>1560</v>
      </c>
      <c r="D181" s="37" t="s">
        <v>1561</v>
      </c>
      <c r="E181" s="37" t="s">
        <v>1533</v>
      </c>
      <c r="F181" s="107">
        <v>1</v>
      </c>
      <c r="G181" s="116">
        <v>1.49</v>
      </c>
      <c r="H181" s="107">
        <v>14</v>
      </c>
      <c r="I181" s="37" t="s">
        <v>1562</v>
      </c>
      <c r="J181" s="117" t="s">
        <v>40</v>
      </c>
      <c r="K181" s="171" t="s">
        <v>1554</v>
      </c>
      <c r="L181" s="171">
        <v>19990075328</v>
      </c>
      <c r="M181" s="171" t="s">
        <v>1555</v>
      </c>
      <c r="N181" s="127" t="s">
        <v>1563</v>
      </c>
      <c r="O181" s="123" t="s">
        <v>1564</v>
      </c>
      <c r="P181" s="125">
        <v>13898516621</v>
      </c>
      <c r="Q181" s="127" t="s">
        <v>1565</v>
      </c>
      <c r="R181">
        <f t="shared" si="5"/>
        <v>4</v>
      </c>
      <c r="S181" s="15" t="s">
        <v>1566</v>
      </c>
    </row>
    <row r="182" spans="1:19" ht="15.75">
      <c r="A182" s="106" t="str">
        <f t="shared" si="4"/>
        <v>nonono</v>
      </c>
      <c r="B182" s="21" t="s">
        <v>1567</v>
      </c>
      <c r="C182" s="20" t="s">
        <v>1568</v>
      </c>
      <c r="D182" s="137" t="s">
        <v>1569</v>
      </c>
      <c r="E182" s="109" t="s">
        <v>1570</v>
      </c>
      <c r="F182" s="107">
        <v>1</v>
      </c>
      <c r="G182" s="108">
        <v>2.4</v>
      </c>
      <c r="H182" s="107">
        <v>8</v>
      </c>
      <c r="I182" s="109" t="s">
        <v>70</v>
      </c>
      <c r="J182" s="107" t="s">
        <v>40</v>
      </c>
      <c r="K182" s="107" t="s">
        <v>1571</v>
      </c>
      <c r="L182" s="107">
        <v>18603577666</v>
      </c>
      <c r="M182" s="107" t="s">
        <v>1572</v>
      </c>
      <c r="N182" s="127" t="s">
        <v>1573</v>
      </c>
      <c r="O182" s="123" t="s">
        <v>1574</v>
      </c>
      <c r="P182" s="131">
        <v>13753557888</v>
      </c>
      <c r="Q182" s="127" t="s">
        <v>1575</v>
      </c>
      <c r="R182">
        <f t="shared" si="5"/>
        <v>2</v>
      </c>
      <c r="S182" s="15" t="s">
        <v>1576</v>
      </c>
    </row>
    <row r="183" spans="1:19" ht="15.75">
      <c r="A183" s="106" t="str">
        <f t="shared" si="4"/>
        <v>nonono</v>
      </c>
      <c r="B183" s="21" t="s">
        <v>1577</v>
      </c>
      <c r="C183" s="15" t="s">
        <v>1578</v>
      </c>
      <c r="D183" s="107" t="s">
        <v>1579</v>
      </c>
      <c r="E183" s="107" t="s">
        <v>50</v>
      </c>
      <c r="F183" s="107">
        <v>1</v>
      </c>
      <c r="G183" s="108">
        <v>0.81</v>
      </c>
      <c r="H183" s="107">
        <v>16</v>
      </c>
      <c r="I183" s="109" t="s">
        <v>51</v>
      </c>
      <c r="J183" s="107" t="s">
        <v>40</v>
      </c>
      <c r="K183" s="107" t="s">
        <v>1580</v>
      </c>
      <c r="L183" s="107">
        <v>13912795769</v>
      </c>
      <c r="M183" s="107" t="s">
        <v>1581</v>
      </c>
      <c r="N183" t="s">
        <v>1580</v>
      </c>
      <c r="O183" s="123" t="s">
        <v>1582</v>
      </c>
      <c r="P183" s="129">
        <v>13901546110</v>
      </c>
      <c r="Q183" t="s">
        <v>1583</v>
      </c>
      <c r="R183">
        <f t="shared" si="5"/>
        <v>1</v>
      </c>
      <c r="S183" s="15" t="s">
        <v>1584</v>
      </c>
    </row>
    <row r="184" spans="1:19" ht="15.75">
      <c r="A184" s="106" t="str">
        <f t="shared" si="4"/>
        <v>nonono</v>
      </c>
      <c r="B184" s="21" t="s">
        <v>1585</v>
      </c>
      <c r="C184" s="15" t="s">
        <v>1586</v>
      </c>
      <c r="D184" s="107" t="s">
        <v>1587</v>
      </c>
      <c r="E184" s="107" t="s">
        <v>50</v>
      </c>
      <c r="F184" s="107">
        <v>1</v>
      </c>
      <c r="G184" s="108">
        <v>0.81</v>
      </c>
      <c r="H184" s="107">
        <v>16</v>
      </c>
      <c r="I184" s="109" t="s">
        <v>51</v>
      </c>
      <c r="J184" s="107" t="s">
        <v>40</v>
      </c>
      <c r="K184" s="107" t="s">
        <v>1588</v>
      </c>
      <c r="L184" s="107">
        <v>13913502969</v>
      </c>
      <c r="M184" s="107" t="s">
        <v>1581</v>
      </c>
      <c r="N184" t="s">
        <v>1588</v>
      </c>
      <c r="O184" t="s">
        <v>1581</v>
      </c>
      <c r="P184" s="126">
        <v>13913502969</v>
      </c>
      <c r="Q184" t="s">
        <v>1589</v>
      </c>
      <c r="R184">
        <f t="shared" si="5"/>
        <v>1</v>
      </c>
      <c r="S184" s="15" t="s">
        <v>1590</v>
      </c>
    </row>
    <row r="185" spans="1:19" ht="15.75">
      <c r="A185" s="106" t="str">
        <f t="shared" si="4"/>
        <v>nonono</v>
      </c>
      <c r="B185" s="21" t="s">
        <v>1591</v>
      </c>
      <c r="C185" s="15" t="s">
        <v>1592</v>
      </c>
      <c r="D185" s="107" t="s">
        <v>1593</v>
      </c>
      <c r="E185" s="107" t="s">
        <v>1594</v>
      </c>
      <c r="F185" s="107">
        <v>1</v>
      </c>
      <c r="G185" s="108">
        <v>1.04</v>
      </c>
      <c r="H185" s="107">
        <v>10</v>
      </c>
      <c r="I185" s="109" t="s">
        <v>1595</v>
      </c>
      <c r="J185" s="107" t="s">
        <v>40</v>
      </c>
      <c r="K185" s="107" t="s">
        <v>1596</v>
      </c>
      <c r="L185" s="107">
        <v>13015331566</v>
      </c>
      <c r="M185" s="107" t="s">
        <v>1597</v>
      </c>
      <c r="N185" t="s">
        <v>1596</v>
      </c>
      <c r="O185" t="s">
        <v>1597</v>
      </c>
      <c r="P185" s="126">
        <v>13015331566</v>
      </c>
      <c r="Q185" t="s">
        <v>1598</v>
      </c>
      <c r="R185">
        <f t="shared" si="5"/>
        <v>1</v>
      </c>
      <c r="S185" s="15" t="s">
        <v>1599</v>
      </c>
    </row>
    <row r="186" spans="1:19" ht="15.75">
      <c r="A186" s="106" t="str">
        <f t="shared" si="4"/>
        <v>nonono</v>
      </c>
      <c r="B186" s="21" t="s">
        <v>1600</v>
      </c>
      <c r="C186" s="15" t="s">
        <v>1601</v>
      </c>
      <c r="D186" s="107" t="s">
        <v>1602</v>
      </c>
      <c r="E186" s="107" t="s">
        <v>1603</v>
      </c>
      <c r="F186" s="107">
        <v>1</v>
      </c>
      <c r="G186" s="108">
        <v>2.4</v>
      </c>
      <c r="H186" s="107">
        <v>6</v>
      </c>
      <c r="I186" s="109" t="s">
        <v>70</v>
      </c>
      <c r="J186" s="107" t="s">
        <v>29</v>
      </c>
      <c r="K186" s="107" t="s">
        <v>1604</v>
      </c>
      <c r="L186" s="107">
        <v>13386251002</v>
      </c>
      <c r="M186" s="107" t="s">
        <v>1605</v>
      </c>
      <c r="N186" s="127" t="s">
        <v>1606</v>
      </c>
      <c r="O186" t="s">
        <v>1605</v>
      </c>
      <c r="P186" s="126">
        <v>13386251002</v>
      </c>
      <c r="Q186" s="127" t="s">
        <v>1607</v>
      </c>
      <c r="R186">
        <f t="shared" si="5"/>
        <v>1</v>
      </c>
      <c r="S186" s="15" t="s">
        <v>1608</v>
      </c>
    </row>
    <row r="187" spans="1:19" ht="15.75">
      <c r="A187" s="106" t="str">
        <f t="shared" si="4"/>
        <v>nonono</v>
      </c>
      <c r="B187" s="21" t="s">
        <v>1609</v>
      </c>
      <c r="C187" s="15" t="s">
        <v>1610</v>
      </c>
      <c r="D187" s="107" t="s">
        <v>79</v>
      </c>
      <c r="E187" s="107" t="s">
        <v>80</v>
      </c>
      <c r="F187" s="107">
        <v>1</v>
      </c>
      <c r="G187" s="108">
        <v>0.81</v>
      </c>
      <c r="H187" s="107">
        <v>8</v>
      </c>
      <c r="I187" s="109" t="s">
        <v>81</v>
      </c>
      <c r="J187" s="107" t="s">
        <v>29</v>
      </c>
      <c r="K187" s="107" t="s">
        <v>870</v>
      </c>
      <c r="L187" s="107">
        <v>15652037350</v>
      </c>
      <c r="M187" s="107" t="s">
        <v>871</v>
      </c>
      <c r="N187" t="s">
        <v>870</v>
      </c>
      <c r="O187" s="123" t="s">
        <v>1611</v>
      </c>
      <c r="P187" s="139">
        <v>17332175777</v>
      </c>
      <c r="Q187" t="s">
        <v>1612</v>
      </c>
      <c r="R187">
        <f t="shared" si="5"/>
        <v>4</v>
      </c>
      <c r="S187" s="15" t="s">
        <v>1613</v>
      </c>
    </row>
    <row r="188" spans="1:19" ht="15.75">
      <c r="A188" s="106" t="str">
        <f t="shared" si="4"/>
        <v>nonono</v>
      </c>
      <c r="B188" s="21" t="s">
        <v>1614</v>
      </c>
      <c r="C188" s="15" t="s">
        <v>1615</v>
      </c>
      <c r="D188" s="107" t="s">
        <v>1616</v>
      </c>
      <c r="E188" s="107" t="s">
        <v>1617</v>
      </c>
      <c r="F188" s="107">
        <v>1</v>
      </c>
      <c r="G188" s="108">
        <v>2.63</v>
      </c>
      <c r="H188" s="107">
        <v>6</v>
      </c>
      <c r="I188" s="109" t="s">
        <v>1618</v>
      </c>
      <c r="J188" s="107" t="s">
        <v>29</v>
      </c>
      <c r="K188" s="107" t="s">
        <v>879</v>
      </c>
      <c r="L188" s="107">
        <v>18330660293</v>
      </c>
      <c r="M188" s="107" t="s">
        <v>871</v>
      </c>
      <c r="N188" s="127" t="s">
        <v>1619</v>
      </c>
      <c r="O188" s="123" t="s">
        <v>1620</v>
      </c>
      <c r="P188" s="131">
        <v>18132396666</v>
      </c>
      <c r="Q188" s="127" t="s">
        <v>1621</v>
      </c>
      <c r="R188">
        <f t="shared" si="5"/>
        <v>4</v>
      </c>
      <c r="S188" s="15" t="s">
        <v>1622</v>
      </c>
    </row>
    <row r="189" spans="1:19" ht="15.75">
      <c r="A189" s="106" t="str">
        <f t="shared" si="4"/>
        <v>nonono</v>
      </c>
      <c r="B189" s="21" t="s">
        <v>1623</v>
      </c>
      <c r="C189" s="15" t="s">
        <v>1624</v>
      </c>
      <c r="D189" s="107" t="s">
        <v>1625</v>
      </c>
      <c r="E189" s="107" t="s">
        <v>281</v>
      </c>
      <c r="F189" s="107">
        <v>1</v>
      </c>
      <c r="G189" s="108">
        <v>1.26</v>
      </c>
      <c r="H189" s="107">
        <v>9</v>
      </c>
      <c r="I189" s="109" t="s">
        <v>1318</v>
      </c>
      <c r="J189" s="107" t="s">
        <v>40</v>
      </c>
      <c r="K189" s="107" t="s">
        <v>1626</v>
      </c>
      <c r="L189" s="107">
        <v>18109312000</v>
      </c>
      <c r="M189" s="135" t="s">
        <v>1627</v>
      </c>
      <c r="N189" t="s">
        <v>1626</v>
      </c>
      <c r="O189" t="s">
        <v>1627</v>
      </c>
      <c r="P189" s="126">
        <v>18109312000</v>
      </c>
      <c r="Q189" t="s">
        <v>1628</v>
      </c>
      <c r="R189">
        <f t="shared" si="5"/>
        <v>1</v>
      </c>
      <c r="S189" s="15" t="s">
        <v>1629</v>
      </c>
    </row>
    <row r="190" spans="1:19" ht="15.75">
      <c r="A190" s="106" t="str">
        <f t="shared" si="4"/>
        <v>nonono</v>
      </c>
      <c r="B190" s="21" t="s">
        <v>1630</v>
      </c>
      <c r="C190" s="15" t="s">
        <v>1631</v>
      </c>
      <c r="D190" s="107" t="s">
        <v>1632</v>
      </c>
      <c r="E190" s="107" t="s">
        <v>1633</v>
      </c>
      <c r="F190" s="107">
        <v>1</v>
      </c>
      <c r="G190" s="108">
        <v>0.81</v>
      </c>
      <c r="H190" s="107">
        <v>5</v>
      </c>
      <c r="I190" s="109" t="s">
        <v>1634</v>
      </c>
      <c r="J190" s="107" t="s">
        <v>29</v>
      </c>
      <c r="K190" s="107" t="s">
        <v>1635</v>
      </c>
      <c r="L190" s="107">
        <v>13541316114</v>
      </c>
      <c r="M190" s="107" t="s">
        <v>1636</v>
      </c>
      <c r="N190" s="127" t="s">
        <v>1637</v>
      </c>
      <c r="O190" s="123" t="s">
        <v>1638</v>
      </c>
      <c r="P190" s="128">
        <v>18081800812</v>
      </c>
      <c r="Q190" s="127" t="s">
        <v>1639</v>
      </c>
      <c r="R190">
        <f t="shared" si="5"/>
        <v>2</v>
      </c>
      <c r="S190" s="15" t="s">
        <v>1640</v>
      </c>
    </row>
    <row r="191" spans="1:19" ht="15.75">
      <c r="A191" s="106" t="str">
        <f t="shared" si="4"/>
        <v>nonono</v>
      </c>
      <c r="B191" s="21" t="s">
        <v>1641</v>
      </c>
      <c r="C191" s="15" t="s">
        <v>1642</v>
      </c>
      <c r="D191" s="107" t="s">
        <v>121</v>
      </c>
      <c r="E191" s="107" t="s">
        <v>122</v>
      </c>
      <c r="F191" s="107">
        <v>1</v>
      </c>
      <c r="G191" s="108">
        <v>0.81</v>
      </c>
      <c r="H191" s="107">
        <v>4</v>
      </c>
      <c r="I191" s="109" t="s">
        <v>123</v>
      </c>
      <c r="J191" s="107" t="s">
        <v>29</v>
      </c>
      <c r="K191" s="107" t="s">
        <v>1643</v>
      </c>
      <c r="L191" s="107">
        <v>18163221890</v>
      </c>
      <c r="M191" s="107" t="s">
        <v>1644</v>
      </c>
      <c r="N191" s="127" t="s">
        <v>1645</v>
      </c>
      <c r="O191" s="123" t="s">
        <v>1646</v>
      </c>
      <c r="P191" s="128">
        <v>18620489248</v>
      </c>
      <c r="Q191" s="127" t="s">
        <v>1647</v>
      </c>
      <c r="R191">
        <f t="shared" si="5"/>
        <v>3</v>
      </c>
      <c r="S191" s="15" t="s">
        <v>1648</v>
      </c>
    </row>
    <row r="192" spans="1:19" ht="15.75">
      <c r="A192" s="106" t="str">
        <f t="shared" si="4"/>
        <v>nonono</v>
      </c>
      <c r="B192" s="21" t="s">
        <v>1649</v>
      </c>
      <c r="C192" s="15" t="s">
        <v>1650</v>
      </c>
      <c r="D192" s="107" t="s">
        <v>1651</v>
      </c>
      <c r="E192" s="107" t="s">
        <v>1652</v>
      </c>
      <c r="F192" s="107">
        <v>1</v>
      </c>
      <c r="G192" s="108">
        <v>0.81</v>
      </c>
      <c r="H192" s="107">
        <v>5</v>
      </c>
      <c r="I192" s="109" t="s">
        <v>1653</v>
      </c>
      <c r="J192" s="107" t="s">
        <v>29</v>
      </c>
      <c r="K192" s="107" t="s">
        <v>1643</v>
      </c>
      <c r="L192" s="107">
        <v>18163221890</v>
      </c>
      <c r="M192" s="107" t="s">
        <v>1644</v>
      </c>
      <c r="N192" t="s">
        <v>1643</v>
      </c>
      <c r="O192" s="123" t="s">
        <v>1654</v>
      </c>
      <c r="P192" s="129">
        <v>13902829300</v>
      </c>
      <c r="Q192" t="s">
        <v>1655</v>
      </c>
      <c r="R192">
        <f t="shared" si="5"/>
        <v>3</v>
      </c>
      <c r="S192" s="15" t="s">
        <v>1656</v>
      </c>
    </row>
    <row r="193" spans="1:19" ht="15.75">
      <c r="A193" s="106" t="str">
        <f t="shared" si="4"/>
        <v>nonono</v>
      </c>
      <c r="B193" s="21" t="s">
        <v>1657</v>
      </c>
      <c r="C193" s="15" t="s">
        <v>1658</v>
      </c>
      <c r="D193" s="107" t="s">
        <v>1659</v>
      </c>
      <c r="E193" s="107" t="s">
        <v>261</v>
      </c>
      <c r="F193" s="107">
        <v>1</v>
      </c>
      <c r="G193" s="108">
        <v>1.72</v>
      </c>
      <c r="H193" s="107">
        <v>11</v>
      </c>
      <c r="I193" s="109" t="s">
        <v>262</v>
      </c>
      <c r="J193" s="107" t="s">
        <v>40</v>
      </c>
      <c r="K193" s="107" t="s">
        <v>1660</v>
      </c>
      <c r="L193" s="107">
        <v>13602446645</v>
      </c>
      <c r="M193" s="135" t="s">
        <v>1661</v>
      </c>
      <c r="N193" s="127" t="s">
        <v>1662</v>
      </c>
      <c r="O193" s="123" t="s">
        <v>1663</v>
      </c>
      <c r="P193" s="175">
        <v>15913187189</v>
      </c>
      <c r="Q193" s="127" t="s">
        <v>1664</v>
      </c>
      <c r="R193">
        <f t="shared" si="5"/>
        <v>3</v>
      </c>
      <c r="S193" s="15" t="s">
        <v>1665</v>
      </c>
    </row>
    <row r="194" spans="1:19" ht="15.75">
      <c r="A194" s="106" t="str">
        <f t="shared" si="4"/>
        <v>nonono</v>
      </c>
      <c r="B194" s="21" t="s">
        <v>1666</v>
      </c>
      <c r="C194" s="15" t="s">
        <v>1667</v>
      </c>
      <c r="D194" s="107" t="s">
        <v>200</v>
      </c>
      <c r="E194" s="107" t="s">
        <v>201</v>
      </c>
      <c r="F194" s="107">
        <v>1</v>
      </c>
      <c r="G194" s="108">
        <v>1.72</v>
      </c>
      <c r="H194" s="107">
        <v>10</v>
      </c>
      <c r="I194" s="109" t="s">
        <v>202</v>
      </c>
      <c r="J194" s="107" t="s">
        <v>40</v>
      </c>
      <c r="K194" s="107" t="s">
        <v>945</v>
      </c>
      <c r="L194" s="107">
        <v>13512756600</v>
      </c>
      <c r="M194" s="135" t="s">
        <v>946</v>
      </c>
      <c r="N194" t="s">
        <v>945</v>
      </c>
      <c r="O194" s="123" t="s">
        <v>1668</v>
      </c>
      <c r="P194" s="176">
        <v>13414117858</v>
      </c>
      <c r="Q194" t="s">
        <v>1669</v>
      </c>
      <c r="R194">
        <f t="shared" si="5"/>
        <v>3</v>
      </c>
      <c r="S194" s="15" t="s">
        <v>1670</v>
      </c>
    </row>
    <row r="195" spans="1:19" ht="15.75">
      <c r="A195" s="106" t="str">
        <f t="shared" si="4"/>
        <v>nonono</v>
      </c>
      <c r="B195" s="21" t="s">
        <v>1671</v>
      </c>
      <c r="C195" s="15" t="s">
        <v>1672</v>
      </c>
      <c r="D195" s="37" t="s">
        <v>221</v>
      </c>
      <c r="E195" s="37" t="s">
        <v>201</v>
      </c>
      <c r="F195" s="37">
        <v>1</v>
      </c>
      <c r="G195" s="116">
        <v>1.49</v>
      </c>
      <c r="H195" s="37">
        <v>12</v>
      </c>
      <c r="I195" s="109" t="s">
        <v>202</v>
      </c>
      <c r="J195" s="107" t="s">
        <v>40</v>
      </c>
      <c r="K195" s="37" t="s">
        <v>1673</v>
      </c>
      <c r="L195" s="107">
        <v>13560315011</v>
      </c>
      <c r="M195" s="135" t="s">
        <v>1674</v>
      </c>
      <c r="N195" s="127" t="s">
        <v>1675</v>
      </c>
      <c r="O195" s="41" t="s">
        <v>1674</v>
      </c>
      <c r="P195" s="126">
        <v>13560315011</v>
      </c>
      <c r="Q195" s="127" t="s">
        <v>1676</v>
      </c>
      <c r="R195">
        <f t="shared" si="5"/>
        <v>2</v>
      </c>
      <c r="S195" s="15" t="s">
        <v>1677</v>
      </c>
    </row>
    <row r="196" spans="1:19" ht="15.75">
      <c r="A196" s="106" t="str">
        <f t="shared" si="4"/>
        <v>nonono</v>
      </c>
      <c r="B196" s="21" t="s">
        <v>1678</v>
      </c>
      <c r="C196" s="15" t="s">
        <v>1679</v>
      </c>
      <c r="D196" s="110" t="s">
        <v>1680</v>
      </c>
      <c r="E196" s="107" t="s">
        <v>69</v>
      </c>
      <c r="F196" s="107">
        <v>1</v>
      </c>
      <c r="G196" s="108">
        <v>1.26</v>
      </c>
      <c r="H196" s="107">
        <v>10</v>
      </c>
      <c r="I196" s="137" t="s">
        <v>402</v>
      </c>
      <c r="J196" s="110" t="s">
        <v>40</v>
      </c>
      <c r="K196" s="110" t="s">
        <v>626</v>
      </c>
      <c r="L196" s="107">
        <v>18017976061</v>
      </c>
      <c r="M196" s="110" t="s">
        <v>627</v>
      </c>
      <c r="N196" s="127" t="s">
        <v>1681</v>
      </c>
      <c r="O196" t="s">
        <v>627</v>
      </c>
      <c r="P196" s="126">
        <v>18017976061</v>
      </c>
      <c r="Q196" s="127" t="s">
        <v>1682</v>
      </c>
      <c r="R196">
        <f t="shared" si="5"/>
        <v>2</v>
      </c>
      <c r="S196" s="15" t="s">
        <v>1683</v>
      </c>
    </row>
    <row r="197" spans="1:19" ht="15.75">
      <c r="A197" s="106" t="str">
        <f t="shared" si="4"/>
        <v>nonono</v>
      </c>
      <c r="B197" s="21" t="s">
        <v>1684</v>
      </c>
      <c r="C197" s="15" t="s">
        <v>1685</v>
      </c>
      <c r="D197" s="110" t="s">
        <v>1686</v>
      </c>
      <c r="E197" s="107" t="s">
        <v>1687</v>
      </c>
      <c r="F197" s="107">
        <v>1</v>
      </c>
      <c r="G197" s="108">
        <v>1.04</v>
      </c>
      <c r="H197" s="107">
        <v>2</v>
      </c>
      <c r="I197" s="109" t="s">
        <v>1688</v>
      </c>
      <c r="J197" s="110" t="s">
        <v>103</v>
      </c>
      <c r="K197" s="117" t="s">
        <v>1689</v>
      </c>
      <c r="L197" s="37">
        <v>13780820398</v>
      </c>
      <c r="M197" s="37" t="s">
        <v>1690</v>
      </c>
      <c r="N197" t="s">
        <v>1689</v>
      </c>
      <c r="O197" t="s">
        <v>1690</v>
      </c>
      <c r="P197" s="126">
        <v>13780820398</v>
      </c>
      <c r="Q197" t="s">
        <v>1691</v>
      </c>
      <c r="R197">
        <f t="shared" si="5"/>
        <v>1</v>
      </c>
      <c r="S197" s="15" t="s">
        <v>1692</v>
      </c>
    </row>
    <row r="198" spans="1:19" ht="15.75">
      <c r="A198" s="106" t="str">
        <f t="shared" ref="A198:A261" si="6">IF(B198=C198,"","nonono")</f>
        <v>nonono</v>
      </c>
      <c r="B198" s="21" t="s">
        <v>1693</v>
      </c>
      <c r="C198" s="15" t="s">
        <v>1694</v>
      </c>
      <c r="D198" s="117" t="s">
        <v>301</v>
      </c>
      <c r="E198" s="37" t="s">
        <v>302</v>
      </c>
      <c r="F198" s="37">
        <v>1</v>
      </c>
      <c r="G198" s="116">
        <v>1.26</v>
      </c>
      <c r="H198" s="37">
        <v>1</v>
      </c>
      <c r="I198" s="137" t="s">
        <v>303</v>
      </c>
      <c r="J198" s="110" t="s">
        <v>304</v>
      </c>
      <c r="K198" s="107" t="s">
        <v>1695</v>
      </c>
      <c r="L198" s="107">
        <v>15135116606</v>
      </c>
      <c r="M198" s="110" t="s">
        <v>1696</v>
      </c>
      <c r="N198" s="127" t="s">
        <v>1697</v>
      </c>
      <c r="O198" t="s">
        <v>1696</v>
      </c>
      <c r="P198" s="126">
        <v>15135116606</v>
      </c>
      <c r="Q198" s="127" t="s">
        <v>1698</v>
      </c>
      <c r="R198">
        <f t="shared" si="5"/>
        <v>1</v>
      </c>
      <c r="S198" s="15" t="s">
        <v>1699</v>
      </c>
    </row>
    <row r="199" spans="1:19" ht="15.75">
      <c r="A199" s="106" t="str">
        <f t="shared" si="6"/>
        <v>nonono</v>
      </c>
      <c r="B199" s="21" t="s">
        <v>1700</v>
      </c>
      <c r="C199" s="15" t="s">
        <v>1701</v>
      </c>
      <c r="D199" s="110" t="s">
        <v>1702</v>
      </c>
      <c r="E199" s="107" t="s">
        <v>1703</v>
      </c>
      <c r="F199" s="107">
        <v>1</v>
      </c>
      <c r="G199" s="108">
        <v>1.72</v>
      </c>
      <c r="H199" s="107">
        <v>2</v>
      </c>
      <c r="I199" s="109"/>
      <c r="J199" s="110" t="s">
        <v>29</v>
      </c>
      <c r="K199" s="110" t="s">
        <v>1704</v>
      </c>
      <c r="L199" s="177">
        <v>13910983636</v>
      </c>
      <c r="M199" s="117" t="s">
        <v>1705</v>
      </c>
      <c r="N199" s="127" t="s">
        <v>1706</v>
      </c>
      <c r="O199" t="s">
        <v>1705</v>
      </c>
      <c r="P199" s="126">
        <v>13910983636</v>
      </c>
      <c r="Q199" s="127" t="s">
        <v>1707</v>
      </c>
      <c r="R199">
        <f t="shared" ref="R199:R262" si="7">COUNTIF($K$1:$K$2982,K199)</f>
        <v>1</v>
      </c>
      <c r="S199" s="15" t="s">
        <v>1708</v>
      </c>
    </row>
    <row r="200" spans="1:19" ht="15.75">
      <c r="A200" s="106" t="str">
        <f t="shared" si="6"/>
        <v>nonono</v>
      </c>
      <c r="B200" s="21" t="s">
        <v>1709</v>
      </c>
      <c r="C200" s="15" t="s">
        <v>1710</v>
      </c>
      <c r="D200" s="110" t="s">
        <v>1711</v>
      </c>
      <c r="E200" s="107" t="s">
        <v>111</v>
      </c>
      <c r="F200" s="107">
        <v>1</v>
      </c>
      <c r="G200" s="108">
        <v>1.26</v>
      </c>
      <c r="H200" s="107">
        <v>14</v>
      </c>
      <c r="I200" s="137" t="s">
        <v>430</v>
      </c>
      <c r="J200" s="110" t="s">
        <v>40</v>
      </c>
      <c r="K200" s="110" t="s">
        <v>321</v>
      </c>
      <c r="L200" s="109">
        <v>13701378667</v>
      </c>
      <c r="M200" s="178" t="s">
        <v>322</v>
      </c>
      <c r="N200" s="127" t="s">
        <v>1712</v>
      </c>
      <c r="O200" s="123" t="s">
        <v>1713</v>
      </c>
      <c r="P200" s="179">
        <v>18810306766</v>
      </c>
      <c r="Q200" s="127" t="s">
        <v>1714</v>
      </c>
      <c r="R200">
        <f t="shared" si="7"/>
        <v>4</v>
      </c>
      <c r="S200" s="15" t="s">
        <v>1715</v>
      </c>
    </row>
    <row r="201" spans="1:19" ht="15.75">
      <c r="A201" s="106" t="str">
        <f t="shared" si="6"/>
        <v>nonono</v>
      </c>
      <c r="B201" s="21" t="s">
        <v>1716</v>
      </c>
      <c r="C201" s="15" t="s">
        <v>1717</v>
      </c>
      <c r="D201" s="110" t="s">
        <v>1718</v>
      </c>
      <c r="E201" s="107" t="s">
        <v>261</v>
      </c>
      <c r="F201" s="107">
        <v>1</v>
      </c>
      <c r="G201" s="108">
        <v>1.04</v>
      </c>
      <c r="H201" s="107">
        <v>13</v>
      </c>
      <c r="I201" s="137" t="s">
        <v>391</v>
      </c>
      <c r="J201" s="110" t="s">
        <v>40</v>
      </c>
      <c r="K201" s="117" t="s">
        <v>1719</v>
      </c>
      <c r="L201" s="107">
        <v>13502825633</v>
      </c>
      <c r="M201" s="110" t="s">
        <v>1720</v>
      </c>
      <c r="N201" s="127" t="s">
        <v>1721</v>
      </c>
      <c r="O201" t="s">
        <v>1720</v>
      </c>
      <c r="P201">
        <v>13502825633</v>
      </c>
      <c r="Q201" s="127" t="s">
        <v>1722</v>
      </c>
      <c r="R201">
        <f t="shared" si="7"/>
        <v>1</v>
      </c>
      <c r="S201" s="15" t="s">
        <v>1723</v>
      </c>
    </row>
    <row r="202" spans="1:19" ht="15.75">
      <c r="A202" s="106" t="str">
        <f t="shared" si="6"/>
        <v>nonono</v>
      </c>
      <c r="B202" s="21" t="s">
        <v>1724</v>
      </c>
      <c r="C202" s="15" t="s">
        <v>1725</v>
      </c>
      <c r="D202" s="173" t="s">
        <v>1726</v>
      </c>
      <c r="E202" s="109" t="s">
        <v>1727</v>
      </c>
      <c r="F202" s="107">
        <v>1</v>
      </c>
      <c r="G202" s="108">
        <v>2.85</v>
      </c>
      <c r="H202" s="109">
        <v>12</v>
      </c>
      <c r="I202" s="109" t="s">
        <v>1728</v>
      </c>
      <c r="J202" s="110" t="s">
        <v>40</v>
      </c>
      <c r="K202" s="110" t="s">
        <v>1729</v>
      </c>
      <c r="L202" s="107">
        <v>13556052647</v>
      </c>
      <c r="M202" s="110" t="s">
        <v>1730</v>
      </c>
      <c r="N202" s="127" t="s">
        <v>1731</v>
      </c>
      <c r="O202" s="123" t="s">
        <v>1732</v>
      </c>
      <c r="P202" s="134">
        <v>13178844366</v>
      </c>
      <c r="Q202" s="127" t="s">
        <v>1733</v>
      </c>
      <c r="R202">
        <f t="shared" si="7"/>
        <v>2</v>
      </c>
      <c r="S202" s="15" t="s">
        <v>1734</v>
      </c>
    </row>
    <row r="203" spans="1:19" ht="15.75">
      <c r="A203" s="106" t="str">
        <f t="shared" si="6"/>
        <v>nonono</v>
      </c>
      <c r="B203" s="21" t="s">
        <v>1735</v>
      </c>
      <c r="C203" s="15" t="s">
        <v>1736</v>
      </c>
      <c r="D203" s="110" t="s">
        <v>1737</v>
      </c>
      <c r="E203" s="107" t="s">
        <v>625</v>
      </c>
      <c r="F203" s="107">
        <v>1</v>
      </c>
      <c r="G203" s="108">
        <v>1.49</v>
      </c>
      <c r="H203" s="107">
        <v>3</v>
      </c>
      <c r="I203" s="109"/>
      <c r="J203" s="110" t="s">
        <v>40</v>
      </c>
      <c r="K203" s="141" t="s">
        <v>392</v>
      </c>
      <c r="L203" s="107">
        <v>18918016978</v>
      </c>
      <c r="M203" s="117" t="s">
        <v>393</v>
      </c>
      <c r="N203" s="127" t="s">
        <v>1738</v>
      </c>
      <c r="O203" s="123" t="s">
        <v>1739</v>
      </c>
      <c r="P203" s="128">
        <v>18901896625</v>
      </c>
      <c r="Q203" s="127" t="s">
        <v>1740</v>
      </c>
      <c r="R203">
        <f t="shared" si="7"/>
        <v>4</v>
      </c>
      <c r="S203" s="15" t="s">
        <v>1741</v>
      </c>
    </row>
    <row r="204" spans="1:19" ht="15.75">
      <c r="A204" s="106" t="str">
        <f t="shared" si="6"/>
        <v>nonono</v>
      </c>
      <c r="B204" s="21" t="s">
        <v>1742</v>
      </c>
      <c r="C204" s="15" t="s">
        <v>1743</v>
      </c>
      <c r="D204" s="110" t="s">
        <v>1744</v>
      </c>
      <c r="E204" s="107" t="s">
        <v>560</v>
      </c>
      <c r="F204" s="107">
        <v>1</v>
      </c>
      <c r="G204" s="108">
        <v>1.72</v>
      </c>
      <c r="H204" s="107">
        <v>11</v>
      </c>
      <c r="I204" s="137" t="s">
        <v>944</v>
      </c>
      <c r="J204" s="110" t="s">
        <v>29</v>
      </c>
      <c r="K204" s="117" t="s">
        <v>1745</v>
      </c>
      <c r="L204" s="107">
        <v>13953750669</v>
      </c>
      <c r="M204" s="110" t="s">
        <v>1746</v>
      </c>
      <c r="N204" s="127" t="s">
        <v>1747</v>
      </c>
      <c r="O204" s="123" t="s">
        <v>1748</v>
      </c>
      <c r="P204" s="138">
        <v>13253631201</v>
      </c>
      <c r="Q204" s="127" t="s">
        <v>1749</v>
      </c>
      <c r="R204">
        <f t="shared" si="7"/>
        <v>2</v>
      </c>
      <c r="S204" s="15" t="s">
        <v>1750</v>
      </c>
    </row>
    <row r="205" spans="1:19" ht="15.75">
      <c r="A205" s="106" t="str">
        <f t="shared" si="6"/>
        <v>nonono</v>
      </c>
      <c r="B205" s="21" t="s">
        <v>1751</v>
      </c>
      <c r="C205" s="15" t="s">
        <v>1752</v>
      </c>
      <c r="D205" s="110" t="s">
        <v>1753</v>
      </c>
      <c r="E205" s="107" t="s">
        <v>69</v>
      </c>
      <c r="F205" s="107">
        <v>1</v>
      </c>
      <c r="G205" s="108">
        <v>1.26</v>
      </c>
      <c r="H205" s="107">
        <v>10</v>
      </c>
      <c r="I205" s="137" t="s">
        <v>402</v>
      </c>
      <c r="J205" s="110" t="s">
        <v>40</v>
      </c>
      <c r="K205" s="117" t="s">
        <v>1754</v>
      </c>
      <c r="L205" s="107">
        <v>13003387219</v>
      </c>
      <c r="M205" s="135" t="s">
        <v>1755</v>
      </c>
      <c r="N205" s="127" t="s">
        <v>1756</v>
      </c>
      <c r="O205" s="123" t="s">
        <v>1757</v>
      </c>
      <c r="P205" s="131">
        <v>13861880727</v>
      </c>
      <c r="Q205" s="127" t="s">
        <v>1758</v>
      </c>
      <c r="R205">
        <f t="shared" si="7"/>
        <v>3</v>
      </c>
      <c r="S205" s="15" t="s">
        <v>1759</v>
      </c>
    </row>
    <row r="206" spans="1:19" ht="15.75">
      <c r="A206" s="106" t="str">
        <f t="shared" si="6"/>
        <v>nonono</v>
      </c>
      <c r="B206" s="21" t="s">
        <v>1760</v>
      </c>
      <c r="C206" s="15" t="s">
        <v>1761</v>
      </c>
      <c r="D206" s="110" t="s">
        <v>1762</v>
      </c>
      <c r="E206" s="107" t="s">
        <v>1763</v>
      </c>
      <c r="F206" s="107">
        <v>1</v>
      </c>
      <c r="G206" s="108">
        <v>2.17</v>
      </c>
      <c r="H206" s="107">
        <v>10</v>
      </c>
      <c r="I206" s="109" t="s">
        <v>1764</v>
      </c>
      <c r="J206" s="110" t="s">
        <v>29</v>
      </c>
      <c r="K206" s="117" t="s">
        <v>1765</v>
      </c>
      <c r="L206" s="107">
        <v>15343486392</v>
      </c>
      <c r="M206" s="110" t="s">
        <v>1766</v>
      </c>
      <c r="N206" s="127" t="s">
        <v>1767</v>
      </c>
      <c r="O206" t="s">
        <v>1766</v>
      </c>
      <c r="P206">
        <v>15343486392</v>
      </c>
      <c r="Q206" s="127" t="s">
        <v>1768</v>
      </c>
      <c r="R206">
        <f t="shared" si="7"/>
        <v>1</v>
      </c>
      <c r="S206" s="15" t="s">
        <v>1769</v>
      </c>
    </row>
    <row r="207" spans="1:19" ht="15.75">
      <c r="A207" s="106" t="str">
        <f t="shared" si="6"/>
        <v>nonono</v>
      </c>
      <c r="B207" s="21" t="s">
        <v>1770</v>
      </c>
      <c r="C207" s="15" t="s">
        <v>1771</v>
      </c>
      <c r="D207" s="110" t="s">
        <v>1772</v>
      </c>
      <c r="E207" s="107" t="s">
        <v>429</v>
      </c>
      <c r="F207" s="107">
        <v>1</v>
      </c>
      <c r="G207" s="108">
        <v>1.49</v>
      </c>
      <c r="H207" s="107">
        <v>11</v>
      </c>
      <c r="I207" s="137" t="s">
        <v>430</v>
      </c>
      <c r="J207" s="110" t="s">
        <v>29</v>
      </c>
      <c r="K207" s="110" t="s">
        <v>1773</v>
      </c>
      <c r="L207" s="107">
        <v>13916274801</v>
      </c>
      <c r="M207" s="110" t="s">
        <v>1774</v>
      </c>
      <c r="N207" s="127" t="s">
        <v>1775</v>
      </c>
      <c r="O207" s="123" t="s">
        <v>1776</v>
      </c>
      <c r="P207" s="131">
        <v>13801747185</v>
      </c>
      <c r="Q207" s="127" t="s">
        <v>1777</v>
      </c>
      <c r="R207">
        <f t="shared" si="7"/>
        <v>3</v>
      </c>
      <c r="S207" s="15" t="s">
        <v>1778</v>
      </c>
    </row>
    <row r="208" spans="1:19" ht="15.75">
      <c r="A208" s="106" t="str">
        <f t="shared" si="6"/>
        <v>nonono</v>
      </c>
      <c r="B208" s="21" t="s">
        <v>1779</v>
      </c>
      <c r="C208" s="15" t="s">
        <v>1780</v>
      </c>
      <c r="D208" s="117" t="s">
        <v>1781</v>
      </c>
      <c r="E208" s="107" t="s">
        <v>111</v>
      </c>
      <c r="F208" s="107">
        <v>1</v>
      </c>
      <c r="G208" s="108">
        <v>1.04</v>
      </c>
      <c r="H208" s="107">
        <v>12</v>
      </c>
      <c r="I208" s="109" t="s">
        <v>1782</v>
      </c>
      <c r="J208" s="110" t="s">
        <v>40</v>
      </c>
      <c r="K208" s="110" t="s">
        <v>1783</v>
      </c>
      <c r="L208" s="107">
        <v>15912146261</v>
      </c>
      <c r="M208" s="110" t="s">
        <v>1784</v>
      </c>
      <c r="N208" s="127" t="s">
        <v>1785</v>
      </c>
      <c r="O208" s="41" t="s">
        <v>1784</v>
      </c>
      <c r="P208">
        <v>15912146261</v>
      </c>
      <c r="Q208" s="127" t="s">
        <v>1786</v>
      </c>
      <c r="R208">
        <f t="shared" si="7"/>
        <v>2</v>
      </c>
      <c r="S208" s="15" t="s">
        <v>1787</v>
      </c>
    </row>
    <row r="209" spans="1:19" ht="15.75">
      <c r="A209" s="106" t="str">
        <f t="shared" si="6"/>
        <v>nonono</v>
      </c>
      <c r="B209" s="21" t="s">
        <v>1788</v>
      </c>
      <c r="C209" s="15" t="s">
        <v>1789</v>
      </c>
      <c r="D209" s="110" t="s">
        <v>1790</v>
      </c>
      <c r="E209" s="107" t="s">
        <v>111</v>
      </c>
      <c r="F209" s="107">
        <v>1</v>
      </c>
      <c r="G209" s="108">
        <v>1.04</v>
      </c>
      <c r="H209" s="107">
        <v>12</v>
      </c>
      <c r="I209" s="109" t="s">
        <v>1791</v>
      </c>
      <c r="J209" s="110" t="s">
        <v>40</v>
      </c>
      <c r="K209" s="110" t="s">
        <v>440</v>
      </c>
      <c r="L209" s="107">
        <v>15912146261</v>
      </c>
      <c r="M209" s="110" t="s">
        <v>441</v>
      </c>
      <c r="N209" t="s">
        <v>440</v>
      </c>
      <c r="O209" s="123" t="s">
        <v>1792</v>
      </c>
      <c r="P209" s="131">
        <v>18508176957</v>
      </c>
      <c r="Q209" t="s">
        <v>1793</v>
      </c>
      <c r="R209">
        <f t="shared" si="7"/>
        <v>2</v>
      </c>
      <c r="S209" s="15" t="s">
        <v>1794</v>
      </c>
    </row>
    <row r="210" spans="1:19" ht="15.75">
      <c r="A210" s="106" t="str">
        <f t="shared" si="6"/>
        <v>nonono</v>
      </c>
      <c r="B210" s="21" t="s">
        <v>1795</v>
      </c>
      <c r="C210" s="15" t="s">
        <v>1796</v>
      </c>
      <c r="D210" s="110" t="s">
        <v>1797</v>
      </c>
      <c r="E210" s="107" t="s">
        <v>1798</v>
      </c>
      <c r="F210" s="107">
        <v>1</v>
      </c>
      <c r="G210" s="108">
        <v>0.81</v>
      </c>
      <c r="H210" s="107">
        <v>9</v>
      </c>
      <c r="I210" s="109" t="s">
        <v>1799</v>
      </c>
      <c r="J210" s="110" t="s">
        <v>29</v>
      </c>
      <c r="K210" s="110" t="s">
        <v>1800</v>
      </c>
      <c r="L210" s="107">
        <v>15087466668</v>
      </c>
      <c r="M210" s="110" t="s">
        <v>1801</v>
      </c>
      <c r="N210" s="127" t="s">
        <v>1802</v>
      </c>
      <c r="O210" t="s">
        <v>1801</v>
      </c>
      <c r="P210">
        <v>15087466668</v>
      </c>
      <c r="Q210" s="127" t="s">
        <v>1803</v>
      </c>
      <c r="R210">
        <f t="shared" si="7"/>
        <v>1</v>
      </c>
      <c r="S210" s="15" t="s">
        <v>1804</v>
      </c>
    </row>
    <row r="211" spans="1:19" ht="15.75">
      <c r="A211" s="106" t="str">
        <f t="shared" si="6"/>
        <v>nonono</v>
      </c>
      <c r="B211" s="21" t="s">
        <v>1805</v>
      </c>
      <c r="C211" s="15" t="s">
        <v>1806</v>
      </c>
      <c r="D211" s="110" t="s">
        <v>1807</v>
      </c>
      <c r="E211" s="107" t="s">
        <v>1808</v>
      </c>
      <c r="F211" s="107">
        <v>1</v>
      </c>
      <c r="G211" s="108">
        <v>1.95</v>
      </c>
      <c r="H211" s="107">
        <v>7</v>
      </c>
      <c r="I211" s="137" t="s">
        <v>391</v>
      </c>
      <c r="J211" s="110" t="s">
        <v>29</v>
      </c>
      <c r="K211" s="117" t="s">
        <v>1809</v>
      </c>
      <c r="L211" s="37">
        <v>15181342800</v>
      </c>
      <c r="M211" s="37" t="s">
        <v>1810</v>
      </c>
      <c r="N211" t="s">
        <v>1809</v>
      </c>
      <c r="O211" t="s">
        <v>1810</v>
      </c>
      <c r="P211" s="126">
        <v>15181342800</v>
      </c>
      <c r="Q211" t="s">
        <v>1811</v>
      </c>
      <c r="R211">
        <f t="shared" si="7"/>
        <v>1</v>
      </c>
      <c r="S211" s="15" t="s">
        <v>1812</v>
      </c>
    </row>
    <row r="212" spans="1:19" ht="15.75">
      <c r="A212" s="106" t="str">
        <f t="shared" si="6"/>
        <v>nonono</v>
      </c>
      <c r="B212" s="21" t="s">
        <v>1813</v>
      </c>
      <c r="C212" s="15" t="s">
        <v>1814</v>
      </c>
      <c r="D212" s="110" t="s">
        <v>291</v>
      </c>
      <c r="E212" s="107" t="s">
        <v>292</v>
      </c>
      <c r="F212" s="107">
        <v>1</v>
      </c>
      <c r="G212" s="108">
        <v>0.81</v>
      </c>
      <c r="H212" s="107">
        <v>1</v>
      </c>
      <c r="I212" s="109"/>
      <c r="J212" s="110" t="s">
        <v>293</v>
      </c>
      <c r="K212" s="117" t="s">
        <v>1815</v>
      </c>
      <c r="L212" s="37">
        <v>18989912818</v>
      </c>
      <c r="M212" s="37" t="s">
        <v>1816</v>
      </c>
      <c r="N212" s="127" t="s">
        <v>1817</v>
      </c>
      <c r="O212" s="123" t="s">
        <v>1818</v>
      </c>
      <c r="P212" s="128">
        <v>13889001877</v>
      </c>
      <c r="Q212" s="127" t="s">
        <v>1819</v>
      </c>
      <c r="R212">
        <f t="shared" si="7"/>
        <v>2</v>
      </c>
      <c r="S212" s="15" t="s">
        <v>1820</v>
      </c>
    </row>
    <row r="213" spans="1:19" ht="15.75">
      <c r="A213" s="106" t="str">
        <f t="shared" si="6"/>
        <v>nonono</v>
      </c>
      <c r="B213" s="21" t="s">
        <v>1821</v>
      </c>
      <c r="C213" s="15" t="s">
        <v>1822</v>
      </c>
      <c r="D213" s="110" t="s">
        <v>1823</v>
      </c>
      <c r="E213" s="107" t="s">
        <v>482</v>
      </c>
      <c r="F213" s="107">
        <v>1</v>
      </c>
      <c r="G213" s="108">
        <v>0.81</v>
      </c>
      <c r="H213" s="107">
        <v>2</v>
      </c>
      <c r="I213" s="137" t="s">
        <v>402</v>
      </c>
      <c r="J213" s="110" t="s">
        <v>103</v>
      </c>
      <c r="K213" s="110" t="s">
        <v>1824</v>
      </c>
      <c r="L213" s="107">
        <v>13980358699</v>
      </c>
      <c r="M213" s="110" t="s">
        <v>1825</v>
      </c>
      <c r="N213" t="s">
        <v>1824</v>
      </c>
      <c r="O213" t="s">
        <v>1825</v>
      </c>
      <c r="P213" s="126">
        <v>13980358699</v>
      </c>
      <c r="Q213" t="s">
        <v>1826</v>
      </c>
      <c r="R213">
        <f t="shared" si="7"/>
        <v>1</v>
      </c>
      <c r="S213" s="15" t="s">
        <v>1827</v>
      </c>
    </row>
    <row r="214" spans="1:19" ht="15.75">
      <c r="A214" s="106" t="str">
        <f t="shared" si="6"/>
        <v>nonono</v>
      </c>
      <c r="B214" s="21" t="s">
        <v>1828</v>
      </c>
      <c r="C214" s="15" t="s">
        <v>1829</v>
      </c>
      <c r="D214" s="110" t="s">
        <v>1830</v>
      </c>
      <c r="E214" s="107" t="s">
        <v>1831</v>
      </c>
      <c r="F214" s="107">
        <v>1</v>
      </c>
      <c r="G214" s="108">
        <v>1.26</v>
      </c>
      <c r="H214" s="107">
        <v>6</v>
      </c>
      <c r="I214" s="137" t="s">
        <v>430</v>
      </c>
      <c r="J214" s="110" t="s">
        <v>103</v>
      </c>
      <c r="K214" s="110" t="s">
        <v>1832</v>
      </c>
      <c r="L214" s="107">
        <v>13908351863</v>
      </c>
      <c r="M214" s="110" t="s">
        <v>1833</v>
      </c>
      <c r="N214" s="127" t="s">
        <v>1834</v>
      </c>
      <c r="O214" t="s">
        <v>1833</v>
      </c>
      <c r="P214">
        <v>13908351863</v>
      </c>
      <c r="Q214" s="127" t="s">
        <v>1835</v>
      </c>
      <c r="R214">
        <f t="shared" si="7"/>
        <v>1</v>
      </c>
      <c r="S214" s="15" t="s">
        <v>1836</v>
      </c>
    </row>
    <row r="215" spans="1:19" ht="15.75">
      <c r="A215" s="106" t="str">
        <f t="shared" si="6"/>
        <v>nonono</v>
      </c>
      <c r="B215" s="21" t="s">
        <v>1837</v>
      </c>
      <c r="C215" s="15" t="s">
        <v>1838</v>
      </c>
      <c r="D215" s="110" t="s">
        <v>1839</v>
      </c>
      <c r="E215" s="107" t="s">
        <v>482</v>
      </c>
      <c r="F215" s="107">
        <v>1</v>
      </c>
      <c r="G215" s="108">
        <v>0.81</v>
      </c>
      <c r="H215" s="107">
        <v>5</v>
      </c>
      <c r="I215" s="137" t="s">
        <v>402</v>
      </c>
      <c r="J215" s="110" t="s">
        <v>103</v>
      </c>
      <c r="K215" s="110" t="s">
        <v>1840</v>
      </c>
      <c r="L215" s="107">
        <v>13771587999</v>
      </c>
      <c r="M215" s="110" t="s">
        <v>1841</v>
      </c>
      <c r="N215" t="s">
        <v>1840</v>
      </c>
      <c r="O215" t="s">
        <v>1841</v>
      </c>
      <c r="P215">
        <v>13771587999</v>
      </c>
      <c r="Q215" t="s">
        <v>1842</v>
      </c>
      <c r="R215">
        <f t="shared" si="7"/>
        <v>1</v>
      </c>
      <c r="S215" s="15" t="s">
        <v>1843</v>
      </c>
    </row>
    <row r="216" spans="1:19" ht="15.75">
      <c r="A216" s="106" t="str">
        <f t="shared" si="6"/>
        <v>nonono</v>
      </c>
      <c r="B216" s="21" t="s">
        <v>1844</v>
      </c>
      <c r="C216" s="28" t="s">
        <v>1845</v>
      </c>
      <c r="D216" s="107" t="s">
        <v>1340</v>
      </c>
      <c r="E216" s="107" t="s">
        <v>706</v>
      </c>
      <c r="F216" s="107">
        <v>1</v>
      </c>
      <c r="G216" s="108">
        <v>1.49</v>
      </c>
      <c r="H216" s="107">
        <v>10</v>
      </c>
      <c r="I216" s="109" t="s">
        <v>70</v>
      </c>
      <c r="J216" s="107" t="s">
        <v>29</v>
      </c>
      <c r="K216" s="163" t="s">
        <v>1290</v>
      </c>
      <c r="L216" s="34">
        <v>13972728049</v>
      </c>
      <c r="M216" s="34" t="s">
        <v>1846</v>
      </c>
      <c r="N216" s="127" t="s">
        <v>1847</v>
      </c>
      <c r="O216" s="123" t="s">
        <v>1848</v>
      </c>
      <c r="P216" s="128">
        <v>13503096605</v>
      </c>
      <c r="Q216" s="127" t="s">
        <v>1849</v>
      </c>
      <c r="R216">
        <f t="shared" si="7"/>
        <v>3</v>
      </c>
      <c r="S216" s="15" t="s">
        <v>1850</v>
      </c>
    </row>
    <row r="217" spans="1:19" ht="15.75">
      <c r="A217" s="106" t="str">
        <f t="shared" si="6"/>
        <v>nonono</v>
      </c>
      <c r="B217" s="21" t="s">
        <v>1851</v>
      </c>
      <c r="C217" s="22" t="s">
        <v>1852</v>
      </c>
      <c r="D217" s="110" t="s">
        <v>1853</v>
      </c>
      <c r="E217" s="107" t="s">
        <v>706</v>
      </c>
      <c r="F217" s="107">
        <v>1</v>
      </c>
      <c r="G217" s="116">
        <v>1.95</v>
      </c>
      <c r="H217" s="107">
        <v>14</v>
      </c>
      <c r="I217" s="137" t="s">
        <v>402</v>
      </c>
      <c r="J217" s="110" t="s">
        <v>29</v>
      </c>
      <c r="K217" s="117" t="s">
        <v>1854</v>
      </c>
      <c r="L217" s="37">
        <v>19953443676</v>
      </c>
      <c r="M217" s="117" t="s">
        <v>1855</v>
      </c>
      <c r="N217" t="s">
        <v>1854</v>
      </c>
      <c r="O217" s="123" t="s">
        <v>1856</v>
      </c>
      <c r="P217" s="124">
        <v>13963658628</v>
      </c>
      <c r="Q217" t="s">
        <v>1857</v>
      </c>
      <c r="R217">
        <f t="shared" si="7"/>
        <v>1</v>
      </c>
      <c r="S217" s="15" t="s">
        <v>1858</v>
      </c>
    </row>
    <row r="218" spans="1:19" ht="15.75">
      <c r="A218" s="106" t="str">
        <f t="shared" si="6"/>
        <v>nonono</v>
      </c>
      <c r="B218" s="21" t="s">
        <v>1859</v>
      </c>
      <c r="C218" s="15" t="s">
        <v>1860</v>
      </c>
      <c r="D218" s="110" t="s">
        <v>705</v>
      </c>
      <c r="E218" s="107" t="s">
        <v>706</v>
      </c>
      <c r="F218" s="107">
        <v>1</v>
      </c>
      <c r="G218" s="116">
        <v>1.95</v>
      </c>
      <c r="H218" s="107">
        <v>14</v>
      </c>
      <c r="I218" s="137" t="s">
        <v>402</v>
      </c>
      <c r="J218" s="110" t="s">
        <v>29</v>
      </c>
      <c r="K218" s="117" t="s">
        <v>1861</v>
      </c>
      <c r="L218" s="37">
        <v>18760440425</v>
      </c>
      <c r="M218" s="117" t="s">
        <v>1862</v>
      </c>
      <c r="N218" s="180" t="s">
        <v>1863</v>
      </c>
      <c r="O218" s="123" t="s">
        <v>1864</v>
      </c>
      <c r="P218" s="128">
        <v>13590876318</v>
      </c>
      <c r="Q218" s="127" t="s">
        <v>1865</v>
      </c>
      <c r="R218">
        <f t="shared" si="7"/>
        <v>3</v>
      </c>
      <c r="S218" s="15" t="s">
        <v>1866</v>
      </c>
    </row>
    <row r="219" spans="1:19" ht="15.75">
      <c r="A219" s="106" t="str">
        <f t="shared" si="6"/>
        <v>nonono</v>
      </c>
      <c r="B219" s="21" t="s">
        <v>1867</v>
      </c>
      <c r="C219" s="15" t="s">
        <v>1868</v>
      </c>
      <c r="D219" s="110" t="s">
        <v>705</v>
      </c>
      <c r="E219" s="107" t="s">
        <v>706</v>
      </c>
      <c r="F219" s="107">
        <v>1</v>
      </c>
      <c r="G219" s="116">
        <v>1.95</v>
      </c>
      <c r="H219" s="107">
        <v>14</v>
      </c>
      <c r="I219" s="137" t="s">
        <v>402</v>
      </c>
      <c r="J219" s="110" t="s">
        <v>29</v>
      </c>
      <c r="K219" s="117" t="s">
        <v>1869</v>
      </c>
      <c r="L219" s="37">
        <v>13853437295</v>
      </c>
      <c r="M219" s="117" t="s">
        <v>1870</v>
      </c>
      <c r="N219" s="127" t="s">
        <v>1871</v>
      </c>
      <c r="O219" s="123" t="s">
        <v>1872</v>
      </c>
      <c r="P219" s="131">
        <v>18963355823</v>
      </c>
      <c r="Q219" s="127" t="s">
        <v>1873</v>
      </c>
      <c r="R219">
        <f t="shared" si="7"/>
        <v>2</v>
      </c>
      <c r="S219" s="15" t="s">
        <v>1874</v>
      </c>
    </row>
    <row r="220" spans="1:19" ht="15.75">
      <c r="A220" s="106" t="str">
        <f t="shared" si="6"/>
        <v>nonono</v>
      </c>
      <c r="B220" s="21" t="s">
        <v>1875</v>
      </c>
      <c r="C220" s="15" t="s">
        <v>1876</v>
      </c>
      <c r="D220" s="117" t="s">
        <v>1877</v>
      </c>
      <c r="E220" s="37" t="s">
        <v>1831</v>
      </c>
      <c r="F220" s="37">
        <v>1</v>
      </c>
      <c r="G220" s="116">
        <v>1.04</v>
      </c>
      <c r="H220" s="37">
        <v>6</v>
      </c>
      <c r="I220" s="137" t="s">
        <v>430</v>
      </c>
      <c r="J220" s="110" t="s">
        <v>103</v>
      </c>
      <c r="K220" s="110" t="s">
        <v>1878</v>
      </c>
      <c r="L220" s="107">
        <v>13574113564</v>
      </c>
      <c r="M220" s="110" t="s">
        <v>1879</v>
      </c>
      <c r="N220" s="127" t="s">
        <v>1880</v>
      </c>
      <c r="O220" s="123" t="s">
        <v>1881</v>
      </c>
      <c r="P220" s="128">
        <v>15974291499</v>
      </c>
      <c r="Q220" s="127" t="s">
        <v>1882</v>
      </c>
      <c r="R220">
        <f t="shared" si="7"/>
        <v>2</v>
      </c>
      <c r="S220" s="15" t="s">
        <v>1883</v>
      </c>
    </row>
    <row r="221" spans="1:19" ht="15.75">
      <c r="A221" s="106" t="str">
        <f t="shared" si="6"/>
        <v>nonono</v>
      </c>
      <c r="B221" s="21" t="s">
        <v>1884</v>
      </c>
      <c r="C221" s="15" t="s">
        <v>1885</v>
      </c>
      <c r="D221" s="110" t="s">
        <v>1886</v>
      </c>
      <c r="E221" s="37" t="s">
        <v>1887</v>
      </c>
      <c r="F221" s="107">
        <v>1</v>
      </c>
      <c r="G221" s="108">
        <v>2.17</v>
      </c>
      <c r="H221" s="107">
        <v>5</v>
      </c>
      <c r="I221" s="109" t="s">
        <v>1888</v>
      </c>
      <c r="J221" s="110" t="s">
        <v>103</v>
      </c>
      <c r="K221" s="117" t="s">
        <v>1889</v>
      </c>
      <c r="L221" s="37">
        <v>13982350043</v>
      </c>
      <c r="M221" s="37" t="s">
        <v>1890</v>
      </c>
      <c r="N221" t="s">
        <v>1889</v>
      </c>
      <c r="O221" t="s">
        <v>1890</v>
      </c>
      <c r="P221">
        <v>13982350043</v>
      </c>
      <c r="Q221" t="s">
        <v>1891</v>
      </c>
      <c r="R221">
        <f t="shared" si="7"/>
        <v>1</v>
      </c>
      <c r="S221" s="15" t="s">
        <v>1892</v>
      </c>
    </row>
    <row r="222" spans="1:19" ht="15.75">
      <c r="A222" s="106" t="str">
        <f t="shared" si="6"/>
        <v>nonono</v>
      </c>
      <c r="B222" s="21" t="s">
        <v>1893</v>
      </c>
      <c r="C222" s="15" t="s">
        <v>1894</v>
      </c>
      <c r="D222" s="110" t="s">
        <v>1895</v>
      </c>
      <c r="E222" s="37" t="s">
        <v>1896</v>
      </c>
      <c r="F222" s="107">
        <v>1</v>
      </c>
      <c r="G222" s="108">
        <v>1.72</v>
      </c>
      <c r="H222" s="107">
        <v>5</v>
      </c>
      <c r="I222" s="137" t="s">
        <v>430</v>
      </c>
      <c r="J222" s="110" t="s">
        <v>29</v>
      </c>
      <c r="K222" s="117" t="s">
        <v>1897</v>
      </c>
      <c r="L222" s="37">
        <v>18801110931</v>
      </c>
      <c r="M222" s="37" t="s">
        <v>1898</v>
      </c>
      <c r="N222" t="s">
        <v>1897</v>
      </c>
      <c r="O222" t="s">
        <v>1898</v>
      </c>
      <c r="P222">
        <v>18801110931</v>
      </c>
      <c r="Q222" t="s">
        <v>1899</v>
      </c>
      <c r="R222">
        <f t="shared" si="7"/>
        <v>1</v>
      </c>
      <c r="S222" s="15" t="s">
        <v>1900</v>
      </c>
    </row>
    <row r="223" spans="1:19" ht="15.75">
      <c r="A223" s="106" t="str">
        <f t="shared" si="6"/>
        <v>nonono</v>
      </c>
      <c r="B223" s="21" t="s">
        <v>1901</v>
      </c>
      <c r="C223" s="15" t="s">
        <v>1902</v>
      </c>
      <c r="D223" s="110" t="s">
        <v>1903</v>
      </c>
      <c r="E223" s="107" t="s">
        <v>1904</v>
      </c>
      <c r="F223" s="107">
        <v>1</v>
      </c>
      <c r="G223" s="108">
        <v>1.04</v>
      </c>
      <c r="H223" s="107">
        <v>4</v>
      </c>
      <c r="I223" s="137" t="s">
        <v>430</v>
      </c>
      <c r="J223" s="110" t="s">
        <v>29</v>
      </c>
      <c r="K223" s="117" t="s">
        <v>1905</v>
      </c>
      <c r="L223" s="37">
        <v>18610276646</v>
      </c>
      <c r="M223" s="37" t="s">
        <v>1906</v>
      </c>
      <c r="N223" t="s">
        <v>1905</v>
      </c>
      <c r="O223" t="s">
        <v>1906</v>
      </c>
      <c r="P223">
        <v>18610276646</v>
      </c>
      <c r="Q223" t="s">
        <v>1907</v>
      </c>
      <c r="R223">
        <f t="shared" si="7"/>
        <v>1</v>
      </c>
      <c r="S223" s="15" t="s">
        <v>1908</v>
      </c>
    </row>
    <row r="224" spans="1:19" ht="15.75">
      <c r="A224" s="106" t="str">
        <f t="shared" si="6"/>
        <v>nonono</v>
      </c>
      <c r="B224" s="21" t="s">
        <v>1909</v>
      </c>
      <c r="C224" s="15" t="s">
        <v>1910</v>
      </c>
      <c r="D224" s="117" t="s">
        <v>1911</v>
      </c>
      <c r="E224" s="37" t="s">
        <v>1912</v>
      </c>
      <c r="F224" s="37">
        <v>1</v>
      </c>
      <c r="G224" s="116">
        <v>0.81</v>
      </c>
      <c r="H224" s="37">
        <v>2</v>
      </c>
      <c r="I224" s="137" t="s">
        <v>402</v>
      </c>
      <c r="J224" s="110" t="s">
        <v>29</v>
      </c>
      <c r="K224" s="117" t="s">
        <v>1913</v>
      </c>
      <c r="L224" s="37">
        <v>18398545466</v>
      </c>
      <c r="M224" s="37" t="s">
        <v>1914</v>
      </c>
      <c r="N224" t="s">
        <v>1913</v>
      </c>
      <c r="O224" t="s">
        <v>1914</v>
      </c>
      <c r="P224" s="126">
        <v>18398545466</v>
      </c>
      <c r="Q224" t="s">
        <v>1915</v>
      </c>
      <c r="R224">
        <f t="shared" si="7"/>
        <v>1</v>
      </c>
      <c r="S224" s="15" t="s">
        <v>1916</v>
      </c>
    </row>
    <row r="225" spans="1:19" ht="18.75">
      <c r="A225" s="106" t="str">
        <f t="shared" si="6"/>
        <v>nonono</v>
      </c>
      <c r="B225" s="21" t="s">
        <v>1917</v>
      </c>
      <c r="C225" s="15" t="s">
        <v>1918</v>
      </c>
      <c r="D225" s="110" t="s">
        <v>1919</v>
      </c>
      <c r="E225" s="37" t="s">
        <v>201</v>
      </c>
      <c r="F225" s="107">
        <v>1</v>
      </c>
      <c r="G225" s="108">
        <v>1.26</v>
      </c>
      <c r="H225" s="107">
        <v>13</v>
      </c>
      <c r="I225" s="137" t="s">
        <v>944</v>
      </c>
      <c r="J225" s="110" t="s">
        <v>40</v>
      </c>
      <c r="K225" s="181" t="s">
        <v>1920</v>
      </c>
      <c r="L225" s="107">
        <v>13813559959</v>
      </c>
      <c r="M225" s="137" t="s">
        <v>1921</v>
      </c>
      <c r="N225" t="s">
        <v>1920</v>
      </c>
      <c r="O225" t="s">
        <v>1921</v>
      </c>
      <c r="P225">
        <v>13813559959</v>
      </c>
      <c r="Q225" t="s">
        <v>1922</v>
      </c>
      <c r="R225">
        <f t="shared" si="7"/>
        <v>1</v>
      </c>
      <c r="S225" s="15" t="s">
        <v>1923</v>
      </c>
    </row>
    <row r="226" spans="1:19" ht="15.75">
      <c r="A226" s="106" t="str">
        <f t="shared" si="6"/>
        <v>nonono</v>
      </c>
      <c r="B226" s="21" t="s">
        <v>1924</v>
      </c>
      <c r="C226" s="15" t="s">
        <v>1925</v>
      </c>
      <c r="D226" s="110" t="s">
        <v>802</v>
      </c>
      <c r="E226" s="107" t="s">
        <v>625</v>
      </c>
      <c r="F226" s="107">
        <v>1</v>
      </c>
      <c r="G226" s="108">
        <v>1.26</v>
      </c>
      <c r="H226" s="107">
        <v>10</v>
      </c>
      <c r="I226" s="109"/>
      <c r="J226" s="110" t="s">
        <v>40</v>
      </c>
      <c r="K226" s="110" t="s">
        <v>1926</v>
      </c>
      <c r="L226" s="107">
        <v>13703249878</v>
      </c>
      <c r="M226" s="110" t="s">
        <v>1927</v>
      </c>
      <c r="N226" s="127" t="s">
        <v>1928</v>
      </c>
      <c r="O226" t="s">
        <v>1927</v>
      </c>
      <c r="P226" s="126">
        <v>13703249878</v>
      </c>
      <c r="Q226" s="127" t="s">
        <v>1929</v>
      </c>
      <c r="R226">
        <f t="shared" si="7"/>
        <v>1</v>
      </c>
      <c r="S226" s="15" t="s">
        <v>1930</v>
      </c>
    </row>
    <row r="227" spans="1:19" ht="15.75">
      <c r="A227" s="106" t="str">
        <f t="shared" si="6"/>
        <v>nonono</v>
      </c>
      <c r="B227" s="21" t="s">
        <v>1931</v>
      </c>
      <c r="C227" s="15" t="s">
        <v>1932</v>
      </c>
      <c r="D227" s="110" t="s">
        <v>1933</v>
      </c>
      <c r="E227" s="107" t="s">
        <v>625</v>
      </c>
      <c r="F227" s="107">
        <v>1</v>
      </c>
      <c r="G227" s="108">
        <v>0.81</v>
      </c>
      <c r="H227" s="107">
        <v>10</v>
      </c>
      <c r="I227" s="109" t="s">
        <v>1934</v>
      </c>
      <c r="J227" s="110" t="s">
        <v>40</v>
      </c>
      <c r="K227" s="110" t="s">
        <v>1935</v>
      </c>
      <c r="L227" s="107">
        <v>13854531217</v>
      </c>
      <c r="M227" s="110" t="s">
        <v>1936</v>
      </c>
      <c r="N227" t="s">
        <v>1935</v>
      </c>
      <c r="O227" t="s">
        <v>1936</v>
      </c>
      <c r="P227" s="126">
        <v>13854531217</v>
      </c>
      <c r="Q227" t="s">
        <v>1937</v>
      </c>
      <c r="R227">
        <f t="shared" si="7"/>
        <v>1</v>
      </c>
      <c r="S227" s="15" t="s">
        <v>1938</v>
      </c>
    </row>
    <row r="228" spans="1:19" ht="15.75">
      <c r="A228" s="106" t="str">
        <f t="shared" si="6"/>
        <v>nonono</v>
      </c>
      <c r="B228" s="21" t="s">
        <v>1939</v>
      </c>
      <c r="C228" s="15" t="s">
        <v>1940</v>
      </c>
      <c r="D228" s="110" t="s">
        <v>559</v>
      </c>
      <c r="E228" s="107" t="s">
        <v>560</v>
      </c>
      <c r="F228" s="107">
        <v>1</v>
      </c>
      <c r="G228" s="108">
        <v>1.49</v>
      </c>
      <c r="H228" s="107">
        <v>6</v>
      </c>
      <c r="I228" s="109" t="s">
        <v>561</v>
      </c>
      <c r="J228" s="110" t="s">
        <v>40</v>
      </c>
      <c r="K228" s="137" t="s">
        <v>562</v>
      </c>
      <c r="L228" s="107">
        <v>13760676033</v>
      </c>
      <c r="M228" s="110" t="s">
        <v>563</v>
      </c>
      <c r="N228" t="s">
        <v>562</v>
      </c>
      <c r="O228" s="123" t="s">
        <v>1941</v>
      </c>
      <c r="P228" s="154">
        <v>13809810592</v>
      </c>
      <c r="Q228" t="s">
        <v>1942</v>
      </c>
      <c r="R228">
        <f t="shared" si="7"/>
        <v>3</v>
      </c>
      <c r="S228" s="15" t="s">
        <v>1943</v>
      </c>
    </row>
    <row r="229" spans="1:19" ht="15.75">
      <c r="A229" s="106" t="str">
        <f t="shared" si="6"/>
        <v>nonono</v>
      </c>
      <c r="B229" s="21" t="s">
        <v>1944</v>
      </c>
      <c r="C229" s="15" t="s">
        <v>1945</v>
      </c>
      <c r="D229" s="110" t="s">
        <v>1946</v>
      </c>
      <c r="E229" s="107" t="s">
        <v>69</v>
      </c>
      <c r="F229" s="107">
        <v>1</v>
      </c>
      <c r="G229" s="108">
        <v>1.49</v>
      </c>
      <c r="H229" s="107">
        <v>4</v>
      </c>
      <c r="I229" s="109" t="s">
        <v>1947</v>
      </c>
      <c r="J229" s="110" t="s">
        <v>40</v>
      </c>
      <c r="K229" s="110" t="s">
        <v>1948</v>
      </c>
      <c r="L229" s="107">
        <v>18027381428</v>
      </c>
      <c r="M229" s="110" t="s">
        <v>1949</v>
      </c>
      <c r="N229" s="127" t="s">
        <v>1950</v>
      </c>
      <c r="O229" t="s">
        <v>1949</v>
      </c>
      <c r="P229" s="126">
        <v>18027381428</v>
      </c>
      <c r="Q229" s="127" t="s">
        <v>1951</v>
      </c>
      <c r="R229">
        <f t="shared" si="7"/>
        <v>1</v>
      </c>
      <c r="S229" s="15" t="s">
        <v>1952</v>
      </c>
    </row>
    <row r="230" spans="1:19" ht="15.75">
      <c r="A230" s="106" t="str">
        <f t="shared" si="6"/>
        <v>nonono</v>
      </c>
      <c r="B230" s="21" t="s">
        <v>1953</v>
      </c>
      <c r="C230" s="15" t="s">
        <v>1954</v>
      </c>
      <c r="D230" s="110" t="s">
        <v>1955</v>
      </c>
      <c r="E230" s="107" t="s">
        <v>706</v>
      </c>
      <c r="F230" s="107">
        <v>1</v>
      </c>
      <c r="G230" s="108">
        <v>1.04</v>
      </c>
      <c r="H230" s="107">
        <v>6</v>
      </c>
      <c r="I230" s="137" t="s">
        <v>402</v>
      </c>
      <c r="J230" s="110" t="s">
        <v>29</v>
      </c>
      <c r="K230" s="110" t="s">
        <v>1956</v>
      </c>
      <c r="L230" s="107">
        <v>13358918090</v>
      </c>
      <c r="M230" s="110" t="s">
        <v>1957</v>
      </c>
      <c r="N230" t="s">
        <v>1956</v>
      </c>
      <c r="O230" t="s">
        <v>1957</v>
      </c>
      <c r="P230" s="126">
        <v>13358918090</v>
      </c>
      <c r="Q230" t="s">
        <v>1958</v>
      </c>
      <c r="R230">
        <f t="shared" si="7"/>
        <v>1</v>
      </c>
      <c r="S230" s="15" t="s">
        <v>1959</v>
      </c>
    </row>
    <row r="231" spans="1:19" ht="15.75">
      <c r="A231" s="106" t="str">
        <f t="shared" si="6"/>
        <v>nonono</v>
      </c>
      <c r="B231" s="21" t="s">
        <v>1960</v>
      </c>
      <c r="C231" s="15" t="s">
        <v>1961</v>
      </c>
      <c r="D231" s="37" t="s">
        <v>1962</v>
      </c>
      <c r="E231" s="107" t="s">
        <v>429</v>
      </c>
      <c r="F231" s="107">
        <v>1</v>
      </c>
      <c r="G231" s="108">
        <v>1.26</v>
      </c>
      <c r="H231" s="107">
        <v>8</v>
      </c>
      <c r="I231" s="137" t="s">
        <v>430</v>
      </c>
      <c r="J231" s="110" t="s">
        <v>40</v>
      </c>
      <c r="K231" s="110" t="s">
        <v>1963</v>
      </c>
      <c r="L231" s="107">
        <v>13661097422</v>
      </c>
      <c r="M231" s="110" t="s">
        <v>1964</v>
      </c>
      <c r="N231" s="127" t="s">
        <v>1965</v>
      </c>
      <c r="O231" s="123" t="s">
        <v>1966</v>
      </c>
      <c r="P231" s="128">
        <v>18210356284</v>
      </c>
      <c r="Q231" s="127" t="s">
        <v>1967</v>
      </c>
      <c r="R231">
        <f t="shared" si="7"/>
        <v>3</v>
      </c>
      <c r="S231" s="15" t="s">
        <v>1968</v>
      </c>
    </row>
    <row r="232" spans="1:19" ht="15.75">
      <c r="A232" s="106" t="str">
        <f t="shared" si="6"/>
        <v>nonono</v>
      </c>
      <c r="B232" s="21" t="s">
        <v>1969</v>
      </c>
      <c r="C232" s="15" t="s">
        <v>1970</v>
      </c>
      <c r="D232" s="117" t="s">
        <v>1971</v>
      </c>
      <c r="E232" s="37" t="s">
        <v>1972</v>
      </c>
      <c r="F232" s="107">
        <v>1</v>
      </c>
      <c r="G232" s="108">
        <v>1.17</v>
      </c>
      <c r="H232" s="107">
        <v>3</v>
      </c>
      <c r="I232" s="137" t="s">
        <v>282</v>
      </c>
      <c r="J232" s="110" t="s">
        <v>1973</v>
      </c>
      <c r="K232" s="110" t="s">
        <v>1974</v>
      </c>
      <c r="L232" s="107">
        <v>18202616666</v>
      </c>
      <c r="M232" s="110" t="s">
        <v>1975</v>
      </c>
      <c r="N232" t="s">
        <v>1974</v>
      </c>
      <c r="O232" t="s">
        <v>1975</v>
      </c>
      <c r="P232" s="126">
        <v>18202616666</v>
      </c>
      <c r="Q232" t="s">
        <v>1976</v>
      </c>
      <c r="R232">
        <f t="shared" si="7"/>
        <v>2</v>
      </c>
      <c r="S232" s="15" t="s">
        <v>1977</v>
      </c>
    </row>
    <row r="233" spans="1:19" ht="15.75">
      <c r="A233" s="106" t="str">
        <f t="shared" si="6"/>
        <v>nonono</v>
      </c>
      <c r="B233" s="21" t="s">
        <v>1978</v>
      </c>
      <c r="C233" s="15" t="s">
        <v>1979</v>
      </c>
      <c r="D233" s="110" t="s">
        <v>705</v>
      </c>
      <c r="E233" s="107" t="s">
        <v>706</v>
      </c>
      <c r="F233" s="107">
        <v>1</v>
      </c>
      <c r="G233" s="116">
        <v>1.95</v>
      </c>
      <c r="H233" s="107">
        <v>14</v>
      </c>
      <c r="I233" s="137" t="s">
        <v>402</v>
      </c>
      <c r="J233" s="110" t="s">
        <v>29</v>
      </c>
      <c r="K233" s="117" t="s">
        <v>1861</v>
      </c>
      <c r="L233" s="37">
        <v>18760440425</v>
      </c>
      <c r="M233" s="117" t="s">
        <v>1862</v>
      </c>
      <c r="N233" t="s">
        <v>1861</v>
      </c>
      <c r="O233" s="123" t="s">
        <v>1980</v>
      </c>
      <c r="P233" s="182">
        <v>18363359887</v>
      </c>
      <c r="Q233" t="s">
        <v>1981</v>
      </c>
      <c r="R233">
        <f t="shared" si="7"/>
        <v>3</v>
      </c>
      <c r="S233" s="15" t="s">
        <v>1982</v>
      </c>
    </row>
    <row r="234" spans="1:19" ht="15.75">
      <c r="A234" s="106" t="str">
        <f t="shared" si="6"/>
        <v>nonono</v>
      </c>
      <c r="B234" s="21" t="s">
        <v>1983</v>
      </c>
      <c r="C234" s="15" t="s">
        <v>1984</v>
      </c>
      <c r="D234" s="110" t="s">
        <v>705</v>
      </c>
      <c r="E234" s="107" t="s">
        <v>706</v>
      </c>
      <c r="F234" s="107">
        <v>1</v>
      </c>
      <c r="G234" s="116">
        <v>1.95</v>
      </c>
      <c r="H234" s="107">
        <v>14</v>
      </c>
      <c r="I234" s="137" t="s">
        <v>402</v>
      </c>
      <c r="J234" s="110" t="s">
        <v>29</v>
      </c>
      <c r="K234" s="117" t="s">
        <v>1985</v>
      </c>
      <c r="L234" s="37">
        <v>17081372702</v>
      </c>
      <c r="M234" s="117" t="s">
        <v>1986</v>
      </c>
      <c r="N234" t="s">
        <v>1985</v>
      </c>
      <c r="O234" s="123" t="s">
        <v>1987</v>
      </c>
      <c r="P234" s="125">
        <v>18605346116</v>
      </c>
      <c r="Q234" t="s">
        <v>1988</v>
      </c>
      <c r="R234">
        <f t="shared" si="7"/>
        <v>1</v>
      </c>
      <c r="S234" s="15" t="s">
        <v>1989</v>
      </c>
    </row>
    <row r="235" spans="1:19" ht="15.75">
      <c r="A235" s="106" t="str">
        <f t="shared" si="6"/>
        <v>nonono</v>
      </c>
      <c r="B235" s="21" t="s">
        <v>1990</v>
      </c>
      <c r="C235" s="174" t="s">
        <v>1991</v>
      </c>
      <c r="D235" s="147" t="s">
        <v>719</v>
      </c>
      <c r="E235" s="148" t="s">
        <v>720</v>
      </c>
      <c r="F235" s="148">
        <v>1</v>
      </c>
      <c r="G235" s="111">
        <v>1.49</v>
      </c>
      <c r="H235" s="148">
        <v>12</v>
      </c>
      <c r="I235" s="151" t="s">
        <v>721</v>
      </c>
      <c r="J235" s="147" t="s">
        <v>40</v>
      </c>
      <c r="K235" s="117" t="s">
        <v>722</v>
      </c>
      <c r="L235" s="37">
        <v>18123680919</v>
      </c>
      <c r="M235" s="117" t="s">
        <v>723</v>
      </c>
      <c r="N235" s="127" t="s">
        <v>1992</v>
      </c>
      <c r="O235" s="123" t="s">
        <v>1993</v>
      </c>
      <c r="P235" s="128">
        <v>15625229229</v>
      </c>
      <c r="Q235" s="127" t="s">
        <v>1994</v>
      </c>
      <c r="R235">
        <f t="shared" si="7"/>
        <v>4</v>
      </c>
      <c r="S235" s="15" t="s">
        <v>1995</v>
      </c>
    </row>
    <row r="236" spans="1:19" ht="15.75">
      <c r="A236" s="106" t="str">
        <f t="shared" si="6"/>
        <v>nonono</v>
      </c>
      <c r="B236" s="21" t="s">
        <v>1996</v>
      </c>
      <c r="C236" s="15" t="s">
        <v>1997</v>
      </c>
      <c r="D236" s="110" t="s">
        <v>132</v>
      </c>
      <c r="E236" s="107" t="s">
        <v>133</v>
      </c>
      <c r="F236" s="107">
        <v>1</v>
      </c>
      <c r="G236" s="111">
        <v>1.72</v>
      </c>
      <c r="H236" s="107">
        <v>15</v>
      </c>
      <c r="I236" s="109" t="s">
        <v>134</v>
      </c>
      <c r="J236" s="110" t="s">
        <v>40</v>
      </c>
      <c r="K236" s="32" t="s">
        <v>345</v>
      </c>
      <c r="L236" s="152">
        <v>13840761783</v>
      </c>
      <c r="M236" s="152" t="s">
        <v>346</v>
      </c>
      <c r="N236" t="s">
        <v>345</v>
      </c>
      <c r="O236" s="123" t="s">
        <v>1998</v>
      </c>
      <c r="P236" s="128">
        <v>15942708852</v>
      </c>
      <c r="Q236" t="s">
        <v>1999</v>
      </c>
      <c r="R236">
        <f t="shared" si="7"/>
        <v>4</v>
      </c>
      <c r="S236" s="15" t="s">
        <v>2000</v>
      </c>
    </row>
    <row r="237" spans="1:19" ht="15.75">
      <c r="A237" s="106" t="str">
        <f t="shared" si="6"/>
        <v>nonono</v>
      </c>
      <c r="B237" s="21" t="s">
        <v>2001</v>
      </c>
      <c r="C237" s="15" t="s">
        <v>2002</v>
      </c>
      <c r="D237" s="110" t="s">
        <v>132</v>
      </c>
      <c r="E237" s="107" t="s">
        <v>133</v>
      </c>
      <c r="F237" s="107">
        <v>1</v>
      </c>
      <c r="G237" s="111">
        <v>1.72</v>
      </c>
      <c r="H237" s="107">
        <v>15</v>
      </c>
      <c r="I237" s="109" t="s">
        <v>134</v>
      </c>
      <c r="J237" s="110" t="s">
        <v>40</v>
      </c>
      <c r="K237" s="32" t="s">
        <v>1303</v>
      </c>
      <c r="L237" s="152">
        <v>13610961783</v>
      </c>
      <c r="M237" s="152" t="s">
        <v>1304</v>
      </c>
      <c r="N237" s="127" t="s">
        <v>2003</v>
      </c>
      <c r="O237" s="123" t="s">
        <v>2004</v>
      </c>
      <c r="P237" s="130">
        <v>18909848979</v>
      </c>
      <c r="Q237" s="127" t="s">
        <v>2005</v>
      </c>
      <c r="R237">
        <f t="shared" si="7"/>
        <v>4</v>
      </c>
      <c r="S237" s="15" t="s">
        <v>2006</v>
      </c>
    </row>
    <row r="238" spans="1:19" ht="15.75">
      <c r="A238" s="106" t="str">
        <f t="shared" si="6"/>
        <v>nonono</v>
      </c>
      <c r="B238" s="21" t="s">
        <v>2007</v>
      </c>
      <c r="C238" s="15" t="s">
        <v>2008</v>
      </c>
      <c r="D238" s="110" t="s">
        <v>2009</v>
      </c>
      <c r="E238" s="107" t="s">
        <v>743</v>
      </c>
      <c r="F238" s="107">
        <v>1</v>
      </c>
      <c r="G238" s="108">
        <v>1.49</v>
      </c>
      <c r="H238" s="107">
        <v>1</v>
      </c>
      <c r="I238" s="109"/>
      <c r="J238" s="110" t="s">
        <v>293</v>
      </c>
      <c r="K238" s="110" t="s">
        <v>2010</v>
      </c>
      <c r="L238" s="109">
        <v>13752358075</v>
      </c>
      <c r="M238" s="110" t="s">
        <v>2011</v>
      </c>
      <c r="N238" t="s">
        <v>2010</v>
      </c>
      <c r="O238" t="s">
        <v>2011</v>
      </c>
      <c r="P238" s="126">
        <v>13752358075</v>
      </c>
      <c r="Q238" t="s">
        <v>2012</v>
      </c>
      <c r="R238">
        <f t="shared" si="7"/>
        <v>1</v>
      </c>
      <c r="S238" s="15" t="s">
        <v>2013</v>
      </c>
    </row>
    <row r="239" spans="1:19" ht="15.75">
      <c r="A239" s="106" t="str">
        <f t="shared" si="6"/>
        <v>nonono</v>
      </c>
      <c r="B239" s="21" t="s">
        <v>2014</v>
      </c>
      <c r="C239" s="15" t="s">
        <v>2015</v>
      </c>
      <c r="D239" s="110" t="s">
        <v>2016</v>
      </c>
      <c r="E239" s="107" t="s">
        <v>2017</v>
      </c>
      <c r="F239" s="107">
        <v>1</v>
      </c>
      <c r="G239" s="108">
        <v>0.81</v>
      </c>
      <c r="H239" s="107">
        <v>4</v>
      </c>
      <c r="I239" s="109" t="s">
        <v>2018</v>
      </c>
      <c r="J239" s="110" t="s">
        <v>293</v>
      </c>
      <c r="K239" s="110" t="s">
        <v>2019</v>
      </c>
      <c r="L239" s="107">
        <v>15303356867</v>
      </c>
      <c r="M239" s="110" t="s">
        <v>2020</v>
      </c>
      <c r="N239" t="s">
        <v>2019</v>
      </c>
      <c r="O239" t="s">
        <v>2020</v>
      </c>
      <c r="P239" s="126">
        <v>15303356867</v>
      </c>
      <c r="Q239" t="s">
        <v>2021</v>
      </c>
      <c r="R239">
        <f t="shared" si="7"/>
        <v>1</v>
      </c>
      <c r="S239" s="15" t="s">
        <v>2022</v>
      </c>
    </row>
    <row r="240" spans="1:19" ht="15.75">
      <c r="A240" s="106" t="str">
        <f t="shared" si="6"/>
        <v>nonono</v>
      </c>
      <c r="B240" s="21" t="s">
        <v>2023</v>
      </c>
      <c r="C240" s="15" t="s">
        <v>2024</v>
      </c>
      <c r="D240" s="117" t="s">
        <v>2025</v>
      </c>
      <c r="E240" s="37" t="s">
        <v>69</v>
      </c>
      <c r="F240" s="37">
        <v>1</v>
      </c>
      <c r="G240" s="116">
        <v>0.81</v>
      </c>
      <c r="H240" s="37">
        <v>11</v>
      </c>
      <c r="I240" s="137" t="s">
        <v>402</v>
      </c>
      <c r="J240" s="110" t="s">
        <v>40</v>
      </c>
      <c r="K240" s="110" t="s">
        <v>2026</v>
      </c>
      <c r="L240" s="107">
        <v>13605749073</v>
      </c>
      <c r="M240" s="110" t="s">
        <v>2027</v>
      </c>
      <c r="N240" t="s">
        <v>2026</v>
      </c>
      <c r="O240" t="s">
        <v>2027</v>
      </c>
      <c r="P240">
        <v>13605749073</v>
      </c>
      <c r="Q240" t="s">
        <v>2028</v>
      </c>
      <c r="R240">
        <f t="shared" si="7"/>
        <v>1</v>
      </c>
      <c r="S240" s="15" t="s">
        <v>2029</v>
      </c>
    </row>
    <row r="241" spans="1:19" ht="15.75">
      <c r="A241" s="106" t="str">
        <f t="shared" si="6"/>
        <v>nonono</v>
      </c>
      <c r="B241" s="21" t="s">
        <v>2030</v>
      </c>
      <c r="C241" s="15" t="s">
        <v>2031</v>
      </c>
      <c r="D241" s="110" t="s">
        <v>2032</v>
      </c>
      <c r="E241" s="107" t="s">
        <v>111</v>
      </c>
      <c r="F241" s="107">
        <v>1</v>
      </c>
      <c r="G241" s="108">
        <v>1.26</v>
      </c>
      <c r="H241" s="107">
        <v>5</v>
      </c>
      <c r="I241" s="109" t="s">
        <v>2033</v>
      </c>
      <c r="J241" s="110" t="s">
        <v>40</v>
      </c>
      <c r="K241" s="137" t="s">
        <v>2034</v>
      </c>
      <c r="L241" s="107">
        <v>13847156123</v>
      </c>
      <c r="M241" s="110" t="s">
        <v>2035</v>
      </c>
      <c r="N241" s="127" t="s">
        <v>2036</v>
      </c>
      <c r="O241" t="s">
        <v>2035</v>
      </c>
      <c r="P241" s="126">
        <v>13847156123</v>
      </c>
      <c r="Q241" s="127" t="s">
        <v>2037</v>
      </c>
      <c r="R241">
        <f t="shared" si="7"/>
        <v>1</v>
      </c>
      <c r="S241" s="15" t="s">
        <v>2038</v>
      </c>
    </row>
    <row r="242" spans="1:19" ht="15.75">
      <c r="A242" s="106" t="str">
        <f t="shared" si="6"/>
        <v>nonono</v>
      </c>
      <c r="B242" s="21" t="s">
        <v>2039</v>
      </c>
      <c r="C242" s="15" t="s">
        <v>2040</v>
      </c>
      <c r="D242" s="110" t="s">
        <v>2041</v>
      </c>
      <c r="E242" s="107" t="s">
        <v>2042</v>
      </c>
      <c r="F242" s="107">
        <v>1</v>
      </c>
      <c r="G242" s="108">
        <v>1.49</v>
      </c>
      <c r="H242" s="107">
        <v>10</v>
      </c>
      <c r="I242" s="137" t="s">
        <v>944</v>
      </c>
      <c r="J242" s="110" t="s">
        <v>29</v>
      </c>
      <c r="K242" s="110" t="s">
        <v>2043</v>
      </c>
      <c r="L242" s="107">
        <v>13824680321</v>
      </c>
      <c r="M242" s="110" t="s">
        <v>2044</v>
      </c>
      <c r="N242" s="127" t="s">
        <v>2045</v>
      </c>
      <c r="O242" s="123" t="s">
        <v>2046</v>
      </c>
      <c r="P242" s="125">
        <v>13531876705</v>
      </c>
      <c r="Q242" s="127" t="s">
        <v>2047</v>
      </c>
      <c r="R242">
        <f t="shared" si="7"/>
        <v>3</v>
      </c>
      <c r="S242" s="15" t="s">
        <v>2048</v>
      </c>
    </row>
    <row r="243" spans="1:19" ht="15.75">
      <c r="A243" s="106" t="str">
        <f t="shared" si="6"/>
        <v>nonono</v>
      </c>
      <c r="B243" s="21" t="s">
        <v>2049</v>
      </c>
      <c r="C243" s="15" t="s">
        <v>2050</v>
      </c>
      <c r="D243" s="110" t="s">
        <v>2051</v>
      </c>
      <c r="E243" s="37" t="s">
        <v>281</v>
      </c>
      <c r="F243" s="107">
        <v>1</v>
      </c>
      <c r="G243" s="108">
        <v>2.17</v>
      </c>
      <c r="H243" s="107">
        <v>11</v>
      </c>
      <c r="I243" s="109" t="s">
        <v>2052</v>
      </c>
      <c r="J243" s="110" t="s">
        <v>40</v>
      </c>
      <c r="K243" s="110" t="s">
        <v>660</v>
      </c>
      <c r="L243" s="107">
        <v>13135347968</v>
      </c>
      <c r="M243" s="110" t="s">
        <v>661</v>
      </c>
      <c r="N243" s="127" t="s">
        <v>2053</v>
      </c>
      <c r="O243" s="123" t="s">
        <v>2054</v>
      </c>
      <c r="P243" s="183">
        <v>13665703699</v>
      </c>
      <c r="Q243" s="127" t="s">
        <v>2055</v>
      </c>
      <c r="R243">
        <f t="shared" si="7"/>
        <v>4</v>
      </c>
      <c r="S243" s="15" t="s">
        <v>2056</v>
      </c>
    </row>
    <row r="244" spans="1:19" ht="15.75">
      <c r="A244" s="106" t="str">
        <f t="shared" si="6"/>
        <v>nonono</v>
      </c>
      <c r="B244" s="21" t="s">
        <v>2057</v>
      </c>
      <c r="C244" s="15" t="s">
        <v>2058</v>
      </c>
      <c r="D244" s="110" t="s">
        <v>2059</v>
      </c>
      <c r="E244" s="107" t="s">
        <v>69</v>
      </c>
      <c r="F244" s="107">
        <v>1</v>
      </c>
      <c r="G244" s="108">
        <v>1.04</v>
      </c>
      <c r="H244" s="107">
        <v>4</v>
      </c>
      <c r="I244" s="137" t="s">
        <v>402</v>
      </c>
      <c r="J244" s="110" t="s">
        <v>40</v>
      </c>
      <c r="K244" s="110" t="s">
        <v>2060</v>
      </c>
      <c r="L244" s="107">
        <v>13878572611</v>
      </c>
      <c r="M244" s="110" t="s">
        <v>2061</v>
      </c>
      <c r="N244" s="127" t="s">
        <v>2062</v>
      </c>
      <c r="O244" s="123" t="s">
        <v>2063</v>
      </c>
      <c r="P244" s="131">
        <v>18677008655</v>
      </c>
      <c r="Q244" s="127" t="s">
        <v>2064</v>
      </c>
      <c r="R244">
        <f t="shared" si="7"/>
        <v>2</v>
      </c>
      <c r="S244" s="15" t="s">
        <v>2065</v>
      </c>
    </row>
    <row r="245" spans="1:19" ht="15.75">
      <c r="A245" s="106" t="str">
        <f t="shared" si="6"/>
        <v>nonono</v>
      </c>
      <c r="B245" s="21" t="s">
        <v>2066</v>
      </c>
      <c r="C245" s="15" t="s">
        <v>2067</v>
      </c>
      <c r="D245" s="110" t="s">
        <v>2068</v>
      </c>
      <c r="E245" s="107" t="s">
        <v>2069</v>
      </c>
      <c r="F245" s="107">
        <v>1</v>
      </c>
      <c r="G245" s="108">
        <v>1.26</v>
      </c>
      <c r="H245" s="107">
        <v>8</v>
      </c>
      <c r="I245" s="109"/>
      <c r="J245" s="110" t="s">
        <v>103</v>
      </c>
      <c r="K245" s="110" t="s">
        <v>2070</v>
      </c>
      <c r="L245" s="107">
        <v>15806214222</v>
      </c>
      <c r="M245" s="110" t="s">
        <v>2071</v>
      </c>
      <c r="N245" s="127" t="s">
        <v>2072</v>
      </c>
      <c r="O245" s="123" t="s">
        <v>2073</v>
      </c>
      <c r="P245" s="125">
        <v>15995799925</v>
      </c>
      <c r="Q245" s="127" t="s">
        <v>2074</v>
      </c>
      <c r="R245">
        <f t="shared" si="7"/>
        <v>2</v>
      </c>
      <c r="S245" s="15" t="s">
        <v>2075</v>
      </c>
    </row>
    <row r="246" spans="1:19" ht="15.75">
      <c r="A246" s="106" t="str">
        <f t="shared" si="6"/>
        <v>nonono</v>
      </c>
      <c r="B246" s="21" t="s">
        <v>2076</v>
      </c>
      <c r="C246" s="15" t="s">
        <v>2077</v>
      </c>
      <c r="D246" s="110" t="s">
        <v>2078</v>
      </c>
      <c r="E246" s="107" t="s">
        <v>201</v>
      </c>
      <c r="F246" s="107">
        <v>1</v>
      </c>
      <c r="G246" s="108">
        <v>1.72</v>
      </c>
      <c r="H246" s="107">
        <v>12</v>
      </c>
      <c r="I246" s="137" t="s">
        <v>944</v>
      </c>
      <c r="J246" s="110" t="s">
        <v>40</v>
      </c>
      <c r="K246" s="110" t="s">
        <v>2079</v>
      </c>
      <c r="L246" s="107">
        <v>13928112992</v>
      </c>
      <c r="M246" s="110" t="s">
        <v>2080</v>
      </c>
      <c r="N246" t="s">
        <v>2079</v>
      </c>
      <c r="O246" t="s">
        <v>2080</v>
      </c>
      <c r="P246">
        <v>13928112992</v>
      </c>
      <c r="Q246" t="s">
        <v>2081</v>
      </c>
      <c r="R246">
        <f t="shared" si="7"/>
        <v>1</v>
      </c>
      <c r="S246" s="15" t="s">
        <v>2082</v>
      </c>
    </row>
    <row r="247" spans="1:19" ht="15.75">
      <c r="A247" s="106" t="str">
        <f t="shared" si="6"/>
        <v>nonono</v>
      </c>
      <c r="B247" s="21" t="s">
        <v>2083</v>
      </c>
      <c r="C247" s="15" t="s">
        <v>2084</v>
      </c>
      <c r="D247" s="110" t="s">
        <v>2085</v>
      </c>
      <c r="E247" s="107" t="s">
        <v>111</v>
      </c>
      <c r="F247" s="107">
        <v>1</v>
      </c>
      <c r="G247" s="108">
        <v>1.49</v>
      </c>
      <c r="H247" s="107">
        <v>13</v>
      </c>
      <c r="I247" s="109" t="s">
        <v>2086</v>
      </c>
      <c r="J247" s="110" t="s">
        <v>40</v>
      </c>
      <c r="K247" s="110" t="s">
        <v>812</v>
      </c>
      <c r="L247" s="107">
        <v>13601026293</v>
      </c>
      <c r="M247" s="110" t="s">
        <v>813</v>
      </c>
      <c r="N247" s="127" t="s">
        <v>2087</v>
      </c>
      <c r="O247" s="123" t="s">
        <v>2088</v>
      </c>
      <c r="P247" s="131">
        <v>18601226301</v>
      </c>
      <c r="Q247" s="127" t="s">
        <v>2089</v>
      </c>
      <c r="R247">
        <f t="shared" si="7"/>
        <v>4</v>
      </c>
      <c r="S247" s="15" t="s">
        <v>2090</v>
      </c>
    </row>
    <row r="248" spans="1:19" ht="15.75">
      <c r="A248" s="106" t="str">
        <f t="shared" si="6"/>
        <v>nonono</v>
      </c>
      <c r="B248" s="21" t="s">
        <v>2091</v>
      </c>
      <c r="C248" s="15" t="s">
        <v>2092</v>
      </c>
      <c r="D248" s="110" t="s">
        <v>2093</v>
      </c>
      <c r="E248" s="37" t="s">
        <v>1112</v>
      </c>
      <c r="F248" s="107">
        <v>1</v>
      </c>
      <c r="G248" s="108">
        <v>0.81</v>
      </c>
      <c r="H248" s="107">
        <v>5</v>
      </c>
      <c r="I248" s="137" t="s">
        <v>391</v>
      </c>
      <c r="J248" s="110" t="s">
        <v>29</v>
      </c>
      <c r="K248" s="110" t="s">
        <v>2094</v>
      </c>
      <c r="L248" s="107">
        <v>13316970672</v>
      </c>
      <c r="M248" s="110" t="s">
        <v>2095</v>
      </c>
      <c r="N248" t="s">
        <v>2094</v>
      </c>
      <c r="O248" t="s">
        <v>2095</v>
      </c>
      <c r="P248">
        <v>13316970672</v>
      </c>
      <c r="Q248" t="s">
        <v>2096</v>
      </c>
      <c r="R248">
        <f t="shared" si="7"/>
        <v>1</v>
      </c>
      <c r="S248" s="15" t="s">
        <v>2097</v>
      </c>
    </row>
    <row r="249" spans="1:19" ht="15.75">
      <c r="A249" s="106" t="str">
        <f t="shared" si="6"/>
        <v>nonono</v>
      </c>
      <c r="B249" s="21" t="s">
        <v>2098</v>
      </c>
      <c r="C249" s="15" t="s">
        <v>2099</v>
      </c>
      <c r="D249" s="110" t="s">
        <v>2100</v>
      </c>
      <c r="E249" s="107" t="s">
        <v>420</v>
      </c>
      <c r="F249" s="107">
        <v>1</v>
      </c>
      <c r="G249" s="108">
        <v>2.4</v>
      </c>
      <c r="H249" s="107">
        <v>3</v>
      </c>
      <c r="I249" s="109"/>
      <c r="J249" s="110" t="s">
        <v>40</v>
      </c>
      <c r="K249" s="117" t="s">
        <v>2101</v>
      </c>
      <c r="L249" s="107">
        <v>18351184440</v>
      </c>
      <c r="M249" s="110" t="s">
        <v>2102</v>
      </c>
      <c r="N249" t="s">
        <v>2101</v>
      </c>
      <c r="O249" t="s">
        <v>2102</v>
      </c>
      <c r="P249">
        <v>18351184440</v>
      </c>
      <c r="Q249" t="s">
        <v>2103</v>
      </c>
      <c r="R249">
        <f t="shared" si="7"/>
        <v>1</v>
      </c>
      <c r="S249" s="15" t="s">
        <v>2104</v>
      </c>
    </row>
    <row r="250" spans="1:19" ht="15.75">
      <c r="A250" s="106" t="str">
        <f t="shared" si="6"/>
        <v>nonono</v>
      </c>
      <c r="B250" s="21" t="s">
        <v>2105</v>
      </c>
      <c r="C250" s="15" t="s">
        <v>2106</v>
      </c>
      <c r="D250" s="110" t="s">
        <v>2107</v>
      </c>
      <c r="E250" s="107" t="s">
        <v>281</v>
      </c>
      <c r="F250" s="107">
        <v>1</v>
      </c>
      <c r="G250" s="108">
        <v>1.72</v>
      </c>
      <c r="H250" s="107">
        <v>12</v>
      </c>
      <c r="I250" s="109" t="s">
        <v>2108</v>
      </c>
      <c r="J250" s="110" t="s">
        <v>40</v>
      </c>
      <c r="K250" s="110" t="s">
        <v>2109</v>
      </c>
      <c r="L250" s="107">
        <v>13555827588</v>
      </c>
      <c r="M250" s="110" t="s">
        <v>2110</v>
      </c>
      <c r="N250" s="127" t="s">
        <v>2111</v>
      </c>
      <c r="O250" s="123" t="s">
        <v>2112</v>
      </c>
      <c r="P250" s="125">
        <v>13604074318</v>
      </c>
      <c r="Q250" s="127" t="s">
        <v>2113</v>
      </c>
      <c r="R250">
        <f t="shared" si="7"/>
        <v>3</v>
      </c>
      <c r="S250" s="15" t="s">
        <v>2114</v>
      </c>
    </row>
    <row r="251" spans="1:19" ht="15.75">
      <c r="A251" s="106" t="str">
        <f t="shared" si="6"/>
        <v>nonono</v>
      </c>
      <c r="B251" s="21" t="s">
        <v>2115</v>
      </c>
      <c r="C251" s="15" t="s">
        <v>2116</v>
      </c>
      <c r="D251" s="110" t="s">
        <v>2117</v>
      </c>
      <c r="E251" s="107" t="s">
        <v>111</v>
      </c>
      <c r="F251" s="107">
        <v>1</v>
      </c>
      <c r="G251" s="108">
        <v>1.04</v>
      </c>
      <c r="H251" s="107">
        <v>10</v>
      </c>
      <c r="I251" s="109" t="s">
        <v>2118</v>
      </c>
      <c r="J251" s="110" t="s">
        <v>40</v>
      </c>
      <c r="K251" s="110" t="s">
        <v>841</v>
      </c>
      <c r="L251" s="107">
        <v>13857400062</v>
      </c>
      <c r="M251" s="110" t="s">
        <v>842</v>
      </c>
      <c r="N251" t="s">
        <v>841</v>
      </c>
      <c r="O251" s="123" t="s">
        <v>2119</v>
      </c>
      <c r="P251" s="131">
        <v>13806678648</v>
      </c>
      <c r="Q251" t="s">
        <v>2120</v>
      </c>
      <c r="R251">
        <f t="shared" si="7"/>
        <v>3</v>
      </c>
      <c r="S251" s="15" t="s">
        <v>2121</v>
      </c>
    </row>
    <row r="252" spans="1:19" ht="15.75">
      <c r="A252" s="106" t="str">
        <f t="shared" si="6"/>
        <v>nonono</v>
      </c>
      <c r="B252" s="21" t="s">
        <v>2122</v>
      </c>
      <c r="C252" s="15" t="s">
        <v>2123</v>
      </c>
      <c r="D252" s="117" t="s">
        <v>2124</v>
      </c>
      <c r="E252" s="37" t="s">
        <v>2125</v>
      </c>
      <c r="F252" s="107">
        <v>1</v>
      </c>
      <c r="G252" s="108">
        <v>1.72</v>
      </c>
      <c r="H252" s="107">
        <v>5</v>
      </c>
      <c r="I252" s="137" t="s">
        <v>402</v>
      </c>
      <c r="J252" s="110" t="s">
        <v>103</v>
      </c>
      <c r="K252" s="110" t="s">
        <v>2126</v>
      </c>
      <c r="L252" s="107">
        <v>13321158080</v>
      </c>
      <c r="M252" s="110" t="s">
        <v>2127</v>
      </c>
      <c r="N252" s="127" t="s">
        <v>2128</v>
      </c>
      <c r="O252" s="123" t="s">
        <v>2129</v>
      </c>
      <c r="P252" s="129">
        <v>13701029646</v>
      </c>
      <c r="Q252" s="127" t="s">
        <v>2130</v>
      </c>
      <c r="R252">
        <f t="shared" si="7"/>
        <v>2</v>
      </c>
      <c r="S252" s="15" t="s">
        <v>2131</v>
      </c>
    </row>
    <row r="253" spans="1:19" ht="15.75">
      <c r="A253" s="106" t="str">
        <f t="shared" si="6"/>
        <v>nonono</v>
      </c>
      <c r="B253" s="21" t="s">
        <v>2132</v>
      </c>
      <c r="C253" s="15" t="s">
        <v>2133</v>
      </c>
      <c r="D253" s="110" t="s">
        <v>2134</v>
      </c>
      <c r="E253" s="107" t="s">
        <v>281</v>
      </c>
      <c r="F253" s="107">
        <v>1</v>
      </c>
      <c r="G253" s="108">
        <v>0.81</v>
      </c>
      <c r="H253" s="107">
        <v>9</v>
      </c>
      <c r="I253" s="137" t="s">
        <v>2135</v>
      </c>
      <c r="J253" s="110" t="s">
        <v>40</v>
      </c>
      <c r="K253" s="110" t="s">
        <v>899</v>
      </c>
      <c r="L253" s="107">
        <v>18903126532</v>
      </c>
      <c r="M253" s="110" t="s">
        <v>900</v>
      </c>
      <c r="N253" t="s">
        <v>899</v>
      </c>
      <c r="O253" s="123" t="s">
        <v>2136</v>
      </c>
      <c r="P253" s="128">
        <v>18832216066</v>
      </c>
      <c r="Q253" t="s">
        <v>2137</v>
      </c>
      <c r="R253">
        <f t="shared" si="7"/>
        <v>4</v>
      </c>
      <c r="S253" s="15" t="s">
        <v>2138</v>
      </c>
    </row>
    <row r="254" spans="1:19" ht="15.75">
      <c r="A254" s="106" t="str">
        <f t="shared" si="6"/>
        <v>nonono</v>
      </c>
      <c r="B254" s="21" t="s">
        <v>2139</v>
      </c>
      <c r="C254" s="15" t="s">
        <v>2140</v>
      </c>
      <c r="D254" s="110" t="s">
        <v>878</v>
      </c>
      <c r="E254" s="107" t="s">
        <v>80</v>
      </c>
      <c r="F254" s="107">
        <v>1</v>
      </c>
      <c r="G254" s="108">
        <v>0.81</v>
      </c>
      <c r="H254" s="107">
        <v>9</v>
      </c>
      <c r="I254" s="109" t="s">
        <v>2141</v>
      </c>
      <c r="J254" s="110" t="s">
        <v>29</v>
      </c>
      <c r="K254" s="110" t="s">
        <v>2142</v>
      </c>
      <c r="L254" s="107">
        <v>13910075819</v>
      </c>
      <c r="M254" s="135" t="s">
        <v>2143</v>
      </c>
      <c r="N254" s="127" t="s">
        <v>2144</v>
      </c>
      <c r="O254" t="s">
        <v>2143</v>
      </c>
      <c r="P254" s="126">
        <v>13910075819</v>
      </c>
      <c r="Q254" s="127" t="s">
        <v>2145</v>
      </c>
      <c r="R254">
        <f t="shared" si="7"/>
        <v>4</v>
      </c>
      <c r="S254" s="15" t="s">
        <v>2146</v>
      </c>
    </row>
    <row r="255" spans="1:19" ht="15.75">
      <c r="A255" s="106" t="str">
        <f t="shared" si="6"/>
        <v>nonono</v>
      </c>
      <c r="B255" s="21" t="s">
        <v>2147</v>
      </c>
      <c r="C255" s="15" t="s">
        <v>2148</v>
      </c>
      <c r="D255" s="110" t="s">
        <v>878</v>
      </c>
      <c r="E255" s="107" t="s">
        <v>80</v>
      </c>
      <c r="F255" s="107">
        <v>1</v>
      </c>
      <c r="G255" s="108">
        <v>0.81</v>
      </c>
      <c r="H255" s="107">
        <v>9</v>
      </c>
      <c r="I255" s="109" t="s">
        <v>81</v>
      </c>
      <c r="J255" s="110" t="s">
        <v>29</v>
      </c>
      <c r="K255" s="110" t="s">
        <v>1231</v>
      </c>
      <c r="L255" s="107">
        <v>13671107288</v>
      </c>
      <c r="M255" s="135" t="s">
        <v>880</v>
      </c>
      <c r="N255" s="127" t="s">
        <v>2149</v>
      </c>
      <c r="O255" s="123" t="s">
        <v>2150</v>
      </c>
      <c r="P255" s="128">
        <v>13810041478</v>
      </c>
      <c r="Q255" s="127" t="s">
        <v>2151</v>
      </c>
      <c r="R255">
        <f t="shared" si="7"/>
        <v>2</v>
      </c>
      <c r="S255" s="15" t="s">
        <v>2152</v>
      </c>
    </row>
    <row r="256" spans="1:19" ht="15.75">
      <c r="A256" s="106" t="str">
        <f t="shared" si="6"/>
        <v>nonono</v>
      </c>
      <c r="B256" s="21" t="s">
        <v>2153</v>
      </c>
      <c r="C256" s="15" t="s">
        <v>2154</v>
      </c>
      <c r="D256" s="110" t="s">
        <v>2155</v>
      </c>
      <c r="E256" s="107" t="s">
        <v>2156</v>
      </c>
      <c r="F256" s="107">
        <v>1</v>
      </c>
      <c r="G256" s="108">
        <v>0.81</v>
      </c>
      <c r="H256" s="107">
        <v>13</v>
      </c>
      <c r="I256" s="109" t="s">
        <v>2157</v>
      </c>
      <c r="J256" s="110" t="s">
        <v>29</v>
      </c>
      <c r="K256" s="110" t="s">
        <v>82</v>
      </c>
      <c r="L256" s="37">
        <v>15210622672</v>
      </c>
      <c r="M256" s="184" t="s">
        <v>871</v>
      </c>
      <c r="N256" s="127" t="s">
        <v>2158</v>
      </c>
      <c r="O256" s="123" t="s">
        <v>2159</v>
      </c>
      <c r="P256" s="128">
        <v>13146915578</v>
      </c>
      <c r="Q256" s="127" t="s">
        <v>2160</v>
      </c>
      <c r="R256">
        <f t="shared" si="7"/>
        <v>4</v>
      </c>
      <c r="S256" s="15" t="s">
        <v>2161</v>
      </c>
    </row>
    <row r="257" spans="1:19" ht="15.75">
      <c r="A257" s="106" t="str">
        <f t="shared" si="6"/>
        <v>nonono</v>
      </c>
      <c r="B257" s="21" t="s">
        <v>2162</v>
      </c>
      <c r="C257" s="15" t="s">
        <v>2163</v>
      </c>
      <c r="D257" s="117" t="s">
        <v>2164</v>
      </c>
      <c r="E257" s="37" t="s">
        <v>111</v>
      </c>
      <c r="F257" s="37">
        <v>1</v>
      </c>
      <c r="G257" s="116">
        <v>1.26</v>
      </c>
      <c r="H257" s="37">
        <v>10</v>
      </c>
      <c r="I257" s="109" t="s">
        <v>2165</v>
      </c>
      <c r="J257" s="110" t="s">
        <v>40</v>
      </c>
      <c r="K257" s="110" t="s">
        <v>899</v>
      </c>
      <c r="L257" s="107">
        <v>18903126532</v>
      </c>
      <c r="M257" s="110" t="s">
        <v>900</v>
      </c>
      <c r="N257" s="127" t="s">
        <v>2166</v>
      </c>
      <c r="O257" s="123" t="s">
        <v>2167</v>
      </c>
      <c r="P257" s="128">
        <v>13703284120</v>
      </c>
      <c r="Q257" s="127" t="s">
        <v>2168</v>
      </c>
      <c r="R257">
        <f t="shared" si="7"/>
        <v>4</v>
      </c>
      <c r="S257" s="15" t="s">
        <v>2169</v>
      </c>
    </row>
    <row r="258" spans="1:19" ht="15.75">
      <c r="A258" s="106" t="str">
        <f t="shared" si="6"/>
        <v>nonono</v>
      </c>
      <c r="B258" s="21" t="s">
        <v>2170</v>
      </c>
      <c r="C258" s="15" t="s">
        <v>2171</v>
      </c>
      <c r="D258" s="117" t="s">
        <v>2172</v>
      </c>
      <c r="E258" s="37" t="s">
        <v>2173</v>
      </c>
      <c r="F258" s="37">
        <v>1</v>
      </c>
      <c r="G258" s="116">
        <v>0.35</v>
      </c>
      <c r="H258" s="37">
        <v>3</v>
      </c>
      <c r="I258" s="109" t="s">
        <v>2174</v>
      </c>
      <c r="J258" s="110" t="s">
        <v>40</v>
      </c>
      <c r="K258" s="110" t="s">
        <v>2175</v>
      </c>
      <c r="L258" s="107">
        <v>18600260230</v>
      </c>
      <c r="M258" s="135" t="s">
        <v>2176</v>
      </c>
      <c r="N258" s="127" t="s">
        <v>2177</v>
      </c>
      <c r="O258" t="s">
        <v>2176</v>
      </c>
      <c r="P258" s="126">
        <v>18600260230</v>
      </c>
      <c r="Q258" s="127" t="s">
        <v>2178</v>
      </c>
      <c r="R258">
        <f t="shared" si="7"/>
        <v>1</v>
      </c>
      <c r="S258" s="15" t="s">
        <v>2179</v>
      </c>
    </row>
    <row r="259" spans="1:19" ht="15.75">
      <c r="A259" s="106" t="str">
        <f t="shared" si="6"/>
        <v>nonono</v>
      </c>
      <c r="B259" s="21" t="s">
        <v>2180</v>
      </c>
      <c r="C259" s="15" t="s">
        <v>2181</v>
      </c>
      <c r="D259" s="107" t="s">
        <v>2182</v>
      </c>
      <c r="E259" s="107" t="s">
        <v>429</v>
      </c>
      <c r="F259" s="107">
        <v>1</v>
      </c>
      <c r="G259" s="108">
        <v>0.81</v>
      </c>
      <c r="H259" s="107">
        <v>4</v>
      </c>
      <c r="I259" s="137" t="s">
        <v>430</v>
      </c>
      <c r="J259" s="110" t="s">
        <v>822</v>
      </c>
      <c r="K259" s="110" t="s">
        <v>2183</v>
      </c>
      <c r="L259" s="107">
        <v>15819974811</v>
      </c>
      <c r="M259" s="110" t="s">
        <v>2184</v>
      </c>
      <c r="N259" s="127" t="s">
        <v>2185</v>
      </c>
      <c r="O259" t="s">
        <v>2184</v>
      </c>
      <c r="P259" s="126">
        <v>15819974811</v>
      </c>
      <c r="Q259" s="127" t="s">
        <v>2186</v>
      </c>
      <c r="R259">
        <f t="shared" si="7"/>
        <v>1</v>
      </c>
      <c r="S259" s="15" t="s">
        <v>2187</v>
      </c>
    </row>
    <row r="260" spans="1:19" ht="15.75">
      <c r="A260" s="106" t="str">
        <f t="shared" si="6"/>
        <v>nonono</v>
      </c>
      <c r="B260" s="21" t="s">
        <v>2188</v>
      </c>
      <c r="C260" s="15" t="s">
        <v>2189</v>
      </c>
      <c r="D260" s="110" t="s">
        <v>2190</v>
      </c>
      <c r="E260" s="107" t="s">
        <v>69</v>
      </c>
      <c r="F260" s="107">
        <v>1</v>
      </c>
      <c r="G260" s="108">
        <v>1.04</v>
      </c>
      <c r="H260" s="107">
        <v>13</v>
      </c>
      <c r="I260" s="137" t="s">
        <v>402</v>
      </c>
      <c r="J260" s="110" t="s">
        <v>40</v>
      </c>
      <c r="K260" s="110" t="s">
        <v>2191</v>
      </c>
      <c r="L260" s="107">
        <v>13908477972</v>
      </c>
      <c r="M260" s="110" t="s">
        <v>2192</v>
      </c>
      <c r="N260" t="s">
        <v>2191</v>
      </c>
      <c r="O260" t="s">
        <v>2192</v>
      </c>
      <c r="P260">
        <v>13908477972</v>
      </c>
      <c r="Q260" t="s">
        <v>2193</v>
      </c>
      <c r="R260">
        <f t="shared" si="7"/>
        <v>1</v>
      </c>
      <c r="S260" s="15" t="s">
        <v>2194</v>
      </c>
    </row>
    <row r="261" spans="1:19" ht="15.75">
      <c r="A261" s="106" t="str">
        <f t="shared" si="6"/>
        <v>nonono</v>
      </c>
      <c r="B261" s="21" t="s">
        <v>2195</v>
      </c>
      <c r="C261" s="15" t="s">
        <v>2196</v>
      </c>
      <c r="D261" s="110" t="s">
        <v>934</v>
      </c>
      <c r="E261" s="107" t="s">
        <v>111</v>
      </c>
      <c r="F261" s="107">
        <v>1</v>
      </c>
      <c r="G261" s="108">
        <v>1.72</v>
      </c>
      <c r="H261" s="107">
        <v>15</v>
      </c>
      <c r="I261" s="137" t="s">
        <v>430</v>
      </c>
      <c r="J261" s="110" t="s">
        <v>40</v>
      </c>
      <c r="K261" s="110" t="s">
        <v>935</v>
      </c>
      <c r="L261" s="107">
        <v>13544528260</v>
      </c>
      <c r="M261" s="117" t="s">
        <v>936</v>
      </c>
      <c r="N261" s="127" t="s">
        <v>2197</v>
      </c>
      <c r="O261" s="123" t="s">
        <v>2198</v>
      </c>
      <c r="P261" s="131">
        <v>13543466209</v>
      </c>
      <c r="Q261" s="127" t="s">
        <v>2199</v>
      </c>
      <c r="R261">
        <f t="shared" si="7"/>
        <v>2</v>
      </c>
      <c r="S261" s="15" t="s">
        <v>2200</v>
      </c>
    </row>
    <row r="262" spans="1:19" ht="15.75">
      <c r="A262" s="106" t="str">
        <f t="shared" ref="A262:A325" si="8">IF(B262=C262,"","nonono")</f>
        <v>nonono</v>
      </c>
      <c r="B262" s="21" t="s">
        <v>2201</v>
      </c>
      <c r="C262" s="15" t="s">
        <v>2202</v>
      </c>
      <c r="D262" s="110" t="s">
        <v>2203</v>
      </c>
      <c r="E262" s="107" t="s">
        <v>261</v>
      </c>
      <c r="F262" s="107">
        <v>1</v>
      </c>
      <c r="G262" s="108">
        <v>1.72</v>
      </c>
      <c r="H262" s="107">
        <v>15</v>
      </c>
      <c r="I262" s="137" t="s">
        <v>391</v>
      </c>
      <c r="J262" s="110" t="s">
        <v>40</v>
      </c>
      <c r="K262" s="117" t="s">
        <v>214</v>
      </c>
      <c r="L262" s="107">
        <v>13928934034</v>
      </c>
      <c r="M262" s="135" t="s">
        <v>215</v>
      </c>
      <c r="N262" s="127" t="s">
        <v>2204</v>
      </c>
      <c r="O262" s="123" t="s">
        <v>2205</v>
      </c>
      <c r="P262" s="185">
        <v>18933085512</v>
      </c>
      <c r="Q262" s="127" t="s">
        <v>2206</v>
      </c>
      <c r="R262">
        <f t="shared" si="7"/>
        <v>3</v>
      </c>
      <c r="S262" s="15" t="s">
        <v>2207</v>
      </c>
    </row>
    <row r="263" spans="1:19" ht="15.75">
      <c r="A263" s="106" t="str">
        <f t="shared" si="8"/>
        <v>nonono</v>
      </c>
      <c r="B263" s="21" t="s">
        <v>2208</v>
      </c>
      <c r="C263" s="15" t="s">
        <v>2209</v>
      </c>
      <c r="D263" s="110" t="s">
        <v>2210</v>
      </c>
      <c r="E263" s="107" t="s">
        <v>201</v>
      </c>
      <c r="F263" s="107">
        <v>1</v>
      </c>
      <c r="G263" s="108">
        <v>1.72</v>
      </c>
      <c r="H263" s="107">
        <v>10</v>
      </c>
      <c r="I263" s="137" t="s">
        <v>944</v>
      </c>
      <c r="J263" s="110" t="s">
        <v>40</v>
      </c>
      <c r="K263" s="110" t="s">
        <v>252</v>
      </c>
      <c r="L263" s="107">
        <v>13662476777</v>
      </c>
      <c r="M263" s="135" t="s">
        <v>253</v>
      </c>
      <c r="N263" s="127" t="s">
        <v>2211</v>
      </c>
      <c r="O263" s="123" t="s">
        <v>2212</v>
      </c>
      <c r="P263" s="131">
        <v>13923117525</v>
      </c>
      <c r="Q263" s="127" t="s">
        <v>2213</v>
      </c>
      <c r="R263">
        <f t="shared" ref="R263:R326" si="9">COUNTIF($K$1:$K$2982,K263)</f>
        <v>3</v>
      </c>
      <c r="S263" s="15" t="s">
        <v>2214</v>
      </c>
    </row>
    <row r="264" spans="1:19" ht="15.75">
      <c r="A264" s="106" t="str">
        <f t="shared" si="8"/>
        <v>nonono</v>
      </c>
      <c r="B264" s="21" t="s">
        <v>2215</v>
      </c>
      <c r="C264" s="15" t="s">
        <v>2216</v>
      </c>
      <c r="D264" s="110" t="s">
        <v>2217</v>
      </c>
      <c r="E264" s="107" t="s">
        <v>261</v>
      </c>
      <c r="F264" s="107">
        <v>1</v>
      </c>
      <c r="G264" s="108">
        <v>1.26</v>
      </c>
      <c r="H264" s="107">
        <v>15</v>
      </c>
      <c r="I264" s="137" t="s">
        <v>391</v>
      </c>
      <c r="J264" s="110" t="s">
        <v>40</v>
      </c>
      <c r="K264" s="110" t="s">
        <v>272</v>
      </c>
      <c r="L264" s="107">
        <v>13928780807</v>
      </c>
      <c r="M264" s="135" t="s">
        <v>273</v>
      </c>
      <c r="N264" t="s">
        <v>272</v>
      </c>
      <c r="O264" s="123" t="s">
        <v>2218</v>
      </c>
      <c r="P264" s="156">
        <v>18410850230</v>
      </c>
      <c r="Q264" t="s">
        <v>2219</v>
      </c>
      <c r="R264">
        <f t="shared" si="9"/>
        <v>3</v>
      </c>
      <c r="S264" s="15" t="s">
        <v>2220</v>
      </c>
    </row>
    <row r="265" spans="1:19" ht="15.75">
      <c r="A265" s="106" t="str">
        <f t="shared" si="8"/>
        <v>nonono</v>
      </c>
      <c r="B265" s="21" t="s">
        <v>2221</v>
      </c>
      <c r="C265" s="15" t="s">
        <v>2222</v>
      </c>
      <c r="D265" s="110" t="s">
        <v>2223</v>
      </c>
      <c r="E265" s="107" t="s">
        <v>281</v>
      </c>
      <c r="F265" s="107">
        <v>1</v>
      </c>
      <c r="G265" s="108">
        <v>1.49</v>
      </c>
      <c r="H265" s="107">
        <v>12</v>
      </c>
      <c r="I265" s="137" t="s">
        <v>282</v>
      </c>
      <c r="J265" s="110" t="s">
        <v>40</v>
      </c>
      <c r="K265" s="110" t="s">
        <v>2224</v>
      </c>
      <c r="L265" s="107">
        <v>13084183716</v>
      </c>
      <c r="M265" s="110" t="s">
        <v>2225</v>
      </c>
      <c r="N265" s="127" t="s">
        <v>2226</v>
      </c>
      <c r="O265" t="s">
        <v>2225</v>
      </c>
      <c r="P265" s="126">
        <v>13084183716</v>
      </c>
      <c r="Q265" s="127" t="s">
        <v>2227</v>
      </c>
      <c r="R265">
        <f t="shared" si="9"/>
        <v>1</v>
      </c>
      <c r="S265" s="15" t="s">
        <v>2228</v>
      </c>
    </row>
    <row r="266" spans="1:19" ht="15.75">
      <c r="A266" s="106" t="str">
        <f t="shared" si="8"/>
        <v>nonono</v>
      </c>
      <c r="B266" s="21" t="s">
        <v>2229</v>
      </c>
      <c r="C266" s="15" t="s">
        <v>2230</v>
      </c>
      <c r="D266" s="110" t="s">
        <v>2231</v>
      </c>
      <c r="E266" s="107" t="s">
        <v>2232</v>
      </c>
      <c r="F266" s="107">
        <v>1</v>
      </c>
      <c r="G266" s="108">
        <v>1.26</v>
      </c>
      <c r="H266" s="107">
        <v>7</v>
      </c>
      <c r="I266" s="109" t="s">
        <v>2233</v>
      </c>
      <c r="J266" s="110" t="s">
        <v>29</v>
      </c>
      <c r="K266" s="110" t="s">
        <v>2234</v>
      </c>
      <c r="L266" s="107">
        <v>15919820869</v>
      </c>
      <c r="M266" s="135" t="s">
        <v>2235</v>
      </c>
      <c r="N266" t="s">
        <v>2234</v>
      </c>
      <c r="O266" t="s">
        <v>2235</v>
      </c>
      <c r="P266">
        <v>15919820869</v>
      </c>
      <c r="Q266" t="s">
        <v>2236</v>
      </c>
      <c r="R266">
        <f t="shared" si="9"/>
        <v>1</v>
      </c>
      <c r="S266" s="15" t="s">
        <v>2237</v>
      </c>
    </row>
    <row r="267" spans="1:19" ht="15.75">
      <c r="A267" s="106" t="str">
        <f t="shared" si="8"/>
        <v>nonono</v>
      </c>
      <c r="B267" s="21" t="s">
        <v>2238</v>
      </c>
      <c r="C267" s="15" t="s">
        <v>2239</v>
      </c>
      <c r="D267" s="110" t="s">
        <v>2240</v>
      </c>
      <c r="E267" s="37" t="s">
        <v>2241</v>
      </c>
      <c r="F267" s="107">
        <v>1</v>
      </c>
      <c r="G267" s="108">
        <v>0.28999999999999998</v>
      </c>
      <c r="H267" s="107">
        <v>3</v>
      </c>
      <c r="I267" s="109" t="s">
        <v>2242</v>
      </c>
      <c r="J267" s="110" t="s">
        <v>29</v>
      </c>
      <c r="K267" s="117" t="s">
        <v>2243</v>
      </c>
      <c r="L267" s="107">
        <v>13672108519</v>
      </c>
      <c r="M267" s="110" t="s">
        <v>2244</v>
      </c>
      <c r="N267" s="127" t="s">
        <v>2245</v>
      </c>
      <c r="O267" t="s">
        <v>2244</v>
      </c>
      <c r="P267">
        <v>13672108519</v>
      </c>
      <c r="Q267" s="127" t="s">
        <v>2246</v>
      </c>
      <c r="R267">
        <f t="shared" si="9"/>
        <v>1</v>
      </c>
      <c r="S267" s="15" t="s">
        <v>2247</v>
      </c>
    </row>
    <row r="268" spans="1:19" ht="15.75">
      <c r="A268" s="106" t="str">
        <f t="shared" si="8"/>
        <v>nonono</v>
      </c>
      <c r="B268" s="21" t="s">
        <v>2248</v>
      </c>
      <c r="C268" s="15" t="s">
        <v>2249</v>
      </c>
      <c r="D268" s="110" t="s">
        <v>2250</v>
      </c>
      <c r="E268" s="37" t="s">
        <v>2251</v>
      </c>
      <c r="F268" s="107">
        <v>1</v>
      </c>
      <c r="G268" s="108">
        <v>1.49</v>
      </c>
      <c r="H268" s="107">
        <v>6</v>
      </c>
      <c r="I268" s="109" t="s">
        <v>2252</v>
      </c>
      <c r="J268" s="110" t="s">
        <v>293</v>
      </c>
      <c r="K268" s="110" t="s">
        <v>2253</v>
      </c>
      <c r="L268" s="107">
        <v>13838296863</v>
      </c>
      <c r="M268" s="110" t="s">
        <v>2254</v>
      </c>
      <c r="N268" t="s">
        <v>2253</v>
      </c>
      <c r="O268" t="s">
        <v>2254</v>
      </c>
      <c r="P268" s="126">
        <v>13838296863</v>
      </c>
      <c r="Q268" t="s">
        <v>2255</v>
      </c>
      <c r="R268">
        <f t="shared" si="9"/>
        <v>1</v>
      </c>
      <c r="S268" s="15" t="s">
        <v>2256</v>
      </c>
    </row>
    <row r="269" spans="1:19" ht="15.75">
      <c r="A269" s="106" t="str">
        <f t="shared" si="8"/>
        <v>nonono</v>
      </c>
      <c r="B269" s="21" t="s">
        <v>2257</v>
      </c>
      <c r="C269" s="15" t="s">
        <v>2258</v>
      </c>
      <c r="D269" s="110" t="s">
        <v>2259</v>
      </c>
      <c r="E269" s="107" t="s">
        <v>2260</v>
      </c>
      <c r="F269" s="107">
        <v>1</v>
      </c>
      <c r="G269" s="108">
        <v>0.81</v>
      </c>
      <c r="H269" s="107">
        <v>2</v>
      </c>
      <c r="I269" s="137" t="s">
        <v>402</v>
      </c>
      <c r="J269" s="110" t="s">
        <v>293</v>
      </c>
      <c r="K269" s="110" t="s">
        <v>2261</v>
      </c>
      <c r="L269" s="107">
        <v>17538719344</v>
      </c>
      <c r="M269" s="110" t="s">
        <v>2262</v>
      </c>
      <c r="N269" t="s">
        <v>2261</v>
      </c>
      <c r="O269" t="s">
        <v>2262</v>
      </c>
      <c r="P269">
        <v>17538719344</v>
      </c>
      <c r="Q269" t="s">
        <v>2263</v>
      </c>
      <c r="R269">
        <f t="shared" si="9"/>
        <v>1</v>
      </c>
      <c r="S269" s="15" t="s">
        <v>2264</v>
      </c>
    </row>
    <row r="270" spans="1:19" ht="15.75">
      <c r="A270" s="106" t="str">
        <f t="shared" si="8"/>
        <v>nonono</v>
      </c>
      <c r="B270" s="21" t="s">
        <v>2265</v>
      </c>
      <c r="C270" s="15" t="s">
        <v>2266</v>
      </c>
      <c r="D270" s="110" t="s">
        <v>312</v>
      </c>
      <c r="E270" s="107" t="s">
        <v>302</v>
      </c>
      <c r="F270" s="107">
        <v>1</v>
      </c>
      <c r="G270" s="108">
        <v>1.04</v>
      </c>
      <c r="H270" s="107">
        <v>1</v>
      </c>
      <c r="I270" s="109"/>
      <c r="J270" s="110" t="s">
        <v>304</v>
      </c>
      <c r="K270" s="137" t="s">
        <v>2267</v>
      </c>
      <c r="L270" s="107">
        <v>18511490114</v>
      </c>
      <c r="M270" s="117" t="s">
        <v>2268</v>
      </c>
      <c r="N270" s="127" t="s">
        <v>2269</v>
      </c>
      <c r="O270" s="123" t="s">
        <v>2270</v>
      </c>
      <c r="P270" s="185">
        <v>18600010949</v>
      </c>
      <c r="Q270" s="127" t="s">
        <v>2271</v>
      </c>
      <c r="R270">
        <f t="shared" si="9"/>
        <v>2</v>
      </c>
      <c r="S270" s="15" t="s">
        <v>2272</v>
      </c>
    </row>
    <row r="271" spans="1:19" ht="15.75">
      <c r="A271" s="106" t="str">
        <f t="shared" si="8"/>
        <v>nonono</v>
      </c>
      <c r="B271" s="21" t="s">
        <v>2273</v>
      </c>
      <c r="C271" s="15" t="s">
        <v>2274</v>
      </c>
      <c r="D271" s="110" t="s">
        <v>2275</v>
      </c>
      <c r="E271" s="107" t="s">
        <v>2276</v>
      </c>
      <c r="F271" s="107">
        <v>1</v>
      </c>
      <c r="G271" s="108">
        <v>1.26</v>
      </c>
      <c r="H271" s="107">
        <v>7</v>
      </c>
      <c r="I271" s="109" t="s">
        <v>1019</v>
      </c>
      <c r="J271" s="110" t="s">
        <v>29</v>
      </c>
      <c r="K271" s="110" t="s">
        <v>2277</v>
      </c>
      <c r="L271" s="107">
        <v>13838009329</v>
      </c>
      <c r="M271" s="186" t="s">
        <v>2278</v>
      </c>
      <c r="N271" s="127" t="s">
        <v>2279</v>
      </c>
      <c r="O271" s="123" t="s">
        <v>2280</v>
      </c>
      <c r="P271" s="131">
        <v>15803339267</v>
      </c>
      <c r="Q271" s="127" t="s">
        <v>2281</v>
      </c>
      <c r="R271">
        <f t="shared" si="9"/>
        <v>2</v>
      </c>
      <c r="S271" s="15" t="s">
        <v>2282</v>
      </c>
    </row>
    <row r="272" spans="1:19" ht="15.75">
      <c r="A272" s="106" t="str">
        <f t="shared" si="8"/>
        <v>nonono</v>
      </c>
      <c r="B272" s="21" t="s">
        <v>2283</v>
      </c>
      <c r="C272" s="15" t="s">
        <v>2284</v>
      </c>
      <c r="D272" s="110" t="s">
        <v>2285</v>
      </c>
      <c r="E272" s="37" t="s">
        <v>2286</v>
      </c>
      <c r="F272" s="107">
        <v>1</v>
      </c>
      <c r="G272" s="108">
        <v>0.81</v>
      </c>
      <c r="H272" s="107">
        <v>3</v>
      </c>
      <c r="I272" s="137" t="s">
        <v>402</v>
      </c>
      <c r="J272" s="110" t="s">
        <v>293</v>
      </c>
      <c r="K272" s="110" t="s">
        <v>2287</v>
      </c>
      <c r="L272" s="107">
        <v>13663822882</v>
      </c>
      <c r="M272" s="110" t="s">
        <v>2288</v>
      </c>
      <c r="N272" s="127" t="s">
        <v>2289</v>
      </c>
      <c r="O272" t="s">
        <v>2288</v>
      </c>
      <c r="P272">
        <v>13663822882</v>
      </c>
      <c r="Q272" s="127" t="s">
        <v>2290</v>
      </c>
      <c r="R272">
        <f t="shared" si="9"/>
        <v>1</v>
      </c>
      <c r="S272" s="15" t="s">
        <v>2291</v>
      </c>
    </row>
    <row r="273" spans="1:19" ht="15.75">
      <c r="A273" s="106" t="str">
        <f t="shared" si="8"/>
        <v>nonono</v>
      </c>
      <c r="B273" s="21" t="s">
        <v>2292</v>
      </c>
      <c r="C273" s="15" t="s">
        <v>2293</v>
      </c>
      <c r="D273" s="117" t="s">
        <v>2294</v>
      </c>
      <c r="E273" s="37" t="s">
        <v>2295</v>
      </c>
      <c r="F273" s="37">
        <v>1</v>
      </c>
      <c r="G273" s="116">
        <v>1.26</v>
      </c>
      <c r="H273" s="37">
        <v>3</v>
      </c>
      <c r="I273" s="109"/>
      <c r="J273" s="117" t="s">
        <v>29</v>
      </c>
      <c r="K273" s="110" t="s">
        <v>2296</v>
      </c>
      <c r="L273" s="109">
        <v>15515545789</v>
      </c>
      <c r="M273" s="187" t="s">
        <v>2297</v>
      </c>
      <c r="N273" t="s">
        <v>2296</v>
      </c>
      <c r="O273" t="s">
        <v>2297</v>
      </c>
      <c r="P273">
        <v>15515545789</v>
      </c>
      <c r="Q273" t="s">
        <v>2298</v>
      </c>
      <c r="R273">
        <f t="shared" si="9"/>
        <v>1</v>
      </c>
      <c r="S273" s="15" t="s">
        <v>2299</v>
      </c>
    </row>
    <row r="274" spans="1:19" ht="15.75">
      <c r="A274" s="106" t="str">
        <f t="shared" si="8"/>
        <v>nonono</v>
      </c>
      <c r="B274" s="21" t="s">
        <v>2300</v>
      </c>
      <c r="C274" s="15" t="s">
        <v>2301</v>
      </c>
      <c r="D274" s="117" t="s">
        <v>2302</v>
      </c>
      <c r="E274" s="37" t="s">
        <v>302</v>
      </c>
      <c r="F274" s="37">
        <v>1</v>
      </c>
      <c r="G274" s="116">
        <v>0.81</v>
      </c>
      <c r="H274" s="37">
        <v>1</v>
      </c>
      <c r="I274" s="109"/>
      <c r="J274" s="117" t="s">
        <v>304</v>
      </c>
      <c r="K274" s="110" t="s">
        <v>2303</v>
      </c>
      <c r="L274" s="107">
        <v>18004621825</v>
      </c>
      <c r="M274" s="110" t="s">
        <v>2304</v>
      </c>
      <c r="N274" s="127" t="s">
        <v>2305</v>
      </c>
      <c r="O274" t="s">
        <v>2304</v>
      </c>
      <c r="P274">
        <v>18004621825</v>
      </c>
      <c r="Q274" s="127" t="s">
        <v>2306</v>
      </c>
      <c r="R274">
        <f t="shared" si="9"/>
        <v>1</v>
      </c>
      <c r="S274" s="15" t="s">
        <v>2307</v>
      </c>
    </row>
    <row r="275" spans="1:19" ht="15.75">
      <c r="A275" s="106" t="str">
        <f t="shared" si="8"/>
        <v>nonono</v>
      </c>
      <c r="B275" s="21" t="s">
        <v>2308</v>
      </c>
      <c r="C275" s="15" t="s">
        <v>2309</v>
      </c>
      <c r="D275" s="110" t="s">
        <v>2310</v>
      </c>
      <c r="E275" s="107" t="s">
        <v>212</v>
      </c>
      <c r="F275" s="107">
        <v>1</v>
      </c>
      <c r="G275" s="108">
        <v>1.26</v>
      </c>
      <c r="H275" s="107">
        <v>11</v>
      </c>
      <c r="I275" s="109" t="s">
        <v>2311</v>
      </c>
      <c r="J275" s="110" t="s">
        <v>40</v>
      </c>
      <c r="K275" s="110" t="s">
        <v>1068</v>
      </c>
      <c r="L275" s="107">
        <v>18630403702</v>
      </c>
      <c r="M275" s="110" t="s">
        <v>1069</v>
      </c>
      <c r="N275" t="s">
        <v>1068</v>
      </c>
      <c r="O275" s="123" t="s">
        <v>2312</v>
      </c>
      <c r="P275" s="131">
        <v>15522380645</v>
      </c>
      <c r="Q275" t="s">
        <v>2313</v>
      </c>
      <c r="R275">
        <f t="shared" si="9"/>
        <v>4</v>
      </c>
      <c r="S275" s="15" t="s">
        <v>2314</v>
      </c>
    </row>
    <row r="276" spans="1:19" ht="15.75">
      <c r="A276" s="106" t="str">
        <f t="shared" si="8"/>
        <v>nonono</v>
      </c>
      <c r="B276" s="21" t="s">
        <v>2315</v>
      </c>
      <c r="C276" s="15" t="s">
        <v>2316</v>
      </c>
      <c r="D276" s="110" t="s">
        <v>2317</v>
      </c>
      <c r="E276" s="107" t="s">
        <v>420</v>
      </c>
      <c r="F276" s="107">
        <v>1</v>
      </c>
      <c r="G276" s="108">
        <v>0.35</v>
      </c>
      <c r="H276" s="107">
        <v>3</v>
      </c>
      <c r="I276" s="109" t="s">
        <v>2318</v>
      </c>
      <c r="J276" s="110" t="s">
        <v>40</v>
      </c>
      <c r="K276" s="110" t="s">
        <v>2319</v>
      </c>
      <c r="L276" s="107">
        <v>13519526895</v>
      </c>
      <c r="M276" s="110" t="s">
        <v>2320</v>
      </c>
      <c r="N276" s="127" t="s">
        <v>2321</v>
      </c>
      <c r="O276" t="s">
        <v>2320</v>
      </c>
      <c r="P276">
        <v>13519526895</v>
      </c>
      <c r="Q276" s="127" t="s">
        <v>2322</v>
      </c>
      <c r="R276">
        <f t="shared" si="9"/>
        <v>1</v>
      </c>
      <c r="S276" s="15" t="s">
        <v>2323</v>
      </c>
    </row>
    <row r="277" spans="1:19" ht="15.75">
      <c r="A277" s="106" t="str">
        <f t="shared" si="8"/>
        <v>nonono</v>
      </c>
      <c r="B277" s="21" t="s">
        <v>2324</v>
      </c>
      <c r="C277" s="15" t="s">
        <v>2325</v>
      </c>
      <c r="D277" s="110" t="s">
        <v>2326</v>
      </c>
      <c r="E277" s="37" t="s">
        <v>1084</v>
      </c>
      <c r="F277" s="107">
        <v>1</v>
      </c>
      <c r="G277" s="108">
        <v>0.81</v>
      </c>
      <c r="H277" s="107">
        <v>8</v>
      </c>
      <c r="I277" s="109" t="s">
        <v>2327</v>
      </c>
      <c r="J277" s="110" t="s">
        <v>40</v>
      </c>
      <c r="K277" s="110" t="s">
        <v>1086</v>
      </c>
      <c r="L277" s="107">
        <v>13882248118</v>
      </c>
      <c r="M277" s="110" t="s">
        <v>1087</v>
      </c>
      <c r="N277" s="127" t="s">
        <v>2328</v>
      </c>
      <c r="O277" s="123" t="s">
        <v>2329</v>
      </c>
      <c r="P277" s="131">
        <v>15884485418</v>
      </c>
      <c r="Q277" s="127" t="s">
        <v>2330</v>
      </c>
      <c r="R277">
        <f t="shared" si="9"/>
        <v>4</v>
      </c>
      <c r="S277" s="15" t="s">
        <v>2331</v>
      </c>
    </row>
    <row r="278" spans="1:19" ht="15.75">
      <c r="A278" s="106" t="str">
        <f t="shared" si="8"/>
        <v>nonono</v>
      </c>
      <c r="B278" s="21" t="s">
        <v>2332</v>
      </c>
      <c r="C278" s="15" t="s">
        <v>2333</v>
      </c>
      <c r="D278" s="110" t="s">
        <v>2334</v>
      </c>
      <c r="E278" s="107" t="s">
        <v>201</v>
      </c>
      <c r="F278" s="107">
        <v>1</v>
      </c>
      <c r="G278" s="108">
        <v>1.04</v>
      </c>
      <c r="H278" s="107">
        <v>11</v>
      </c>
      <c r="I278" s="109" t="s">
        <v>2335</v>
      </c>
      <c r="J278" s="110" t="s">
        <v>40</v>
      </c>
      <c r="K278" s="117" t="s">
        <v>2336</v>
      </c>
      <c r="L278" s="107">
        <v>13777129967</v>
      </c>
      <c r="M278" s="110" t="s">
        <v>2337</v>
      </c>
      <c r="N278" s="127" t="s">
        <v>2338</v>
      </c>
      <c r="O278" s="123" t="s">
        <v>2339</v>
      </c>
      <c r="P278" s="131">
        <v>15058050487</v>
      </c>
      <c r="Q278" s="127" t="s">
        <v>2340</v>
      </c>
      <c r="R278">
        <f t="shared" si="9"/>
        <v>3</v>
      </c>
      <c r="S278" s="15" t="s">
        <v>2341</v>
      </c>
    </row>
    <row r="279" spans="1:19" ht="15.75">
      <c r="A279" s="106" t="str">
        <f t="shared" si="8"/>
        <v>nonono</v>
      </c>
      <c r="B279" s="21" t="s">
        <v>2342</v>
      </c>
      <c r="C279" s="15" t="s">
        <v>2343</v>
      </c>
      <c r="D279" s="110" t="s">
        <v>2344</v>
      </c>
      <c r="E279" s="107" t="s">
        <v>420</v>
      </c>
      <c r="F279" s="107">
        <v>1</v>
      </c>
      <c r="G279" s="108">
        <v>0.81</v>
      </c>
      <c r="H279" s="107">
        <v>2</v>
      </c>
      <c r="I279" s="109" t="s">
        <v>2345</v>
      </c>
      <c r="J279" s="110" t="s">
        <v>29</v>
      </c>
      <c r="K279" s="110" t="s">
        <v>2346</v>
      </c>
      <c r="L279" s="107">
        <v>13500093199</v>
      </c>
      <c r="M279" s="110" t="s">
        <v>2347</v>
      </c>
      <c r="N279" s="127" t="s">
        <v>2348</v>
      </c>
      <c r="O279" t="s">
        <v>2347</v>
      </c>
      <c r="P279">
        <v>13500093199</v>
      </c>
      <c r="Q279" s="127" t="s">
        <v>2349</v>
      </c>
      <c r="R279">
        <f t="shared" si="9"/>
        <v>1</v>
      </c>
      <c r="S279" s="15" t="s">
        <v>2350</v>
      </c>
    </row>
    <row r="280" spans="1:19" ht="15.75">
      <c r="A280" s="106" t="str">
        <f t="shared" si="8"/>
        <v>nonono</v>
      </c>
      <c r="B280" s="21" t="s">
        <v>2351</v>
      </c>
      <c r="C280" s="15" t="s">
        <v>2352</v>
      </c>
      <c r="D280" s="110" t="s">
        <v>2353</v>
      </c>
      <c r="E280" s="107" t="s">
        <v>420</v>
      </c>
      <c r="F280" s="107">
        <v>1</v>
      </c>
      <c r="G280" s="108">
        <v>3.08</v>
      </c>
      <c r="H280" s="107">
        <v>4</v>
      </c>
      <c r="I280" s="109" t="s">
        <v>2354</v>
      </c>
      <c r="J280" s="110" t="s">
        <v>40</v>
      </c>
      <c r="K280" s="110" t="s">
        <v>2355</v>
      </c>
      <c r="L280" s="107">
        <v>13428810018</v>
      </c>
      <c r="M280" s="110" t="s">
        <v>2356</v>
      </c>
      <c r="N280" s="127" t="s">
        <v>2357</v>
      </c>
      <c r="O280" t="s">
        <v>2356</v>
      </c>
      <c r="P280">
        <v>13428810018</v>
      </c>
      <c r="Q280" s="127" t="s">
        <v>2358</v>
      </c>
      <c r="R280">
        <f t="shared" si="9"/>
        <v>1</v>
      </c>
      <c r="S280" s="15" t="s">
        <v>2359</v>
      </c>
    </row>
    <row r="281" spans="1:19" ht="15.75">
      <c r="A281" s="106" t="str">
        <f t="shared" si="8"/>
        <v>nonono</v>
      </c>
      <c r="B281" s="21" t="s">
        <v>2360</v>
      </c>
      <c r="C281" s="15" t="s">
        <v>2361</v>
      </c>
      <c r="D281" s="110" t="s">
        <v>2362</v>
      </c>
      <c r="E281" s="107" t="s">
        <v>201</v>
      </c>
      <c r="F281" s="107">
        <v>1</v>
      </c>
      <c r="G281" s="108">
        <v>1.26</v>
      </c>
      <c r="H281" s="107">
        <v>10</v>
      </c>
      <c r="I281" s="109" t="s">
        <v>2363</v>
      </c>
      <c r="J281" s="110" t="s">
        <v>40</v>
      </c>
      <c r="K281" s="110" t="s">
        <v>1122</v>
      </c>
      <c r="L281" s="107">
        <v>13817013878</v>
      </c>
      <c r="M281" s="110" t="s">
        <v>1123</v>
      </c>
      <c r="N281" s="127" t="s">
        <v>2364</v>
      </c>
      <c r="O281" s="123" t="s">
        <v>2365</v>
      </c>
      <c r="P281" s="125">
        <v>13795328170</v>
      </c>
      <c r="Q281" s="127" t="s">
        <v>2366</v>
      </c>
      <c r="R281">
        <f t="shared" si="9"/>
        <v>4</v>
      </c>
      <c r="S281" s="15" t="s">
        <v>2367</v>
      </c>
    </row>
    <row r="282" spans="1:19" ht="15.75">
      <c r="A282" s="106" t="str">
        <f t="shared" si="8"/>
        <v>nonono</v>
      </c>
      <c r="B282" s="21" t="s">
        <v>2368</v>
      </c>
      <c r="C282" s="15" t="s">
        <v>2369</v>
      </c>
      <c r="D282" s="110" t="s">
        <v>1130</v>
      </c>
      <c r="E282" s="107" t="s">
        <v>1131</v>
      </c>
      <c r="F282" s="107">
        <v>1</v>
      </c>
      <c r="G282" s="108">
        <v>2.85</v>
      </c>
      <c r="H282" s="107">
        <v>6</v>
      </c>
      <c r="I282" s="109" t="s">
        <v>1132</v>
      </c>
      <c r="J282" s="110" t="s">
        <v>293</v>
      </c>
      <c r="K282" s="110" t="s">
        <v>1133</v>
      </c>
      <c r="L282" s="107">
        <v>18722628063</v>
      </c>
      <c r="M282" s="186" t="s">
        <v>1134</v>
      </c>
      <c r="N282" t="s">
        <v>1133</v>
      </c>
      <c r="O282" s="123" t="s">
        <v>2370</v>
      </c>
      <c r="P282" s="139">
        <v>18232521213</v>
      </c>
      <c r="Q282" t="s">
        <v>2371</v>
      </c>
      <c r="R282">
        <f t="shared" si="9"/>
        <v>3</v>
      </c>
      <c r="S282" s="15" t="s">
        <v>2372</v>
      </c>
    </row>
    <row r="283" spans="1:19" ht="15.75">
      <c r="A283" s="106" t="str">
        <f t="shared" si="8"/>
        <v>nonono</v>
      </c>
      <c r="B283" s="21" t="s">
        <v>2373</v>
      </c>
      <c r="C283" s="26" t="s">
        <v>2374</v>
      </c>
      <c r="D283" s="110" t="s">
        <v>1141</v>
      </c>
      <c r="E283" s="107" t="s">
        <v>420</v>
      </c>
      <c r="F283" s="107">
        <v>1</v>
      </c>
      <c r="G283" s="108">
        <v>1.72</v>
      </c>
      <c r="H283" s="107">
        <v>14</v>
      </c>
      <c r="I283" s="109" t="s">
        <v>1142</v>
      </c>
      <c r="J283" s="110" t="s">
        <v>29</v>
      </c>
      <c r="K283" s="110" t="s">
        <v>1143</v>
      </c>
      <c r="L283" s="107">
        <v>13266533076</v>
      </c>
      <c r="M283" s="110" t="s">
        <v>1144</v>
      </c>
      <c r="N283" s="127" t="s">
        <v>2375</v>
      </c>
      <c r="O283" s="123" t="s">
        <v>2376</v>
      </c>
      <c r="P283" s="129">
        <v>13802263825</v>
      </c>
      <c r="Q283" s="127" t="s">
        <v>2377</v>
      </c>
      <c r="R283">
        <f t="shared" si="9"/>
        <v>4</v>
      </c>
      <c r="S283" s="15" t="s">
        <v>2378</v>
      </c>
    </row>
    <row r="284" spans="1:19" ht="15.75">
      <c r="A284" s="106" t="str">
        <f t="shared" si="8"/>
        <v>nonono</v>
      </c>
      <c r="B284" s="21" t="s">
        <v>2379</v>
      </c>
      <c r="C284" s="15" t="s">
        <v>2380</v>
      </c>
      <c r="D284" s="107" t="s">
        <v>2381</v>
      </c>
      <c r="E284" s="107" t="s">
        <v>261</v>
      </c>
      <c r="F284" s="107">
        <v>1</v>
      </c>
      <c r="G284" s="108">
        <v>0.57999999999999996</v>
      </c>
      <c r="H284" s="107">
        <v>12</v>
      </c>
      <c r="I284" s="109" t="s">
        <v>2382</v>
      </c>
      <c r="J284" s="107" t="s">
        <v>40</v>
      </c>
      <c r="K284" s="107" t="s">
        <v>1153</v>
      </c>
      <c r="L284" s="107">
        <v>13313625098</v>
      </c>
      <c r="M284" s="107" t="s">
        <v>1154</v>
      </c>
      <c r="N284" s="127" t="s">
        <v>2383</v>
      </c>
      <c r="O284" s="123" t="s">
        <v>2384</v>
      </c>
      <c r="P284" s="188">
        <v>13903651979</v>
      </c>
      <c r="Q284" s="127" t="s">
        <v>2385</v>
      </c>
      <c r="R284">
        <f t="shared" si="9"/>
        <v>4</v>
      </c>
      <c r="S284" s="15" t="s">
        <v>2386</v>
      </c>
    </row>
    <row r="285" spans="1:19" ht="15.75">
      <c r="A285" s="106" t="str">
        <f t="shared" si="8"/>
        <v>nonono</v>
      </c>
      <c r="B285" s="21" t="s">
        <v>2387</v>
      </c>
      <c r="C285" s="15" t="s">
        <v>2388</v>
      </c>
      <c r="D285" s="107" t="s">
        <v>2389</v>
      </c>
      <c r="E285" s="107" t="s">
        <v>261</v>
      </c>
      <c r="F285" s="107">
        <v>1</v>
      </c>
      <c r="G285" s="108">
        <v>2.4</v>
      </c>
      <c r="H285" s="107">
        <v>11</v>
      </c>
      <c r="I285" s="109" t="s">
        <v>2390</v>
      </c>
      <c r="J285" s="107" t="s">
        <v>40</v>
      </c>
      <c r="K285" s="107" t="s">
        <v>1068</v>
      </c>
      <c r="L285" s="107">
        <v>18630403702</v>
      </c>
      <c r="M285" s="107" t="s">
        <v>1069</v>
      </c>
      <c r="N285" s="127" t="s">
        <v>2391</v>
      </c>
      <c r="O285" s="123" t="s">
        <v>2392</v>
      </c>
      <c r="P285" s="189">
        <v>18722127206</v>
      </c>
      <c r="Q285" s="127" t="s">
        <v>2393</v>
      </c>
      <c r="R285">
        <f t="shared" si="9"/>
        <v>4</v>
      </c>
      <c r="S285" s="15" t="s">
        <v>2394</v>
      </c>
    </row>
    <row r="286" spans="1:19" ht="15.75">
      <c r="A286" s="106" t="str">
        <f t="shared" si="8"/>
        <v>nonono</v>
      </c>
      <c r="B286" s="21" t="s">
        <v>2395</v>
      </c>
      <c r="C286" s="15" t="s">
        <v>2396</v>
      </c>
      <c r="D286" s="107" t="s">
        <v>2397</v>
      </c>
      <c r="E286" s="107" t="s">
        <v>201</v>
      </c>
      <c r="F286" s="107">
        <v>1</v>
      </c>
      <c r="G286" s="108">
        <v>2.85</v>
      </c>
      <c r="H286" s="107">
        <v>10</v>
      </c>
      <c r="I286" s="109" t="s">
        <v>2398</v>
      </c>
      <c r="J286" s="107" t="s">
        <v>40</v>
      </c>
      <c r="K286" s="107" t="s">
        <v>1171</v>
      </c>
      <c r="L286" s="107">
        <v>13689911637</v>
      </c>
      <c r="M286" s="135" t="s">
        <v>1172</v>
      </c>
      <c r="N286" s="127" t="s">
        <v>2399</v>
      </c>
      <c r="O286" s="123" t="s">
        <v>2400</v>
      </c>
      <c r="P286" s="134">
        <v>18096849630</v>
      </c>
      <c r="Q286" s="127" t="s">
        <v>2401</v>
      </c>
      <c r="R286">
        <f t="shared" si="9"/>
        <v>4</v>
      </c>
      <c r="S286" s="15" t="s">
        <v>2402</v>
      </c>
    </row>
    <row r="287" spans="1:19" ht="15.75">
      <c r="A287" s="106" t="str">
        <f t="shared" si="8"/>
        <v>nonono</v>
      </c>
      <c r="B287" s="21" t="s">
        <v>2403</v>
      </c>
      <c r="C287" s="15" t="s">
        <v>2404</v>
      </c>
      <c r="D287" s="37" t="s">
        <v>2405</v>
      </c>
      <c r="E287" s="37" t="s">
        <v>212</v>
      </c>
      <c r="F287" s="107">
        <v>1</v>
      </c>
      <c r="G287" s="108">
        <v>1.04</v>
      </c>
      <c r="H287" s="37">
        <v>10</v>
      </c>
      <c r="I287" s="109" t="s">
        <v>213</v>
      </c>
      <c r="J287" s="37" t="s">
        <v>40</v>
      </c>
      <c r="K287" s="107" t="s">
        <v>1181</v>
      </c>
      <c r="L287" s="107">
        <v>13321152741</v>
      </c>
      <c r="M287" s="107" t="s">
        <v>1182</v>
      </c>
      <c r="N287" s="127" t="s">
        <v>2406</v>
      </c>
      <c r="O287" s="123" t="s">
        <v>2407</v>
      </c>
      <c r="P287" s="131">
        <v>17701617598</v>
      </c>
      <c r="Q287" s="127" t="s">
        <v>2408</v>
      </c>
      <c r="R287">
        <f t="shared" si="9"/>
        <v>4</v>
      </c>
      <c r="S287" s="15" t="s">
        <v>2409</v>
      </c>
    </row>
    <row r="288" spans="1:19" ht="15.75">
      <c r="A288" s="106" t="str">
        <f t="shared" si="8"/>
        <v>nonono</v>
      </c>
      <c r="B288" s="21" t="s">
        <v>2410</v>
      </c>
      <c r="C288" s="15" t="s">
        <v>2411</v>
      </c>
      <c r="D288" s="110" t="s">
        <v>2412</v>
      </c>
      <c r="E288" s="107" t="s">
        <v>2413</v>
      </c>
      <c r="F288" s="107">
        <v>1</v>
      </c>
      <c r="G288" s="108">
        <v>3.31</v>
      </c>
      <c r="H288" s="107">
        <v>6</v>
      </c>
      <c r="I288" s="109"/>
      <c r="J288" s="110" t="s">
        <v>29</v>
      </c>
      <c r="K288" s="117" t="s">
        <v>1191</v>
      </c>
      <c r="L288" s="37">
        <v>18382618053</v>
      </c>
      <c r="M288" s="37" t="s">
        <v>1192</v>
      </c>
      <c r="N288" s="127" t="s">
        <v>2414</v>
      </c>
      <c r="O288" s="123" t="s">
        <v>2415</v>
      </c>
      <c r="P288" s="131">
        <v>13649092128</v>
      </c>
      <c r="Q288" s="127" t="s">
        <v>2416</v>
      </c>
      <c r="R288">
        <f t="shared" si="9"/>
        <v>4</v>
      </c>
      <c r="S288" s="15" t="s">
        <v>2417</v>
      </c>
    </row>
    <row r="289" spans="1:19" ht="15.75">
      <c r="A289" s="106" t="str">
        <f t="shared" si="8"/>
        <v>nonono</v>
      </c>
      <c r="B289" s="21" t="s">
        <v>2418</v>
      </c>
      <c r="C289" s="15" t="s">
        <v>2419</v>
      </c>
      <c r="D289" s="110" t="s">
        <v>2420</v>
      </c>
      <c r="E289" s="107" t="s">
        <v>281</v>
      </c>
      <c r="F289" s="107">
        <v>1</v>
      </c>
      <c r="G289" s="108">
        <v>1.26</v>
      </c>
      <c r="H289" s="107">
        <v>12</v>
      </c>
      <c r="I289" s="109" t="s">
        <v>2421</v>
      </c>
      <c r="J289" s="110" t="s">
        <v>40</v>
      </c>
      <c r="K289" s="110" t="s">
        <v>1201</v>
      </c>
      <c r="L289" s="107">
        <v>13805356723</v>
      </c>
      <c r="M289" s="110" t="s">
        <v>1202</v>
      </c>
      <c r="N289" s="127" t="s">
        <v>2422</v>
      </c>
      <c r="O289" s="123" t="s">
        <v>2423</v>
      </c>
      <c r="P289" s="190">
        <v>18853569120</v>
      </c>
      <c r="Q289" s="127" t="s">
        <v>2424</v>
      </c>
      <c r="R289">
        <f t="shared" si="9"/>
        <v>4</v>
      </c>
      <c r="S289" s="15" t="s">
        <v>2425</v>
      </c>
    </row>
    <row r="290" spans="1:19" ht="15.75">
      <c r="A290" s="106" t="str">
        <f t="shared" si="8"/>
        <v>nonono</v>
      </c>
      <c r="B290" s="21" t="s">
        <v>2426</v>
      </c>
      <c r="C290" s="15" t="s">
        <v>2427</v>
      </c>
      <c r="D290" s="110" t="s">
        <v>2428</v>
      </c>
      <c r="E290" s="107" t="s">
        <v>2429</v>
      </c>
      <c r="F290" s="107">
        <v>1</v>
      </c>
      <c r="G290" s="108">
        <v>1.26</v>
      </c>
      <c r="H290" s="107">
        <v>18</v>
      </c>
      <c r="I290" s="137" t="s">
        <v>402</v>
      </c>
      <c r="J290" s="110" t="s">
        <v>293</v>
      </c>
      <c r="K290" s="39" t="s">
        <v>1220</v>
      </c>
      <c r="L290" s="34">
        <v>17694885170</v>
      </c>
      <c r="M290" s="39" t="s">
        <v>1221</v>
      </c>
      <c r="N290" s="127" t="s">
        <v>2430</v>
      </c>
      <c r="O290" s="123" t="s">
        <v>2431</v>
      </c>
      <c r="P290" s="131">
        <v>13512051840</v>
      </c>
      <c r="Q290" s="127" t="s">
        <v>2432</v>
      </c>
      <c r="R290">
        <f t="shared" si="9"/>
        <v>4</v>
      </c>
      <c r="S290" s="15" t="s">
        <v>2433</v>
      </c>
    </row>
    <row r="291" spans="1:19" ht="15.75">
      <c r="A291" s="106" t="str">
        <f t="shared" si="8"/>
        <v>nonono</v>
      </c>
      <c r="B291" s="21" t="s">
        <v>2434</v>
      </c>
      <c r="C291" s="15" t="s">
        <v>2435</v>
      </c>
      <c r="D291" s="110" t="s">
        <v>2436</v>
      </c>
      <c r="E291" s="107" t="s">
        <v>2437</v>
      </c>
      <c r="F291" s="107">
        <v>1</v>
      </c>
      <c r="G291" s="108">
        <v>1.04</v>
      </c>
      <c r="H291" s="107">
        <v>9</v>
      </c>
      <c r="I291" s="137" t="s">
        <v>430</v>
      </c>
      <c r="J291" s="110" t="s">
        <v>29</v>
      </c>
      <c r="K291" s="39" t="s">
        <v>1229</v>
      </c>
      <c r="L291" s="34">
        <v>18722622602</v>
      </c>
      <c r="M291" s="39" t="s">
        <v>1230</v>
      </c>
      <c r="N291" t="s">
        <v>1229</v>
      </c>
      <c r="O291" s="123" t="s">
        <v>2438</v>
      </c>
      <c r="P291" s="128">
        <v>13920736000</v>
      </c>
      <c r="Q291" t="s">
        <v>2439</v>
      </c>
      <c r="R291">
        <f t="shared" si="9"/>
        <v>4</v>
      </c>
      <c r="S291" s="15" t="s">
        <v>2440</v>
      </c>
    </row>
    <row r="292" spans="1:19" ht="15.75">
      <c r="A292" s="106" t="str">
        <f t="shared" si="8"/>
        <v>nonono</v>
      </c>
      <c r="B292" s="21" t="s">
        <v>2441</v>
      </c>
      <c r="C292" s="15" t="s">
        <v>2442</v>
      </c>
      <c r="D292" s="110" t="s">
        <v>1227</v>
      </c>
      <c r="E292" s="37" t="s">
        <v>1228</v>
      </c>
      <c r="F292" s="107">
        <v>1</v>
      </c>
      <c r="G292" s="111">
        <v>0.81</v>
      </c>
      <c r="H292" s="107">
        <v>6</v>
      </c>
      <c r="I292" s="137" t="s">
        <v>402</v>
      </c>
      <c r="J292" s="110" t="s">
        <v>29</v>
      </c>
      <c r="K292" s="39" t="s">
        <v>1211</v>
      </c>
      <c r="L292" s="34">
        <v>17695963119</v>
      </c>
      <c r="M292" s="39" t="s">
        <v>992</v>
      </c>
      <c r="N292" s="127" t="s">
        <v>2443</v>
      </c>
      <c r="O292" s="123" t="s">
        <v>2444</v>
      </c>
      <c r="P292" s="139">
        <v>15822008223</v>
      </c>
      <c r="Q292" s="127" t="s">
        <v>2445</v>
      </c>
      <c r="R292">
        <f t="shared" si="9"/>
        <v>4</v>
      </c>
      <c r="S292" s="15" t="s">
        <v>2446</v>
      </c>
    </row>
    <row r="293" spans="1:19" ht="15.75">
      <c r="A293" s="106" t="str">
        <f t="shared" si="8"/>
        <v>nonono</v>
      </c>
      <c r="B293" s="21" t="s">
        <v>2447</v>
      </c>
      <c r="C293" s="15" t="s">
        <v>2448</v>
      </c>
      <c r="D293" s="110" t="s">
        <v>2449</v>
      </c>
      <c r="E293" s="107" t="s">
        <v>2450</v>
      </c>
      <c r="F293" s="107">
        <v>1</v>
      </c>
      <c r="G293" s="111">
        <v>1.72</v>
      </c>
      <c r="H293" s="107">
        <v>4</v>
      </c>
      <c r="I293" s="109"/>
      <c r="J293" s="110" t="s">
        <v>29</v>
      </c>
      <c r="K293" s="141" t="s">
        <v>1239</v>
      </c>
      <c r="L293" s="37">
        <v>17694885170</v>
      </c>
      <c r="M293" s="135" t="s">
        <v>1230</v>
      </c>
      <c r="N293" s="127" t="s">
        <v>2451</v>
      </c>
      <c r="O293" s="123" t="s">
        <v>2452</v>
      </c>
      <c r="P293" s="131">
        <v>13920606078</v>
      </c>
      <c r="Q293" s="127" t="s">
        <v>2453</v>
      </c>
      <c r="R293">
        <f t="shared" si="9"/>
        <v>4</v>
      </c>
      <c r="S293" s="15" t="s">
        <v>2454</v>
      </c>
    </row>
    <row r="294" spans="1:19" ht="15.75">
      <c r="A294" s="106" t="str">
        <f t="shared" si="8"/>
        <v>nonono</v>
      </c>
      <c r="B294" s="21" t="s">
        <v>2455</v>
      </c>
      <c r="C294" s="27" t="s">
        <v>2456</v>
      </c>
      <c r="D294" s="159" t="s">
        <v>1255</v>
      </c>
      <c r="E294" s="160" t="s">
        <v>429</v>
      </c>
      <c r="F294" s="160">
        <v>1</v>
      </c>
      <c r="G294" s="161">
        <v>1.72</v>
      </c>
      <c r="H294" s="160">
        <v>11</v>
      </c>
      <c r="I294" s="151" t="s">
        <v>1256</v>
      </c>
      <c r="J294" s="159" t="s">
        <v>40</v>
      </c>
      <c r="K294" s="159" t="s">
        <v>1257</v>
      </c>
      <c r="L294" s="160">
        <v>18820285826</v>
      </c>
      <c r="M294" s="159" t="s">
        <v>1258</v>
      </c>
      <c r="N294" t="s">
        <v>1257</v>
      </c>
      <c r="O294" s="123" t="s">
        <v>2457</v>
      </c>
      <c r="P294" s="139">
        <v>13692181908</v>
      </c>
      <c r="Q294" t="s">
        <v>2458</v>
      </c>
      <c r="R294">
        <f t="shared" si="9"/>
        <v>4</v>
      </c>
      <c r="S294" s="15" t="s">
        <v>2459</v>
      </c>
    </row>
    <row r="295" spans="1:19" ht="15.75">
      <c r="A295" s="106" t="str">
        <f t="shared" si="8"/>
        <v>nonono</v>
      </c>
      <c r="B295" s="21" t="s">
        <v>2460</v>
      </c>
      <c r="C295" s="15" t="s">
        <v>2461</v>
      </c>
      <c r="D295" s="117" t="s">
        <v>2462</v>
      </c>
      <c r="E295" s="37" t="s">
        <v>201</v>
      </c>
      <c r="F295" s="37">
        <v>1</v>
      </c>
      <c r="G295" s="111">
        <v>1.49</v>
      </c>
      <c r="H295" s="37">
        <v>11</v>
      </c>
      <c r="I295" s="109" t="s">
        <v>944</v>
      </c>
      <c r="J295" s="117" t="s">
        <v>40</v>
      </c>
      <c r="K295" s="184" t="s">
        <v>1248</v>
      </c>
      <c r="L295" s="37">
        <v>13801375568</v>
      </c>
      <c r="M295" s="184" t="s">
        <v>2463</v>
      </c>
      <c r="N295" t="s">
        <v>1248</v>
      </c>
      <c r="O295" s="123" t="s">
        <v>2464</v>
      </c>
      <c r="P295" s="125">
        <v>13801308304</v>
      </c>
      <c r="Q295" t="s">
        <v>2465</v>
      </c>
      <c r="R295">
        <f t="shared" si="9"/>
        <v>3</v>
      </c>
      <c r="S295" s="15" t="s">
        <v>2466</v>
      </c>
    </row>
    <row r="296" spans="1:19" ht="15.75">
      <c r="A296" s="106" t="str">
        <f t="shared" si="8"/>
        <v>nonono</v>
      </c>
      <c r="B296" s="21" t="s">
        <v>2467</v>
      </c>
      <c r="C296" s="22" t="s">
        <v>2468</v>
      </c>
      <c r="D296" s="37" t="s">
        <v>1264</v>
      </c>
      <c r="E296" s="37" t="s">
        <v>429</v>
      </c>
      <c r="F296" s="107">
        <v>1</v>
      </c>
      <c r="G296" s="108">
        <f>3/2.2-0.1</f>
        <v>1.2636363636363599</v>
      </c>
      <c r="H296" s="37">
        <v>10</v>
      </c>
      <c r="I296" s="109" t="s">
        <v>1265</v>
      </c>
      <c r="J296" s="37" t="s">
        <v>29</v>
      </c>
      <c r="K296" s="107" t="s">
        <v>1266</v>
      </c>
      <c r="L296" s="107">
        <v>13611066495</v>
      </c>
      <c r="M296" s="110" t="s">
        <v>1267</v>
      </c>
      <c r="N296" s="127" t="s">
        <v>2469</v>
      </c>
      <c r="O296" s="123" t="s">
        <v>2470</v>
      </c>
      <c r="P296" s="191">
        <v>13581658922</v>
      </c>
      <c r="Q296" s="127" t="s">
        <v>2471</v>
      </c>
      <c r="R296">
        <f t="shared" si="9"/>
        <v>4</v>
      </c>
      <c r="S296" s="15" t="s">
        <v>2472</v>
      </c>
    </row>
    <row r="297" spans="1:19" ht="15.75">
      <c r="A297" s="106" t="str">
        <f t="shared" si="8"/>
        <v>nonono</v>
      </c>
      <c r="B297" s="21" t="s">
        <v>2473</v>
      </c>
      <c r="C297" s="28" t="s">
        <v>2474</v>
      </c>
      <c r="D297" s="107" t="s">
        <v>1274</v>
      </c>
      <c r="E297" s="107" t="s">
        <v>420</v>
      </c>
      <c r="F297" s="107">
        <v>1</v>
      </c>
      <c r="G297" s="108">
        <v>0.81</v>
      </c>
      <c r="H297" s="107">
        <v>2</v>
      </c>
      <c r="I297" s="109"/>
      <c r="J297" s="107" t="s">
        <v>40</v>
      </c>
      <c r="K297" s="162" t="s">
        <v>1341</v>
      </c>
      <c r="L297" s="163">
        <v>13922769996</v>
      </c>
      <c r="M297" s="164" t="s">
        <v>1342</v>
      </c>
      <c r="N297" s="127" t="s">
        <v>2475</v>
      </c>
      <c r="O297" s="123" t="s">
        <v>2476</v>
      </c>
      <c r="P297" s="131">
        <v>13822551928</v>
      </c>
      <c r="Q297" s="127" t="s">
        <v>2477</v>
      </c>
      <c r="R297">
        <f t="shared" si="9"/>
        <v>4</v>
      </c>
      <c r="S297" s="15" t="s">
        <v>2478</v>
      </c>
    </row>
    <row r="298" spans="1:19" ht="15.75">
      <c r="A298" s="106" t="str">
        <f t="shared" si="8"/>
        <v>nonono</v>
      </c>
      <c r="B298" s="21" t="s">
        <v>2479</v>
      </c>
      <c r="C298" s="28" t="s">
        <v>2480</v>
      </c>
      <c r="D298" s="107" t="s">
        <v>1274</v>
      </c>
      <c r="E298" s="107" t="s">
        <v>420</v>
      </c>
      <c r="F298" s="107">
        <v>1</v>
      </c>
      <c r="G298" s="108">
        <v>0.81</v>
      </c>
      <c r="H298" s="107">
        <v>2</v>
      </c>
      <c r="I298" s="109"/>
      <c r="J298" s="107" t="s">
        <v>40</v>
      </c>
      <c r="K298" s="162" t="s">
        <v>1275</v>
      </c>
      <c r="L298" s="163">
        <v>15672663259</v>
      </c>
      <c r="M298" s="164" t="s">
        <v>1276</v>
      </c>
      <c r="N298" s="127" t="s">
        <v>2481</v>
      </c>
      <c r="O298" s="123" t="s">
        <v>2482</v>
      </c>
      <c r="P298" s="125">
        <v>13420112898</v>
      </c>
      <c r="Q298" s="127" t="s">
        <v>2483</v>
      </c>
      <c r="R298">
        <f t="shared" si="9"/>
        <v>5</v>
      </c>
      <c r="S298" s="15" t="s">
        <v>2484</v>
      </c>
    </row>
    <row r="299" spans="1:19" ht="25.5">
      <c r="A299" s="106" t="str">
        <f t="shared" si="8"/>
        <v>nonono</v>
      </c>
      <c r="B299" s="21" t="s">
        <v>2485</v>
      </c>
      <c r="C299" s="28" t="s">
        <v>2486</v>
      </c>
      <c r="D299" s="107" t="s">
        <v>1340</v>
      </c>
      <c r="E299" s="107" t="s">
        <v>706</v>
      </c>
      <c r="F299" s="107">
        <v>1</v>
      </c>
      <c r="G299" s="108">
        <v>1.49</v>
      </c>
      <c r="H299" s="107">
        <v>10</v>
      </c>
      <c r="I299" s="109" t="s">
        <v>70</v>
      </c>
      <c r="J299" s="107" t="s">
        <v>29</v>
      </c>
      <c r="K299" s="162" t="s">
        <v>1283</v>
      </c>
      <c r="L299" s="163">
        <v>18926224930</v>
      </c>
      <c r="M299" s="164" t="s">
        <v>1284</v>
      </c>
      <c r="N299" t="s">
        <v>1283</v>
      </c>
      <c r="O299" s="123" t="s">
        <v>2487</v>
      </c>
      <c r="P299" s="172">
        <v>15812314666</v>
      </c>
      <c r="Q299" t="s">
        <v>2488</v>
      </c>
      <c r="R299">
        <f t="shared" si="9"/>
        <v>4</v>
      </c>
      <c r="S299" s="15" t="s">
        <v>2489</v>
      </c>
    </row>
    <row r="300" spans="1:19" ht="15.75">
      <c r="A300" s="106" t="str">
        <f t="shared" si="8"/>
        <v>nonono</v>
      </c>
      <c r="B300" s="21" t="s">
        <v>2490</v>
      </c>
      <c r="C300" s="28" t="s">
        <v>2491</v>
      </c>
      <c r="D300" s="107" t="s">
        <v>1340</v>
      </c>
      <c r="E300" s="107" t="s">
        <v>706</v>
      </c>
      <c r="F300" s="107">
        <v>1</v>
      </c>
      <c r="G300" s="108">
        <v>1.49</v>
      </c>
      <c r="H300" s="107">
        <v>10</v>
      </c>
      <c r="I300" s="109" t="s">
        <v>70</v>
      </c>
      <c r="J300" s="107" t="s">
        <v>29</v>
      </c>
      <c r="K300" s="163" t="s">
        <v>1275</v>
      </c>
      <c r="L300" s="163">
        <v>18926220287</v>
      </c>
      <c r="M300" s="163" t="s">
        <v>2492</v>
      </c>
      <c r="N300" t="s">
        <v>1275</v>
      </c>
      <c r="O300" s="123" t="s">
        <v>2493</v>
      </c>
      <c r="P300" s="192">
        <v>13727276826</v>
      </c>
      <c r="Q300" t="s">
        <v>2494</v>
      </c>
      <c r="R300">
        <f t="shared" si="9"/>
        <v>5</v>
      </c>
      <c r="S300" s="15" t="s">
        <v>2495</v>
      </c>
    </row>
    <row r="301" spans="1:19" ht="15.75">
      <c r="A301" s="106" t="str">
        <f t="shared" si="8"/>
        <v>nonono</v>
      </c>
      <c r="B301" s="21" t="s">
        <v>2496</v>
      </c>
      <c r="C301" s="28" t="s">
        <v>2497</v>
      </c>
      <c r="D301" s="107" t="s">
        <v>1340</v>
      </c>
      <c r="E301" s="107" t="s">
        <v>706</v>
      </c>
      <c r="F301" s="107">
        <v>1</v>
      </c>
      <c r="G301" s="108">
        <v>1.49</v>
      </c>
      <c r="H301" s="107">
        <v>10</v>
      </c>
      <c r="I301" s="109" t="s">
        <v>70</v>
      </c>
      <c r="J301" s="107" t="s">
        <v>29</v>
      </c>
      <c r="K301" s="162" t="s">
        <v>1283</v>
      </c>
      <c r="L301" s="193">
        <v>17180669418</v>
      </c>
      <c r="M301" s="39" t="s">
        <v>2498</v>
      </c>
      <c r="N301" s="127" t="s">
        <v>2499</v>
      </c>
      <c r="O301" s="123" t="s">
        <v>2500</v>
      </c>
      <c r="P301" s="131">
        <v>13715605016</v>
      </c>
      <c r="Q301" s="127" t="s">
        <v>2501</v>
      </c>
      <c r="R301">
        <f t="shared" si="9"/>
        <v>4</v>
      </c>
      <c r="S301" s="15" t="s">
        <v>2502</v>
      </c>
    </row>
    <row r="302" spans="1:19" ht="15.75">
      <c r="A302" s="106" t="str">
        <f t="shared" si="8"/>
        <v>nonono</v>
      </c>
      <c r="B302" s="21" t="s">
        <v>2503</v>
      </c>
      <c r="C302" s="15" t="s">
        <v>2504</v>
      </c>
      <c r="D302" s="110" t="s">
        <v>2505</v>
      </c>
      <c r="E302" s="107" t="s">
        <v>1317</v>
      </c>
      <c r="F302" s="107">
        <v>1</v>
      </c>
      <c r="G302" s="108">
        <v>1.04</v>
      </c>
      <c r="H302" s="107">
        <v>9</v>
      </c>
      <c r="I302" s="137" t="s">
        <v>282</v>
      </c>
      <c r="J302" s="110" t="s">
        <v>29</v>
      </c>
      <c r="K302" s="162" t="s">
        <v>1341</v>
      </c>
      <c r="L302" s="163">
        <v>13922769996</v>
      </c>
      <c r="M302" s="164" t="s">
        <v>1342</v>
      </c>
      <c r="N302" s="127" t="s">
        <v>2506</v>
      </c>
      <c r="O302" s="123" t="s">
        <v>2507</v>
      </c>
      <c r="P302" s="128">
        <v>13729028847</v>
      </c>
      <c r="Q302" s="127" t="s">
        <v>2508</v>
      </c>
      <c r="R302">
        <f t="shared" si="9"/>
        <v>4</v>
      </c>
      <c r="S302" s="15" t="s">
        <v>2509</v>
      </c>
    </row>
    <row r="303" spans="1:19" ht="15.75">
      <c r="A303" s="106" t="str">
        <f t="shared" si="8"/>
        <v>nonono</v>
      </c>
      <c r="B303" s="21" t="s">
        <v>2510</v>
      </c>
      <c r="C303" s="15" t="s">
        <v>2511</v>
      </c>
      <c r="D303" s="110" t="s">
        <v>705</v>
      </c>
      <c r="E303" s="107" t="s">
        <v>706</v>
      </c>
      <c r="F303" s="107">
        <v>1</v>
      </c>
      <c r="G303" s="116">
        <v>1.95</v>
      </c>
      <c r="H303" s="107">
        <v>14</v>
      </c>
      <c r="I303" s="137" t="s">
        <v>402</v>
      </c>
      <c r="J303" s="110" t="s">
        <v>29</v>
      </c>
      <c r="K303" s="117" t="s">
        <v>1365</v>
      </c>
      <c r="L303" s="37">
        <v>18766077610</v>
      </c>
      <c r="M303" s="117" t="s">
        <v>1366</v>
      </c>
      <c r="N303" t="s">
        <v>1365</v>
      </c>
      <c r="O303" s="123" t="s">
        <v>2512</v>
      </c>
      <c r="P303" s="128">
        <v>17096832906</v>
      </c>
      <c r="Q303" t="s">
        <v>2513</v>
      </c>
      <c r="R303">
        <f t="shared" si="9"/>
        <v>3</v>
      </c>
      <c r="S303" s="15" t="s">
        <v>2514</v>
      </c>
    </row>
    <row r="304" spans="1:19" ht="15.75">
      <c r="A304" s="106" t="str">
        <f t="shared" si="8"/>
        <v>nonono</v>
      </c>
      <c r="B304" s="21" t="s">
        <v>2515</v>
      </c>
      <c r="C304" s="15" t="s">
        <v>2516</v>
      </c>
      <c r="D304" s="110" t="s">
        <v>705</v>
      </c>
      <c r="E304" s="107" t="s">
        <v>706</v>
      </c>
      <c r="F304" s="107">
        <v>1</v>
      </c>
      <c r="G304" s="116">
        <v>1.95</v>
      </c>
      <c r="H304" s="107">
        <v>14</v>
      </c>
      <c r="I304" s="137" t="s">
        <v>402</v>
      </c>
      <c r="J304" s="110" t="s">
        <v>29</v>
      </c>
      <c r="K304" s="117" t="s">
        <v>146</v>
      </c>
      <c r="L304" s="37">
        <v>15253420938</v>
      </c>
      <c r="M304" s="117" t="s">
        <v>147</v>
      </c>
      <c r="N304" s="127" t="s">
        <v>2517</v>
      </c>
      <c r="O304" s="123" t="s">
        <v>2518</v>
      </c>
      <c r="P304" s="128">
        <v>15805341296</v>
      </c>
      <c r="Q304" s="127" t="s">
        <v>2519</v>
      </c>
      <c r="R304">
        <f t="shared" si="9"/>
        <v>3</v>
      </c>
      <c r="S304" s="15" t="s">
        <v>2520</v>
      </c>
    </row>
    <row r="305" spans="1:19" ht="15.75">
      <c r="A305" s="106" t="str">
        <f t="shared" si="8"/>
        <v>nonono</v>
      </c>
      <c r="B305" s="21" t="s">
        <v>2521</v>
      </c>
      <c r="C305" s="15" t="s">
        <v>2522</v>
      </c>
      <c r="D305" s="110" t="s">
        <v>132</v>
      </c>
      <c r="E305" s="107" t="s">
        <v>133</v>
      </c>
      <c r="F305" s="107">
        <v>1</v>
      </c>
      <c r="G305" s="111">
        <v>1.72</v>
      </c>
      <c r="H305" s="107">
        <v>15</v>
      </c>
      <c r="I305" s="109" t="s">
        <v>134</v>
      </c>
      <c r="J305" s="110" t="s">
        <v>40</v>
      </c>
      <c r="K305" s="39" t="s">
        <v>345</v>
      </c>
      <c r="L305" s="34">
        <v>13840761783</v>
      </c>
      <c r="M305" s="34" t="s">
        <v>346</v>
      </c>
      <c r="N305" s="127" t="s">
        <v>2523</v>
      </c>
      <c r="O305" s="123" t="s">
        <v>2524</v>
      </c>
      <c r="P305" s="125">
        <v>18604271512</v>
      </c>
      <c r="Q305" s="127" t="s">
        <v>2525</v>
      </c>
      <c r="R305">
        <f t="shared" si="9"/>
        <v>4</v>
      </c>
      <c r="S305" s="15" t="s">
        <v>2526</v>
      </c>
    </row>
    <row r="306" spans="1:19" ht="15.75">
      <c r="A306" s="106" t="str">
        <f t="shared" si="8"/>
        <v>nonono</v>
      </c>
      <c r="B306" s="21" t="s">
        <v>2527</v>
      </c>
      <c r="C306" s="15" t="s">
        <v>2528</v>
      </c>
      <c r="D306" s="110" t="s">
        <v>132</v>
      </c>
      <c r="E306" s="107" t="s">
        <v>133</v>
      </c>
      <c r="F306" s="107">
        <v>1</v>
      </c>
      <c r="G306" s="111">
        <v>1.72</v>
      </c>
      <c r="H306" s="107">
        <v>15</v>
      </c>
      <c r="I306" s="109" t="s">
        <v>134</v>
      </c>
      <c r="J306" s="110" t="s">
        <v>40</v>
      </c>
      <c r="K306" s="39" t="s">
        <v>1303</v>
      </c>
      <c r="L306" s="34">
        <v>13610961783</v>
      </c>
      <c r="M306" s="34" t="s">
        <v>1304</v>
      </c>
      <c r="N306" s="127" t="s">
        <v>2529</v>
      </c>
      <c r="O306" s="123" t="s">
        <v>2530</v>
      </c>
      <c r="P306" s="128">
        <v>18842668142</v>
      </c>
      <c r="Q306" s="127" t="s">
        <v>2531</v>
      </c>
      <c r="R306">
        <f t="shared" si="9"/>
        <v>4</v>
      </c>
      <c r="S306" s="15" t="s">
        <v>2532</v>
      </c>
    </row>
    <row r="307" spans="1:19" ht="15.75">
      <c r="A307" s="106" t="str">
        <f t="shared" si="8"/>
        <v>nonono</v>
      </c>
      <c r="B307" s="21" t="s">
        <v>2533</v>
      </c>
      <c r="C307" s="15" t="s">
        <v>2534</v>
      </c>
      <c r="D307" s="37" t="s">
        <v>143</v>
      </c>
      <c r="E307" s="107" t="s">
        <v>144</v>
      </c>
      <c r="F307" s="107">
        <v>1</v>
      </c>
      <c r="G307" s="108">
        <v>1.49</v>
      </c>
      <c r="H307" s="107">
        <v>11</v>
      </c>
      <c r="I307" s="109" t="s">
        <v>145</v>
      </c>
      <c r="J307" s="107" t="s">
        <v>29</v>
      </c>
      <c r="K307" s="107" t="s">
        <v>2535</v>
      </c>
      <c r="L307" s="107">
        <v>18253443808</v>
      </c>
      <c r="M307" s="37" t="s">
        <v>2536</v>
      </c>
      <c r="N307" s="127" t="s">
        <v>2537</v>
      </c>
      <c r="O307" s="123" t="s">
        <v>2538</v>
      </c>
      <c r="P307" s="138">
        <v>13563660999</v>
      </c>
      <c r="Q307" s="127" t="s">
        <v>2539</v>
      </c>
      <c r="R307">
        <f t="shared" si="9"/>
        <v>2</v>
      </c>
      <c r="S307" s="15" t="s">
        <v>2540</v>
      </c>
    </row>
    <row r="308" spans="1:19" ht="15.75">
      <c r="A308" s="106" t="str">
        <f t="shared" si="8"/>
        <v>nonono</v>
      </c>
      <c r="B308" s="21" t="s">
        <v>2541</v>
      </c>
      <c r="C308" s="15" t="s">
        <v>2542</v>
      </c>
      <c r="D308" s="37" t="s">
        <v>143</v>
      </c>
      <c r="E308" s="107" t="s">
        <v>144</v>
      </c>
      <c r="F308" s="107">
        <v>1</v>
      </c>
      <c r="G308" s="108">
        <v>1.49</v>
      </c>
      <c r="H308" s="107">
        <v>11</v>
      </c>
      <c r="I308" s="109" t="s">
        <v>145</v>
      </c>
      <c r="J308" s="107" t="s">
        <v>29</v>
      </c>
      <c r="K308" s="37" t="s">
        <v>1869</v>
      </c>
      <c r="L308" s="107">
        <v>13853437295</v>
      </c>
      <c r="M308" s="37" t="s">
        <v>1870</v>
      </c>
      <c r="N308" t="s">
        <v>1869</v>
      </c>
      <c r="O308" s="123" t="s">
        <v>2543</v>
      </c>
      <c r="P308" s="131">
        <v>15263300900</v>
      </c>
      <c r="Q308" t="s">
        <v>2544</v>
      </c>
      <c r="R308">
        <f t="shared" si="9"/>
        <v>2</v>
      </c>
      <c r="S308" s="15" t="s">
        <v>2545</v>
      </c>
    </row>
    <row r="309" spans="1:19" ht="15.75">
      <c r="A309" s="106" t="str">
        <f t="shared" si="8"/>
        <v>nonono</v>
      </c>
      <c r="B309" s="21" t="s">
        <v>2546</v>
      </c>
      <c r="C309" s="19" t="s">
        <v>2547</v>
      </c>
      <c r="D309" s="112" t="s">
        <v>2548</v>
      </c>
      <c r="E309" s="113" t="s">
        <v>163</v>
      </c>
      <c r="F309" s="114">
        <v>1</v>
      </c>
      <c r="G309" s="115">
        <v>1.71818181818182</v>
      </c>
      <c r="H309" s="114">
        <v>4</v>
      </c>
      <c r="I309" s="132" t="s">
        <v>164</v>
      </c>
      <c r="J309" s="133" t="s">
        <v>29</v>
      </c>
      <c r="K309" s="114" t="s">
        <v>2549</v>
      </c>
      <c r="L309" s="114">
        <v>13951669460</v>
      </c>
      <c r="M309" s="114" t="s">
        <v>2550</v>
      </c>
      <c r="N309" s="127" t="s">
        <v>2551</v>
      </c>
      <c r="O309" s="123" t="s">
        <v>2552</v>
      </c>
      <c r="P309" s="129">
        <v>13912901234</v>
      </c>
      <c r="Q309" s="127" t="s">
        <v>2553</v>
      </c>
      <c r="R309">
        <f t="shared" si="9"/>
        <v>2</v>
      </c>
      <c r="S309" s="15" t="s">
        <v>2554</v>
      </c>
    </row>
    <row r="310" spans="1:19" ht="15.75">
      <c r="A310" s="106" t="str">
        <f t="shared" si="8"/>
        <v>nonono</v>
      </c>
      <c r="B310" s="21" t="s">
        <v>2555</v>
      </c>
      <c r="C310" s="19" t="s">
        <v>2556</v>
      </c>
      <c r="D310" s="112" t="s">
        <v>2557</v>
      </c>
      <c r="E310" s="113" t="s">
        <v>163</v>
      </c>
      <c r="F310" s="114">
        <v>1</v>
      </c>
      <c r="G310" s="115">
        <v>1.0363636363636399</v>
      </c>
      <c r="H310" s="114">
        <v>2</v>
      </c>
      <c r="I310" s="132" t="s">
        <v>164</v>
      </c>
      <c r="J310" s="133" t="s">
        <v>29</v>
      </c>
      <c r="K310" s="114" t="s">
        <v>2558</v>
      </c>
      <c r="L310" s="114">
        <v>13695828600</v>
      </c>
      <c r="M310" s="114" t="s">
        <v>2559</v>
      </c>
      <c r="N310" t="s">
        <v>2558</v>
      </c>
      <c r="O310" t="s">
        <v>2559</v>
      </c>
      <c r="P310" s="126">
        <v>13695828600</v>
      </c>
      <c r="Q310" t="s">
        <v>2560</v>
      </c>
      <c r="R310">
        <f t="shared" si="9"/>
        <v>1</v>
      </c>
      <c r="S310" s="15" t="s">
        <v>2561</v>
      </c>
    </row>
    <row r="311" spans="1:19" ht="15.75">
      <c r="A311" s="106" t="str">
        <f t="shared" si="8"/>
        <v>nonono</v>
      </c>
      <c r="B311" s="21" t="s">
        <v>2562</v>
      </c>
      <c r="C311" s="15" t="s">
        <v>2563</v>
      </c>
      <c r="D311" s="37" t="s">
        <v>221</v>
      </c>
      <c r="E311" s="37" t="s">
        <v>201</v>
      </c>
      <c r="F311" s="37">
        <v>1</v>
      </c>
      <c r="G311" s="116">
        <v>1.49</v>
      </c>
      <c r="H311" s="37">
        <v>12</v>
      </c>
      <c r="I311" s="109" t="s">
        <v>202</v>
      </c>
      <c r="J311" s="107" t="s">
        <v>40</v>
      </c>
      <c r="K311" s="107" t="s">
        <v>954</v>
      </c>
      <c r="L311" s="107">
        <v>13808869361</v>
      </c>
      <c r="M311" s="135" t="s">
        <v>955</v>
      </c>
      <c r="N311" s="127" t="s">
        <v>2564</v>
      </c>
      <c r="O311" s="123" t="s">
        <v>2565</v>
      </c>
      <c r="P311" s="131">
        <v>13928935005</v>
      </c>
      <c r="Q311" s="127" t="s">
        <v>2566</v>
      </c>
      <c r="R311">
        <f t="shared" si="9"/>
        <v>3</v>
      </c>
      <c r="S311" s="15" t="s">
        <v>2567</v>
      </c>
    </row>
    <row r="312" spans="1:19" ht="15.75">
      <c r="A312" s="106" t="str">
        <f t="shared" si="8"/>
        <v>nonono</v>
      </c>
      <c r="B312" s="21" t="s">
        <v>2568</v>
      </c>
      <c r="C312" s="15" t="s">
        <v>2569</v>
      </c>
      <c r="D312" s="37" t="s">
        <v>2570</v>
      </c>
      <c r="E312" s="37" t="s">
        <v>201</v>
      </c>
      <c r="F312" s="37">
        <v>1</v>
      </c>
      <c r="G312" s="116">
        <v>1.49</v>
      </c>
      <c r="H312" s="37">
        <v>13</v>
      </c>
      <c r="I312" s="109" t="s">
        <v>202</v>
      </c>
      <c r="J312" s="107" t="s">
        <v>40</v>
      </c>
      <c r="K312" s="107" t="s">
        <v>2571</v>
      </c>
      <c r="L312" s="107">
        <v>13660050609</v>
      </c>
      <c r="M312" s="135" t="s">
        <v>2572</v>
      </c>
      <c r="N312" s="127" t="s">
        <v>2573</v>
      </c>
      <c r="O312" s="123" t="s">
        <v>2574</v>
      </c>
      <c r="P312" s="128">
        <v>13556104808</v>
      </c>
      <c r="Q312" s="127" t="s">
        <v>2575</v>
      </c>
      <c r="R312">
        <f t="shared" si="9"/>
        <v>3</v>
      </c>
      <c r="S312" s="15" t="s">
        <v>2576</v>
      </c>
    </row>
    <row r="313" spans="1:19" ht="15.75">
      <c r="A313" s="106" t="str">
        <f t="shared" si="8"/>
        <v>nonono</v>
      </c>
      <c r="B313" s="21" t="s">
        <v>2577</v>
      </c>
      <c r="C313" s="15" t="s">
        <v>2578</v>
      </c>
      <c r="D313" s="37" t="s">
        <v>260</v>
      </c>
      <c r="E313" s="37" t="s">
        <v>261</v>
      </c>
      <c r="F313" s="37">
        <v>1</v>
      </c>
      <c r="G313" s="116">
        <v>1.49</v>
      </c>
      <c r="H313" s="37">
        <v>13</v>
      </c>
      <c r="I313" s="109" t="s">
        <v>262</v>
      </c>
      <c r="J313" s="107" t="s">
        <v>40</v>
      </c>
      <c r="K313" s="107" t="s">
        <v>963</v>
      </c>
      <c r="L313" s="107">
        <v>13609093091</v>
      </c>
      <c r="M313" s="135" t="s">
        <v>964</v>
      </c>
      <c r="N313" s="127" t="s">
        <v>2579</v>
      </c>
      <c r="O313" s="123" t="s">
        <v>2580</v>
      </c>
      <c r="P313" s="128">
        <v>18680586635</v>
      </c>
      <c r="Q313" s="127" t="s">
        <v>2581</v>
      </c>
      <c r="R313">
        <f t="shared" si="9"/>
        <v>3</v>
      </c>
      <c r="S313" s="15" t="s">
        <v>2582</v>
      </c>
    </row>
    <row r="314" spans="1:19" ht="15.75">
      <c r="A314" s="106" t="str">
        <f t="shared" si="8"/>
        <v>nonono</v>
      </c>
      <c r="B314" s="21" t="s">
        <v>2583</v>
      </c>
      <c r="C314" s="15" t="s">
        <v>2584</v>
      </c>
      <c r="D314" s="107" t="s">
        <v>2585</v>
      </c>
      <c r="E314" s="107" t="s">
        <v>261</v>
      </c>
      <c r="F314" s="107">
        <v>1</v>
      </c>
      <c r="G314" s="108">
        <v>2.17</v>
      </c>
      <c r="H314" s="107">
        <v>9</v>
      </c>
      <c r="I314" s="109" t="s">
        <v>262</v>
      </c>
      <c r="J314" s="107" t="s">
        <v>40</v>
      </c>
      <c r="K314" s="107" t="s">
        <v>2586</v>
      </c>
      <c r="L314" s="107">
        <v>18826088388</v>
      </c>
      <c r="M314" s="194" t="s">
        <v>223</v>
      </c>
      <c r="N314" s="127" t="s">
        <v>2587</v>
      </c>
      <c r="O314" s="123" t="s">
        <v>2588</v>
      </c>
      <c r="P314" s="134">
        <v>13631386343</v>
      </c>
      <c r="Q314" s="127" t="s">
        <v>2589</v>
      </c>
      <c r="R314">
        <f t="shared" si="9"/>
        <v>2</v>
      </c>
      <c r="S314" s="15" t="s">
        <v>2590</v>
      </c>
    </row>
    <row r="315" spans="1:19" ht="15.75">
      <c r="A315" s="106" t="str">
        <f t="shared" si="8"/>
        <v>nonono</v>
      </c>
      <c r="B315" s="21" t="s">
        <v>2591</v>
      </c>
      <c r="C315" s="19" t="s">
        <v>2592</v>
      </c>
      <c r="D315" s="112" t="s">
        <v>2593</v>
      </c>
      <c r="E315" s="113" t="s">
        <v>163</v>
      </c>
      <c r="F315" s="114">
        <v>1</v>
      </c>
      <c r="G315" s="115">
        <v>1.4909090909090901</v>
      </c>
      <c r="H315" s="114">
        <v>2</v>
      </c>
      <c r="I315" s="132"/>
      <c r="J315" s="133" t="s">
        <v>29</v>
      </c>
      <c r="K315" s="114" t="s">
        <v>1461</v>
      </c>
      <c r="L315" s="114">
        <v>13003229793</v>
      </c>
      <c r="M315" s="114" t="s">
        <v>1462</v>
      </c>
      <c r="N315" t="s">
        <v>1461</v>
      </c>
      <c r="O315" s="123" t="s">
        <v>2594</v>
      </c>
      <c r="P315" s="125">
        <v>13564970508</v>
      </c>
      <c r="Q315" t="s">
        <v>2595</v>
      </c>
      <c r="R315">
        <f t="shared" si="9"/>
        <v>4</v>
      </c>
      <c r="S315" s="15" t="s">
        <v>2596</v>
      </c>
    </row>
    <row r="316" spans="1:19" ht="15.75">
      <c r="A316" s="106" t="str">
        <f t="shared" si="8"/>
        <v>nonono</v>
      </c>
      <c r="B316" s="21" t="s">
        <v>2597</v>
      </c>
      <c r="C316" s="19" t="s">
        <v>2598</v>
      </c>
      <c r="D316" s="112" t="s">
        <v>173</v>
      </c>
      <c r="E316" s="113" t="s">
        <v>163</v>
      </c>
      <c r="F316" s="114">
        <v>1</v>
      </c>
      <c r="G316" s="115">
        <v>1.2636363636363599</v>
      </c>
      <c r="H316" s="114">
        <v>3</v>
      </c>
      <c r="I316" s="132"/>
      <c r="J316" s="133" t="s">
        <v>29</v>
      </c>
      <c r="K316" s="114" t="s">
        <v>2599</v>
      </c>
      <c r="L316" s="114">
        <v>13787346627</v>
      </c>
      <c r="M316" s="114" t="s">
        <v>2600</v>
      </c>
      <c r="N316" t="s">
        <v>2599</v>
      </c>
      <c r="O316" s="123" t="s">
        <v>2601</v>
      </c>
      <c r="P316" s="131">
        <v>13973436165</v>
      </c>
      <c r="Q316" t="s">
        <v>2602</v>
      </c>
      <c r="R316">
        <f t="shared" si="9"/>
        <v>2</v>
      </c>
      <c r="S316" s="15" t="s">
        <v>2603</v>
      </c>
    </row>
    <row r="317" spans="1:19" ht="15.75">
      <c r="A317" s="106" t="str">
        <f t="shared" si="8"/>
        <v>nonono</v>
      </c>
      <c r="B317" s="21" t="s">
        <v>2604</v>
      </c>
      <c r="C317" s="19" t="s">
        <v>2605</v>
      </c>
      <c r="D317" s="112" t="s">
        <v>2606</v>
      </c>
      <c r="E317" s="113" t="s">
        <v>1451</v>
      </c>
      <c r="F317" s="114">
        <v>1</v>
      </c>
      <c r="G317" s="115">
        <v>1.2636363636363599</v>
      </c>
      <c r="H317" s="114">
        <v>10</v>
      </c>
      <c r="I317" s="132" t="s">
        <v>402</v>
      </c>
      <c r="J317" s="133" t="s">
        <v>29</v>
      </c>
      <c r="K317" s="114" t="s">
        <v>1469</v>
      </c>
      <c r="L317" s="114">
        <v>15862213019</v>
      </c>
      <c r="M317" s="114" t="s">
        <v>1470</v>
      </c>
      <c r="N317" t="s">
        <v>1469</v>
      </c>
      <c r="O317" t="s">
        <v>1470</v>
      </c>
      <c r="P317">
        <v>15862213019</v>
      </c>
      <c r="Q317" t="s">
        <v>2607</v>
      </c>
      <c r="R317">
        <f t="shared" si="9"/>
        <v>2</v>
      </c>
      <c r="S317" s="15" t="s">
        <v>2608</v>
      </c>
    </row>
    <row r="318" spans="1:19" ht="15.75">
      <c r="A318" s="106" t="str">
        <f t="shared" si="8"/>
        <v>nonono</v>
      </c>
      <c r="B318" s="21" t="s">
        <v>2609</v>
      </c>
      <c r="C318" s="30" t="s">
        <v>2610</v>
      </c>
      <c r="D318" s="110" t="s">
        <v>1477</v>
      </c>
      <c r="E318" s="107" t="s">
        <v>429</v>
      </c>
      <c r="F318" s="107">
        <v>1</v>
      </c>
      <c r="G318" s="108">
        <v>1.49</v>
      </c>
      <c r="H318" s="107">
        <v>14</v>
      </c>
      <c r="I318" s="109" t="s">
        <v>1478</v>
      </c>
      <c r="J318" s="110" t="s">
        <v>29</v>
      </c>
      <c r="K318" s="110" t="s">
        <v>1479</v>
      </c>
      <c r="L318" s="107">
        <v>13459103839</v>
      </c>
      <c r="M318" s="110" t="s">
        <v>1480</v>
      </c>
      <c r="N318" s="127" t="s">
        <v>2611</v>
      </c>
      <c r="O318" s="123" t="s">
        <v>2612</v>
      </c>
      <c r="P318" s="129">
        <v>18606338005</v>
      </c>
      <c r="Q318" s="127" t="s">
        <v>2613</v>
      </c>
      <c r="R318">
        <f t="shared" si="9"/>
        <v>3</v>
      </c>
      <c r="S318" s="15" t="s">
        <v>2614</v>
      </c>
    </row>
    <row r="319" spans="1:19" ht="15.75">
      <c r="A319" s="106" t="str">
        <f t="shared" si="8"/>
        <v>nonono</v>
      </c>
      <c r="B319" s="21" t="s">
        <v>2615</v>
      </c>
      <c r="C319" s="22" t="s">
        <v>2616</v>
      </c>
      <c r="D319" s="110" t="s">
        <v>1477</v>
      </c>
      <c r="E319" s="107" t="s">
        <v>429</v>
      </c>
      <c r="F319" s="107">
        <v>1</v>
      </c>
      <c r="G319" s="108">
        <v>1.49</v>
      </c>
      <c r="H319" s="107">
        <v>14</v>
      </c>
      <c r="I319" s="109" t="s">
        <v>1478</v>
      </c>
      <c r="J319" s="110" t="s">
        <v>29</v>
      </c>
      <c r="K319" s="110" t="s">
        <v>1487</v>
      </c>
      <c r="L319" s="107">
        <v>13455405061</v>
      </c>
      <c r="M319" s="110" t="s">
        <v>364</v>
      </c>
      <c r="N319" s="127" t="s">
        <v>2617</v>
      </c>
      <c r="O319" s="123" t="s">
        <v>2618</v>
      </c>
      <c r="P319" s="125">
        <v>15806338066</v>
      </c>
      <c r="Q319" s="127" t="s">
        <v>2619</v>
      </c>
      <c r="R319">
        <f t="shared" si="9"/>
        <v>3</v>
      </c>
      <c r="S319" s="15" t="s">
        <v>2620</v>
      </c>
    </row>
    <row r="320" spans="1:19" ht="15.75">
      <c r="A320" s="106" t="str">
        <f t="shared" si="8"/>
        <v>nonono</v>
      </c>
      <c r="B320" s="21" t="s">
        <v>2621</v>
      </c>
      <c r="C320" s="22" t="s">
        <v>2622</v>
      </c>
      <c r="D320" s="110" t="s">
        <v>1494</v>
      </c>
      <c r="E320" s="107" t="s">
        <v>706</v>
      </c>
      <c r="F320" s="107">
        <v>1</v>
      </c>
      <c r="G320" s="108">
        <v>1.49</v>
      </c>
      <c r="H320" s="107">
        <v>16</v>
      </c>
      <c r="I320" s="109" t="s">
        <v>1495</v>
      </c>
      <c r="J320" s="110" t="s">
        <v>29</v>
      </c>
      <c r="K320" s="110" t="s">
        <v>1496</v>
      </c>
      <c r="L320" s="107">
        <v>13635279948</v>
      </c>
      <c r="M320" s="110" t="s">
        <v>1497</v>
      </c>
      <c r="N320" s="127" t="s">
        <v>2623</v>
      </c>
      <c r="O320" s="123" t="s">
        <v>2624</v>
      </c>
      <c r="P320" s="131">
        <v>15806335866</v>
      </c>
      <c r="Q320" s="127" t="s">
        <v>2625</v>
      </c>
      <c r="R320">
        <f t="shared" si="9"/>
        <v>4</v>
      </c>
      <c r="S320" s="15" t="s">
        <v>2626</v>
      </c>
    </row>
    <row r="321" spans="1:19" ht="15.75">
      <c r="A321" s="106" t="str">
        <f t="shared" si="8"/>
        <v>nonono</v>
      </c>
      <c r="B321" s="21" t="s">
        <v>2627</v>
      </c>
      <c r="C321" s="29" t="s">
        <v>2628</v>
      </c>
      <c r="D321" s="110" t="s">
        <v>1513</v>
      </c>
      <c r="E321" s="107" t="s">
        <v>1514</v>
      </c>
      <c r="F321" s="107">
        <v>1</v>
      </c>
      <c r="G321" s="108">
        <v>3.08</v>
      </c>
      <c r="H321" s="107">
        <v>6</v>
      </c>
      <c r="I321" s="109"/>
      <c r="J321" s="110" t="s">
        <v>293</v>
      </c>
      <c r="K321" s="117" t="s">
        <v>1515</v>
      </c>
      <c r="L321" s="37" t="s">
        <v>1516</v>
      </c>
      <c r="M321" s="117" t="s">
        <v>1517</v>
      </c>
      <c r="N321" t="s">
        <v>1515</v>
      </c>
      <c r="O321" s="123" t="s">
        <v>2629</v>
      </c>
      <c r="P321" s="125">
        <v>13091152721</v>
      </c>
      <c r="Q321" t="s">
        <v>2630</v>
      </c>
      <c r="R321">
        <f t="shared" si="9"/>
        <v>2</v>
      </c>
      <c r="S321" s="15" t="s">
        <v>2631</v>
      </c>
    </row>
    <row r="322" spans="1:19" ht="15.75">
      <c r="A322" s="106" t="str">
        <f t="shared" si="8"/>
        <v>nonono</v>
      </c>
      <c r="B322" s="21" t="s">
        <v>2632</v>
      </c>
      <c r="C322" s="22" t="s">
        <v>2633</v>
      </c>
      <c r="D322" s="110" t="s">
        <v>1513</v>
      </c>
      <c r="E322" s="107" t="s">
        <v>1514</v>
      </c>
      <c r="F322" s="107">
        <v>1</v>
      </c>
      <c r="G322" s="108">
        <v>3.08</v>
      </c>
      <c r="H322" s="107">
        <v>6</v>
      </c>
      <c r="I322" s="109"/>
      <c r="J322" s="110" t="s">
        <v>293</v>
      </c>
      <c r="K322" s="36" t="s">
        <v>2634</v>
      </c>
      <c r="L322" s="170">
        <v>15032852111</v>
      </c>
      <c r="M322" s="36" t="s">
        <v>2635</v>
      </c>
      <c r="N322" s="127" t="s">
        <v>2636</v>
      </c>
      <c r="O322" s="123" t="s">
        <v>2637</v>
      </c>
      <c r="P322" s="128">
        <v>18631722410</v>
      </c>
      <c r="Q322" s="127" t="s">
        <v>2638</v>
      </c>
      <c r="R322">
        <f t="shared" si="9"/>
        <v>3</v>
      </c>
      <c r="S322" s="15" t="s">
        <v>2639</v>
      </c>
    </row>
    <row r="323" spans="1:19" ht="15.75">
      <c r="A323" s="106" t="str">
        <f t="shared" si="8"/>
        <v>nonono</v>
      </c>
      <c r="B323" s="21" t="s">
        <v>2640</v>
      </c>
      <c r="C323" s="23" t="s">
        <v>2641</v>
      </c>
      <c r="D323" s="37" t="s">
        <v>1532</v>
      </c>
      <c r="E323" s="37" t="s">
        <v>1533</v>
      </c>
      <c r="F323" s="37">
        <v>1</v>
      </c>
      <c r="G323" s="116">
        <v>1.49</v>
      </c>
      <c r="H323" s="37">
        <v>15</v>
      </c>
      <c r="I323" s="37" t="s">
        <v>1534</v>
      </c>
      <c r="J323" s="117" t="s">
        <v>40</v>
      </c>
      <c r="K323" s="195" t="s">
        <v>2642</v>
      </c>
      <c r="L323" s="171">
        <v>13050323110</v>
      </c>
      <c r="M323" s="171" t="s">
        <v>2643</v>
      </c>
      <c r="N323" s="127" t="s">
        <v>2644</v>
      </c>
      <c r="O323" s="123" t="s">
        <v>2645</v>
      </c>
      <c r="P323" s="128">
        <v>13009218779</v>
      </c>
      <c r="Q323" s="127" t="s">
        <v>2646</v>
      </c>
      <c r="R323">
        <f t="shared" si="9"/>
        <v>2</v>
      </c>
      <c r="S323" s="15" t="s">
        <v>2647</v>
      </c>
    </row>
    <row r="324" spans="1:19" ht="15.75">
      <c r="A324" s="106" t="str">
        <f t="shared" si="8"/>
        <v>nonono</v>
      </c>
      <c r="B324" s="21" t="s">
        <v>2648</v>
      </c>
      <c r="C324" s="31" t="s">
        <v>2649</v>
      </c>
      <c r="D324" s="37" t="s">
        <v>1532</v>
      </c>
      <c r="E324" s="37" t="s">
        <v>1533</v>
      </c>
      <c r="F324" s="37">
        <v>1</v>
      </c>
      <c r="G324" s="116">
        <v>1.49</v>
      </c>
      <c r="H324" s="37">
        <v>15</v>
      </c>
      <c r="I324" s="37" t="s">
        <v>1534</v>
      </c>
      <c r="J324" s="117" t="s">
        <v>40</v>
      </c>
      <c r="K324" s="171" t="s">
        <v>2650</v>
      </c>
      <c r="L324" s="171">
        <v>18341271487</v>
      </c>
      <c r="M324" s="171" t="s">
        <v>2651</v>
      </c>
      <c r="N324" s="127" t="s">
        <v>2652</v>
      </c>
      <c r="O324" s="123" t="s">
        <v>2653</v>
      </c>
      <c r="P324" s="139">
        <v>13795090999</v>
      </c>
      <c r="Q324" s="127" t="s">
        <v>2654</v>
      </c>
      <c r="R324">
        <f t="shared" si="9"/>
        <v>2</v>
      </c>
      <c r="S324" s="15" t="s">
        <v>2655</v>
      </c>
    </row>
    <row r="325" spans="1:19" ht="15.75">
      <c r="A325" s="106" t="str">
        <f t="shared" si="8"/>
        <v>nonono</v>
      </c>
      <c r="B325" s="21" t="s">
        <v>2656</v>
      </c>
      <c r="C325" s="15" t="s">
        <v>2657</v>
      </c>
      <c r="D325" s="107" t="s">
        <v>1579</v>
      </c>
      <c r="E325" s="107" t="s">
        <v>50</v>
      </c>
      <c r="F325" s="107">
        <v>1</v>
      </c>
      <c r="G325" s="108">
        <v>0.81</v>
      </c>
      <c r="H325" s="107">
        <v>16</v>
      </c>
      <c r="I325" s="109" t="s">
        <v>51</v>
      </c>
      <c r="J325" s="107" t="s">
        <v>40</v>
      </c>
      <c r="K325" s="107" t="s">
        <v>2658</v>
      </c>
      <c r="L325" s="107">
        <v>13913529715</v>
      </c>
      <c r="M325" s="107" t="s">
        <v>2659</v>
      </c>
      <c r="N325" t="s">
        <v>2658</v>
      </c>
      <c r="O325" t="s">
        <v>2659</v>
      </c>
      <c r="P325">
        <v>13913529715</v>
      </c>
      <c r="Q325" t="s">
        <v>2660</v>
      </c>
      <c r="R325">
        <f t="shared" si="9"/>
        <v>1</v>
      </c>
      <c r="S325" s="15" t="s">
        <v>2661</v>
      </c>
    </row>
    <row r="326" spans="1:19" ht="15.75">
      <c r="A326" s="106" t="str">
        <f t="shared" ref="A326:A389" si="10">IF(B326=C326,"","nonono")</f>
        <v>nonono</v>
      </c>
      <c r="B326" s="21" t="s">
        <v>2662</v>
      </c>
      <c r="C326" s="15" t="s">
        <v>2663</v>
      </c>
      <c r="D326" s="107" t="s">
        <v>1587</v>
      </c>
      <c r="E326" s="107" t="s">
        <v>50</v>
      </c>
      <c r="F326" s="107">
        <v>1</v>
      </c>
      <c r="G326" s="108">
        <v>0.81</v>
      </c>
      <c r="H326" s="107">
        <v>16</v>
      </c>
      <c r="I326" s="109"/>
      <c r="J326" s="107" t="s">
        <v>40</v>
      </c>
      <c r="K326" s="107" t="s">
        <v>2664</v>
      </c>
      <c r="L326" s="107">
        <v>15862363551</v>
      </c>
      <c r="M326" s="107" t="s">
        <v>2665</v>
      </c>
      <c r="N326" s="127" t="s">
        <v>2666</v>
      </c>
      <c r="O326" t="s">
        <v>2665</v>
      </c>
      <c r="P326">
        <v>15862363551</v>
      </c>
      <c r="Q326" s="127" t="s">
        <v>2667</v>
      </c>
      <c r="R326">
        <f t="shared" si="9"/>
        <v>1</v>
      </c>
      <c r="S326" s="15" t="s">
        <v>2668</v>
      </c>
    </row>
    <row r="327" spans="1:19" ht="15.75">
      <c r="A327" s="106" t="str">
        <f t="shared" si="10"/>
        <v>nonono</v>
      </c>
      <c r="B327" s="21" t="s">
        <v>2669</v>
      </c>
      <c r="C327" s="15" t="s">
        <v>2670</v>
      </c>
      <c r="D327" s="107" t="s">
        <v>2671</v>
      </c>
      <c r="E327" s="107" t="s">
        <v>1594</v>
      </c>
      <c r="F327" s="107">
        <v>1</v>
      </c>
      <c r="G327" s="108">
        <v>0.81</v>
      </c>
      <c r="H327" s="107">
        <v>10</v>
      </c>
      <c r="I327" s="109" t="s">
        <v>2318</v>
      </c>
      <c r="J327" s="107" t="s">
        <v>40</v>
      </c>
      <c r="K327" s="107" t="s">
        <v>2672</v>
      </c>
      <c r="L327" s="107">
        <v>15833356129</v>
      </c>
      <c r="M327" s="107" t="s">
        <v>2673</v>
      </c>
      <c r="N327" s="127" t="s">
        <v>2674</v>
      </c>
      <c r="O327" t="s">
        <v>2673</v>
      </c>
      <c r="P327" s="126">
        <v>15833356129</v>
      </c>
      <c r="Q327" s="127" t="s">
        <v>2675</v>
      </c>
      <c r="R327">
        <f t="shared" ref="R327:R390" si="11">COUNTIF($K$1:$K$2982,K327)</f>
        <v>1</v>
      </c>
      <c r="S327" s="15" t="s">
        <v>2676</v>
      </c>
    </row>
    <row r="328" spans="1:19" ht="15.75">
      <c r="A328" s="106" t="str">
        <f t="shared" si="10"/>
        <v>nonono</v>
      </c>
      <c r="B328" s="21" t="s">
        <v>2677</v>
      </c>
      <c r="C328" s="15" t="s">
        <v>2678</v>
      </c>
      <c r="D328" s="107" t="s">
        <v>2679</v>
      </c>
      <c r="E328" s="107" t="s">
        <v>80</v>
      </c>
      <c r="F328" s="107">
        <v>1</v>
      </c>
      <c r="G328" s="108">
        <v>0.81</v>
      </c>
      <c r="H328" s="107">
        <v>7</v>
      </c>
      <c r="I328" s="109" t="s">
        <v>81</v>
      </c>
      <c r="J328" s="107" t="s">
        <v>29</v>
      </c>
      <c r="K328" s="107" t="s">
        <v>2142</v>
      </c>
      <c r="L328" s="107">
        <v>13910075819</v>
      </c>
      <c r="M328" s="107" t="s">
        <v>2680</v>
      </c>
      <c r="N328" s="127" t="s">
        <v>2681</v>
      </c>
      <c r="O328" s="123" t="s">
        <v>2682</v>
      </c>
      <c r="P328" s="128">
        <v>18622008360</v>
      </c>
      <c r="Q328" s="127" t="s">
        <v>2683</v>
      </c>
      <c r="R328">
        <f t="shared" si="11"/>
        <v>4</v>
      </c>
      <c r="S328" s="15" t="s">
        <v>2684</v>
      </c>
    </row>
    <row r="329" spans="1:19" ht="15.75">
      <c r="A329" s="106" t="str">
        <f t="shared" si="10"/>
        <v>nonono</v>
      </c>
      <c r="B329" s="21" t="s">
        <v>2685</v>
      </c>
      <c r="C329" s="15" t="s">
        <v>2686</v>
      </c>
      <c r="D329" s="107" t="s">
        <v>2687</v>
      </c>
      <c r="E329" s="107" t="s">
        <v>2688</v>
      </c>
      <c r="F329" s="107">
        <v>1</v>
      </c>
      <c r="G329" s="108">
        <v>1.26</v>
      </c>
      <c r="H329" s="107">
        <v>10</v>
      </c>
      <c r="I329" s="109" t="s">
        <v>2689</v>
      </c>
      <c r="J329" s="107" t="s">
        <v>29</v>
      </c>
      <c r="K329" s="107" t="s">
        <v>2142</v>
      </c>
      <c r="L329" s="107">
        <v>13910075819</v>
      </c>
      <c r="M329" s="107" t="s">
        <v>2680</v>
      </c>
      <c r="N329" s="127" t="s">
        <v>2690</v>
      </c>
      <c r="O329" s="123" t="s">
        <v>2691</v>
      </c>
      <c r="P329" s="124">
        <v>13473643269</v>
      </c>
      <c r="Q329" s="127" t="s">
        <v>2692</v>
      </c>
      <c r="R329">
        <f t="shared" si="11"/>
        <v>4</v>
      </c>
      <c r="S329" s="15" t="s">
        <v>2693</v>
      </c>
    </row>
    <row r="330" spans="1:19" ht="15.75">
      <c r="A330" s="106" t="str">
        <f t="shared" si="10"/>
        <v>nonono</v>
      </c>
      <c r="B330" s="21" t="s">
        <v>2694</v>
      </c>
      <c r="C330" s="15" t="s">
        <v>2695</v>
      </c>
      <c r="D330" s="107" t="s">
        <v>79</v>
      </c>
      <c r="E330" s="107" t="s">
        <v>80</v>
      </c>
      <c r="F330" s="107">
        <v>1</v>
      </c>
      <c r="G330" s="108">
        <v>0.81</v>
      </c>
      <c r="H330" s="107">
        <v>8</v>
      </c>
      <c r="I330" s="109" t="s">
        <v>81</v>
      </c>
      <c r="J330" s="107" t="s">
        <v>29</v>
      </c>
      <c r="K330" s="107" t="s">
        <v>82</v>
      </c>
      <c r="L330" s="107">
        <v>15210622672</v>
      </c>
      <c r="M330" s="196" t="s">
        <v>83</v>
      </c>
      <c r="N330" s="127" t="s">
        <v>2696</v>
      </c>
      <c r="O330" s="123" t="s">
        <v>2697</v>
      </c>
      <c r="P330" s="131">
        <v>13703241128</v>
      </c>
      <c r="Q330" s="127" t="s">
        <v>2698</v>
      </c>
      <c r="R330">
        <f t="shared" si="11"/>
        <v>4</v>
      </c>
      <c r="S330" s="15" t="s">
        <v>2699</v>
      </c>
    </row>
    <row r="331" spans="1:19" ht="15.75">
      <c r="A331" s="106" t="str">
        <f t="shared" si="10"/>
        <v>nonono</v>
      </c>
      <c r="B331" s="21" t="s">
        <v>2700</v>
      </c>
      <c r="C331" s="15" t="s">
        <v>2701</v>
      </c>
      <c r="D331" s="107" t="s">
        <v>2702</v>
      </c>
      <c r="E331" s="107" t="s">
        <v>111</v>
      </c>
      <c r="F331" s="107">
        <v>1</v>
      </c>
      <c r="G331" s="108">
        <v>1.95</v>
      </c>
      <c r="H331" s="107">
        <v>15</v>
      </c>
      <c r="I331" s="109" t="s">
        <v>2703</v>
      </c>
      <c r="J331" s="107" t="s">
        <v>40</v>
      </c>
      <c r="K331" s="107" t="s">
        <v>113</v>
      </c>
      <c r="L331" s="107">
        <v>15837581275</v>
      </c>
      <c r="M331" s="24" t="s">
        <v>114</v>
      </c>
      <c r="N331" s="127" t="s">
        <v>2704</v>
      </c>
      <c r="O331" s="123" t="s">
        <v>2705</v>
      </c>
      <c r="P331" s="131">
        <v>15003803652</v>
      </c>
      <c r="Q331" s="127" t="s">
        <v>2706</v>
      </c>
      <c r="R331">
        <f t="shared" si="11"/>
        <v>3</v>
      </c>
      <c r="S331" s="15" t="s">
        <v>2707</v>
      </c>
    </row>
    <row r="332" spans="1:19" ht="15.75">
      <c r="A332" s="106" t="str">
        <f t="shared" si="10"/>
        <v>nonono</v>
      </c>
      <c r="B332" s="21" t="s">
        <v>2708</v>
      </c>
      <c r="C332" s="15" t="s">
        <v>2709</v>
      </c>
      <c r="D332" s="107" t="s">
        <v>1632</v>
      </c>
      <c r="E332" s="107" t="s">
        <v>1633</v>
      </c>
      <c r="F332" s="107">
        <v>1</v>
      </c>
      <c r="G332" s="108">
        <v>0.81</v>
      </c>
      <c r="H332" s="107">
        <v>5</v>
      </c>
      <c r="I332" s="109" t="s">
        <v>1634</v>
      </c>
      <c r="J332" s="107" t="s">
        <v>29</v>
      </c>
      <c r="K332" s="107" t="s">
        <v>1635</v>
      </c>
      <c r="L332" s="107">
        <v>13541316114</v>
      </c>
      <c r="M332" s="24" t="s">
        <v>1636</v>
      </c>
      <c r="N332" s="127" t="s">
        <v>2710</v>
      </c>
      <c r="O332" t="s">
        <v>1636</v>
      </c>
      <c r="P332">
        <v>13541316114</v>
      </c>
      <c r="Q332" s="127" t="s">
        <v>2711</v>
      </c>
      <c r="R332">
        <f t="shared" si="11"/>
        <v>2</v>
      </c>
      <c r="S332" s="15" t="s">
        <v>2712</v>
      </c>
    </row>
    <row r="333" spans="1:19" ht="15.75">
      <c r="A333" s="106" t="str">
        <f t="shared" si="10"/>
        <v>nonono</v>
      </c>
      <c r="B333" s="21" t="s">
        <v>2713</v>
      </c>
      <c r="C333" s="15" t="s">
        <v>2714</v>
      </c>
      <c r="D333" s="107" t="s">
        <v>1632</v>
      </c>
      <c r="E333" s="107" t="s">
        <v>1633</v>
      </c>
      <c r="F333" s="107">
        <v>1</v>
      </c>
      <c r="G333" s="108">
        <v>0.81</v>
      </c>
      <c r="H333" s="107">
        <v>5</v>
      </c>
      <c r="I333" s="109" t="s">
        <v>1634</v>
      </c>
      <c r="J333" s="107" t="s">
        <v>29</v>
      </c>
      <c r="K333" s="107" t="s">
        <v>2715</v>
      </c>
      <c r="L333" s="107">
        <v>18500061258</v>
      </c>
      <c r="M333" s="24" t="s">
        <v>2716</v>
      </c>
      <c r="N333" s="127" t="s">
        <v>2717</v>
      </c>
      <c r="O333" t="s">
        <v>2716</v>
      </c>
      <c r="P333">
        <v>18500061258</v>
      </c>
      <c r="Q333" s="127" t="s">
        <v>2718</v>
      </c>
      <c r="R333">
        <f t="shared" si="11"/>
        <v>1</v>
      </c>
      <c r="S333" s="15" t="s">
        <v>2719</v>
      </c>
    </row>
    <row r="334" spans="1:19" ht="15.75">
      <c r="A334" s="106" t="str">
        <f t="shared" si="10"/>
        <v>nonono</v>
      </c>
      <c r="B334" s="21" t="s">
        <v>2720</v>
      </c>
      <c r="C334" s="15" t="s">
        <v>2721</v>
      </c>
      <c r="D334" s="107" t="s">
        <v>1651</v>
      </c>
      <c r="E334" s="107" t="s">
        <v>1652</v>
      </c>
      <c r="F334" s="107">
        <v>1</v>
      </c>
      <c r="G334" s="108">
        <v>0.81</v>
      </c>
      <c r="H334" s="107">
        <v>5</v>
      </c>
      <c r="I334" s="109" t="s">
        <v>1653</v>
      </c>
      <c r="J334" s="107" t="s">
        <v>29</v>
      </c>
      <c r="K334" s="107" t="s">
        <v>124</v>
      </c>
      <c r="L334" s="107">
        <v>15720962388</v>
      </c>
      <c r="M334" s="24" t="s">
        <v>125</v>
      </c>
      <c r="N334" s="127" t="s">
        <v>2722</v>
      </c>
      <c r="O334" s="123" t="s">
        <v>2723</v>
      </c>
      <c r="P334" s="158">
        <v>13635983612</v>
      </c>
      <c r="Q334" s="127" t="s">
        <v>2724</v>
      </c>
      <c r="R334">
        <f t="shared" si="11"/>
        <v>3</v>
      </c>
      <c r="S334" s="15" t="s">
        <v>2725</v>
      </c>
    </row>
    <row r="335" spans="1:19" ht="15.75">
      <c r="A335" s="106" t="str">
        <f t="shared" si="10"/>
        <v>nonono</v>
      </c>
      <c r="B335" s="21" t="s">
        <v>2726</v>
      </c>
      <c r="C335" s="15" t="s">
        <v>2727</v>
      </c>
      <c r="D335" s="107" t="s">
        <v>1659</v>
      </c>
      <c r="E335" s="107" t="s">
        <v>261</v>
      </c>
      <c r="F335" s="107">
        <v>1</v>
      </c>
      <c r="G335" s="108">
        <v>1.72</v>
      </c>
      <c r="H335" s="107">
        <v>11</v>
      </c>
      <c r="I335" s="109" t="s">
        <v>262</v>
      </c>
      <c r="J335" s="107" t="s">
        <v>40</v>
      </c>
      <c r="K335" s="107" t="s">
        <v>1660</v>
      </c>
      <c r="L335" s="107">
        <v>13602446645</v>
      </c>
      <c r="M335" s="186" t="s">
        <v>1661</v>
      </c>
      <c r="N335" t="s">
        <v>1660</v>
      </c>
      <c r="O335" s="123" t="s">
        <v>2728</v>
      </c>
      <c r="P335" s="197">
        <v>15915838197</v>
      </c>
      <c r="Q335" t="s">
        <v>2729</v>
      </c>
      <c r="R335">
        <f t="shared" si="11"/>
        <v>3</v>
      </c>
      <c r="S335" s="15" t="s">
        <v>2730</v>
      </c>
    </row>
    <row r="336" spans="1:19" ht="15.75">
      <c r="A336" s="106" t="str">
        <f t="shared" si="10"/>
        <v>nonono</v>
      </c>
      <c r="B336" s="21" t="s">
        <v>2731</v>
      </c>
      <c r="C336" s="15" t="s">
        <v>2732</v>
      </c>
      <c r="D336" s="107" t="s">
        <v>200</v>
      </c>
      <c r="E336" s="107" t="s">
        <v>201</v>
      </c>
      <c r="F336" s="107">
        <v>1</v>
      </c>
      <c r="G336" s="108">
        <v>1.72</v>
      </c>
      <c r="H336" s="107">
        <v>10</v>
      </c>
      <c r="I336" s="109" t="s">
        <v>202</v>
      </c>
      <c r="J336" s="107" t="s">
        <v>40</v>
      </c>
      <c r="K336" s="107" t="s">
        <v>945</v>
      </c>
      <c r="L336" s="107">
        <v>13512756600</v>
      </c>
      <c r="M336" s="186" t="s">
        <v>946</v>
      </c>
      <c r="N336" s="127" t="s">
        <v>2733</v>
      </c>
      <c r="O336" t="s">
        <v>946</v>
      </c>
      <c r="P336">
        <v>13512756600</v>
      </c>
      <c r="Q336" s="127" t="s">
        <v>2734</v>
      </c>
      <c r="R336">
        <f t="shared" si="11"/>
        <v>3</v>
      </c>
      <c r="S336" s="15" t="s">
        <v>2735</v>
      </c>
    </row>
    <row r="337" spans="1:19" ht="15.75">
      <c r="A337" s="106" t="str">
        <f t="shared" si="10"/>
        <v>nonono</v>
      </c>
      <c r="B337" s="21" t="s">
        <v>2736</v>
      </c>
      <c r="C337" s="15" t="s">
        <v>2737</v>
      </c>
      <c r="D337" s="37" t="s">
        <v>221</v>
      </c>
      <c r="E337" s="37" t="s">
        <v>201</v>
      </c>
      <c r="F337" s="37">
        <v>1</v>
      </c>
      <c r="G337" s="116">
        <v>1.49</v>
      </c>
      <c r="H337" s="37">
        <v>12</v>
      </c>
      <c r="I337" s="109" t="s">
        <v>202</v>
      </c>
      <c r="J337" s="107" t="s">
        <v>40</v>
      </c>
      <c r="K337" s="37" t="s">
        <v>1673</v>
      </c>
      <c r="L337" s="107">
        <v>13560315011</v>
      </c>
      <c r="M337" s="186" t="s">
        <v>1674</v>
      </c>
      <c r="N337" s="127" t="s">
        <v>2738</v>
      </c>
      <c r="O337" s="123" t="s">
        <v>2739</v>
      </c>
      <c r="P337" s="134">
        <v>13250257869</v>
      </c>
      <c r="Q337" s="127" t="s">
        <v>2740</v>
      </c>
      <c r="R337">
        <f t="shared" si="11"/>
        <v>2</v>
      </c>
      <c r="S337" s="15" t="s">
        <v>2741</v>
      </c>
    </row>
    <row r="338" spans="1:19" ht="15.75">
      <c r="A338" s="106" t="str">
        <f t="shared" si="10"/>
        <v>nonono</v>
      </c>
      <c r="B338" s="21" t="s">
        <v>2742</v>
      </c>
      <c r="C338" s="15" t="s">
        <v>2743</v>
      </c>
      <c r="D338" s="110" t="s">
        <v>705</v>
      </c>
      <c r="E338" s="107" t="s">
        <v>706</v>
      </c>
      <c r="F338" s="107">
        <v>1</v>
      </c>
      <c r="G338" s="116">
        <v>1.95</v>
      </c>
      <c r="H338" s="107">
        <v>14</v>
      </c>
      <c r="I338" s="137" t="s">
        <v>402</v>
      </c>
      <c r="J338" s="110" t="s">
        <v>29</v>
      </c>
      <c r="K338" s="117" t="s">
        <v>154</v>
      </c>
      <c r="L338" s="37">
        <v>17091002252</v>
      </c>
      <c r="M338" s="117" t="s">
        <v>155</v>
      </c>
      <c r="N338" t="s">
        <v>154</v>
      </c>
      <c r="O338" s="123" t="s">
        <v>2744</v>
      </c>
      <c r="P338" s="138">
        <v>15650392001</v>
      </c>
      <c r="Q338" t="s">
        <v>2745</v>
      </c>
      <c r="R338">
        <f t="shared" si="11"/>
        <v>2</v>
      </c>
      <c r="S338" s="15" t="s">
        <v>2746</v>
      </c>
    </row>
    <row r="339" spans="1:19" ht="15.75">
      <c r="A339" s="106" t="str">
        <f t="shared" si="10"/>
        <v>nonono</v>
      </c>
      <c r="B339" s="21" t="s">
        <v>2747</v>
      </c>
      <c r="C339" s="15" t="s">
        <v>2748</v>
      </c>
      <c r="D339" s="110" t="s">
        <v>705</v>
      </c>
      <c r="E339" s="107" t="s">
        <v>706</v>
      </c>
      <c r="F339" s="107">
        <v>1</v>
      </c>
      <c r="G339" s="116">
        <v>1.95</v>
      </c>
      <c r="H339" s="107">
        <v>14</v>
      </c>
      <c r="I339" s="137" t="s">
        <v>402</v>
      </c>
      <c r="J339" s="110" t="s">
        <v>29</v>
      </c>
      <c r="K339" s="117" t="s">
        <v>1401</v>
      </c>
      <c r="L339" s="37">
        <v>18965022053</v>
      </c>
      <c r="M339" s="117" t="s">
        <v>1402</v>
      </c>
      <c r="N339" s="127" t="s">
        <v>2749</v>
      </c>
      <c r="O339" s="123" t="s">
        <v>2750</v>
      </c>
      <c r="P339" s="198">
        <v>18760440425</v>
      </c>
      <c r="Q339" s="127" t="s">
        <v>2751</v>
      </c>
      <c r="R339">
        <f t="shared" si="11"/>
        <v>3</v>
      </c>
      <c r="S339" s="15" t="s">
        <v>2752</v>
      </c>
    </row>
    <row r="340" spans="1:19" ht="15.75">
      <c r="A340" s="106" t="str">
        <f t="shared" si="10"/>
        <v>nonono</v>
      </c>
      <c r="B340" s="21" t="s">
        <v>2753</v>
      </c>
      <c r="C340" s="25" t="s">
        <v>2754</v>
      </c>
      <c r="D340" s="147" t="s">
        <v>719</v>
      </c>
      <c r="E340" s="148" t="s">
        <v>720</v>
      </c>
      <c r="F340" s="148">
        <v>1</v>
      </c>
      <c r="G340" s="111">
        <v>1.49</v>
      </c>
      <c r="H340" s="148">
        <v>12</v>
      </c>
      <c r="I340" s="151" t="s">
        <v>721</v>
      </c>
      <c r="J340" s="147" t="s">
        <v>40</v>
      </c>
      <c r="K340" s="117" t="s">
        <v>722</v>
      </c>
      <c r="L340" s="37">
        <v>18123680919</v>
      </c>
      <c r="M340" s="117" t="s">
        <v>723</v>
      </c>
      <c r="N340" s="127" t="s">
        <v>2755</v>
      </c>
      <c r="O340" t="s">
        <v>723</v>
      </c>
      <c r="P340">
        <v>18123680919</v>
      </c>
      <c r="Q340" s="127" t="s">
        <v>2756</v>
      </c>
      <c r="R340">
        <f t="shared" si="11"/>
        <v>4</v>
      </c>
      <c r="S340" s="15" t="s">
        <v>2757</v>
      </c>
    </row>
    <row r="341" spans="1:19" ht="15.75">
      <c r="A341" s="106" t="str">
        <f t="shared" si="10"/>
        <v>nonono</v>
      </c>
      <c r="B341" s="21" t="s">
        <v>2758</v>
      </c>
      <c r="C341" s="15" t="s">
        <v>2759</v>
      </c>
      <c r="D341" s="110" t="s">
        <v>132</v>
      </c>
      <c r="E341" s="107" t="s">
        <v>133</v>
      </c>
      <c r="F341" s="107">
        <v>1</v>
      </c>
      <c r="G341" s="111">
        <v>1.72</v>
      </c>
      <c r="H341" s="107">
        <v>15</v>
      </c>
      <c r="I341" s="109" t="s">
        <v>134</v>
      </c>
      <c r="J341" s="110" t="s">
        <v>40</v>
      </c>
      <c r="K341" s="39" t="s">
        <v>1303</v>
      </c>
      <c r="L341" s="34">
        <v>13610961783</v>
      </c>
      <c r="M341" s="34" t="s">
        <v>1304</v>
      </c>
      <c r="N341" s="127" t="s">
        <v>2760</v>
      </c>
      <c r="O341" s="123" t="s">
        <v>2761</v>
      </c>
      <c r="P341" s="128">
        <v>13942876255</v>
      </c>
      <c r="Q341" s="127" t="s">
        <v>2762</v>
      </c>
      <c r="R341">
        <f t="shared" si="11"/>
        <v>4</v>
      </c>
      <c r="S341" s="15" t="s">
        <v>2763</v>
      </c>
    </row>
    <row r="342" spans="1:19" ht="15.75">
      <c r="A342" s="106" t="str">
        <f t="shared" si="10"/>
        <v>nonono</v>
      </c>
      <c r="B342" s="21" t="s">
        <v>2764</v>
      </c>
      <c r="C342" s="15" t="s">
        <v>2765</v>
      </c>
      <c r="D342" s="110" t="s">
        <v>132</v>
      </c>
      <c r="E342" s="107" t="s">
        <v>133</v>
      </c>
      <c r="F342" s="107">
        <v>1</v>
      </c>
      <c r="G342" s="111">
        <v>1.72</v>
      </c>
      <c r="H342" s="107">
        <v>15</v>
      </c>
      <c r="I342" s="109" t="s">
        <v>134</v>
      </c>
      <c r="J342" s="110" t="s">
        <v>40</v>
      </c>
      <c r="K342" s="39" t="s">
        <v>135</v>
      </c>
      <c r="L342" s="34">
        <v>13610961783</v>
      </c>
      <c r="M342" s="39" t="s">
        <v>136</v>
      </c>
      <c r="N342" s="127" t="s">
        <v>2766</v>
      </c>
      <c r="O342" t="s">
        <v>136</v>
      </c>
      <c r="P342">
        <v>13610961783</v>
      </c>
      <c r="Q342" s="127" t="s">
        <v>2767</v>
      </c>
      <c r="R342">
        <f t="shared" si="11"/>
        <v>3</v>
      </c>
      <c r="S342" s="15" t="s">
        <v>2768</v>
      </c>
    </row>
    <row r="343" spans="1:19" ht="15.75">
      <c r="A343" s="106" t="str">
        <f t="shared" si="10"/>
        <v>nonono</v>
      </c>
      <c r="B343" s="21" t="s">
        <v>2769</v>
      </c>
      <c r="C343" s="15" t="s">
        <v>2770</v>
      </c>
      <c r="D343" s="37" t="s">
        <v>221</v>
      </c>
      <c r="E343" s="37" t="s">
        <v>201</v>
      </c>
      <c r="F343" s="37">
        <v>1</v>
      </c>
      <c r="G343" s="116">
        <v>1.49</v>
      </c>
      <c r="H343" s="37">
        <v>12</v>
      </c>
      <c r="I343" s="109" t="s">
        <v>202</v>
      </c>
      <c r="J343" s="107" t="s">
        <v>40</v>
      </c>
      <c r="K343" s="107" t="s">
        <v>954</v>
      </c>
      <c r="L343" s="107">
        <v>13808869361</v>
      </c>
      <c r="M343" s="186" t="s">
        <v>955</v>
      </c>
      <c r="N343" s="127" t="s">
        <v>2771</v>
      </c>
      <c r="O343" s="123" t="s">
        <v>2772</v>
      </c>
      <c r="P343" s="131">
        <v>13802996380</v>
      </c>
      <c r="Q343" s="127" t="s">
        <v>2773</v>
      </c>
      <c r="R343">
        <f t="shared" si="11"/>
        <v>3</v>
      </c>
      <c r="S343" s="15" t="s">
        <v>2774</v>
      </c>
    </row>
    <row r="344" spans="1:19" ht="15.75">
      <c r="A344" s="106" t="str">
        <f t="shared" si="10"/>
        <v>nonono</v>
      </c>
      <c r="B344" s="21" t="s">
        <v>2775</v>
      </c>
      <c r="C344" s="15" t="s">
        <v>2776</v>
      </c>
      <c r="D344" s="37" t="s">
        <v>2777</v>
      </c>
      <c r="E344" s="37" t="s">
        <v>261</v>
      </c>
      <c r="F344" s="37">
        <v>1</v>
      </c>
      <c r="G344" s="116">
        <v>1.49</v>
      </c>
      <c r="H344" s="37">
        <v>13</v>
      </c>
      <c r="I344" s="109" t="s">
        <v>262</v>
      </c>
      <c r="J344" s="107" t="s">
        <v>40</v>
      </c>
      <c r="K344" s="107" t="s">
        <v>2571</v>
      </c>
      <c r="L344" s="107">
        <v>13660050609</v>
      </c>
      <c r="M344" s="186" t="s">
        <v>2572</v>
      </c>
      <c r="N344" t="s">
        <v>2571</v>
      </c>
      <c r="O344" s="123" t="s">
        <v>2778</v>
      </c>
      <c r="P344" s="124">
        <v>13500026108</v>
      </c>
      <c r="Q344" t="s">
        <v>2779</v>
      </c>
      <c r="R344">
        <f t="shared" si="11"/>
        <v>3</v>
      </c>
      <c r="S344" s="15" t="s">
        <v>2780</v>
      </c>
    </row>
    <row r="345" spans="1:19" ht="15.75">
      <c r="A345" s="106" t="str">
        <f t="shared" si="10"/>
        <v>nonono</v>
      </c>
      <c r="B345" s="21" t="s">
        <v>2781</v>
      </c>
      <c r="C345" s="15" t="s">
        <v>2782</v>
      </c>
      <c r="D345" s="37" t="s">
        <v>2783</v>
      </c>
      <c r="E345" s="37" t="s">
        <v>261</v>
      </c>
      <c r="F345" s="37">
        <v>1</v>
      </c>
      <c r="G345" s="116">
        <v>1.72</v>
      </c>
      <c r="H345" s="37">
        <v>15</v>
      </c>
      <c r="I345" s="109" t="s">
        <v>262</v>
      </c>
      <c r="J345" s="107" t="s">
        <v>40</v>
      </c>
      <c r="K345" s="107" t="s">
        <v>963</v>
      </c>
      <c r="L345" s="107">
        <v>13609093091</v>
      </c>
      <c r="M345" s="135" t="s">
        <v>964</v>
      </c>
      <c r="N345" t="s">
        <v>963</v>
      </c>
      <c r="O345" s="123" t="s">
        <v>2784</v>
      </c>
      <c r="P345" s="185">
        <v>18810533380</v>
      </c>
      <c r="Q345" t="s">
        <v>2785</v>
      </c>
      <c r="R345">
        <f t="shared" si="11"/>
        <v>3</v>
      </c>
      <c r="S345" s="15" t="s">
        <v>2786</v>
      </c>
    </row>
    <row r="346" spans="1:19" ht="15.75">
      <c r="A346" s="106" t="str">
        <f t="shared" si="10"/>
        <v>nonono</v>
      </c>
      <c r="B346" s="21" t="s">
        <v>2787</v>
      </c>
      <c r="C346" s="15" t="s">
        <v>2788</v>
      </c>
      <c r="D346" s="107" t="s">
        <v>2789</v>
      </c>
      <c r="E346" s="107" t="s">
        <v>281</v>
      </c>
      <c r="F346" s="107">
        <v>1</v>
      </c>
      <c r="G346" s="108">
        <v>2.4</v>
      </c>
      <c r="H346" s="107">
        <v>10</v>
      </c>
      <c r="I346" s="109" t="s">
        <v>1318</v>
      </c>
      <c r="J346" s="107" t="s">
        <v>40</v>
      </c>
      <c r="K346" s="107" t="s">
        <v>2586</v>
      </c>
      <c r="L346" s="107">
        <v>18826088388</v>
      </c>
      <c r="M346" s="187" t="s">
        <v>223</v>
      </c>
      <c r="N346" s="127" t="s">
        <v>2790</v>
      </c>
      <c r="O346" s="123" t="s">
        <v>2791</v>
      </c>
      <c r="P346" s="131">
        <v>13302885222</v>
      </c>
      <c r="Q346" s="127" t="s">
        <v>2792</v>
      </c>
      <c r="R346">
        <f t="shared" si="11"/>
        <v>2</v>
      </c>
      <c r="S346" s="15" t="s">
        <v>2793</v>
      </c>
    </row>
    <row r="347" spans="1:19" ht="15.75">
      <c r="A347" s="106" t="str">
        <f t="shared" si="10"/>
        <v>nonono</v>
      </c>
      <c r="B347" s="21" t="s">
        <v>2794</v>
      </c>
      <c r="C347" s="15" t="s">
        <v>2795</v>
      </c>
      <c r="D347" s="110" t="s">
        <v>2796</v>
      </c>
      <c r="E347" s="107" t="s">
        <v>625</v>
      </c>
      <c r="F347" s="107">
        <v>1</v>
      </c>
      <c r="G347" s="108">
        <v>1.26</v>
      </c>
      <c r="H347" s="107">
        <v>10</v>
      </c>
      <c r="I347" s="109"/>
      <c r="J347" s="110" t="s">
        <v>40</v>
      </c>
      <c r="K347" s="110" t="s">
        <v>2797</v>
      </c>
      <c r="L347" s="107">
        <v>13903289707</v>
      </c>
      <c r="M347" s="110" t="s">
        <v>2798</v>
      </c>
      <c r="N347" s="127" t="s">
        <v>2799</v>
      </c>
      <c r="O347" t="s">
        <v>2798</v>
      </c>
      <c r="P347">
        <v>13903289707</v>
      </c>
      <c r="Q347" s="127" t="s">
        <v>2800</v>
      </c>
      <c r="R347">
        <f t="shared" si="11"/>
        <v>1</v>
      </c>
      <c r="S347" s="15" t="s">
        <v>2801</v>
      </c>
    </row>
    <row r="348" spans="1:19" ht="15.75">
      <c r="A348" s="106" t="str">
        <f t="shared" si="10"/>
        <v>nonono</v>
      </c>
      <c r="B348" s="21" t="s">
        <v>2802</v>
      </c>
      <c r="C348" s="15" t="s">
        <v>2803</v>
      </c>
      <c r="D348" s="110" t="s">
        <v>2804</v>
      </c>
      <c r="E348" s="107" t="s">
        <v>281</v>
      </c>
      <c r="F348" s="107">
        <v>1</v>
      </c>
      <c r="G348" s="108">
        <v>1.04</v>
      </c>
      <c r="H348" s="107">
        <v>12</v>
      </c>
      <c r="I348" s="137" t="s">
        <v>282</v>
      </c>
      <c r="J348" s="110" t="s">
        <v>40</v>
      </c>
      <c r="K348" s="110" t="s">
        <v>2805</v>
      </c>
      <c r="L348" s="107">
        <v>17763969869</v>
      </c>
      <c r="M348" s="110" t="s">
        <v>2806</v>
      </c>
      <c r="N348" s="127" t="s">
        <v>2807</v>
      </c>
      <c r="O348" t="s">
        <v>2806</v>
      </c>
      <c r="P348" s="126">
        <v>17763969869</v>
      </c>
      <c r="Q348" s="127" t="s">
        <v>2808</v>
      </c>
      <c r="R348">
        <f t="shared" si="11"/>
        <v>2</v>
      </c>
      <c r="S348" s="15" t="s">
        <v>2809</v>
      </c>
    </row>
    <row r="349" spans="1:19" ht="15.75">
      <c r="A349" s="106" t="str">
        <f t="shared" si="10"/>
        <v>nonono</v>
      </c>
      <c r="B349" s="21" t="s">
        <v>2810</v>
      </c>
      <c r="C349" s="15" t="s">
        <v>2811</v>
      </c>
      <c r="D349" s="117" t="s">
        <v>2812</v>
      </c>
      <c r="E349" s="37" t="s">
        <v>2813</v>
      </c>
      <c r="F349" s="37">
        <v>1</v>
      </c>
      <c r="G349" s="116">
        <v>1.49</v>
      </c>
      <c r="H349" s="37">
        <v>1</v>
      </c>
      <c r="I349" s="109"/>
      <c r="J349" s="110" t="s">
        <v>103</v>
      </c>
      <c r="K349" s="110" t="s">
        <v>2814</v>
      </c>
      <c r="L349" s="107">
        <v>18802102658</v>
      </c>
      <c r="M349" s="110" t="s">
        <v>2815</v>
      </c>
      <c r="N349" s="127" t="s">
        <v>2816</v>
      </c>
      <c r="O349" t="s">
        <v>2815</v>
      </c>
      <c r="P349" s="126">
        <v>18802102658</v>
      </c>
      <c r="Q349" s="127" t="s">
        <v>2817</v>
      </c>
      <c r="R349">
        <f t="shared" si="11"/>
        <v>1</v>
      </c>
      <c r="S349" s="15" t="s">
        <v>2818</v>
      </c>
    </row>
    <row r="350" spans="1:19" ht="15.75">
      <c r="A350" s="106" t="str">
        <f t="shared" si="10"/>
        <v>nonono</v>
      </c>
      <c r="B350" s="21" t="s">
        <v>2819</v>
      </c>
      <c r="C350" s="15" t="s">
        <v>2820</v>
      </c>
      <c r="D350" s="110" t="s">
        <v>2821</v>
      </c>
      <c r="E350" s="107" t="s">
        <v>201</v>
      </c>
      <c r="F350" s="107">
        <v>1</v>
      </c>
      <c r="G350" s="108">
        <v>1.04</v>
      </c>
      <c r="H350" s="107">
        <v>6</v>
      </c>
      <c r="I350" s="137" t="s">
        <v>944</v>
      </c>
      <c r="J350" s="110" t="s">
        <v>40</v>
      </c>
      <c r="K350" s="110" t="s">
        <v>2822</v>
      </c>
      <c r="L350" s="107">
        <v>13902459079</v>
      </c>
      <c r="M350" s="142" t="s">
        <v>2823</v>
      </c>
      <c r="N350" s="127" t="s">
        <v>2824</v>
      </c>
      <c r="O350" s="123" t="s">
        <v>2825</v>
      </c>
      <c r="P350" s="125">
        <v>13310856425</v>
      </c>
      <c r="Q350" s="127" t="s">
        <v>2826</v>
      </c>
      <c r="R350">
        <f t="shared" si="11"/>
        <v>2</v>
      </c>
      <c r="S350" s="15" t="s">
        <v>2827</v>
      </c>
    </row>
    <row r="351" spans="1:19" ht="15.75">
      <c r="A351" s="106" t="str">
        <f t="shared" si="10"/>
        <v>nonono</v>
      </c>
      <c r="B351" s="21" t="s">
        <v>2828</v>
      </c>
      <c r="C351" s="15" t="s">
        <v>2829</v>
      </c>
      <c r="D351" s="110" t="s">
        <v>2830</v>
      </c>
      <c r="E351" s="107" t="s">
        <v>625</v>
      </c>
      <c r="F351" s="107">
        <v>1</v>
      </c>
      <c r="G351" s="108">
        <v>1.04</v>
      </c>
      <c r="H351" s="107">
        <v>2</v>
      </c>
      <c r="I351" s="109" t="s">
        <v>2831</v>
      </c>
      <c r="J351" s="110" t="s">
        <v>40</v>
      </c>
      <c r="K351" s="110" t="s">
        <v>2832</v>
      </c>
      <c r="L351" s="107">
        <v>13612937458</v>
      </c>
      <c r="M351" s="110" t="s">
        <v>2833</v>
      </c>
      <c r="N351" s="127" t="s">
        <v>2834</v>
      </c>
      <c r="O351" s="123" t="s">
        <v>2835</v>
      </c>
      <c r="P351" s="131">
        <v>18023101010</v>
      </c>
      <c r="Q351" s="127" t="s">
        <v>2836</v>
      </c>
      <c r="R351">
        <f t="shared" si="11"/>
        <v>2</v>
      </c>
      <c r="S351" s="15" t="s">
        <v>2837</v>
      </c>
    </row>
    <row r="352" spans="1:19" ht="15.75">
      <c r="A352" s="106" t="str">
        <f t="shared" si="10"/>
        <v>nonono</v>
      </c>
      <c r="B352" s="21" t="s">
        <v>2838</v>
      </c>
      <c r="C352" s="15" t="s">
        <v>2839</v>
      </c>
      <c r="D352" s="110" t="s">
        <v>2840</v>
      </c>
      <c r="E352" s="107" t="s">
        <v>69</v>
      </c>
      <c r="F352" s="107">
        <v>1</v>
      </c>
      <c r="G352" s="108">
        <v>1.04</v>
      </c>
      <c r="H352" s="107">
        <v>5</v>
      </c>
      <c r="I352" s="109" t="s">
        <v>2841</v>
      </c>
      <c r="J352" s="110" t="s">
        <v>40</v>
      </c>
      <c r="K352" s="110" t="s">
        <v>832</v>
      </c>
      <c r="L352" s="107">
        <v>13957852776</v>
      </c>
      <c r="M352" s="137" t="s">
        <v>833</v>
      </c>
      <c r="N352" s="127" t="s">
        <v>2842</v>
      </c>
      <c r="O352" s="123" t="s">
        <v>2843</v>
      </c>
      <c r="P352" s="131">
        <v>13859995588</v>
      </c>
      <c r="Q352" s="127" t="s">
        <v>2844</v>
      </c>
      <c r="R352">
        <f t="shared" si="11"/>
        <v>4</v>
      </c>
      <c r="S352" s="15" t="s">
        <v>2845</v>
      </c>
    </row>
    <row r="353" spans="1:19" ht="15.75">
      <c r="A353" s="106" t="str">
        <f t="shared" si="10"/>
        <v>nonono</v>
      </c>
      <c r="B353" s="21" t="s">
        <v>2846</v>
      </c>
      <c r="C353" s="15" t="s">
        <v>2847</v>
      </c>
      <c r="D353" s="173" t="s">
        <v>2848</v>
      </c>
      <c r="E353" s="109" t="s">
        <v>1727</v>
      </c>
      <c r="F353" s="107">
        <v>1</v>
      </c>
      <c r="G353" s="108">
        <v>2.4</v>
      </c>
      <c r="H353" s="109">
        <v>12</v>
      </c>
      <c r="I353" s="109" t="s">
        <v>2849</v>
      </c>
      <c r="J353" s="110" t="s">
        <v>40</v>
      </c>
      <c r="K353" s="110" t="s">
        <v>71</v>
      </c>
      <c r="L353" s="107">
        <v>13539989686</v>
      </c>
      <c r="M353" s="142" t="s">
        <v>2850</v>
      </c>
      <c r="N353" t="s">
        <v>71</v>
      </c>
      <c r="O353" t="s">
        <v>2850</v>
      </c>
      <c r="P353">
        <v>13539989686</v>
      </c>
      <c r="Q353" t="s">
        <v>2851</v>
      </c>
      <c r="R353">
        <f t="shared" si="11"/>
        <v>3</v>
      </c>
      <c r="S353" s="15" t="s">
        <v>2852</v>
      </c>
    </row>
    <row r="354" spans="1:19" ht="15.75">
      <c r="A354" s="106" t="str">
        <f t="shared" si="10"/>
        <v>nonono</v>
      </c>
      <c r="B354" s="21" t="s">
        <v>2853</v>
      </c>
      <c r="C354" s="15" t="s">
        <v>2854</v>
      </c>
      <c r="D354" s="110" t="s">
        <v>1737</v>
      </c>
      <c r="E354" s="107" t="s">
        <v>625</v>
      </c>
      <c r="F354" s="107">
        <v>1</v>
      </c>
      <c r="G354" s="108">
        <v>1.49</v>
      </c>
      <c r="H354" s="107">
        <v>3</v>
      </c>
      <c r="I354" s="109"/>
      <c r="J354" s="110" t="s">
        <v>40</v>
      </c>
      <c r="K354" s="141" t="s">
        <v>392</v>
      </c>
      <c r="L354" s="107">
        <v>18918016978</v>
      </c>
      <c r="M354" s="117" t="s">
        <v>393</v>
      </c>
      <c r="N354" t="s">
        <v>392</v>
      </c>
      <c r="O354" s="123" t="s">
        <v>2855</v>
      </c>
      <c r="P354" s="131">
        <v>18616517353</v>
      </c>
      <c r="Q354" t="s">
        <v>2856</v>
      </c>
      <c r="R354">
        <f t="shared" si="11"/>
        <v>4</v>
      </c>
      <c r="S354" s="15" t="s">
        <v>2857</v>
      </c>
    </row>
    <row r="355" spans="1:19" ht="15.75">
      <c r="A355" s="106" t="str">
        <f t="shared" si="10"/>
        <v>nonono</v>
      </c>
      <c r="B355" s="21" t="s">
        <v>2858</v>
      </c>
      <c r="C355" s="15" t="s">
        <v>2859</v>
      </c>
      <c r="D355" s="110" t="s">
        <v>2860</v>
      </c>
      <c r="E355" s="107" t="s">
        <v>1317</v>
      </c>
      <c r="F355" s="107">
        <v>1</v>
      </c>
      <c r="G355" s="108">
        <v>3.08</v>
      </c>
      <c r="H355" s="107">
        <v>6</v>
      </c>
      <c r="I355" s="137" t="s">
        <v>282</v>
      </c>
      <c r="J355" s="110" t="s">
        <v>293</v>
      </c>
      <c r="K355" s="117" t="s">
        <v>1745</v>
      </c>
      <c r="L355" s="107">
        <v>13953750669</v>
      </c>
      <c r="M355" s="110" t="s">
        <v>1746</v>
      </c>
      <c r="N355" t="s">
        <v>1745</v>
      </c>
      <c r="O355" t="s">
        <v>1746</v>
      </c>
      <c r="P355" s="126">
        <v>13953750669</v>
      </c>
      <c r="Q355" t="s">
        <v>2861</v>
      </c>
      <c r="R355">
        <f t="shared" si="11"/>
        <v>2</v>
      </c>
      <c r="S355" s="15" t="s">
        <v>2862</v>
      </c>
    </row>
    <row r="356" spans="1:19" ht="15.75">
      <c r="A356" s="106" t="str">
        <f t="shared" si="10"/>
        <v>nonono</v>
      </c>
      <c r="B356" s="21" t="s">
        <v>2863</v>
      </c>
      <c r="C356" s="15" t="s">
        <v>2864</v>
      </c>
      <c r="D356" s="117" t="s">
        <v>2865</v>
      </c>
      <c r="E356" s="107" t="s">
        <v>201</v>
      </c>
      <c r="F356" s="107">
        <v>1</v>
      </c>
      <c r="G356" s="108">
        <v>1.26</v>
      </c>
      <c r="H356" s="107">
        <v>11</v>
      </c>
      <c r="I356" s="137" t="s">
        <v>944</v>
      </c>
      <c r="J356" s="110" t="s">
        <v>40</v>
      </c>
      <c r="K356" s="117" t="s">
        <v>1754</v>
      </c>
      <c r="L356" s="107">
        <v>13003387219</v>
      </c>
      <c r="M356" s="135" t="s">
        <v>1755</v>
      </c>
      <c r="N356" s="127" t="s">
        <v>2866</v>
      </c>
      <c r="O356" s="123" t="s">
        <v>2867</v>
      </c>
      <c r="P356" s="124">
        <v>13961826200</v>
      </c>
      <c r="Q356" s="127" t="s">
        <v>2868</v>
      </c>
      <c r="R356">
        <f t="shared" si="11"/>
        <v>3</v>
      </c>
      <c r="S356" s="15" t="s">
        <v>2869</v>
      </c>
    </row>
    <row r="357" spans="1:19" ht="15.75">
      <c r="A357" s="106" t="str">
        <f t="shared" si="10"/>
        <v>nonono</v>
      </c>
      <c r="B357" s="21" t="s">
        <v>2870</v>
      </c>
      <c r="C357" s="15" t="s">
        <v>2871</v>
      </c>
      <c r="D357" s="110" t="s">
        <v>2872</v>
      </c>
      <c r="E357" s="107" t="s">
        <v>2873</v>
      </c>
      <c r="F357" s="107">
        <v>1</v>
      </c>
      <c r="G357" s="108">
        <v>0.81</v>
      </c>
      <c r="H357" s="107">
        <v>2</v>
      </c>
      <c r="I357" s="109" t="s">
        <v>2874</v>
      </c>
      <c r="J357" s="110" t="s">
        <v>29</v>
      </c>
      <c r="K357" s="117" t="s">
        <v>2875</v>
      </c>
      <c r="L357" s="107">
        <v>13507981171</v>
      </c>
      <c r="M357" s="110" t="s">
        <v>2876</v>
      </c>
      <c r="N357" s="127" t="s">
        <v>2877</v>
      </c>
      <c r="O357" t="s">
        <v>2876</v>
      </c>
      <c r="P357">
        <v>13507981171</v>
      </c>
      <c r="Q357" s="127" t="s">
        <v>2878</v>
      </c>
      <c r="R357">
        <f t="shared" si="11"/>
        <v>1</v>
      </c>
      <c r="S357" s="15" t="s">
        <v>2879</v>
      </c>
    </row>
    <row r="358" spans="1:19" ht="15.75">
      <c r="A358" s="106" t="str">
        <f t="shared" si="10"/>
        <v>nonono</v>
      </c>
      <c r="B358" s="21" t="s">
        <v>2880</v>
      </c>
      <c r="C358" s="15" t="s">
        <v>2881</v>
      </c>
      <c r="D358" s="110" t="s">
        <v>2882</v>
      </c>
      <c r="E358" s="107" t="s">
        <v>1112</v>
      </c>
      <c r="F358" s="107">
        <v>1</v>
      </c>
      <c r="G358" s="108">
        <v>1.26</v>
      </c>
      <c r="H358" s="107">
        <v>10</v>
      </c>
      <c r="I358" s="137" t="s">
        <v>391</v>
      </c>
      <c r="J358" s="110" t="s">
        <v>29</v>
      </c>
      <c r="K358" s="110" t="s">
        <v>1773</v>
      </c>
      <c r="L358" s="107">
        <v>13916274801</v>
      </c>
      <c r="M358" s="110" t="s">
        <v>1774</v>
      </c>
      <c r="N358" t="s">
        <v>1773</v>
      </c>
      <c r="O358" s="123" t="s">
        <v>2883</v>
      </c>
      <c r="P358" s="134">
        <v>13501643756</v>
      </c>
      <c r="Q358" t="s">
        <v>2884</v>
      </c>
      <c r="R358">
        <f t="shared" si="11"/>
        <v>3</v>
      </c>
      <c r="S358" s="15" t="s">
        <v>2885</v>
      </c>
    </row>
    <row r="359" spans="1:19" ht="15.75">
      <c r="A359" s="106" t="str">
        <f t="shared" si="10"/>
        <v>nonono</v>
      </c>
      <c r="B359" s="21" t="s">
        <v>2886</v>
      </c>
      <c r="C359" s="15" t="s">
        <v>2887</v>
      </c>
      <c r="D359" s="117" t="s">
        <v>2888</v>
      </c>
      <c r="E359" s="107" t="s">
        <v>69</v>
      </c>
      <c r="F359" s="107">
        <v>1</v>
      </c>
      <c r="G359" s="108">
        <v>1.04</v>
      </c>
      <c r="H359" s="107">
        <v>12</v>
      </c>
      <c r="I359" s="109" t="s">
        <v>2889</v>
      </c>
      <c r="J359" s="110" t="s">
        <v>40</v>
      </c>
      <c r="K359" s="110" t="s">
        <v>2890</v>
      </c>
      <c r="L359" s="107">
        <v>13888168809</v>
      </c>
      <c r="M359" s="110" t="s">
        <v>2891</v>
      </c>
      <c r="N359" t="s">
        <v>2890</v>
      </c>
      <c r="O359" t="s">
        <v>2891</v>
      </c>
      <c r="P359">
        <v>13888168809</v>
      </c>
      <c r="Q359" t="s">
        <v>2892</v>
      </c>
      <c r="R359">
        <f t="shared" si="11"/>
        <v>1</v>
      </c>
      <c r="S359" s="15" t="s">
        <v>2893</v>
      </c>
    </row>
    <row r="360" spans="1:19" ht="15.75">
      <c r="A360" s="106" t="str">
        <f t="shared" si="10"/>
        <v>nonono</v>
      </c>
      <c r="B360" s="21" t="s">
        <v>2894</v>
      </c>
      <c r="C360" s="15" t="s">
        <v>2895</v>
      </c>
      <c r="D360" s="110" t="s">
        <v>2896</v>
      </c>
      <c r="E360" s="107" t="s">
        <v>69</v>
      </c>
      <c r="F360" s="107">
        <v>1</v>
      </c>
      <c r="G360" s="108">
        <v>0.57999999999999996</v>
      </c>
      <c r="H360" s="107">
        <v>12</v>
      </c>
      <c r="I360" s="109" t="s">
        <v>2897</v>
      </c>
      <c r="J360" s="110" t="s">
        <v>40</v>
      </c>
      <c r="K360" s="110" t="s">
        <v>2898</v>
      </c>
      <c r="L360" s="107">
        <v>13920778344</v>
      </c>
      <c r="M360" s="110" t="s">
        <v>2899</v>
      </c>
      <c r="N360" t="s">
        <v>2898</v>
      </c>
      <c r="O360" t="s">
        <v>2899</v>
      </c>
      <c r="P360" s="126">
        <v>13920778344</v>
      </c>
      <c r="Q360" t="s">
        <v>2900</v>
      </c>
      <c r="R360">
        <f t="shared" si="11"/>
        <v>1</v>
      </c>
      <c r="S360" s="15" t="s">
        <v>2901</v>
      </c>
    </row>
    <row r="361" spans="1:19" ht="15.75">
      <c r="A361" s="106" t="str">
        <f t="shared" si="10"/>
        <v>nonono</v>
      </c>
      <c r="B361" s="21" t="s">
        <v>2902</v>
      </c>
      <c r="C361" s="15" t="s">
        <v>2903</v>
      </c>
      <c r="D361" s="110" t="s">
        <v>2904</v>
      </c>
      <c r="E361" s="107" t="s">
        <v>281</v>
      </c>
      <c r="F361" s="107">
        <v>1</v>
      </c>
      <c r="G361" s="108">
        <v>1.26</v>
      </c>
      <c r="H361" s="107">
        <v>12</v>
      </c>
      <c r="I361" s="109" t="s">
        <v>2905</v>
      </c>
      <c r="J361" s="110" t="s">
        <v>40</v>
      </c>
      <c r="K361" s="110" t="s">
        <v>2906</v>
      </c>
      <c r="L361" s="107">
        <v>15912146261</v>
      </c>
      <c r="M361" s="110" t="s">
        <v>441</v>
      </c>
      <c r="N361" t="s">
        <v>2906</v>
      </c>
      <c r="O361" s="123" t="s">
        <v>2907</v>
      </c>
      <c r="P361" s="134">
        <v>18908899199</v>
      </c>
      <c r="Q361" t="s">
        <v>2908</v>
      </c>
      <c r="R361">
        <f t="shared" si="11"/>
        <v>1</v>
      </c>
      <c r="S361" s="15" t="s">
        <v>2909</v>
      </c>
    </row>
    <row r="362" spans="1:19" ht="15.75">
      <c r="A362" s="106" t="str">
        <f t="shared" si="10"/>
        <v>nonono</v>
      </c>
      <c r="B362" s="21" t="s">
        <v>2910</v>
      </c>
      <c r="C362" s="15" t="s">
        <v>2911</v>
      </c>
      <c r="D362" s="110" t="s">
        <v>291</v>
      </c>
      <c r="E362" s="107" t="s">
        <v>292</v>
      </c>
      <c r="F362" s="107">
        <v>1</v>
      </c>
      <c r="G362" s="108">
        <v>1.04</v>
      </c>
      <c r="H362" s="107">
        <v>1</v>
      </c>
      <c r="I362" s="109"/>
      <c r="J362" s="110" t="s">
        <v>293</v>
      </c>
      <c r="K362" s="117" t="s">
        <v>2912</v>
      </c>
      <c r="L362" s="37">
        <v>17708569992</v>
      </c>
      <c r="M362" s="23" t="s">
        <v>2913</v>
      </c>
      <c r="N362" s="127" t="s">
        <v>2914</v>
      </c>
      <c r="O362" t="s">
        <v>2913</v>
      </c>
      <c r="P362">
        <v>17708569992</v>
      </c>
      <c r="Q362" s="127" t="s">
        <v>2915</v>
      </c>
      <c r="R362">
        <f t="shared" si="11"/>
        <v>1</v>
      </c>
      <c r="S362" s="15" t="s">
        <v>2916</v>
      </c>
    </row>
    <row r="363" spans="1:19" ht="15.75">
      <c r="A363" s="106" t="str">
        <f t="shared" si="10"/>
        <v>nonono</v>
      </c>
      <c r="B363" s="21" t="s">
        <v>2917</v>
      </c>
      <c r="C363" s="15" t="s">
        <v>2918</v>
      </c>
      <c r="D363" s="110" t="s">
        <v>2919</v>
      </c>
      <c r="E363" s="107" t="s">
        <v>2920</v>
      </c>
      <c r="F363" s="107">
        <v>1</v>
      </c>
      <c r="G363" s="108">
        <v>0.81</v>
      </c>
      <c r="H363" s="107">
        <v>1</v>
      </c>
      <c r="I363" s="109"/>
      <c r="J363" s="110" t="s">
        <v>304</v>
      </c>
      <c r="K363" s="110" t="s">
        <v>2921</v>
      </c>
      <c r="L363" s="107">
        <v>18610876113</v>
      </c>
      <c r="M363" s="142" t="s">
        <v>2922</v>
      </c>
      <c r="N363" t="s">
        <v>2921</v>
      </c>
      <c r="O363" t="s">
        <v>2922</v>
      </c>
      <c r="P363">
        <v>18610876113</v>
      </c>
      <c r="Q363" t="s">
        <v>2923</v>
      </c>
      <c r="R363">
        <f t="shared" si="11"/>
        <v>1</v>
      </c>
      <c r="S363" s="15" t="s">
        <v>2924</v>
      </c>
    </row>
    <row r="364" spans="1:19" ht="15.75">
      <c r="A364" s="106" t="str">
        <f t="shared" si="10"/>
        <v>nonono</v>
      </c>
      <c r="B364" s="21" t="s">
        <v>2925</v>
      </c>
      <c r="C364" s="15" t="s">
        <v>2926</v>
      </c>
      <c r="D364" s="110" t="s">
        <v>2927</v>
      </c>
      <c r="E364" s="107" t="s">
        <v>678</v>
      </c>
      <c r="F364" s="107">
        <v>1</v>
      </c>
      <c r="G364" s="108">
        <v>0.35</v>
      </c>
      <c r="H364" s="107">
        <v>3</v>
      </c>
      <c r="I364" s="137" t="s">
        <v>282</v>
      </c>
      <c r="J364" s="110" t="s">
        <v>103</v>
      </c>
      <c r="K364" s="110" t="s">
        <v>2928</v>
      </c>
      <c r="L364" s="107">
        <v>18503751010</v>
      </c>
      <c r="M364" s="110" t="s">
        <v>2929</v>
      </c>
      <c r="N364" t="s">
        <v>2928</v>
      </c>
      <c r="O364" t="s">
        <v>2929</v>
      </c>
      <c r="P364">
        <v>18503751010</v>
      </c>
      <c r="Q364" t="s">
        <v>2930</v>
      </c>
      <c r="R364">
        <f t="shared" si="11"/>
        <v>1</v>
      </c>
      <c r="S364" s="15" t="s">
        <v>2931</v>
      </c>
    </row>
    <row r="365" spans="1:19" ht="15.75">
      <c r="A365" s="106" t="str">
        <f t="shared" si="10"/>
        <v>nonono</v>
      </c>
      <c r="B365" s="21" t="s">
        <v>2932</v>
      </c>
      <c r="C365" s="15" t="s">
        <v>2933</v>
      </c>
      <c r="D365" s="110" t="s">
        <v>2934</v>
      </c>
      <c r="E365" s="107" t="s">
        <v>678</v>
      </c>
      <c r="F365" s="107">
        <v>1</v>
      </c>
      <c r="G365" s="108">
        <v>0.81</v>
      </c>
      <c r="H365" s="107">
        <v>5</v>
      </c>
      <c r="I365" s="137" t="s">
        <v>282</v>
      </c>
      <c r="J365" s="110" t="s">
        <v>103</v>
      </c>
      <c r="K365" s="110" t="s">
        <v>2935</v>
      </c>
      <c r="L365" s="107">
        <v>13570987021</v>
      </c>
      <c r="M365" s="110" t="s">
        <v>2936</v>
      </c>
      <c r="N365" t="s">
        <v>2935</v>
      </c>
      <c r="O365" t="s">
        <v>2936</v>
      </c>
      <c r="P365">
        <v>13570987021</v>
      </c>
      <c r="Q365" t="s">
        <v>2937</v>
      </c>
      <c r="R365">
        <f t="shared" si="11"/>
        <v>1</v>
      </c>
      <c r="S365" s="15" t="s">
        <v>2938</v>
      </c>
    </row>
    <row r="366" spans="1:19" ht="15.75">
      <c r="A366" s="106" t="str">
        <f t="shared" si="10"/>
        <v>nonono</v>
      </c>
      <c r="B366" s="21" t="s">
        <v>2939</v>
      </c>
      <c r="C366" s="15" t="s">
        <v>2940</v>
      </c>
      <c r="D366" s="110" t="s">
        <v>2941</v>
      </c>
      <c r="E366" s="107" t="s">
        <v>1831</v>
      </c>
      <c r="F366" s="107">
        <v>1</v>
      </c>
      <c r="G366" s="108">
        <v>0.81</v>
      </c>
      <c r="H366" s="107">
        <v>4</v>
      </c>
      <c r="I366" s="137" t="s">
        <v>430</v>
      </c>
      <c r="J366" s="110" t="s">
        <v>103</v>
      </c>
      <c r="K366" s="110" t="s">
        <v>2942</v>
      </c>
      <c r="L366" s="107">
        <v>13308000822</v>
      </c>
      <c r="M366" s="142" t="s">
        <v>2943</v>
      </c>
      <c r="N366" s="127" t="s">
        <v>2944</v>
      </c>
      <c r="O366" t="s">
        <v>2943</v>
      </c>
      <c r="P366" s="126">
        <v>13308000822</v>
      </c>
      <c r="Q366" s="127" t="s">
        <v>2945</v>
      </c>
      <c r="R366">
        <f t="shared" si="11"/>
        <v>1</v>
      </c>
      <c r="S366" s="15" t="s">
        <v>2946</v>
      </c>
    </row>
    <row r="367" spans="1:19" ht="15.75">
      <c r="A367" s="106" t="str">
        <f t="shared" si="10"/>
        <v>nonono</v>
      </c>
      <c r="B367" s="21" t="s">
        <v>2947</v>
      </c>
      <c r="C367" s="31" t="s">
        <v>2948</v>
      </c>
      <c r="D367" s="37" t="s">
        <v>1543</v>
      </c>
      <c r="E367" s="37" t="s">
        <v>1533</v>
      </c>
      <c r="F367" s="37">
        <v>1</v>
      </c>
      <c r="G367" s="116">
        <v>1.49</v>
      </c>
      <c r="H367" s="37">
        <v>15</v>
      </c>
      <c r="I367" s="37" t="s">
        <v>1534</v>
      </c>
      <c r="J367" s="117" t="s">
        <v>40</v>
      </c>
      <c r="K367" s="171" t="s">
        <v>2949</v>
      </c>
      <c r="L367" s="171">
        <v>16609167957</v>
      </c>
      <c r="M367" s="171" t="s">
        <v>2950</v>
      </c>
      <c r="N367" s="127" t="s">
        <v>2951</v>
      </c>
      <c r="O367" t="s">
        <v>2950</v>
      </c>
      <c r="P367" s="126">
        <v>16609167957</v>
      </c>
      <c r="Q367" s="127" t="s">
        <v>2952</v>
      </c>
      <c r="R367">
        <f t="shared" si="11"/>
        <v>1</v>
      </c>
      <c r="S367" s="15" t="s">
        <v>2953</v>
      </c>
    </row>
    <row r="368" spans="1:19" ht="15.75">
      <c r="A368" s="106" t="str">
        <f t="shared" si="10"/>
        <v>nonono</v>
      </c>
      <c r="B368" s="21" t="s">
        <v>2954</v>
      </c>
      <c r="C368" s="32" t="s">
        <v>2955</v>
      </c>
      <c r="D368" s="37" t="s">
        <v>1551</v>
      </c>
      <c r="E368" s="37" t="s">
        <v>1552</v>
      </c>
      <c r="F368" s="37">
        <v>1</v>
      </c>
      <c r="G368" s="116">
        <v>1.95</v>
      </c>
      <c r="H368" s="107">
        <v>15</v>
      </c>
      <c r="I368" s="37" t="s">
        <v>1553</v>
      </c>
      <c r="J368" s="110" t="s">
        <v>40</v>
      </c>
      <c r="K368" s="171" t="s">
        <v>2956</v>
      </c>
      <c r="L368" s="171">
        <v>13050379788</v>
      </c>
      <c r="M368" s="171" t="s">
        <v>2957</v>
      </c>
      <c r="N368" s="127" t="s">
        <v>2958</v>
      </c>
      <c r="O368" s="123" t="s">
        <v>2959</v>
      </c>
      <c r="P368" s="128">
        <v>15004156612</v>
      </c>
      <c r="Q368" s="127" t="s">
        <v>2960</v>
      </c>
      <c r="R368">
        <f t="shared" si="11"/>
        <v>4</v>
      </c>
      <c r="S368" s="15" t="s">
        <v>2961</v>
      </c>
    </row>
    <row r="369" spans="1:19" ht="15.75">
      <c r="A369" s="106" t="str">
        <f t="shared" si="10"/>
        <v>nonono</v>
      </c>
      <c r="B369" s="21" t="s">
        <v>2962</v>
      </c>
      <c r="C369" s="24" t="s">
        <v>2963</v>
      </c>
      <c r="D369" s="37" t="s">
        <v>2964</v>
      </c>
      <c r="E369" s="37" t="s">
        <v>2965</v>
      </c>
      <c r="F369" s="107">
        <v>1</v>
      </c>
      <c r="G369" s="108">
        <v>1.26</v>
      </c>
      <c r="H369" s="107">
        <v>15</v>
      </c>
      <c r="I369" s="37" t="s">
        <v>2966</v>
      </c>
      <c r="J369" s="110" t="s">
        <v>40</v>
      </c>
      <c r="K369" s="171" t="s">
        <v>2956</v>
      </c>
      <c r="L369" s="171">
        <v>13050379788</v>
      </c>
      <c r="M369" s="171" t="s">
        <v>2957</v>
      </c>
      <c r="N369" t="s">
        <v>2956</v>
      </c>
      <c r="O369" s="123" t="s">
        <v>2967</v>
      </c>
      <c r="P369" s="131">
        <v>13941535202</v>
      </c>
      <c r="Q369" t="s">
        <v>2968</v>
      </c>
      <c r="R369">
        <f t="shared" si="11"/>
        <v>4</v>
      </c>
      <c r="S369" s="15" t="s">
        <v>2969</v>
      </c>
    </row>
    <row r="370" spans="1:19" ht="15.75">
      <c r="A370" s="106" t="str">
        <f t="shared" si="10"/>
        <v>nonono</v>
      </c>
      <c r="B370" s="21" t="s">
        <v>2970</v>
      </c>
      <c r="C370" s="20" t="s">
        <v>2971</v>
      </c>
      <c r="D370" s="137" t="s">
        <v>2972</v>
      </c>
      <c r="E370" s="107" t="s">
        <v>2973</v>
      </c>
      <c r="F370" s="107">
        <v>1</v>
      </c>
      <c r="G370" s="108">
        <v>2.63</v>
      </c>
      <c r="H370" s="107">
        <v>13</v>
      </c>
      <c r="I370" s="109" t="s">
        <v>1318</v>
      </c>
      <c r="J370" s="107" t="s">
        <v>40</v>
      </c>
      <c r="K370" s="107" t="s">
        <v>1571</v>
      </c>
      <c r="L370" s="107">
        <v>18603577666</v>
      </c>
      <c r="M370" s="107" t="s">
        <v>1572</v>
      </c>
      <c r="N370" s="127" t="s">
        <v>2974</v>
      </c>
      <c r="O370" t="s">
        <v>1572</v>
      </c>
      <c r="P370">
        <v>18603577666</v>
      </c>
      <c r="Q370" s="127" t="s">
        <v>2975</v>
      </c>
      <c r="R370">
        <f t="shared" si="11"/>
        <v>2</v>
      </c>
      <c r="S370" s="15" t="s">
        <v>2976</v>
      </c>
    </row>
    <row r="371" spans="1:19" ht="15.75">
      <c r="A371" s="106" t="str">
        <f t="shared" si="10"/>
        <v>nonono</v>
      </c>
      <c r="B371" s="21" t="s">
        <v>2977</v>
      </c>
      <c r="C371" s="15" t="s">
        <v>2978</v>
      </c>
      <c r="D371" s="117" t="s">
        <v>291</v>
      </c>
      <c r="E371" s="37" t="s">
        <v>292</v>
      </c>
      <c r="F371" s="37">
        <v>1</v>
      </c>
      <c r="G371" s="116">
        <v>0.81</v>
      </c>
      <c r="H371" s="37">
        <v>1</v>
      </c>
      <c r="I371" s="109"/>
      <c r="J371" s="110" t="s">
        <v>293</v>
      </c>
      <c r="K371" s="117" t="s">
        <v>2979</v>
      </c>
      <c r="L371" s="37">
        <v>15928276248</v>
      </c>
      <c r="M371" s="23" t="s">
        <v>2980</v>
      </c>
      <c r="N371" s="127" t="s">
        <v>2981</v>
      </c>
      <c r="O371" t="s">
        <v>2980</v>
      </c>
      <c r="P371">
        <v>15928276248</v>
      </c>
      <c r="Q371" s="127" t="s">
        <v>2982</v>
      </c>
      <c r="R371">
        <f t="shared" si="11"/>
        <v>1</v>
      </c>
      <c r="S371" s="15" t="s">
        <v>2983</v>
      </c>
    </row>
    <row r="372" spans="1:19" ht="15.75">
      <c r="A372" s="106" t="str">
        <f t="shared" si="10"/>
        <v>nonono</v>
      </c>
      <c r="B372" s="21" t="s">
        <v>2984</v>
      </c>
      <c r="C372" s="15" t="s">
        <v>2985</v>
      </c>
      <c r="D372" s="110" t="s">
        <v>291</v>
      </c>
      <c r="E372" s="37" t="s">
        <v>292</v>
      </c>
      <c r="F372" s="107">
        <v>1</v>
      </c>
      <c r="G372" s="108">
        <v>0.81</v>
      </c>
      <c r="H372" s="107">
        <v>1</v>
      </c>
      <c r="I372" s="109"/>
      <c r="J372" s="110" t="s">
        <v>293</v>
      </c>
      <c r="K372" s="117" t="s">
        <v>2986</v>
      </c>
      <c r="L372" s="37">
        <v>13424983243</v>
      </c>
      <c r="M372" s="23" t="s">
        <v>2987</v>
      </c>
      <c r="N372" s="127" t="s">
        <v>2988</v>
      </c>
      <c r="O372" t="s">
        <v>2987</v>
      </c>
      <c r="P372" s="126">
        <v>13424983243</v>
      </c>
      <c r="Q372" s="127" t="s">
        <v>2989</v>
      </c>
      <c r="R372">
        <f t="shared" si="11"/>
        <v>1</v>
      </c>
      <c r="S372" s="15" t="s">
        <v>2990</v>
      </c>
    </row>
    <row r="373" spans="1:19" ht="15.75">
      <c r="A373" s="106" t="str">
        <f t="shared" si="10"/>
        <v>nonono</v>
      </c>
      <c r="B373" s="21" t="s">
        <v>2991</v>
      </c>
      <c r="C373" s="15" t="s">
        <v>2992</v>
      </c>
      <c r="D373" s="110" t="s">
        <v>2993</v>
      </c>
      <c r="E373" s="107" t="s">
        <v>2994</v>
      </c>
      <c r="F373" s="107">
        <v>1</v>
      </c>
      <c r="G373" s="108">
        <v>1.04</v>
      </c>
      <c r="H373" s="107">
        <v>3</v>
      </c>
      <c r="I373" s="137" t="s">
        <v>402</v>
      </c>
      <c r="J373" s="110" t="s">
        <v>293</v>
      </c>
      <c r="K373" s="117" t="s">
        <v>1815</v>
      </c>
      <c r="L373" s="37">
        <v>18989912818</v>
      </c>
      <c r="M373" s="23" t="s">
        <v>2995</v>
      </c>
      <c r="N373" t="s">
        <v>1815</v>
      </c>
      <c r="O373" t="s">
        <v>2995</v>
      </c>
      <c r="P373" s="126">
        <v>18989912818</v>
      </c>
      <c r="Q373" t="s">
        <v>2996</v>
      </c>
      <c r="R373">
        <f t="shared" si="11"/>
        <v>2</v>
      </c>
      <c r="S373" s="15" t="s">
        <v>2997</v>
      </c>
    </row>
    <row r="374" spans="1:19" ht="15.75">
      <c r="A374" s="106" t="str">
        <f t="shared" si="10"/>
        <v>nonono</v>
      </c>
      <c r="B374" s="21" t="s">
        <v>2998</v>
      </c>
      <c r="C374" s="15" t="s">
        <v>2999</v>
      </c>
      <c r="D374" s="110" t="s">
        <v>291</v>
      </c>
      <c r="E374" s="107" t="s">
        <v>292</v>
      </c>
      <c r="F374" s="107">
        <v>1</v>
      </c>
      <c r="G374" s="108">
        <v>1.04</v>
      </c>
      <c r="H374" s="107">
        <v>1</v>
      </c>
      <c r="I374" s="109"/>
      <c r="J374" s="110" t="s">
        <v>293</v>
      </c>
      <c r="K374" s="117" t="s">
        <v>3000</v>
      </c>
      <c r="L374" s="37">
        <v>13992663666</v>
      </c>
      <c r="M374" s="23" t="s">
        <v>3001</v>
      </c>
      <c r="N374" t="s">
        <v>3000</v>
      </c>
      <c r="O374" t="s">
        <v>3001</v>
      </c>
      <c r="P374" s="126">
        <v>13992663666</v>
      </c>
      <c r="Q374" t="s">
        <v>3002</v>
      </c>
      <c r="R374">
        <f t="shared" si="11"/>
        <v>1</v>
      </c>
      <c r="S374" s="15" t="s">
        <v>3003</v>
      </c>
    </row>
    <row r="375" spans="1:19" ht="15.75">
      <c r="A375" s="106" t="str">
        <f t="shared" si="10"/>
        <v>nonono</v>
      </c>
      <c r="B375" s="21" t="s">
        <v>3004</v>
      </c>
      <c r="C375" s="15" t="s">
        <v>3005</v>
      </c>
      <c r="D375" s="110" t="s">
        <v>3006</v>
      </c>
      <c r="E375" s="37" t="s">
        <v>261</v>
      </c>
      <c r="F375" s="107">
        <v>1</v>
      </c>
      <c r="G375" s="108">
        <v>1.26</v>
      </c>
      <c r="H375" s="107">
        <v>6</v>
      </c>
      <c r="I375" s="137" t="s">
        <v>3007</v>
      </c>
      <c r="J375" s="110" t="s">
        <v>40</v>
      </c>
      <c r="K375" s="110" t="s">
        <v>3008</v>
      </c>
      <c r="L375" s="107">
        <v>15921321269</v>
      </c>
      <c r="M375" s="142" t="s">
        <v>3009</v>
      </c>
      <c r="N375" t="s">
        <v>3008</v>
      </c>
      <c r="O375" t="s">
        <v>3009</v>
      </c>
      <c r="P375" s="126">
        <v>15921321269</v>
      </c>
      <c r="Q375" t="s">
        <v>3010</v>
      </c>
      <c r="R375">
        <f t="shared" si="11"/>
        <v>1</v>
      </c>
      <c r="S375" s="15" t="s">
        <v>3011</v>
      </c>
    </row>
    <row r="376" spans="1:19" ht="15.75">
      <c r="A376" s="106" t="str">
        <f t="shared" si="10"/>
        <v>nonono</v>
      </c>
      <c r="B376" s="21" t="s">
        <v>3012</v>
      </c>
      <c r="C376" s="15" t="s">
        <v>3013</v>
      </c>
      <c r="D376" s="110" t="s">
        <v>3014</v>
      </c>
      <c r="E376" s="37" t="s">
        <v>281</v>
      </c>
      <c r="F376" s="107">
        <v>1</v>
      </c>
      <c r="G376" s="108">
        <v>1.04</v>
      </c>
      <c r="H376" s="107">
        <v>13</v>
      </c>
      <c r="I376" s="109" t="s">
        <v>3015</v>
      </c>
      <c r="J376" s="110" t="s">
        <v>40</v>
      </c>
      <c r="K376" s="110" t="s">
        <v>3016</v>
      </c>
      <c r="L376" s="107">
        <v>13501183378</v>
      </c>
      <c r="M376" s="142" t="s">
        <v>3017</v>
      </c>
      <c r="N376" t="s">
        <v>3016</v>
      </c>
      <c r="O376" t="s">
        <v>3017</v>
      </c>
      <c r="P376" s="126">
        <v>13501183378</v>
      </c>
      <c r="Q376" t="s">
        <v>3018</v>
      </c>
      <c r="R376">
        <f t="shared" si="11"/>
        <v>1</v>
      </c>
      <c r="S376" s="15" t="s">
        <v>3019</v>
      </c>
    </row>
    <row r="377" spans="1:19" ht="15.75">
      <c r="A377" s="106" t="str">
        <f t="shared" si="10"/>
        <v>nonono</v>
      </c>
      <c r="B377" s="21" t="s">
        <v>3020</v>
      </c>
      <c r="C377" s="15" t="s">
        <v>3021</v>
      </c>
      <c r="D377" s="110" t="s">
        <v>3022</v>
      </c>
      <c r="E377" s="107" t="s">
        <v>111</v>
      </c>
      <c r="F377" s="107">
        <v>1</v>
      </c>
      <c r="G377" s="108">
        <v>1.04</v>
      </c>
      <c r="H377" s="107">
        <v>8</v>
      </c>
      <c r="I377" s="109" t="s">
        <v>3023</v>
      </c>
      <c r="J377" s="110" t="s">
        <v>40</v>
      </c>
      <c r="K377" s="110" t="s">
        <v>3024</v>
      </c>
      <c r="L377" s="107">
        <v>18204852066</v>
      </c>
      <c r="M377" s="142" t="s">
        <v>3025</v>
      </c>
      <c r="N377" t="s">
        <v>3024</v>
      </c>
      <c r="O377" t="s">
        <v>3025</v>
      </c>
      <c r="P377" s="126">
        <v>18204852066</v>
      </c>
      <c r="Q377" t="s">
        <v>3026</v>
      </c>
      <c r="R377">
        <f t="shared" si="11"/>
        <v>1</v>
      </c>
      <c r="S377" s="15" t="s">
        <v>3027</v>
      </c>
    </row>
    <row r="378" spans="1:19" ht="15.75">
      <c r="A378" s="106" t="str">
        <f t="shared" si="10"/>
        <v>nonono</v>
      </c>
      <c r="B378" s="21" t="s">
        <v>3028</v>
      </c>
      <c r="C378" s="15" t="s">
        <v>3029</v>
      </c>
      <c r="D378" s="110" t="s">
        <v>3030</v>
      </c>
      <c r="E378" s="107" t="s">
        <v>706</v>
      </c>
      <c r="F378" s="107">
        <v>1</v>
      </c>
      <c r="G378" s="108">
        <v>1.72</v>
      </c>
      <c r="H378" s="107">
        <v>6</v>
      </c>
      <c r="I378" s="109" t="s">
        <v>3031</v>
      </c>
      <c r="J378" s="110" t="s">
        <v>29</v>
      </c>
      <c r="K378" s="137" t="s">
        <v>562</v>
      </c>
      <c r="L378" s="107">
        <v>13760676033</v>
      </c>
      <c r="M378" s="142" t="s">
        <v>563</v>
      </c>
      <c r="N378" s="127" t="s">
        <v>3032</v>
      </c>
      <c r="O378" t="s">
        <v>563</v>
      </c>
      <c r="P378">
        <v>13760676033</v>
      </c>
      <c r="Q378" s="127" t="s">
        <v>3033</v>
      </c>
      <c r="R378">
        <f t="shared" si="11"/>
        <v>3</v>
      </c>
      <c r="S378" s="15" t="s">
        <v>3034</v>
      </c>
    </row>
    <row r="379" spans="1:19" ht="15.75">
      <c r="A379" s="106" t="str">
        <f t="shared" si="10"/>
        <v>nonono</v>
      </c>
      <c r="B379" s="21" t="s">
        <v>3035</v>
      </c>
      <c r="C379" s="15" t="s">
        <v>3036</v>
      </c>
      <c r="D379" s="110" t="s">
        <v>3037</v>
      </c>
      <c r="E379" s="37" t="s">
        <v>3038</v>
      </c>
      <c r="F379" s="107">
        <v>1</v>
      </c>
      <c r="G379" s="108">
        <v>1.72</v>
      </c>
      <c r="H379" s="107">
        <v>7</v>
      </c>
      <c r="I379" s="109" t="s">
        <v>3039</v>
      </c>
      <c r="J379" s="110" t="s">
        <v>29</v>
      </c>
      <c r="K379" s="110" t="s">
        <v>3040</v>
      </c>
      <c r="L379" s="107">
        <v>13566689579</v>
      </c>
      <c r="M379" s="142" t="s">
        <v>3041</v>
      </c>
      <c r="N379" t="s">
        <v>3040</v>
      </c>
      <c r="O379" t="s">
        <v>3041</v>
      </c>
      <c r="P379" s="126">
        <v>13566689579</v>
      </c>
      <c r="Q379" t="s">
        <v>3042</v>
      </c>
      <c r="R379">
        <f t="shared" si="11"/>
        <v>1</v>
      </c>
      <c r="S379" s="15" t="s">
        <v>3043</v>
      </c>
    </row>
    <row r="380" spans="1:19" ht="15.75">
      <c r="A380" s="106" t="str">
        <f t="shared" si="10"/>
        <v>nonono</v>
      </c>
      <c r="B380" s="21" t="s">
        <v>3044</v>
      </c>
      <c r="C380" s="15" t="s">
        <v>3045</v>
      </c>
      <c r="D380" s="110" t="s">
        <v>3046</v>
      </c>
      <c r="E380" s="107" t="s">
        <v>261</v>
      </c>
      <c r="F380" s="107">
        <v>1</v>
      </c>
      <c r="G380" s="108">
        <v>1.72</v>
      </c>
      <c r="H380" s="107">
        <v>12</v>
      </c>
      <c r="I380" s="109" t="s">
        <v>3047</v>
      </c>
      <c r="J380" s="110" t="s">
        <v>40</v>
      </c>
      <c r="K380" s="110" t="s">
        <v>3048</v>
      </c>
      <c r="L380" s="107">
        <v>13922274738</v>
      </c>
      <c r="M380" s="142" t="s">
        <v>3049</v>
      </c>
      <c r="N380" s="126" t="s">
        <v>3048</v>
      </c>
      <c r="O380" t="s">
        <v>3049</v>
      </c>
      <c r="P380">
        <v>13922274738</v>
      </c>
      <c r="Q380" s="126" t="s">
        <v>3050</v>
      </c>
      <c r="R380">
        <f t="shared" si="11"/>
        <v>1</v>
      </c>
      <c r="S380" s="15" t="s">
        <v>3051</v>
      </c>
    </row>
    <row r="381" spans="1:19" ht="15.75">
      <c r="A381" s="106" t="str">
        <f t="shared" si="10"/>
        <v>nonono</v>
      </c>
      <c r="B381" s="21" t="s">
        <v>3052</v>
      </c>
      <c r="C381" s="15" t="s">
        <v>3053</v>
      </c>
      <c r="D381" s="110" t="s">
        <v>1075</v>
      </c>
      <c r="E381" s="107" t="s">
        <v>706</v>
      </c>
      <c r="F381" s="107">
        <v>1</v>
      </c>
      <c r="G381" s="108">
        <v>0.57999999999999996</v>
      </c>
      <c r="H381" s="107">
        <v>3</v>
      </c>
      <c r="I381" s="137" t="s">
        <v>402</v>
      </c>
      <c r="J381" s="110" t="s">
        <v>29</v>
      </c>
      <c r="K381" s="110" t="s">
        <v>3054</v>
      </c>
      <c r="L381" s="107">
        <v>13681089032</v>
      </c>
      <c r="M381" s="142" t="s">
        <v>3055</v>
      </c>
      <c r="N381" s="126" t="s">
        <v>3054</v>
      </c>
      <c r="O381" t="s">
        <v>3055</v>
      </c>
      <c r="P381">
        <v>13681089032</v>
      </c>
      <c r="Q381" s="126" t="s">
        <v>3056</v>
      </c>
      <c r="R381">
        <f t="shared" si="11"/>
        <v>1</v>
      </c>
      <c r="S381" s="15" t="s">
        <v>3057</v>
      </c>
    </row>
    <row r="382" spans="1:19" ht="15.75">
      <c r="A382" s="106" t="str">
        <f t="shared" si="10"/>
        <v>nonono</v>
      </c>
      <c r="B382" s="21" t="s">
        <v>3058</v>
      </c>
      <c r="C382" s="15" t="s">
        <v>3059</v>
      </c>
      <c r="D382" s="37" t="s">
        <v>3060</v>
      </c>
      <c r="E382" s="107" t="s">
        <v>429</v>
      </c>
      <c r="F382" s="107">
        <v>1</v>
      </c>
      <c r="G382" s="108">
        <v>1.49</v>
      </c>
      <c r="H382" s="107">
        <v>8</v>
      </c>
      <c r="I382" s="137" t="s">
        <v>430</v>
      </c>
      <c r="J382" s="110" t="s">
        <v>40</v>
      </c>
      <c r="K382" s="110" t="s">
        <v>1963</v>
      </c>
      <c r="L382" s="107">
        <v>13661097422</v>
      </c>
      <c r="M382" s="110" t="s">
        <v>1964</v>
      </c>
      <c r="N382" s="126" t="s">
        <v>1963</v>
      </c>
      <c r="O382" s="123" t="s">
        <v>3061</v>
      </c>
      <c r="P382" s="131">
        <v>13910365689</v>
      </c>
      <c r="Q382" s="126" t="s">
        <v>3062</v>
      </c>
      <c r="R382">
        <f t="shared" si="11"/>
        <v>3</v>
      </c>
      <c r="S382" s="15" t="s">
        <v>3063</v>
      </c>
    </row>
    <row r="383" spans="1:19" ht="15.75">
      <c r="A383" s="106" t="str">
        <f t="shared" si="10"/>
        <v>nonono</v>
      </c>
      <c r="B383" s="21" t="s">
        <v>3064</v>
      </c>
      <c r="C383" s="15" t="s">
        <v>3065</v>
      </c>
      <c r="D383" s="110" t="s">
        <v>3066</v>
      </c>
      <c r="E383" s="37" t="s">
        <v>3067</v>
      </c>
      <c r="F383" s="107">
        <v>1</v>
      </c>
      <c r="G383" s="108">
        <v>0.74</v>
      </c>
      <c r="H383" s="107">
        <v>15</v>
      </c>
      <c r="I383" s="109" t="s">
        <v>3068</v>
      </c>
      <c r="J383" s="110" t="s">
        <v>29</v>
      </c>
      <c r="K383" s="117" t="s">
        <v>3069</v>
      </c>
      <c r="L383" s="107">
        <v>17526867788</v>
      </c>
      <c r="M383" s="110" t="s">
        <v>1230</v>
      </c>
      <c r="N383" s="122" t="s">
        <v>3070</v>
      </c>
      <c r="O383" s="123" t="s">
        <v>3071</v>
      </c>
      <c r="P383" s="131">
        <v>13821813490</v>
      </c>
      <c r="Q383" s="122" t="s">
        <v>3072</v>
      </c>
      <c r="R383">
        <f t="shared" si="11"/>
        <v>4</v>
      </c>
      <c r="S383" s="15" t="s">
        <v>3073</v>
      </c>
    </row>
    <row r="384" spans="1:19" ht="15.75">
      <c r="A384" s="106" t="str">
        <f t="shared" si="10"/>
        <v>nonono</v>
      </c>
      <c r="B384" s="21" t="s">
        <v>3074</v>
      </c>
      <c r="C384" s="15" t="s">
        <v>3075</v>
      </c>
      <c r="D384" s="110" t="s">
        <v>2009</v>
      </c>
      <c r="E384" s="107" t="s">
        <v>743</v>
      </c>
      <c r="F384" s="107">
        <v>1</v>
      </c>
      <c r="G384" s="108">
        <v>1.49</v>
      </c>
      <c r="H384" s="107">
        <v>1</v>
      </c>
      <c r="I384" s="109"/>
      <c r="J384" s="110" t="s">
        <v>293</v>
      </c>
      <c r="K384" s="110" t="s">
        <v>3076</v>
      </c>
      <c r="L384" s="107">
        <v>18211101501</v>
      </c>
      <c r="M384" s="110" t="s">
        <v>3077</v>
      </c>
      <c r="N384" s="122" t="s">
        <v>3078</v>
      </c>
      <c r="O384" t="s">
        <v>3077</v>
      </c>
      <c r="P384">
        <v>18211101501</v>
      </c>
      <c r="Q384" s="122" t="s">
        <v>3079</v>
      </c>
      <c r="R384">
        <f t="shared" si="11"/>
        <v>1</v>
      </c>
      <c r="S384" s="15" t="s">
        <v>3080</v>
      </c>
    </row>
    <row r="385" spans="1:19" ht="15.75">
      <c r="A385" s="106" t="str">
        <f t="shared" si="10"/>
        <v>nonono</v>
      </c>
      <c r="B385" s="21" t="s">
        <v>3081</v>
      </c>
      <c r="C385" s="15" t="s">
        <v>3082</v>
      </c>
      <c r="D385" s="110" t="s">
        <v>3083</v>
      </c>
      <c r="E385" s="107" t="s">
        <v>3084</v>
      </c>
      <c r="F385" s="107">
        <v>1</v>
      </c>
      <c r="G385" s="108">
        <v>0.81</v>
      </c>
      <c r="H385" s="107">
        <v>4</v>
      </c>
      <c r="I385" s="137" t="s">
        <v>3085</v>
      </c>
      <c r="J385" s="110" t="s">
        <v>293</v>
      </c>
      <c r="K385" s="110" t="s">
        <v>3086</v>
      </c>
      <c r="L385" s="107">
        <v>15080609972</v>
      </c>
      <c r="M385" s="117" t="s">
        <v>3087</v>
      </c>
      <c r="N385" s="122" t="s">
        <v>3088</v>
      </c>
      <c r="O385" s="123" t="s">
        <v>3089</v>
      </c>
      <c r="P385" s="128">
        <v>18569076228</v>
      </c>
      <c r="Q385" s="122" t="s">
        <v>3090</v>
      </c>
      <c r="R385">
        <f t="shared" si="11"/>
        <v>3</v>
      </c>
      <c r="S385" s="15" t="s">
        <v>3091</v>
      </c>
    </row>
    <row r="386" spans="1:19" ht="15.75">
      <c r="A386" s="106" t="str">
        <f t="shared" si="10"/>
        <v>nonono</v>
      </c>
      <c r="B386" s="21" t="s">
        <v>3092</v>
      </c>
      <c r="C386" s="15" t="s">
        <v>3093</v>
      </c>
      <c r="D386" s="110" t="s">
        <v>3094</v>
      </c>
      <c r="E386" s="107" t="s">
        <v>201</v>
      </c>
      <c r="F386" s="107">
        <v>1</v>
      </c>
      <c r="G386" s="108">
        <v>1.72</v>
      </c>
      <c r="H386" s="107">
        <v>9</v>
      </c>
      <c r="I386" s="109" t="s">
        <v>3095</v>
      </c>
      <c r="J386" s="110" t="s">
        <v>40</v>
      </c>
      <c r="K386" s="110" t="s">
        <v>3096</v>
      </c>
      <c r="L386" s="107">
        <v>13601294381</v>
      </c>
      <c r="M386" s="110" t="s">
        <v>3097</v>
      </c>
      <c r="N386" s="126" t="s">
        <v>3096</v>
      </c>
      <c r="O386" t="s">
        <v>3097</v>
      </c>
      <c r="P386" s="126">
        <v>13601294381</v>
      </c>
      <c r="Q386" s="126" t="s">
        <v>3098</v>
      </c>
      <c r="R386">
        <f t="shared" si="11"/>
        <v>1</v>
      </c>
      <c r="S386" s="15" t="s">
        <v>3099</v>
      </c>
    </row>
    <row r="387" spans="1:19" ht="15.75">
      <c r="A387" s="106" t="str">
        <f t="shared" si="10"/>
        <v>nonono</v>
      </c>
      <c r="B387" s="21" t="s">
        <v>3100</v>
      </c>
      <c r="C387" s="15" t="s">
        <v>3101</v>
      </c>
      <c r="D387" s="110" t="s">
        <v>3102</v>
      </c>
      <c r="E387" s="107" t="s">
        <v>1180</v>
      </c>
      <c r="F387" s="107">
        <v>1</v>
      </c>
      <c r="G387" s="108">
        <v>1.49</v>
      </c>
      <c r="H387" s="107">
        <v>10</v>
      </c>
      <c r="I387" s="109" t="s">
        <v>3103</v>
      </c>
      <c r="J387" s="110" t="s">
        <v>40</v>
      </c>
      <c r="K387" s="110" t="s">
        <v>3104</v>
      </c>
      <c r="L387" s="107">
        <v>18612378200</v>
      </c>
      <c r="M387" s="110" t="s">
        <v>3105</v>
      </c>
      <c r="N387" s="126" t="s">
        <v>3104</v>
      </c>
      <c r="O387" t="s">
        <v>3105</v>
      </c>
      <c r="P387" s="126">
        <v>18612378200</v>
      </c>
      <c r="Q387" s="126" t="s">
        <v>3106</v>
      </c>
      <c r="R387">
        <f t="shared" si="11"/>
        <v>1</v>
      </c>
      <c r="S387" s="15" t="s">
        <v>3107</v>
      </c>
    </row>
    <row r="388" spans="1:19" ht="15.75">
      <c r="A388" s="106" t="str">
        <f t="shared" si="10"/>
        <v>nonono</v>
      </c>
      <c r="B388" s="21" t="s">
        <v>3108</v>
      </c>
      <c r="C388" s="15" t="s">
        <v>3109</v>
      </c>
      <c r="D388" s="117" t="s">
        <v>3110</v>
      </c>
      <c r="E388" s="107" t="s">
        <v>625</v>
      </c>
      <c r="F388" s="107">
        <v>1</v>
      </c>
      <c r="G388" s="108">
        <v>0.81</v>
      </c>
      <c r="H388" s="107">
        <v>9</v>
      </c>
      <c r="I388" s="109"/>
      <c r="J388" s="110" t="s">
        <v>40</v>
      </c>
      <c r="K388" s="110" t="s">
        <v>3111</v>
      </c>
      <c r="L388" s="107">
        <v>18921628904</v>
      </c>
      <c r="M388" s="110" t="s">
        <v>3112</v>
      </c>
      <c r="N388" s="122" t="s">
        <v>3113</v>
      </c>
      <c r="O388" s="123" t="s">
        <v>3114</v>
      </c>
      <c r="P388" s="128">
        <v>13801590621</v>
      </c>
      <c r="Q388" s="122" t="s">
        <v>3115</v>
      </c>
      <c r="R388">
        <f t="shared" si="11"/>
        <v>3</v>
      </c>
      <c r="S388" s="15" t="s">
        <v>3116</v>
      </c>
    </row>
    <row r="389" spans="1:19" ht="15.75">
      <c r="A389" s="106" t="str">
        <f t="shared" si="10"/>
        <v>nonono</v>
      </c>
      <c r="B389" s="21" t="s">
        <v>3117</v>
      </c>
      <c r="C389" s="15" t="s">
        <v>3118</v>
      </c>
      <c r="D389" s="110" t="s">
        <v>3119</v>
      </c>
      <c r="E389" s="107" t="s">
        <v>281</v>
      </c>
      <c r="F389" s="107">
        <v>1</v>
      </c>
      <c r="G389" s="108">
        <v>1.04</v>
      </c>
      <c r="H389" s="107">
        <v>10</v>
      </c>
      <c r="I389" s="137" t="s">
        <v>282</v>
      </c>
      <c r="J389" s="110" t="s">
        <v>40</v>
      </c>
      <c r="K389" s="110" t="s">
        <v>3111</v>
      </c>
      <c r="L389" s="107">
        <v>18921628904</v>
      </c>
      <c r="M389" s="142" t="s">
        <v>3112</v>
      </c>
      <c r="N389" s="122" t="s">
        <v>3120</v>
      </c>
      <c r="O389" s="123" t="s">
        <v>3121</v>
      </c>
      <c r="P389" s="128">
        <v>13912302656</v>
      </c>
      <c r="Q389" s="122" t="s">
        <v>3122</v>
      </c>
      <c r="R389">
        <f t="shared" si="11"/>
        <v>3</v>
      </c>
      <c r="S389" s="15" t="s">
        <v>3123</v>
      </c>
    </row>
    <row r="390" spans="1:19" ht="15.75">
      <c r="A390" s="106" t="str">
        <f t="shared" ref="A390:A448" si="12">IF(B390=C390,"","nonono")</f>
        <v>nonono</v>
      </c>
      <c r="B390" s="21" t="s">
        <v>3124</v>
      </c>
      <c r="C390" s="15" t="s">
        <v>3125</v>
      </c>
      <c r="D390" s="110" t="s">
        <v>3126</v>
      </c>
      <c r="E390" s="107" t="s">
        <v>3127</v>
      </c>
      <c r="F390" s="107">
        <v>1</v>
      </c>
      <c r="G390" s="108">
        <v>1.26</v>
      </c>
      <c r="H390" s="107">
        <v>7</v>
      </c>
      <c r="I390" s="137" t="s">
        <v>430</v>
      </c>
      <c r="J390" s="110" t="s">
        <v>29</v>
      </c>
      <c r="K390" s="110" t="s">
        <v>2043</v>
      </c>
      <c r="L390" s="107">
        <v>13824680321</v>
      </c>
      <c r="M390" s="110" t="s">
        <v>3128</v>
      </c>
      <c r="N390" s="122" t="s">
        <v>3129</v>
      </c>
      <c r="O390" t="s">
        <v>3128</v>
      </c>
      <c r="P390" s="126">
        <v>13824680321</v>
      </c>
      <c r="Q390" s="122" t="s">
        <v>3130</v>
      </c>
      <c r="R390">
        <f t="shared" si="11"/>
        <v>3</v>
      </c>
      <c r="S390" s="15" t="s">
        <v>3131</v>
      </c>
    </row>
    <row r="391" spans="1:19" ht="15.75">
      <c r="A391" s="106" t="str">
        <f t="shared" si="12"/>
        <v>nonono</v>
      </c>
      <c r="B391" s="21" t="s">
        <v>3132</v>
      </c>
      <c r="C391" s="15" t="s">
        <v>3133</v>
      </c>
      <c r="D391" s="107" t="s">
        <v>3134</v>
      </c>
      <c r="E391" s="107" t="s">
        <v>2920</v>
      </c>
      <c r="F391" s="107">
        <v>1</v>
      </c>
      <c r="G391" s="108">
        <v>0.35</v>
      </c>
      <c r="H391" s="107">
        <v>2</v>
      </c>
      <c r="I391" s="109"/>
      <c r="J391" s="110" t="s">
        <v>103</v>
      </c>
      <c r="K391" s="110" t="s">
        <v>3135</v>
      </c>
      <c r="L391" s="107">
        <v>13535056510</v>
      </c>
      <c r="M391" s="110" t="s">
        <v>3136</v>
      </c>
      <c r="N391" s="122" t="s">
        <v>3137</v>
      </c>
      <c r="O391" t="s">
        <v>3136</v>
      </c>
      <c r="P391">
        <v>13535056510</v>
      </c>
      <c r="Q391" s="122" t="s">
        <v>3138</v>
      </c>
      <c r="R391">
        <f t="shared" ref="R391:R454" si="13">COUNTIF($K$1:$K$2982,K391)</f>
        <v>1</v>
      </c>
      <c r="S391" s="15" t="s">
        <v>3139</v>
      </c>
    </row>
    <row r="392" spans="1:19" ht="15.75">
      <c r="A392" s="106" t="str">
        <f t="shared" si="12"/>
        <v>nonono</v>
      </c>
      <c r="B392" s="21" t="s">
        <v>3140</v>
      </c>
      <c r="C392" s="15" t="s">
        <v>3141</v>
      </c>
      <c r="D392" s="110" t="s">
        <v>3142</v>
      </c>
      <c r="E392" s="37" t="s">
        <v>482</v>
      </c>
      <c r="F392" s="107">
        <v>1</v>
      </c>
      <c r="G392" s="108">
        <v>1.04</v>
      </c>
      <c r="H392" s="107">
        <v>5</v>
      </c>
      <c r="I392" s="137" t="s">
        <v>402</v>
      </c>
      <c r="J392" s="110" t="s">
        <v>103</v>
      </c>
      <c r="K392" s="110" t="s">
        <v>1878</v>
      </c>
      <c r="L392" s="107">
        <v>13574113564</v>
      </c>
      <c r="M392" s="142" t="s">
        <v>1879</v>
      </c>
      <c r="N392" s="126" t="s">
        <v>1878</v>
      </c>
      <c r="O392" t="s">
        <v>1879</v>
      </c>
      <c r="P392" s="126">
        <v>13574113564</v>
      </c>
      <c r="Q392" s="126" t="s">
        <v>3143</v>
      </c>
      <c r="R392">
        <f t="shared" si="13"/>
        <v>2</v>
      </c>
      <c r="S392" s="15" t="s">
        <v>3144</v>
      </c>
    </row>
    <row r="393" spans="1:19" ht="15.75">
      <c r="A393" s="106" t="str">
        <f t="shared" si="12"/>
        <v>nonono</v>
      </c>
      <c r="B393" s="21" t="s">
        <v>3145</v>
      </c>
      <c r="C393" s="15" t="s">
        <v>3146</v>
      </c>
      <c r="D393" s="110" t="s">
        <v>3147</v>
      </c>
      <c r="E393" s="37" t="s">
        <v>3148</v>
      </c>
      <c r="F393" s="107">
        <v>1</v>
      </c>
      <c r="G393" s="108">
        <v>1.26</v>
      </c>
      <c r="H393" s="107">
        <v>7</v>
      </c>
      <c r="I393" s="109" t="s">
        <v>3149</v>
      </c>
      <c r="J393" s="110" t="s">
        <v>29</v>
      </c>
      <c r="K393" s="117" t="s">
        <v>3150</v>
      </c>
      <c r="L393" s="107">
        <v>13969103407</v>
      </c>
      <c r="M393" s="137" t="s">
        <v>3151</v>
      </c>
      <c r="N393" s="122" t="s">
        <v>3152</v>
      </c>
      <c r="O393" s="123" t="s">
        <v>3153</v>
      </c>
      <c r="P393" s="139">
        <v>15098956666</v>
      </c>
      <c r="Q393" s="122" t="s">
        <v>3154</v>
      </c>
      <c r="R393">
        <f t="shared" si="13"/>
        <v>2</v>
      </c>
      <c r="S393" s="15" t="s">
        <v>3155</v>
      </c>
    </row>
    <row r="394" spans="1:19" ht="15.75">
      <c r="A394" s="106" t="str">
        <f t="shared" si="12"/>
        <v>nonono</v>
      </c>
      <c r="B394" s="21" t="s">
        <v>3156</v>
      </c>
      <c r="C394" s="15" t="s">
        <v>3157</v>
      </c>
      <c r="D394" s="110" t="s">
        <v>3158</v>
      </c>
      <c r="E394" s="37" t="s">
        <v>3159</v>
      </c>
      <c r="F394" s="107">
        <v>1</v>
      </c>
      <c r="G394" s="108">
        <v>1.72</v>
      </c>
      <c r="H394" s="107">
        <v>15</v>
      </c>
      <c r="I394" s="137" t="s">
        <v>402</v>
      </c>
      <c r="J394" s="110" t="s">
        <v>29</v>
      </c>
      <c r="K394" s="110" t="s">
        <v>697</v>
      </c>
      <c r="L394" s="107">
        <v>13635290903</v>
      </c>
      <c r="M394" s="142" t="s">
        <v>698</v>
      </c>
      <c r="N394" s="126" t="s">
        <v>697</v>
      </c>
      <c r="O394" s="123" t="s">
        <v>3160</v>
      </c>
      <c r="P394" s="131">
        <v>13706989652</v>
      </c>
      <c r="Q394" s="126" t="s">
        <v>3161</v>
      </c>
      <c r="R394">
        <f t="shared" si="13"/>
        <v>3</v>
      </c>
      <c r="S394" s="15" t="s">
        <v>3162</v>
      </c>
    </row>
    <row r="395" spans="1:19" ht="15.75">
      <c r="A395" s="106" t="str">
        <f t="shared" si="12"/>
        <v>nonono</v>
      </c>
      <c r="B395" s="21" t="s">
        <v>3163</v>
      </c>
      <c r="C395" s="15" t="s">
        <v>3164</v>
      </c>
      <c r="D395" s="110" t="s">
        <v>3165</v>
      </c>
      <c r="E395" s="107" t="s">
        <v>3166</v>
      </c>
      <c r="F395" s="107">
        <v>1</v>
      </c>
      <c r="G395" s="108">
        <v>0.81</v>
      </c>
      <c r="H395" s="107">
        <v>3</v>
      </c>
      <c r="I395" s="109" t="s">
        <v>3167</v>
      </c>
      <c r="J395" s="110" t="s">
        <v>29</v>
      </c>
      <c r="K395" s="110" t="s">
        <v>3168</v>
      </c>
      <c r="L395" s="107">
        <v>13786667118</v>
      </c>
      <c r="M395" s="135" t="s">
        <v>3169</v>
      </c>
      <c r="N395" s="126" t="s">
        <v>3168</v>
      </c>
      <c r="O395" t="s">
        <v>3169</v>
      </c>
      <c r="P395">
        <v>13786667118</v>
      </c>
      <c r="Q395" s="126" t="s">
        <v>3170</v>
      </c>
      <c r="R395">
        <f t="shared" si="13"/>
        <v>1</v>
      </c>
      <c r="S395" s="15" t="s">
        <v>3171</v>
      </c>
    </row>
    <row r="396" spans="1:19" ht="15.75">
      <c r="A396" s="106" t="str">
        <f t="shared" si="12"/>
        <v>nonono</v>
      </c>
      <c r="B396" s="21" t="s">
        <v>3172</v>
      </c>
      <c r="C396" s="15" t="s">
        <v>3173</v>
      </c>
      <c r="D396" s="110" t="s">
        <v>3174</v>
      </c>
      <c r="E396" s="107" t="s">
        <v>625</v>
      </c>
      <c r="F396" s="107">
        <v>1</v>
      </c>
      <c r="G396" s="108">
        <v>1.72</v>
      </c>
      <c r="H396" s="107">
        <v>10</v>
      </c>
      <c r="I396" s="109" t="s">
        <v>3175</v>
      </c>
      <c r="J396" s="110" t="s">
        <v>40</v>
      </c>
      <c r="K396" s="110" t="s">
        <v>752</v>
      </c>
      <c r="L396" s="107">
        <v>18958811267</v>
      </c>
      <c r="M396" s="142" t="s">
        <v>753</v>
      </c>
      <c r="N396" s="122" t="s">
        <v>3176</v>
      </c>
      <c r="O396" s="123" t="s">
        <v>3177</v>
      </c>
      <c r="P396" s="189">
        <v>13587983336</v>
      </c>
      <c r="Q396" s="122" t="s">
        <v>3178</v>
      </c>
      <c r="R396">
        <f t="shared" si="13"/>
        <v>4</v>
      </c>
      <c r="S396" s="15" t="s">
        <v>3179</v>
      </c>
    </row>
    <row r="397" spans="1:19" ht="15.75">
      <c r="A397" s="106" t="str">
        <f t="shared" si="12"/>
        <v>nonono</v>
      </c>
      <c r="B397" s="21" t="s">
        <v>3180</v>
      </c>
      <c r="C397" s="15" t="s">
        <v>3181</v>
      </c>
      <c r="D397" s="110" t="s">
        <v>3182</v>
      </c>
      <c r="E397" s="37" t="s">
        <v>1652</v>
      </c>
      <c r="F397" s="107">
        <v>1</v>
      </c>
      <c r="G397" s="108">
        <v>0.81</v>
      </c>
      <c r="H397" s="107">
        <v>6</v>
      </c>
      <c r="I397" s="109" t="s">
        <v>3183</v>
      </c>
      <c r="J397" s="110" t="s">
        <v>29</v>
      </c>
      <c r="K397" s="110" t="s">
        <v>3184</v>
      </c>
      <c r="L397" s="107">
        <v>13903460303</v>
      </c>
      <c r="M397" s="110" t="s">
        <v>3185</v>
      </c>
      <c r="N397" s="122" t="s">
        <v>3186</v>
      </c>
      <c r="O397" s="123" t="s">
        <v>3187</v>
      </c>
      <c r="P397" s="199">
        <v>18503512661</v>
      </c>
      <c r="Q397" s="122" t="s">
        <v>3188</v>
      </c>
      <c r="R397">
        <f t="shared" si="13"/>
        <v>3</v>
      </c>
      <c r="S397" s="15" t="s">
        <v>3189</v>
      </c>
    </row>
    <row r="398" spans="1:19" ht="15.75">
      <c r="A398" s="106" t="str">
        <f t="shared" si="12"/>
        <v>nonono</v>
      </c>
      <c r="B398" s="21" t="s">
        <v>3190</v>
      </c>
      <c r="C398" s="15" t="s">
        <v>3191</v>
      </c>
      <c r="D398" s="110" t="s">
        <v>3192</v>
      </c>
      <c r="E398" s="107" t="s">
        <v>69</v>
      </c>
      <c r="F398" s="107">
        <v>1</v>
      </c>
      <c r="G398" s="108">
        <v>2.17</v>
      </c>
      <c r="H398" s="107">
        <v>3</v>
      </c>
      <c r="I398" s="109" t="s">
        <v>659</v>
      </c>
      <c r="J398" s="110" t="s">
        <v>40</v>
      </c>
      <c r="K398" s="110" t="s">
        <v>660</v>
      </c>
      <c r="L398" s="107">
        <v>13135347968</v>
      </c>
      <c r="M398" s="142" t="s">
        <v>661</v>
      </c>
      <c r="N398" s="122" t="s">
        <v>3193</v>
      </c>
      <c r="O398" s="123" t="s">
        <v>3194</v>
      </c>
      <c r="P398" s="134">
        <v>13973445534</v>
      </c>
      <c r="Q398" s="122" t="s">
        <v>3195</v>
      </c>
      <c r="R398">
        <f t="shared" si="13"/>
        <v>4</v>
      </c>
      <c r="S398" s="15" t="s">
        <v>3196</v>
      </c>
    </row>
    <row r="399" spans="1:19" ht="15.75">
      <c r="A399" s="106" t="str">
        <f t="shared" si="12"/>
        <v>nonono</v>
      </c>
      <c r="B399" s="21" t="s">
        <v>3197</v>
      </c>
      <c r="C399" s="15" t="s">
        <v>3198</v>
      </c>
      <c r="D399" s="110" t="s">
        <v>2059</v>
      </c>
      <c r="E399" s="107" t="s">
        <v>69</v>
      </c>
      <c r="F399" s="107">
        <v>1</v>
      </c>
      <c r="G399" s="108">
        <v>1.04</v>
      </c>
      <c r="H399" s="107">
        <v>4</v>
      </c>
      <c r="I399" s="137" t="s">
        <v>402</v>
      </c>
      <c r="J399" s="110" t="s">
        <v>40</v>
      </c>
      <c r="K399" s="110" t="s">
        <v>2060</v>
      </c>
      <c r="L399" s="107">
        <v>13878572611</v>
      </c>
      <c r="M399" s="142" t="s">
        <v>2061</v>
      </c>
      <c r="N399" s="122" t="s">
        <v>3199</v>
      </c>
      <c r="O399" t="s">
        <v>2061</v>
      </c>
      <c r="P399">
        <v>13878572611</v>
      </c>
      <c r="Q399" s="122" t="s">
        <v>3200</v>
      </c>
      <c r="R399">
        <f t="shared" si="13"/>
        <v>2</v>
      </c>
      <c r="S399" s="15" t="s">
        <v>3201</v>
      </c>
    </row>
    <row r="400" spans="1:19" ht="15.75">
      <c r="A400" s="106" t="str">
        <f t="shared" si="12"/>
        <v>nonono</v>
      </c>
      <c r="B400" s="21" t="s">
        <v>3202</v>
      </c>
      <c r="C400" s="15" t="s">
        <v>3203</v>
      </c>
      <c r="D400" s="110" t="s">
        <v>3204</v>
      </c>
      <c r="E400" s="107" t="s">
        <v>1210</v>
      </c>
      <c r="F400" s="107">
        <v>1</v>
      </c>
      <c r="G400" s="108">
        <v>2.17</v>
      </c>
      <c r="H400" s="107">
        <v>5</v>
      </c>
      <c r="I400" s="109" t="s">
        <v>1595</v>
      </c>
      <c r="J400" s="110" t="s">
        <v>29</v>
      </c>
      <c r="K400" s="110" t="s">
        <v>2070</v>
      </c>
      <c r="L400" s="107">
        <v>15806214222</v>
      </c>
      <c r="M400" s="110" t="s">
        <v>2071</v>
      </c>
      <c r="N400" s="122" t="s">
        <v>3205</v>
      </c>
      <c r="O400" t="s">
        <v>2071</v>
      </c>
      <c r="P400">
        <v>15806214222</v>
      </c>
      <c r="Q400" s="122" t="s">
        <v>3206</v>
      </c>
      <c r="R400">
        <f t="shared" si="13"/>
        <v>2</v>
      </c>
      <c r="S400" s="15" t="s">
        <v>3207</v>
      </c>
    </row>
    <row r="401" spans="1:19" ht="15.75">
      <c r="A401" s="106" t="str">
        <f t="shared" si="12"/>
        <v>nonono</v>
      </c>
      <c r="B401" s="21" t="s">
        <v>3208</v>
      </c>
      <c r="C401" s="15" t="s">
        <v>3209</v>
      </c>
      <c r="D401" s="110" t="s">
        <v>3210</v>
      </c>
      <c r="E401" s="107" t="s">
        <v>625</v>
      </c>
      <c r="F401" s="107">
        <v>1</v>
      </c>
      <c r="G401" s="108">
        <v>1.95</v>
      </c>
      <c r="H401" s="107">
        <v>10</v>
      </c>
      <c r="I401" s="109" t="s">
        <v>3175</v>
      </c>
      <c r="J401" s="110" t="s">
        <v>40</v>
      </c>
      <c r="K401" s="110" t="s">
        <v>803</v>
      </c>
      <c r="L401" s="109">
        <v>13905157909</v>
      </c>
      <c r="M401" s="110" t="s">
        <v>804</v>
      </c>
      <c r="N401" s="122" t="s">
        <v>3211</v>
      </c>
      <c r="O401" s="123" t="s">
        <v>3212</v>
      </c>
      <c r="P401" s="131">
        <v>13770500190</v>
      </c>
      <c r="Q401" s="122" t="s">
        <v>3213</v>
      </c>
      <c r="R401">
        <f t="shared" si="13"/>
        <v>4</v>
      </c>
      <c r="S401" s="15" t="s">
        <v>3214</v>
      </c>
    </row>
    <row r="402" spans="1:19" ht="15.75">
      <c r="A402" s="106" t="str">
        <f t="shared" si="12"/>
        <v>nonono</v>
      </c>
      <c r="B402" s="21" t="s">
        <v>3215</v>
      </c>
      <c r="C402" s="15" t="s">
        <v>3216</v>
      </c>
      <c r="D402" s="110" t="s">
        <v>3217</v>
      </c>
      <c r="E402" s="107" t="s">
        <v>69</v>
      </c>
      <c r="F402" s="107">
        <v>1</v>
      </c>
      <c r="G402" s="108">
        <v>1.26</v>
      </c>
      <c r="H402" s="107">
        <v>13</v>
      </c>
      <c r="I402" s="109" t="s">
        <v>2889</v>
      </c>
      <c r="J402" s="110" t="s">
        <v>40</v>
      </c>
      <c r="K402" s="110" t="s">
        <v>812</v>
      </c>
      <c r="L402" s="107">
        <v>13601026293</v>
      </c>
      <c r="M402" s="110" t="s">
        <v>813</v>
      </c>
      <c r="N402" s="126" t="s">
        <v>812</v>
      </c>
      <c r="O402" s="123" t="s">
        <v>3218</v>
      </c>
      <c r="P402" s="125">
        <v>18668080997</v>
      </c>
      <c r="Q402" s="126" t="s">
        <v>3219</v>
      </c>
      <c r="R402">
        <f t="shared" si="13"/>
        <v>4</v>
      </c>
      <c r="S402" s="15" t="s">
        <v>3220</v>
      </c>
    </row>
    <row r="403" spans="1:19" ht="15.75">
      <c r="A403" s="106" t="str">
        <f t="shared" si="12"/>
        <v>nonono</v>
      </c>
      <c r="B403" s="21" t="s">
        <v>3221</v>
      </c>
      <c r="C403" s="15" t="s">
        <v>3222</v>
      </c>
      <c r="D403" s="110" t="s">
        <v>3223</v>
      </c>
      <c r="E403" s="107" t="s">
        <v>3224</v>
      </c>
      <c r="F403" s="107">
        <v>1</v>
      </c>
      <c r="G403" s="108">
        <v>1.04</v>
      </c>
      <c r="H403" s="107">
        <v>8</v>
      </c>
      <c r="I403" s="109" t="s">
        <v>3225</v>
      </c>
      <c r="J403" s="110" t="s">
        <v>29</v>
      </c>
      <c r="K403" s="117" t="s">
        <v>3226</v>
      </c>
      <c r="L403" s="107">
        <v>14709956766</v>
      </c>
      <c r="M403" s="110" t="s">
        <v>3227</v>
      </c>
      <c r="N403" s="122" t="s">
        <v>3228</v>
      </c>
      <c r="O403" t="s">
        <v>3227</v>
      </c>
      <c r="P403">
        <v>14709956766</v>
      </c>
      <c r="Q403" s="122" t="s">
        <v>3229</v>
      </c>
      <c r="R403">
        <f t="shared" si="13"/>
        <v>1</v>
      </c>
      <c r="S403" s="15" t="s">
        <v>3230</v>
      </c>
    </row>
    <row r="404" spans="1:19" ht="15.75">
      <c r="A404" s="106" t="str">
        <f t="shared" si="12"/>
        <v>nonono</v>
      </c>
      <c r="B404" s="21" t="s">
        <v>3231</v>
      </c>
      <c r="C404" s="15" t="s">
        <v>3232</v>
      </c>
      <c r="D404" s="37" t="s">
        <v>221</v>
      </c>
      <c r="E404" s="37" t="s">
        <v>201</v>
      </c>
      <c r="F404" s="37">
        <v>1</v>
      </c>
      <c r="G404" s="116">
        <v>1.49</v>
      </c>
      <c r="H404" s="37">
        <v>12</v>
      </c>
      <c r="I404" s="109" t="s">
        <v>202</v>
      </c>
      <c r="J404" s="107" t="s">
        <v>40</v>
      </c>
      <c r="K404" s="24" t="s">
        <v>252</v>
      </c>
      <c r="L404" s="24">
        <v>13662476777</v>
      </c>
      <c r="M404" s="186" t="s">
        <v>253</v>
      </c>
      <c r="N404" s="126" t="s">
        <v>252</v>
      </c>
      <c r="O404" s="123" t="s">
        <v>3233</v>
      </c>
      <c r="P404" s="128">
        <v>13923117252</v>
      </c>
      <c r="Q404" s="126" t="s">
        <v>3234</v>
      </c>
      <c r="R404">
        <f t="shared" si="13"/>
        <v>3</v>
      </c>
      <c r="S404" s="15" t="s">
        <v>3235</v>
      </c>
    </row>
    <row r="405" spans="1:19" ht="15.75">
      <c r="A405" s="106" t="str">
        <f t="shared" si="12"/>
        <v>nonono</v>
      </c>
      <c r="B405" s="21" t="s">
        <v>3236</v>
      </c>
      <c r="C405" s="15" t="s">
        <v>3237</v>
      </c>
      <c r="D405" s="37" t="s">
        <v>260</v>
      </c>
      <c r="E405" s="37" t="s">
        <v>261</v>
      </c>
      <c r="F405" s="37">
        <v>1</v>
      </c>
      <c r="G405" s="116">
        <v>1.49</v>
      </c>
      <c r="H405" s="37">
        <v>13</v>
      </c>
      <c r="I405" s="109" t="s">
        <v>262</v>
      </c>
      <c r="J405" s="107" t="s">
        <v>40</v>
      </c>
      <c r="K405" s="24" t="s">
        <v>263</v>
      </c>
      <c r="L405" s="24">
        <v>13710770402</v>
      </c>
      <c r="M405" s="186" t="s">
        <v>264</v>
      </c>
      <c r="N405" s="126" t="s">
        <v>263</v>
      </c>
      <c r="O405" s="123" t="s">
        <v>3238</v>
      </c>
      <c r="P405" s="131">
        <v>18680582402</v>
      </c>
      <c r="Q405" s="126" t="s">
        <v>3239</v>
      </c>
      <c r="R405">
        <f t="shared" si="13"/>
        <v>3</v>
      </c>
      <c r="S405" s="15" t="s">
        <v>3240</v>
      </c>
    </row>
    <row r="406" spans="1:19" ht="15.75">
      <c r="A406" s="106" t="str">
        <f t="shared" si="12"/>
        <v>nonono</v>
      </c>
      <c r="B406" s="21" t="s">
        <v>3241</v>
      </c>
      <c r="C406" s="15" t="s">
        <v>3242</v>
      </c>
      <c r="D406" s="107" t="s">
        <v>3243</v>
      </c>
      <c r="E406" s="107" t="s">
        <v>261</v>
      </c>
      <c r="F406" s="107">
        <v>1</v>
      </c>
      <c r="G406" s="108">
        <v>1.95</v>
      </c>
      <c r="H406" s="107">
        <v>15</v>
      </c>
      <c r="I406" s="109" t="s">
        <v>262</v>
      </c>
      <c r="J406" s="107" t="s">
        <v>40</v>
      </c>
      <c r="K406" s="24" t="s">
        <v>272</v>
      </c>
      <c r="L406" s="24">
        <v>13928780807</v>
      </c>
      <c r="M406" s="186" t="s">
        <v>273</v>
      </c>
      <c r="N406" s="122" t="s">
        <v>3244</v>
      </c>
      <c r="O406" s="123" t="s">
        <v>3245</v>
      </c>
      <c r="P406" s="156">
        <v>18938822062</v>
      </c>
      <c r="Q406" s="122" t="s">
        <v>3246</v>
      </c>
      <c r="R406">
        <f t="shared" si="13"/>
        <v>3</v>
      </c>
      <c r="S406" s="15" t="s">
        <v>3247</v>
      </c>
    </row>
    <row r="407" spans="1:19" ht="15.75">
      <c r="A407" s="106" t="str">
        <f t="shared" si="12"/>
        <v>nonono</v>
      </c>
      <c r="B407" s="21" t="s">
        <v>3248</v>
      </c>
      <c r="C407" s="15" t="s">
        <v>3249</v>
      </c>
      <c r="D407" s="110" t="s">
        <v>3250</v>
      </c>
      <c r="E407" s="107" t="s">
        <v>111</v>
      </c>
      <c r="F407" s="107">
        <v>1</v>
      </c>
      <c r="G407" s="108">
        <v>0.81</v>
      </c>
      <c r="H407" s="107">
        <v>8</v>
      </c>
      <c r="I407" s="109" t="s">
        <v>3251</v>
      </c>
      <c r="J407" s="110" t="s">
        <v>40</v>
      </c>
      <c r="K407" s="110" t="s">
        <v>2832</v>
      </c>
      <c r="L407" s="107">
        <v>13612937458</v>
      </c>
      <c r="M407" s="110" t="s">
        <v>2833</v>
      </c>
      <c r="N407" s="126" t="s">
        <v>2832</v>
      </c>
      <c r="O407" t="s">
        <v>2833</v>
      </c>
      <c r="P407" s="126">
        <v>13612937458</v>
      </c>
      <c r="Q407" s="126" t="s">
        <v>3252</v>
      </c>
      <c r="R407">
        <f t="shared" si="13"/>
        <v>2</v>
      </c>
      <c r="S407" s="15" t="s">
        <v>3253</v>
      </c>
    </row>
    <row r="408" spans="1:19" ht="15.75">
      <c r="A408" s="106" t="str">
        <f t="shared" si="12"/>
        <v>nonono</v>
      </c>
      <c r="B408" s="21" t="s">
        <v>3254</v>
      </c>
      <c r="C408" s="15" t="s">
        <v>3255</v>
      </c>
      <c r="D408" s="110" t="s">
        <v>3256</v>
      </c>
      <c r="E408" s="107" t="s">
        <v>281</v>
      </c>
      <c r="F408" s="107">
        <v>1</v>
      </c>
      <c r="G408" s="108">
        <v>1.49</v>
      </c>
      <c r="H408" s="107">
        <v>12</v>
      </c>
      <c r="I408" s="109" t="s">
        <v>2421</v>
      </c>
      <c r="J408" s="110" t="s">
        <v>40</v>
      </c>
      <c r="K408" s="110" t="s">
        <v>2109</v>
      </c>
      <c r="L408" s="107">
        <v>13555827588</v>
      </c>
      <c r="M408" s="110" t="s">
        <v>2110</v>
      </c>
      <c r="N408" s="122" t="s">
        <v>3257</v>
      </c>
      <c r="O408" s="123" t="s">
        <v>3258</v>
      </c>
      <c r="P408" s="128">
        <v>13840175050</v>
      </c>
      <c r="Q408" s="122" t="s">
        <v>3259</v>
      </c>
      <c r="R408">
        <f t="shared" si="13"/>
        <v>3</v>
      </c>
      <c r="S408" s="15" t="s">
        <v>3260</v>
      </c>
    </row>
    <row r="409" spans="1:19" ht="15.75">
      <c r="A409" s="106" t="str">
        <f t="shared" si="12"/>
        <v>nonono</v>
      </c>
      <c r="B409" s="21" t="s">
        <v>3261</v>
      </c>
      <c r="C409" s="15" t="s">
        <v>3262</v>
      </c>
      <c r="D409" s="110" t="s">
        <v>3263</v>
      </c>
      <c r="E409" s="107" t="s">
        <v>111</v>
      </c>
      <c r="F409" s="107">
        <v>1</v>
      </c>
      <c r="G409" s="108">
        <v>1.26</v>
      </c>
      <c r="H409" s="107">
        <v>12</v>
      </c>
      <c r="I409" s="109" t="s">
        <v>3264</v>
      </c>
      <c r="J409" s="110" t="s">
        <v>40</v>
      </c>
      <c r="K409" s="110" t="s">
        <v>331</v>
      </c>
      <c r="L409" s="107">
        <v>13906685749</v>
      </c>
      <c r="M409" s="110" t="s">
        <v>332</v>
      </c>
      <c r="N409" s="126" t="s">
        <v>331</v>
      </c>
      <c r="O409" s="123" t="s">
        <v>3265</v>
      </c>
      <c r="P409" s="182">
        <v>18057450020</v>
      </c>
      <c r="Q409" s="126" t="s">
        <v>3266</v>
      </c>
      <c r="R409">
        <f t="shared" si="13"/>
        <v>3</v>
      </c>
      <c r="S409" s="15" t="s">
        <v>3267</v>
      </c>
    </row>
    <row r="410" spans="1:19" ht="15.75">
      <c r="A410" s="106" t="str">
        <f t="shared" si="12"/>
        <v>nonono</v>
      </c>
      <c r="B410" s="21" t="s">
        <v>3268</v>
      </c>
      <c r="C410" s="15" t="s">
        <v>3269</v>
      </c>
      <c r="D410" s="117" t="s">
        <v>3270</v>
      </c>
      <c r="E410" s="37" t="s">
        <v>3271</v>
      </c>
      <c r="F410" s="107">
        <v>1</v>
      </c>
      <c r="G410" s="108">
        <v>1.49</v>
      </c>
      <c r="H410" s="107">
        <v>4</v>
      </c>
      <c r="I410" s="137" t="s">
        <v>402</v>
      </c>
      <c r="J410" s="110" t="s">
        <v>103</v>
      </c>
      <c r="K410" s="110" t="s">
        <v>2126</v>
      </c>
      <c r="L410" s="107">
        <v>13321158080</v>
      </c>
      <c r="M410" s="142" t="s">
        <v>2127</v>
      </c>
      <c r="N410" s="122" t="s">
        <v>3272</v>
      </c>
      <c r="O410" t="s">
        <v>2127</v>
      </c>
      <c r="P410" s="126">
        <v>13321158080</v>
      </c>
      <c r="Q410" s="122" t="s">
        <v>3273</v>
      </c>
      <c r="R410">
        <f t="shared" si="13"/>
        <v>2</v>
      </c>
      <c r="S410" s="15" t="s">
        <v>3274</v>
      </c>
    </row>
    <row r="411" spans="1:19" ht="15.75">
      <c r="A411" s="106" t="str">
        <f t="shared" si="12"/>
        <v>nonono</v>
      </c>
      <c r="B411" s="21" t="s">
        <v>3275</v>
      </c>
      <c r="C411" s="15" t="s">
        <v>3276</v>
      </c>
      <c r="D411" s="117" t="s">
        <v>3277</v>
      </c>
      <c r="E411" s="107" t="s">
        <v>69</v>
      </c>
      <c r="F411" s="107">
        <v>1</v>
      </c>
      <c r="G411" s="108">
        <v>0.35</v>
      </c>
      <c r="H411" s="107">
        <v>5</v>
      </c>
      <c r="I411" s="109" t="s">
        <v>2889</v>
      </c>
      <c r="J411" s="110" t="s">
        <v>40</v>
      </c>
      <c r="K411" s="110" t="s">
        <v>3278</v>
      </c>
      <c r="L411" s="107">
        <v>13931522304</v>
      </c>
      <c r="M411" s="142" t="s">
        <v>3279</v>
      </c>
      <c r="N411" s="122" t="s">
        <v>3280</v>
      </c>
      <c r="O411" t="s">
        <v>3279</v>
      </c>
      <c r="P411" s="126">
        <v>13931522304</v>
      </c>
      <c r="Q411" s="122" t="s">
        <v>3281</v>
      </c>
      <c r="R411">
        <f t="shared" si="13"/>
        <v>1</v>
      </c>
      <c r="S411" s="15" t="s">
        <v>3282</v>
      </c>
    </row>
    <row r="412" spans="1:19" ht="15.75">
      <c r="A412" s="106" t="str">
        <f t="shared" si="12"/>
        <v>nonono</v>
      </c>
      <c r="B412" s="21" t="s">
        <v>3283</v>
      </c>
      <c r="C412" s="15" t="s">
        <v>3284</v>
      </c>
      <c r="D412" s="110" t="s">
        <v>3285</v>
      </c>
      <c r="E412" s="37" t="s">
        <v>3286</v>
      </c>
      <c r="F412" s="107">
        <v>1</v>
      </c>
      <c r="G412" s="108">
        <v>0.81</v>
      </c>
      <c r="H412" s="107">
        <v>14</v>
      </c>
      <c r="I412" s="109" t="s">
        <v>3287</v>
      </c>
      <c r="J412" s="110" t="s">
        <v>29</v>
      </c>
      <c r="K412" s="110" t="s">
        <v>2142</v>
      </c>
      <c r="L412" s="107">
        <v>13671107288</v>
      </c>
      <c r="M412" s="186" t="s">
        <v>880</v>
      </c>
      <c r="N412" s="122" t="s">
        <v>3288</v>
      </c>
      <c r="O412" s="123" t="s">
        <v>3289</v>
      </c>
      <c r="P412" s="200">
        <v>13910166175</v>
      </c>
      <c r="Q412" s="122" t="s">
        <v>3290</v>
      </c>
      <c r="R412">
        <f t="shared" si="13"/>
        <v>4</v>
      </c>
      <c r="S412" s="15" t="s">
        <v>3291</v>
      </c>
    </row>
    <row r="413" spans="1:19" ht="15.75">
      <c r="A413" s="106" t="str">
        <f t="shared" si="12"/>
        <v>nonono</v>
      </c>
      <c r="B413" s="21" t="s">
        <v>3292</v>
      </c>
      <c r="C413" s="15" t="s">
        <v>3293</v>
      </c>
      <c r="D413" s="110" t="s">
        <v>3294</v>
      </c>
      <c r="E413" s="107" t="s">
        <v>3295</v>
      </c>
      <c r="F413" s="107">
        <v>1</v>
      </c>
      <c r="G413" s="108">
        <v>0.81</v>
      </c>
      <c r="H413" s="107">
        <v>11</v>
      </c>
      <c r="I413" s="137" t="s">
        <v>402</v>
      </c>
      <c r="J413" s="110" t="s">
        <v>103</v>
      </c>
      <c r="K413" s="110" t="s">
        <v>1231</v>
      </c>
      <c r="L413" s="107">
        <v>13671107288</v>
      </c>
      <c r="M413" s="186" t="s">
        <v>880</v>
      </c>
      <c r="N413" s="122" t="s">
        <v>3296</v>
      </c>
      <c r="O413" s="123" t="s">
        <v>3297</v>
      </c>
      <c r="P413" s="128">
        <v>15110273187</v>
      </c>
      <c r="Q413" s="122" t="s">
        <v>3298</v>
      </c>
      <c r="R413">
        <f t="shared" si="13"/>
        <v>2</v>
      </c>
      <c r="S413" s="15" t="s">
        <v>3299</v>
      </c>
    </row>
    <row r="414" spans="1:19" ht="15.75">
      <c r="A414" s="106" t="str">
        <f t="shared" si="12"/>
        <v>nonono</v>
      </c>
      <c r="B414" s="21" t="s">
        <v>3300</v>
      </c>
      <c r="C414" s="15" t="s">
        <v>3301</v>
      </c>
      <c r="D414" s="110" t="s">
        <v>3302</v>
      </c>
      <c r="E414" s="107" t="s">
        <v>3303</v>
      </c>
      <c r="F414" s="107">
        <v>1</v>
      </c>
      <c r="G414" s="108">
        <v>1.72</v>
      </c>
      <c r="H414" s="107">
        <v>18</v>
      </c>
      <c r="I414" s="109" t="s">
        <v>3304</v>
      </c>
      <c r="J414" s="110" t="s">
        <v>29</v>
      </c>
      <c r="K414" s="110" t="s">
        <v>890</v>
      </c>
      <c r="L414" s="107">
        <v>18733631372</v>
      </c>
      <c r="M414" s="135" t="s">
        <v>880</v>
      </c>
      <c r="N414" s="126" t="s">
        <v>890</v>
      </c>
      <c r="O414" s="123" t="s">
        <v>3305</v>
      </c>
      <c r="P414" s="129">
        <v>18611998811</v>
      </c>
      <c r="Q414" s="126" t="s">
        <v>3306</v>
      </c>
      <c r="R414">
        <f t="shared" si="13"/>
        <v>2</v>
      </c>
      <c r="S414" s="15" t="s">
        <v>3307</v>
      </c>
    </row>
    <row r="415" spans="1:19" ht="15.75">
      <c r="A415" s="106" t="str">
        <f t="shared" si="12"/>
        <v>nonono</v>
      </c>
      <c r="B415" s="21" t="s">
        <v>3308</v>
      </c>
      <c r="C415" s="15" t="s">
        <v>3309</v>
      </c>
      <c r="D415" s="117" t="s">
        <v>3310</v>
      </c>
      <c r="E415" s="37" t="s">
        <v>3311</v>
      </c>
      <c r="F415" s="37">
        <v>1</v>
      </c>
      <c r="G415" s="116">
        <v>0.81</v>
      </c>
      <c r="H415" s="37">
        <v>2</v>
      </c>
      <c r="I415" s="137" t="s">
        <v>402</v>
      </c>
      <c r="J415" s="110" t="s">
        <v>29</v>
      </c>
      <c r="K415" s="110" t="s">
        <v>3312</v>
      </c>
      <c r="L415" s="107">
        <v>13522690924</v>
      </c>
      <c r="M415" s="135" t="s">
        <v>3313</v>
      </c>
      <c r="N415" s="126" t="s">
        <v>3312</v>
      </c>
      <c r="O415" t="s">
        <v>3313</v>
      </c>
      <c r="P415" s="126">
        <v>13522690924</v>
      </c>
      <c r="Q415" s="126" t="s">
        <v>3314</v>
      </c>
      <c r="R415">
        <f t="shared" si="13"/>
        <v>1</v>
      </c>
      <c r="S415" s="15" t="s">
        <v>3315</v>
      </c>
    </row>
    <row r="416" spans="1:19" ht="15.75">
      <c r="A416" s="106" t="str">
        <f t="shared" si="12"/>
        <v>nonono</v>
      </c>
      <c r="B416" s="21" t="s">
        <v>3316</v>
      </c>
      <c r="C416" s="15" t="s">
        <v>3317</v>
      </c>
      <c r="D416" s="117" t="s">
        <v>916</v>
      </c>
      <c r="E416" s="37" t="s">
        <v>625</v>
      </c>
      <c r="F416" s="37">
        <v>1</v>
      </c>
      <c r="G416" s="116">
        <v>1.49</v>
      </c>
      <c r="H416" s="37">
        <v>3</v>
      </c>
      <c r="I416" s="109"/>
      <c r="J416" s="110" t="s">
        <v>40</v>
      </c>
      <c r="K416" s="137" t="s">
        <v>3318</v>
      </c>
      <c r="L416" s="107">
        <v>15900779722</v>
      </c>
      <c r="M416" s="137" t="s">
        <v>3319</v>
      </c>
      <c r="N416" s="122" t="s">
        <v>3320</v>
      </c>
      <c r="O416" t="s">
        <v>3319</v>
      </c>
      <c r="P416">
        <v>15900779722</v>
      </c>
      <c r="Q416" s="122" t="s">
        <v>3321</v>
      </c>
      <c r="R416">
        <f t="shared" si="13"/>
        <v>1</v>
      </c>
      <c r="S416" s="15" t="s">
        <v>3322</v>
      </c>
    </row>
    <row r="417" spans="1:19" ht="15.75">
      <c r="A417" s="106" t="str">
        <f t="shared" si="12"/>
        <v>nonono</v>
      </c>
      <c r="B417" s="21" t="s">
        <v>3323</v>
      </c>
      <c r="C417" s="15" t="s">
        <v>3324</v>
      </c>
      <c r="D417" s="110" t="s">
        <v>3325</v>
      </c>
      <c r="E417" s="37" t="s">
        <v>1317</v>
      </c>
      <c r="F417" s="107">
        <v>1</v>
      </c>
      <c r="G417" s="108">
        <v>1.72</v>
      </c>
      <c r="H417" s="107">
        <v>8</v>
      </c>
      <c r="I417" s="137" t="s">
        <v>282</v>
      </c>
      <c r="J417" s="110" t="s">
        <v>40</v>
      </c>
      <c r="K417" s="110" t="s">
        <v>3326</v>
      </c>
      <c r="L417" s="107">
        <v>13593136016</v>
      </c>
      <c r="M417" s="110" t="s">
        <v>3327</v>
      </c>
      <c r="N417" s="122" t="s">
        <v>3328</v>
      </c>
      <c r="O417" t="s">
        <v>3327</v>
      </c>
      <c r="P417">
        <v>13593136016</v>
      </c>
      <c r="Q417" s="122" t="s">
        <v>3329</v>
      </c>
      <c r="R417">
        <f t="shared" si="13"/>
        <v>1</v>
      </c>
      <c r="S417" s="15" t="s">
        <v>3330</v>
      </c>
    </row>
    <row r="418" spans="1:19" ht="15.75">
      <c r="A418" s="106" t="str">
        <f t="shared" si="12"/>
        <v>nonono</v>
      </c>
      <c r="B418" s="21" t="s">
        <v>3331</v>
      </c>
      <c r="C418" s="15" t="s">
        <v>3332</v>
      </c>
      <c r="D418" s="110" t="s">
        <v>3333</v>
      </c>
      <c r="E418" s="107" t="s">
        <v>111</v>
      </c>
      <c r="F418" s="107">
        <v>1</v>
      </c>
      <c r="G418" s="108">
        <v>2.17</v>
      </c>
      <c r="H418" s="107">
        <v>15</v>
      </c>
      <c r="I418" s="137" t="s">
        <v>430</v>
      </c>
      <c r="J418" s="110" t="s">
        <v>40</v>
      </c>
      <c r="K418" s="117" t="s">
        <v>3334</v>
      </c>
      <c r="L418" s="107">
        <v>13798150707</v>
      </c>
      <c r="M418" s="135" t="s">
        <v>3335</v>
      </c>
      <c r="N418" s="122" t="s">
        <v>3336</v>
      </c>
      <c r="O418" s="123" t="s">
        <v>3337</v>
      </c>
      <c r="P418" s="131">
        <v>15013061362</v>
      </c>
      <c r="Q418" s="122" t="s">
        <v>3338</v>
      </c>
      <c r="R418">
        <f t="shared" si="13"/>
        <v>3</v>
      </c>
      <c r="S418" s="15" t="s">
        <v>3339</v>
      </c>
    </row>
    <row r="419" spans="1:19" ht="15.75">
      <c r="A419" s="106" t="str">
        <f t="shared" si="12"/>
        <v>nonono</v>
      </c>
      <c r="B419" s="21" t="s">
        <v>3340</v>
      </c>
      <c r="C419" s="15" t="s">
        <v>3341</v>
      </c>
      <c r="D419" s="110" t="s">
        <v>3342</v>
      </c>
      <c r="E419" s="107" t="s">
        <v>261</v>
      </c>
      <c r="F419" s="107">
        <v>1</v>
      </c>
      <c r="G419" s="108">
        <v>1.72</v>
      </c>
      <c r="H419" s="107">
        <v>15</v>
      </c>
      <c r="I419" s="137" t="s">
        <v>391</v>
      </c>
      <c r="J419" s="110" t="s">
        <v>40</v>
      </c>
      <c r="K419" s="117" t="s">
        <v>1660</v>
      </c>
      <c r="L419" s="107">
        <v>13602446645</v>
      </c>
      <c r="M419" s="135" t="s">
        <v>1661</v>
      </c>
      <c r="N419" s="122" t="s">
        <v>3343</v>
      </c>
      <c r="O419" s="123" t="s">
        <v>3344</v>
      </c>
      <c r="P419" s="125">
        <v>13602220880</v>
      </c>
      <c r="Q419" s="122" t="s">
        <v>3345</v>
      </c>
      <c r="R419">
        <f t="shared" si="13"/>
        <v>3</v>
      </c>
      <c r="S419" s="15" t="s">
        <v>3346</v>
      </c>
    </row>
    <row r="420" spans="1:19" ht="15.75">
      <c r="A420" s="106" t="str">
        <f t="shared" si="12"/>
        <v>nonono</v>
      </c>
      <c r="B420" s="21" t="s">
        <v>3347</v>
      </c>
      <c r="C420" s="15" t="s">
        <v>3348</v>
      </c>
      <c r="D420" s="110" t="s">
        <v>3349</v>
      </c>
      <c r="E420" s="107" t="s">
        <v>111</v>
      </c>
      <c r="F420" s="107">
        <v>1</v>
      </c>
      <c r="G420" s="108">
        <v>2.17</v>
      </c>
      <c r="H420" s="107">
        <v>14</v>
      </c>
      <c r="I420" s="137" t="s">
        <v>430</v>
      </c>
      <c r="J420" s="110" t="s">
        <v>40</v>
      </c>
      <c r="K420" s="117" t="s">
        <v>3350</v>
      </c>
      <c r="L420" s="107">
        <v>13557116855</v>
      </c>
      <c r="M420" s="110" t="s">
        <v>3351</v>
      </c>
      <c r="N420" s="122" t="s">
        <v>3352</v>
      </c>
      <c r="O420" t="s">
        <v>3351</v>
      </c>
      <c r="P420">
        <v>13557116855</v>
      </c>
      <c r="Q420" s="122" t="s">
        <v>3353</v>
      </c>
      <c r="R420">
        <f t="shared" si="13"/>
        <v>1</v>
      </c>
      <c r="S420" s="15" t="s">
        <v>3354</v>
      </c>
    </row>
    <row r="421" spans="1:19" ht="15.75">
      <c r="A421" s="106" t="str">
        <f t="shared" si="12"/>
        <v>nonono</v>
      </c>
      <c r="B421" s="21" t="s">
        <v>3355</v>
      </c>
      <c r="C421" s="15" t="s">
        <v>3356</v>
      </c>
      <c r="D421" s="110" t="s">
        <v>3357</v>
      </c>
      <c r="E421" s="37" t="s">
        <v>3358</v>
      </c>
      <c r="F421" s="107">
        <v>1</v>
      </c>
      <c r="G421" s="108">
        <v>1.49</v>
      </c>
      <c r="H421" s="107">
        <v>9</v>
      </c>
      <c r="I421" s="109" t="s">
        <v>3359</v>
      </c>
      <c r="J421" s="110" t="s">
        <v>29</v>
      </c>
      <c r="K421" s="110" t="s">
        <v>3086</v>
      </c>
      <c r="L421" s="107">
        <v>15080609972</v>
      </c>
      <c r="M421" s="117" t="s">
        <v>3087</v>
      </c>
      <c r="N421" s="122" t="s">
        <v>3360</v>
      </c>
      <c r="O421" s="123" t="s">
        <v>3361</v>
      </c>
      <c r="P421" s="131">
        <v>13507431623</v>
      </c>
      <c r="Q421" s="122" t="s">
        <v>3362</v>
      </c>
      <c r="R421">
        <f t="shared" si="13"/>
        <v>3</v>
      </c>
      <c r="S421" s="15" t="s">
        <v>3363</v>
      </c>
    </row>
    <row r="422" spans="1:19" ht="15.75">
      <c r="A422" s="106" t="str">
        <f t="shared" si="12"/>
        <v>nonono</v>
      </c>
      <c r="B422" s="21" t="s">
        <v>3364</v>
      </c>
      <c r="C422" s="15" t="s">
        <v>3365</v>
      </c>
      <c r="D422" s="110" t="s">
        <v>3366</v>
      </c>
      <c r="E422" s="37" t="s">
        <v>3367</v>
      </c>
      <c r="F422" s="107">
        <v>1</v>
      </c>
      <c r="G422" s="108">
        <v>1.26</v>
      </c>
      <c r="H422" s="107">
        <v>11</v>
      </c>
      <c r="I422" s="109" t="s">
        <v>3368</v>
      </c>
      <c r="J422" s="110" t="s">
        <v>29</v>
      </c>
      <c r="K422" s="110" t="s">
        <v>991</v>
      </c>
      <c r="L422" s="107">
        <v>17695963119</v>
      </c>
      <c r="M422" s="135" t="s">
        <v>992</v>
      </c>
      <c r="N422" s="122" t="s">
        <v>3369</v>
      </c>
      <c r="O422" s="123" t="s">
        <v>3370</v>
      </c>
      <c r="P422" s="201">
        <v>13512965036</v>
      </c>
      <c r="Q422" s="122" t="s">
        <v>3371</v>
      </c>
      <c r="R422">
        <f t="shared" si="13"/>
        <v>3</v>
      </c>
      <c r="S422" s="15" t="s">
        <v>3372</v>
      </c>
    </row>
    <row r="423" spans="1:19" ht="15.75">
      <c r="A423" s="106" t="str">
        <f t="shared" si="12"/>
        <v>nonono</v>
      </c>
      <c r="B423" s="21" t="s">
        <v>3373</v>
      </c>
      <c r="C423" s="15" t="s">
        <v>3374</v>
      </c>
      <c r="D423" s="110" t="s">
        <v>312</v>
      </c>
      <c r="E423" s="107" t="s">
        <v>465</v>
      </c>
      <c r="F423" s="107">
        <v>1</v>
      </c>
      <c r="G423" s="108">
        <v>1.04</v>
      </c>
      <c r="H423" s="107">
        <v>1</v>
      </c>
      <c r="I423" s="109"/>
      <c r="J423" s="110" t="s">
        <v>304</v>
      </c>
      <c r="K423" s="110" t="s">
        <v>3375</v>
      </c>
      <c r="L423" s="107">
        <v>18538286679</v>
      </c>
      <c r="M423" s="135" t="s">
        <v>3376</v>
      </c>
      <c r="N423" s="122" t="s">
        <v>3377</v>
      </c>
      <c r="O423" s="123" t="s">
        <v>3378</v>
      </c>
      <c r="P423" s="139">
        <v>18695911366</v>
      </c>
      <c r="Q423" s="122" t="s">
        <v>3379</v>
      </c>
      <c r="R423">
        <f t="shared" si="13"/>
        <v>2</v>
      </c>
      <c r="S423" s="15" t="s">
        <v>3380</v>
      </c>
    </row>
    <row r="424" spans="1:19" ht="15.75">
      <c r="A424" s="106" t="str">
        <f t="shared" si="12"/>
        <v>nonono</v>
      </c>
      <c r="B424" s="21" t="s">
        <v>3381</v>
      </c>
      <c r="C424" s="15" t="s">
        <v>3382</v>
      </c>
      <c r="D424" s="110" t="s">
        <v>2285</v>
      </c>
      <c r="E424" s="37" t="s">
        <v>2286</v>
      </c>
      <c r="F424" s="107">
        <v>1</v>
      </c>
      <c r="G424" s="108">
        <v>1.04</v>
      </c>
      <c r="H424" s="107">
        <v>3</v>
      </c>
      <c r="I424" s="137" t="s">
        <v>402</v>
      </c>
      <c r="J424" s="110" t="s">
        <v>293</v>
      </c>
      <c r="K424" s="117" t="s">
        <v>3383</v>
      </c>
      <c r="L424" s="107">
        <v>15054955885</v>
      </c>
      <c r="M424" s="110" t="s">
        <v>3384</v>
      </c>
      <c r="N424" s="122" t="s">
        <v>3385</v>
      </c>
      <c r="O424" t="s">
        <v>3384</v>
      </c>
      <c r="P424">
        <v>15054955885</v>
      </c>
      <c r="Q424" s="122" t="s">
        <v>3386</v>
      </c>
      <c r="R424">
        <f t="shared" si="13"/>
        <v>1</v>
      </c>
      <c r="S424" s="15" t="s">
        <v>3387</v>
      </c>
    </row>
    <row r="425" spans="1:19" ht="15.75">
      <c r="A425" s="106" t="str">
        <f t="shared" si="12"/>
        <v>nonono</v>
      </c>
      <c r="B425" s="21" t="s">
        <v>3388</v>
      </c>
      <c r="C425" s="15" t="s">
        <v>3389</v>
      </c>
      <c r="D425" s="110" t="s">
        <v>3390</v>
      </c>
      <c r="E425" s="37" t="s">
        <v>3391</v>
      </c>
      <c r="F425" s="107">
        <v>1</v>
      </c>
      <c r="G425" s="108">
        <v>1.04</v>
      </c>
      <c r="H425" s="107">
        <v>6</v>
      </c>
      <c r="I425" s="137" t="s">
        <v>391</v>
      </c>
      <c r="J425" s="110" t="s">
        <v>29</v>
      </c>
      <c r="K425" s="137" t="s">
        <v>2267</v>
      </c>
      <c r="L425" s="107">
        <v>18511490114</v>
      </c>
      <c r="M425" s="117" t="s">
        <v>2268</v>
      </c>
      <c r="N425" s="122" t="s">
        <v>3392</v>
      </c>
      <c r="O425" t="s">
        <v>2268</v>
      </c>
      <c r="P425" s="126">
        <v>18511490114</v>
      </c>
      <c r="Q425" s="122" t="s">
        <v>3393</v>
      </c>
      <c r="R425">
        <f t="shared" si="13"/>
        <v>2</v>
      </c>
      <c r="S425" s="15" t="s">
        <v>3394</v>
      </c>
    </row>
    <row r="426" spans="1:19" ht="15.75">
      <c r="A426" s="106" t="str">
        <f t="shared" si="12"/>
        <v>nonono</v>
      </c>
      <c r="B426" s="21" t="s">
        <v>3395</v>
      </c>
      <c r="C426" s="15" t="s">
        <v>3396</v>
      </c>
      <c r="D426" s="110" t="s">
        <v>2294</v>
      </c>
      <c r="E426" s="107" t="s">
        <v>2295</v>
      </c>
      <c r="F426" s="107">
        <v>1</v>
      </c>
      <c r="G426" s="108">
        <v>1.04</v>
      </c>
      <c r="H426" s="107">
        <v>3</v>
      </c>
      <c r="I426" s="109"/>
      <c r="J426" s="110" t="s">
        <v>29</v>
      </c>
      <c r="K426" s="110" t="s">
        <v>2277</v>
      </c>
      <c r="L426" s="107">
        <v>13838009329</v>
      </c>
      <c r="M426" s="135" t="s">
        <v>2278</v>
      </c>
      <c r="N426" s="126" t="s">
        <v>2277</v>
      </c>
      <c r="O426" t="s">
        <v>2278</v>
      </c>
      <c r="P426">
        <v>13838009329</v>
      </c>
      <c r="Q426" s="126" t="s">
        <v>3397</v>
      </c>
      <c r="R426">
        <f t="shared" si="13"/>
        <v>2</v>
      </c>
      <c r="S426" s="15" t="s">
        <v>3398</v>
      </c>
    </row>
    <row r="427" spans="1:19" ht="15.75">
      <c r="A427" s="106" t="str">
        <f t="shared" si="12"/>
        <v>nonono</v>
      </c>
      <c r="B427" s="21" t="s">
        <v>3399</v>
      </c>
      <c r="C427" s="15" t="s">
        <v>3400</v>
      </c>
      <c r="D427" s="110" t="s">
        <v>3401</v>
      </c>
      <c r="E427" s="37" t="s">
        <v>3402</v>
      </c>
      <c r="F427" s="107">
        <v>1</v>
      </c>
      <c r="G427" s="108">
        <v>0.81</v>
      </c>
      <c r="H427" s="107">
        <v>7</v>
      </c>
      <c r="I427" s="109" t="s">
        <v>3403</v>
      </c>
      <c r="J427" s="110" t="s">
        <v>29</v>
      </c>
      <c r="K427" s="110" t="s">
        <v>3404</v>
      </c>
      <c r="L427" s="107">
        <v>15936236630</v>
      </c>
      <c r="M427" s="110" t="s">
        <v>3405</v>
      </c>
      <c r="N427" s="126" t="s">
        <v>3404</v>
      </c>
      <c r="O427" t="s">
        <v>3405</v>
      </c>
      <c r="P427">
        <v>15936236630</v>
      </c>
      <c r="Q427" s="126" t="s">
        <v>3406</v>
      </c>
      <c r="R427">
        <f t="shared" si="13"/>
        <v>1</v>
      </c>
      <c r="S427" s="15" t="s">
        <v>3407</v>
      </c>
    </row>
    <row r="428" spans="1:19" ht="15.75">
      <c r="A428" s="106" t="str">
        <f t="shared" si="12"/>
        <v>nonono</v>
      </c>
      <c r="B428" s="21" t="s">
        <v>3408</v>
      </c>
      <c r="C428" s="15" t="s">
        <v>3409</v>
      </c>
      <c r="D428" s="117" t="s">
        <v>3410</v>
      </c>
      <c r="E428" s="37" t="s">
        <v>3411</v>
      </c>
      <c r="F428" s="37">
        <v>1</v>
      </c>
      <c r="G428" s="116">
        <v>1.04</v>
      </c>
      <c r="H428" s="37">
        <v>7</v>
      </c>
      <c r="I428" s="109" t="s">
        <v>3412</v>
      </c>
      <c r="J428" s="117" t="s">
        <v>103</v>
      </c>
      <c r="K428" s="110" t="s">
        <v>3413</v>
      </c>
      <c r="L428" s="107">
        <v>13523711821</v>
      </c>
      <c r="M428" s="137" t="s">
        <v>3414</v>
      </c>
      <c r="N428" s="126" t="s">
        <v>3413</v>
      </c>
      <c r="O428" t="s">
        <v>3414</v>
      </c>
      <c r="P428" s="126">
        <v>13523711821</v>
      </c>
      <c r="Q428" s="126" t="s">
        <v>3415</v>
      </c>
      <c r="R428">
        <f t="shared" si="13"/>
        <v>1</v>
      </c>
      <c r="S428" s="15" t="s">
        <v>3416</v>
      </c>
    </row>
    <row r="429" spans="1:19" ht="15.75">
      <c r="A429" s="106" t="str">
        <f t="shared" si="12"/>
        <v>nonono</v>
      </c>
      <c r="B429" s="21" t="s">
        <v>3417</v>
      </c>
      <c r="C429" s="15" t="s">
        <v>3418</v>
      </c>
      <c r="D429" s="110" t="s">
        <v>3419</v>
      </c>
      <c r="E429" s="37" t="s">
        <v>3420</v>
      </c>
      <c r="F429" s="107">
        <v>1</v>
      </c>
      <c r="G429" s="108">
        <v>1.26</v>
      </c>
      <c r="H429" s="107">
        <v>6</v>
      </c>
      <c r="I429" s="137" t="s">
        <v>944</v>
      </c>
      <c r="J429" s="110" t="s">
        <v>29</v>
      </c>
      <c r="K429" s="110" t="s">
        <v>3421</v>
      </c>
      <c r="L429" s="109">
        <v>15110116918</v>
      </c>
      <c r="M429" s="110" t="s">
        <v>3422</v>
      </c>
      <c r="N429" s="126" t="s">
        <v>3421</v>
      </c>
      <c r="O429" t="s">
        <v>3422</v>
      </c>
      <c r="P429" s="126">
        <v>15110116918</v>
      </c>
      <c r="Q429" s="126" t="s">
        <v>3423</v>
      </c>
      <c r="R429">
        <f t="shared" si="13"/>
        <v>1</v>
      </c>
      <c r="S429" s="15" t="s">
        <v>3424</v>
      </c>
    </row>
    <row r="430" spans="1:19" ht="15.75">
      <c r="A430" s="106" t="str">
        <f t="shared" si="12"/>
        <v>nonono</v>
      </c>
      <c r="B430" s="21" t="s">
        <v>3425</v>
      </c>
      <c r="C430" s="15" t="s">
        <v>3426</v>
      </c>
      <c r="D430" s="110" t="s">
        <v>3427</v>
      </c>
      <c r="E430" s="107" t="s">
        <v>261</v>
      </c>
      <c r="F430" s="107">
        <v>1</v>
      </c>
      <c r="G430" s="108">
        <v>0.81</v>
      </c>
      <c r="H430" s="107">
        <v>7</v>
      </c>
      <c r="I430" s="109" t="s">
        <v>3428</v>
      </c>
      <c r="J430" s="110" t="s">
        <v>40</v>
      </c>
      <c r="K430" s="110" t="s">
        <v>3429</v>
      </c>
      <c r="L430" s="107">
        <v>18909588646</v>
      </c>
      <c r="M430" s="110" t="s">
        <v>3430</v>
      </c>
      <c r="N430" s="126" t="s">
        <v>3429</v>
      </c>
      <c r="O430" t="s">
        <v>3430</v>
      </c>
      <c r="P430" s="126">
        <v>18909588646</v>
      </c>
      <c r="Q430" s="126" t="s">
        <v>3431</v>
      </c>
      <c r="R430">
        <f t="shared" si="13"/>
        <v>1</v>
      </c>
      <c r="S430" s="15" t="s">
        <v>3432</v>
      </c>
    </row>
    <row r="431" spans="1:19" ht="15.75">
      <c r="A431" s="106" t="str">
        <f t="shared" si="12"/>
        <v>nonono</v>
      </c>
      <c r="B431" s="21" t="s">
        <v>3433</v>
      </c>
      <c r="C431" s="15" t="s">
        <v>3434</v>
      </c>
      <c r="D431" s="110" t="s">
        <v>3435</v>
      </c>
      <c r="E431" s="37" t="s">
        <v>3436</v>
      </c>
      <c r="F431" s="107">
        <v>1</v>
      </c>
      <c r="G431" s="108">
        <v>1.49</v>
      </c>
      <c r="H431" s="107">
        <v>9</v>
      </c>
      <c r="I431" s="109" t="s">
        <v>3437</v>
      </c>
      <c r="J431" s="110" t="s">
        <v>40</v>
      </c>
      <c r="K431" s="110" t="s">
        <v>1086</v>
      </c>
      <c r="L431" s="107">
        <v>13882248118</v>
      </c>
      <c r="M431" s="110" t="s">
        <v>1087</v>
      </c>
      <c r="N431" s="126" t="s">
        <v>1086</v>
      </c>
      <c r="O431" s="123" t="s">
        <v>3438</v>
      </c>
      <c r="P431" s="134">
        <v>15108409784</v>
      </c>
      <c r="Q431" s="126" t="s">
        <v>3439</v>
      </c>
      <c r="R431">
        <f t="shared" si="13"/>
        <v>4</v>
      </c>
      <c r="S431" s="15" t="s">
        <v>3440</v>
      </c>
    </row>
    <row r="432" spans="1:19" ht="15.75">
      <c r="A432" s="106" t="str">
        <f t="shared" si="12"/>
        <v>nonono</v>
      </c>
      <c r="B432" s="21" t="s">
        <v>3441</v>
      </c>
      <c r="C432" s="15" t="s">
        <v>3442</v>
      </c>
      <c r="D432" s="110" t="s">
        <v>3443</v>
      </c>
      <c r="E432" s="107" t="s">
        <v>201</v>
      </c>
      <c r="F432" s="107">
        <v>1</v>
      </c>
      <c r="G432" s="108">
        <v>1.49</v>
      </c>
      <c r="H432" s="107">
        <v>12</v>
      </c>
      <c r="I432" s="109" t="s">
        <v>3444</v>
      </c>
      <c r="J432" s="110" t="s">
        <v>40</v>
      </c>
      <c r="K432" s="117" t="s">
        <v>2336</v>
      </c>
      <c r="L432" s="107">
        <v>13777129967</v>
      </c>
      <c r="M432" s="110" t="s">
        <v>2337</v>
      </c>
      <c r="N432" s="122" t="s">
        <v>3445</v>
      </c>
      <c r="O432" s="123" t="s">
        <v>3446</v>
      </c>
      <c r="P432" s="134">
        <v>13586749118</v>
      </c>
      <c r="Q432" s="122" t="s">
        <v>3447</v>
      </c>
      <c r="R432">
        <f t="shared" si="13"/>
        <v>3</v>
      </c>
      <c r="S432" s="15" t="s">
        <v>3448</v>
      </c>
    </row>
    <row r="433" spans="1:19" ht="15.75">
      <c r="A433" s="106" t="str">
        <f t="shared" si="12"/>
        <v>nonono</v>
      </c>
      <c r="B433" s="21" t="s">
        <v>3449</v>
      </c>
      <c r="C433" s="15" t="s">
        <v>3450</v>
      </c>
      <c r="D433" s="110" t="s">
        <v>3451</v>
      </c>
      <c r="E433" s="107" t="s">
        <v>201</v>
      </c>
      <c r="F433" s="107">
        <v>1</v>
      </c>
      <c r="G433" s="108">
        <v>1.04</v>
      </c>
      <c r="H433" s="107">
        <v>11</v>
      </c>
      <c r="I433" s="109" t="s">
        <v>3452</v>
      </c>
      <c r="J433" s="110" t="s">
        <v>40</v>
      </c>
      <c r="K433" s="117" t="s">
        <v>2336</v>
      </c>
      <c r="L433" s="107">
        <v>13777129967</v>
      </c>
      <c r="M433" s="110" t="s">
        <v>2337</v>
      </c>
      <c r="N433" s="122" t="s">
        <v>3453</v>
      </c>
      <c r="O433" s="123" t="s">
        <v>3454</v>
      </c>
      <c r="P433" s="128">
        <v>13123818781</v>
      </c>
      <c r="Q433" s="122" t="s">
        <v>3455</v>
      </c>
      <c r="R433">
        <f t="shared" si="13"/>
        <v>3</v>
      </c>
      <c r="S433" s="15" t="s">
        <v>3456</v>
      </c>
    </row>
    <row r="434" spans="1:19" ht="15.75">
      <c r="A434" s="106" t="str">
        <f t="shared" si="12"/>
        <v>nonono</v>
      </c>
      <c r="B434" s="21" t="s">
        <v>3457</v>
      </c>
      <c r="C434" s="15" t="s">
        <v>3458</v>
      </c>
      <c r="D434" s="110" t="s">
        <v>3459</v>
      </c>
      <c r="E434" s="107" t="s">
        <v>1317</v>
      </c>
      <c r="F434" s="107">
        <v>1</v>
      </c>
      <c r="G434" s="108">
        <v>0.81</v>
      </c>
      <c r="H434" s="107">
        <v>4</v>
      </c>
      <c r="I434" s="109" t="s">
        <v>3460</v>
      </c>
      <c r="J434" s="110" t="s">
        <v>29</v>
      </c>
      <c r="K434" s="110" t="s">
        <v>3461</v>
      </c>
      <c r="L434" s="107">
        <v>13518413175</v>
      </c>
      <c r="M434" s="110" t="s">
        <v>3462</v>
      </c>
      <c r="N434" s="122" t="s">
        <v>3463</v>
      </c>
      <c r="O434" t="s">
        <v>3462</v>
      </c>
      <c r="P434" s="126">
        <v>13518413175</v>
      </c>
      <c r="Q434" s="122" t="s">
        <v>3464</v>
      </c>
      <c r="R434">
        <f t="shared" si="13"/>
        <v>1</v>
      </c>
      <c r="S434" s="15" t="s">
        <v>3465</v>
      </c>
    </row>
    <row r="435" spans="1:19" ht="15.75">
      <c r="A435" s="106" t="str">
        <f t="shared" si="12"/>
        <v>nonono</v>
      </c>
      <c r="B435" s="21" t="s">
        <v>3466</v>
      </c>
      <c r="C435" s="17" t="s">
        <v>3467</v>
      </c>
      <c r="D435" s="110" t="s">
        <v>3468</v>
      </c>
      <c r="E435" s="107" t="s">
        <v>281</v>
      </c>
      <c r="F435" s="107">
        <v>1</v>
      </c>
      <c r="G435" s="108">
        <v>1.04</v>
      </c>
      <c r="H435" s="107">
        <v>7</v>
      </c>
      <c r="I435" s="109" t="s">
        <v>3469</v>
      </c>
      <c r="J435" s="110" t="s">
        <v>40</v>
      </c>
      <c r="K435" s="110" t="s">
        <v>1122</v>
      </c>
      <c r="L435" s="107">
        <v>13817013878</v>
      </c>
      <c r="M435" s="110" t="s">
        <v>1123</v>
      </c>
      <c r="N435" s="126" t="s">
        <v>1122</v>
      </c>
      <c r="O435" s="123" t="s">
        <v>3470</v>
      </c>
      <c r="P435" s="182">
        <v>18221743682</v>
      </c>
      <c r="Q435" s="126" t="s">
        <v>3471</v>
      </c>
      <c r="R435">
        <f t="shared" si="13"/>
        <v>4</v>
      </c>
      <c r="S435" s="15" t="s">
        <v>3472</v>
      </c>
    </row>
    <row r="436" spans="1:19" ht="15.75">
      <c r="A436" s="106" t="str">
        <f t="shared" si="12"/>
        <v>nonono</v>
      </c>
      <c r="B436" s="21" t="s">
        <v>3473</v>
      </c>
      <c r="C436" s="17" t="s">
        <v>3474</v>
      </c>
      <c r="D436" s="110" t="s">
        <v>3475</v>
      </c>
      <c r="E436" s="107" t="s">
        <v>429</v>
      </c>
      <c r="F436" s="107">
        <v>1</v>
      </c>
      <c r="G436" s="108">
        <v>2.63</v>
      </c>
      <c r="H436" s="107">
        <v>6</v>
      </c>
      <c r="I436" s="137" t="s">
        <v>430</v>
      </c>
      <c r="J436" s="110" t="s">
        <v>40</v>
      </c>
      <c r="K436" s="110" t="s">
        <v>3476</v>
      </c>
      <c r="L436" s="107">
        <v>13132188597</v>
      </c>
      <c r="M436" s="110" t="s">
        <v>3477</v>
      </c>
      <c r="N436" s="126" t="s">
        <v>3476</v>
      </c>
      <c r="O436" t="s">
        <v>3477</v>
      </c>
      <c r="P436" s="126">
        <v>13132188597</v>
      </c>
      <c r="Q436" s="126" t="s">
        <v>3478</v>
      </c>
      <c r="R436">
        <f t="shared" si="13"/>
        <v>1</v>
      </c>
      <c r="S436" s="15" t="s">
        <v>3479</v>
      </c>
    </row>
    <row r="437" spans="1:19" ht="15.75">
      <c r="A437" s="106" t="str">
        <f t="shared" si="12"/>
        <v>nonono</v>
      </c>
      <c r="B437" s="21" t="s">
        <v>3480</v>
      </c>
      <c r="C437" s="35" t="s">
        <v>3481</v>
      </c>
      <c r="D437" s="110" t="s">
        <v>1141</v>
      </c>
      <c r="E437" s="107" t="s">
        <v>420</v>
      </c>
      <c r="F437" s="107">
        <v>1</v>
      </c>
      <c r="G437" s="108">
        <v>1.72</v>
      </c>
      <c r="H437" s="107">
        <v>14</v>
      </c>
      <c r="I437" s="109" t="s">
        <v>1142</v>
      </c>
      <c r="J437" s="110" t="s">
        <v>29</v>
      </c>
      <c r="K437" s="110" t="s">
        <v>1143</v>
      </c>
      <c r="L437" s="107">
        <v>13266533076</v>
      </c>
      <c r="M437" s="110" t="s">
        <v>1144</v>
      </c>
      <c r="N437" s="122" t="s">
        <v>3482</v>
      </c>
      <c r="O437" s="123" t="s">
        <v>3483</v>
      </c>
      <c r="P437" s="134">
        <v>13590473120</v>
      </c>
      <c r="Q437" s="122" t="s">
        <v>3484</v>
      </c>
      <c r="R437">
        <f t="shared" si="13"/>
        <v>4</v>
      </c>
      <c r="S437" s="15" t="s">
        <v>3485</v>
      </c>
    </row>
    <row r="438" spans="1:19" ht="15.75">
      <c r="A438" s="106" t="str">
        <f t="shared" si="12"/>
        <v>nonono</v>
      </c>
      <c r="B438" s="21" t="s">
        <v>3486</v>
      </c>
      <c r="C438" s="17" t="s">
        <v>3487</v>
      </c>
      <c r="D438" s="107" t="s">
        <v>3488</v>
      </c>
      <c r="E438" s="107" t="s">
        <v>111</v>
      </c>
      <c r="F438" s="107">
        <v>1</v>
      </c>
      <c r="G438" s="108">
        <v>0.81</v>
      </c>
      <c r="H438" s="107">
        <v>12</v>
      </c>
      <c r="I438" s="109" t="s">
        <v>3489</v>
      </c>
      <c r="J438" s="107" t="s">
        <v>40</v>
      </c>
      <c r="K438" s="107" t="s">
        <v>1153</v>
      </c>
      <c r="L438" s="107">
        <v>13313625098</v>
      </c>
      <c r="M438" s="107" t="s">
        <v>1154</v>
      </c>
      <c r="N438" s="122" t="s">
        <v>3490</v>
      </c>
      <c r="O438" s="123" t="s">
        <v>3491</v>
      </c>
      <c r="P438" s="125">
        <v>15045807324</v>
      </c>
      <c r="Q438" s="122" t="s">
        <v>3492</v>
      </c>
      <c r="R438">
        <f t="shared" si="13"/>
        <v>4</v>
      </c>
      <c r="S438" s="15" t="s">
        <v>3493</v>
      </c>
    </row>
    <row r="439" spans="1:19" ht="15.75">
      <c r="A439" s="106" t="str">
        <f t="shared" si="12"/>
        <v>nonono</v>
      </c>
      <c r="B439" s="21" t="s">
        <v>3494</v>
      </c>
      <c r="C439" s="15" t="s">
        <v>3495</v>
      </c>
      <c r="D439" s="107" t="s">
        <v>3496</v>
      </c>
      <c r="E439" s="107" t="s">
        <v>261</v>
      </c>
      <c r="F439" s="107">
        <v>1</v>
      </c>
      <c r="G439" s="108">
        <v>1.49</v>
      </c>
      <c r="H439" s="107">
        <v>12</v>
      </c>
      <c r="I439" s="109" t="s">
        <v>262</v>
      </c>
      <c r="J439" s="107" t="s">
        <v>40</v>
      </c>
      <c r="K439" s="107" t="s">
        <v>321</v>
      </c>
      <c r="L439" s="107">
        <v>13701078667</v>
      </c>
      <c r="M439" s="107" t="s">
        <v>322</v>
      </c>
      <c r="N439" s="122" t="s">
        <v>3497</v>
      </c>
      <c r="O439" s="123" t="s">
        <v>3498</v>
      </c>
      <c r="P439" s="134">
        <v>13810020844</v>
      </c>
      <c r="Q439" s="122" t="s">
        <v>3499</v>
      </c>
      <c r="R439">
        <f t="shared" si="13"/>
        <v>4</v>
      </c>
      <c r="S439" s="15" t="s">
        <v>3500</v>
      </c>
    </row>
    <row r="440" spans="1:19" ht="15.75">
      <c r="A440" s="106" t="str">
        <f t="shared" si="12"/>
        <v>nonono</v>
      </c>
      <c r="B440" s="21" t="s">
        <v>3501</v>
      </c>
      <c r="C440" s="15" t="s">
        <v>3502</v>
      </c>
      <c r="D440" s="107" t="s">
        <v>3503</v>
      </c>
      <c r="E440" s="107" t="s">
        <v>69</v>
      </c>
      <c r="F440" s="107">
        <v>1</v>
      </c>
      <c r="G440" s="108">
        <v>1.72</v>
      </c>
      <c r="H440" s="107">
        <v>10</v>
      </c>
      <c r="I440" s="109" t="s">
        <v>3504</v>
      </c>
      <c r="J440" s="107" t="s">
        <v>40</v>
      </c>
      <c r="K440" s="107" t="s">
        <v>1171</v>
      </c>
      <c r="L440" s="107">
        <v>13689911637</v>
      </c>
      <c r="M440" s="135" t="s">
        <v>1172</v>
      </c>
      <c r="N440" s="122" t="s">
        <v>3505</v>
      </c>
      <c r="O440" s="123" t="s">
        <v>3506</v>
      </c>
      <c r="P440" s="134">
        <v>15739390783</v>
      </c>
      <c r="Q440" s="122" t="s">
        <v>3507</v>
      </c>
      <c r="R440">
        <f t="shared" si="13"/>
        <v>4</v>
      </c>
      <c r="S440" s="15" t="s">
        <v>3508</v>
      </c>
    </row>
    <row r="441" spans="1:19" ht="15.75">
      <c r="A441" s="106" t="str">
        <f t="shared" si="12"/>
        <v>nonono</v>
      </c>
      <c r="B441" s="21" t="s">
        <v>3509</v>
      </c>
      <c r="C441" s="15" t="s">
        <v>3510</v>
      </c>
      <c r="D441" s="107" t="s">
        <v>3511</v>
      </c>
      <c r="E441" s="107" t="s">
        <v>111</v>
      </c>
      <c r="F441" s="107">
        <v>1</v>
      </c>
      <c r="G441" s="108">
        <v>0.81</v>
      </c>
      <c r="H441" s="107">
        <v>15</v>
      </c>
      <c r="I441" s="109" t="s">
        <v>3512</v>
      </c>
      <c r="J441" s="107" t="s">
        <v>40</v>
      </c>
      <c r="K441" s="37" t="s">
        <v>3513</v>
      </c>
      <c r="L441" s="107">
        <v>13999205305</v>
      </c>
      <c r="M441" s="107" t="s">
        <v>3514</v>
      </c>
      <c r="N441" s="122" t="s">
        <v>3515</v>
      </c>
      <c r="O441" s="123" t="s">
        <v>3516</v>
      </c>
      <c r="P441" s="128">
        <v>18599029256</v>
      </c>
      <c r="Q441" s="122" t="s">
        <v>3517</v>
      </c>
      <c r="R441">
        <f t="shared" si="13"/>
        <v>2</v>
      </c>
      <c r="S441" s="15" t="s">
        <v>3518</v>
      </c>
    </row>
    <row r="442" spans="1:19" ht="15.75">
      <c r="A442" s="106" t="str">
        <f t="shared" si="12"/>
        <v>nonono</v>
      </c>
      <c r="B442" s="21" t="s">
        <v>3519</v>
      </c>
      <c r="C442" s="15" t="s">
        <v>3520</v>
      </c>
      <c r="D442" s="37" t="s">
        <v>3521</v>
      </c>
      <c r="E442" s="37" t="s">
        <v>3522</v>
      </c>
      <c r="F442" s="107">
        <v>1</v>
      </c>
      <c r="G442" s="108">
        <f>3/2.2-0.1</f>
        <v>1.2636363636363599</v>
      </c>
      <c r="H442" s="37">
        <v>10</v>
      </c>
      <c r="I442" s="109" t="s">
        <v>3523</v>
      </c>
      <c r="J442" s="37" t="s">
        <v>40</v>
      </c>
      <c r="K442" s="107" t="s">
        <v>1181</v>
      </c>
      <c r="L442" s="107">
        <v>13321152741</v>
      </c>
      <c r="M442" s="24" t="s">
        <v>1182</v>
      </c>
      <c r="N442" s="126" t="s">
        <v>1181</v>
      </c>
      <c r="O442" s="123" t="s">
        <v>3524</v>
      </c>
      <c r="P442" s="202">
        <v>13936167827</v>
      </c>
      <c r="Q442" s="126" t="s">
        <v>3525</v>
      </c>
      <c r="R442">
        <f t="shared" si="13"/>
        <v>4</v>
      </c>
      <c r="S442" s="15" t="s">
        <v>3526</v>
      </c>
    </row>
    <row r="443" spans="1:19" ht="15.75">
      <c r="A443" s="106" t="str">
        <f t="shared" si="12"/>
        <v>nonono</v>
      </c>
      <c r="B443" s="21" t="s">
        <v>3527</v>
      </c>
      <c r="C443" s="15" t="s">
        <v>3528</v>
      </c>
      <c r="D443" s="110" t="s">
        <v>3529</v>
      </c>
      <c r="E443" s="107" t="s">
        <v>80</v>
      </c>
      <c r="F443" s="107">
        <v>1</v>
      </c>
      <c r="G443" s="108">
        <v>2.63</v>
      </c>
      <c r="H443" s="107">
        <v>5</v>
      </c>
      <c r="I443" s="137" t="s">
        <v>402</v>
      </c>
      <c r="J443" s="110" t="s">
        <v>29</v>
      </c>
      <c r="K443" s="117" t="s">
        <v>1191</v>
      </c>
      <c r="L443" s="37">
        <v>18382618053</v>
      </c>
      <c r="M443" s="23" t="s">
        <v>1192</v>
      </c>
      <c r="N443" s="126" t="s">
        <v>1191</v>
      </c>
      <c r="O443" s="123" t="s">
        <v>3530</v>
      </c>
      <c r="P443" s="134">
        <v>13629096168</v>
      </c>
      <c r="Q443" s="126" t="s">
        <v>3531</v>
      </c>
      <c r="R443">
        <f t="shared" si="13"/>
        <v>4</v>
      </c>
      <c r="S443" s="15" t="s">
        <v>3532</v>
      </c>
    </row>
    <row r="444" spans="1:19" ht="15.75">
      <c r="A444" s="106" t="str">
        <f t="shared" si="12"/>
        <v>nonono</v>
      </c>
      <c r="B444" s="21" t="s">
        <v>3533</v>
      </c>
      <c r="C444" s="15" t="s">
        <v>3534</v>
      </c>
      <c r="D444" s="110" t="s">
        <v>3535</v>
      </c>
      <c r="E444" s="107" t="s">
        <v>111</v>
      </c>
      <c r="F444" s="107">
        <v>1</v>
      </c>
      <c r="G444" s="108">
        <v>1.49</v>
      </c>
      <c r="H444" s="107">
        <v>12</v>
      </c>
      <c r="I444" s="109" t="s">
        <v>112</v>
      </c>
      <c r="J444" s="110" t="s">
        <v>40</v>
      </c>
      <c r="K444" s="110" t="s">
        <v>1201</v>
      </c>
      <c r="L444" s="107">
        <v>13805356723</v>
      </c>
      <c r="M444" s="110" t="s">
        <v>1202</v>
      </c>
      <c r="N444" s="126" t="s">
        <v>1201</v>
      </c>
      <c r="O444" s="123" t="s">
        <v>3536</v>
      </c>
      <c r="P444" s="129">
        <v>13225359762</v>
      </c>
      <c r="Q444" s="126" t="s">
        <v>3537</v>
      </c>
      <c r="R444">
        <f t="shared" si="13"/>
        <v>4</v>
      </c>
      <c r="S444" s="15" t="s">
        <v>3538</v>
      </c>
    </row>
    <row r="445" spans="1:19" ht="15.75">
      <c r="A445" s="106" t="str">
        <f t="shared" si="12"/>
        <v>nonono</v>
      </c>
      <c r="B445" s="21" t="s">
        <v>3539</v>
      </c>
      <c r="C445" s="15" t="s">
        <v>3540</v>
      </c>
      <c r="D445" s="110" t="s">
        <v>3541</v>
      </c>
      <c r="E445" s="107" t="s">
        <v>3542</v>
      </c>
      <c r="F445" s="107">
        <v>1</v>
      </c>
      <c r="G445" s="108">
        <v>1.49</v>
      </c>
      <c r="H445" s="107">
        <v>2</v>
      </c>
      <c r="I445" s="109"/>
      <c r="J445" s="110" t="s">
        <v>293</v>
      </c>
      <c r="K445" s="39" t="s">
        <v>1229</v>
      </c>
      <c r="L445" s="34">
        <v>18722622602</v>
      </c>
      <c r="M445" s="39" t="s">
        <v>1230</v>
      </c>
      <c r="N445" s="122" t="s">
        <v>3543</v>
      </c>
      <c r="O445" s="123" t="s">
        <v>3544</v>
      </c>
      <c r="P445" s="156">
        <v>13602046955</v>
      </c>
      <c r="Q445" s="122" t="s">
        <v>3545</v>
      </c>
      <c r="R445">
        <f t="shared" si="13"/>
        <v>4</v>
      </c>
      <c r="S445" s="15" t="s">
        <v>3546</v>
      </c>
    </row>
    <row r="446" spans="1:19" ht="15.75">
      <c r="A446" s="106" t="str">
        <f t="shared" si="12"/>
        <v>nonono</v>
      </c>
      <c r="B446" s="21" t="s">
        <v>3547</v>
      </c>
      <c r="C446" s="15" t="s">
        <v>3548</v>
      </c>
      <c r="D446" s="110" t="s">
        <v>3549</v>
      </c>
      <c r="E446" s="107" t="s">
        <v>3550</v>
      </c>
      <c r="F446" s="107">
        <v>1</v>
      </c>
      <c r="G446" s="108">
        <v>1.26</v>
      </c>
      <c r="H446" s="107">
        <v>16</v>
      </c>
      <c r="I446" s="137" t="s">
        <v>3551</v>
      </c>
      <c r="J446" s="110" t="s">
        <v>29</v>
      </c>
      <c r="K446" s="39" t="s">
        <v>1211</v>
      </c>
      <c r="L446" s="34">
        <v>17695963119</v>
      </c>
      <c r="M446" s="39" t="s">
        <v>992</v>
      </c>
      <c r="N446" s="122" t="s">
        <v>3552</v>
      </c>
      <c r="O446" s="123" t="s">
        <v>3553</v>
      </c>
      <c r="P446" s="128">
        <v>13662182297</v>
      </c>
      <c r="Q446" s="122" t="s">
        <v>3554</v>
      </c>
      <c r="R446">
        <f t="shared" si="13"/>
        <v>4</v>
      </c>
      <c r="S446" s="15" t="s">
        <v>3555</v>
      </c>
    </row>
    <row r="447" spans="1:19" ht="15.75">
      <c r="A447" s="106" t="str">
        <f t="shared" si="12"/>
        <v>nonono</v>
      </c>
      <c r="B447" s="21" t="s">
        <v>3556</v>
      </c>
      <c r="C447" s="15" t="s">
        <v>3557</v>
      </c>
      <c r="D447" s="110" t="s">
        <v>1227</v>
      </c>
      <c r="E447" s="37" t="s">
        <v>1228</v>
      </c>
      <c r="F447" s="107">
        <v>1</v>
      </c>
      <c r="G447" s="111">
        <v>0.81</v>
      </c>
      <c r="H447" s="107">
        <v>6</v>
      </c>
      <c r="I447" s="137" t="s">
        <v>402</v>
      </c>
      <c r="J447" s="110" t="s">
        <v>29</v>
      </c>
      <c r="K447" s="39" t="s">
        <v>1220</v>
      </c>
      <c r="L447" s="34">
        <v>17694885170</v>
      </c>
      <c r="M447" s="39" t="s">
        <v>1221</v>
      </c>
      <c r="N447" s="122" t="s">
        <v>3558</v>
      </c>
      <c r="O447" s="123" t="s">
        <v>3559</v>
      </c>
      <c r="P447" s="128">
        <v>15522318539</v>
      </c>
      <c r="Q447" s="122" t="s">
        <v>3560</v>
      </c>
      <c r="R447">
        <f t="shared" si="13"/>
        <v>4</v>
      </c>
      <c r="S447" s="15" t="s">
        <v>3561</v>
      </c>
    </row>
    <row r="448" spans="1:19" ht="15.75">
      <c r="A448" s="106" t="str">
        <f t="shared" si="12"/>
        <v>nonono</v>
      </c>
      <c r="B448" s="21" t="s">
        <v>3562</v>
      </c>
      <c r="C448" s="15" t="s">
        <v>3563</v>
      </c>
      <c r="D448" s="117" t="s">
        <v>3564</v>
      </c>
      <c r="E448" s="37" t="s">
        <v>3286</v>
      </c>
      <c r="F448" s="37">
        <v>1</v>
      </c>
      <c r="G448" s="111">
        <v>1.26</v>
      </c>
      <c r="H448" s="37">
        <v>6</v>
      </c>
      <c r="I448" s="109" t="s">
        <v>3565</v>
      </c>
      <c r="J448" s="110" t="s">
        <v>29</v>
      </c>
      <c r="K448" s="141" t="s">
        <v>1239</v>
      </c>
      <c r="L448" s="37">
        <v>17694885170</v>
      </c>
      <c r="M448" s="135" t="s">
        <v>1230</v>
      </c>
      <c r="N448" s="122" t="s">
        <v>3566</v>
      </c>
      <c r="O448" s="123" t="s">
        <v>3567</v>
      </c>
      <c r="P448" s="128">
        <v>18822371388</v>
      </c>
      <c r="Q448" s="122" t="s">
        <v>3568</v>
      </c>
      <c r="R448">
        <f t="shared" si="13"/>
        <v>4</v>
      </c>
      <c r="S448" s="15" t="s">
        <v>3569</v>
      </c>
    </row>
    <row r="449" spans="1:19" ht="15.75">
      <c r="A449" s="106" t="str">
        <f t="shared" ref="A449:A512" si="14">IF(B449=C449,"","nonono")</f>
        <v>nonono</v>
      </c>
      <c r="B449" s="21" t="s">
        <v>3570</v>
      </c>
      <c r="C449" s="27" t="s">
        <v>3571</v>
      </c>
      <c r="D449" s="159" t="s">
        <v>1255</v>
      </c>
      <c r="E449" s="160" t="s">
        <v>429</v>
      </c>
      <c r="F449" s="160">
        <v>1</v>
      </c>
      <c r="G449" s="161">
        <v>1.72</v>
      </c>
      <c r="H449" s="160">
        <v>11</v>
      </c>
      <c r="I449" s="151" t="s">
        <v>1256</v>
      </c>
      <c r="J449" s="159" t="s">
        <v>40</v>
      </c>
      <c r="K449" s="159" t="s">
        <v>1257</v>
      </c>
      <c r="L449" s="160">
        <v>18820285826</v>
      </c>
      <c r="M449" s="159" t="s">
        <v>1258</v>
      </c>
      <c r="N449" s="122" t="s">
        <v>3572</v>
      </c>
      <c r="O449" s="123" t="s">
        <v>3573</v>
      </c>
      <c r="P449" s="128">
        <v>18988775515</v>
      </c>
      <c r="Q449" s="122" t="s">
        <v>3574</v>
      </c>
      <c r="R449">
        <f t="shared" si="13"/>
        <v>4</v>
      </c>
      <c r="S449" s="15" t="s">
        <v>3575</v>
      </c>
    </row>
    <row r="450" spans="1:19" ht="15.75">
      <c r="A450" s="106" t="str">
        <f t="shared" si="14"/>
        <v>nonono</v>
      </c>
      <c r="B450" s="21" t="s">
        <v>3576</v>
      </c>
      <c r="C450" s="15" t="s">
        <v>3577</v>
      </c>
      <c r="D450" s="117" t="s">
        <v>3578</v>
      </c>
      <c r="E450" s="37" t="s">
        <v>212</v>
      </c>
      <c r="F450" s="37">
        <v>1</v>
      </c>
      <c r="G450" s="111">
        <v>1.49</v>
      </c>
      <c r="H450" s="37">
        <v>14</v>
      </c>
      <c r="I450" s="109" t="s">
        <v>3579</v>
      </c>
      <c r="J450" s="117" t="s">
        <v>40</v>
      </c>
      <c r="K450" s="184" t="s">
        <v>1248</v>
      </c>
      <c r="L450" s="37">
        <v>13801375568</v>
      </c>
      <c r="M450" s="184" t="s">
        <v>2463</v>
      </c>
      <c r="N450" s="122" t="s">
        <v>3580</v>
      </c>
      <c r="O450" s="123" t="s">
        <v>3581</v>
      </c>
      <c r="P450" s="128">
        <v>13110482825</v>
      </c>
      <c r="Q450" s="122" t="s">
        <v>3582</v>
      </c>
      <c r="R450">
        <f t="shared" si="13"/>
        <v>3</v>
      </c>
      <c r="S450" s="15" t="s">
        <v>3583</v>
      </c>
    </row>
    <row r="451" spans="1:19" ht="15.75">
      <c r="A451" s="106" t="str">
        <f t="shared" si="14"/>
        <v>nonono</v>
      </c>
      <c r="B451" s="21" t="s">
        <v>3584</v>
      </c>
      <c r="C451" s="22" t="s">
        <v>3585</v>
      </c>
      <c r="D451" s="37" t="s">
        <v>1264</v>
      </c>
      <c r="E451" s="37" t="s">
        <v>429</v>
      </c>
      <c r="F451" s="107">
        <v>1</v>
      </c>
      <c r="G451" s="108">
        <f>3/2.2-0.1</f>
        <v>1.2636363636363599</v>
      </c>
      <c r="H451" s="37">
        <v>10</v>
      </c>
      <c r="I451" s="109" t="s">
        <v>1265</v>
      </c>
      <c r="J451" s="37" t="s">
        <v>29</v>
      </c>
      <c r="K451" s="107" t="s">
        <v>1266</v>
      </c>
      <c r="L451" s="107">
        <v>13611066495</v>
      </c>
      <c r="M451" s="110" t="s">
        <v>1267</v>
      </c>
      <c r="N451" s="122" t="s">
        <v>3586</v>
      </c>
      <c r="O451" s="123" t="s">
        <v>3587</v>
      </c>
      <c r="P451" s="128">
        <v>13671283992</v>
      </c>
      <c r="Q451" s="122" t="s">
        <v>3588</v>
      </c>
      <c r="R451">
        <f t="shared" si="13"/>
        <v>4</v>
      </c>
      <c r="S451" s="15" t="s">
        <v>3589</v>
      </c>
    </row>
    <row r="452" spans="1:19" ht="15.75">
      <c r="A452" s="106" t="str">
        <f t="shared" si="14"/>
        <v>nonono</v>
      </c>
      <c r="B452" s="21" t="s">
        <v>3590</v>
      </c>
      <c r="C452" s="28" t="s">
        <v>3591</v>
      </c>
      <c r="D452" s="107" t="s">
        <v>1274</v>
      </c>
      <c r="E452" s="107" t="s">
        <v>420</v>
      </c>
      <c r="F452" s="107">
        <v>1</v>
      </c>
      <c r="G452" s="108">
        <v>0.81</v>
      </c>
      <c r="H452" s="107">
        <v>2</v>
      </c>
      <c r="I452" s="109"/>
      <c r="J452" s="107" t="s">
        <v>40</v>
      </c>
      <c r="K452" s="162" t="s">
        <v>1325</v>
      </c>
      <c r="L452" s="163">
        <v>17098899489</v>
      </c>
      <c r="M452" s="164" t="s">
        <v>1326</v>
      </c>
      <c r="N452" s="122" t="s">
        <v>3592</v>
      </c>
      <c r="O452" s="123" t="s">
        <v>3593</v>
      </c>
      <c r="P452" s="134">
        <v>13671486413</v>
      </c>
      <c r="Q452" s="122" t="s">
        <v>3594</v>
      </c>
      <c r="R452">
        <f t="shared" si="13"/>
        <v>4</v>
      </c>
      <c r="S452" s="15" t="s">
        <v>3595</v>
      </c>
    </row>
    <row r="453" spans="1:19" ht="15.75">
      <c r="A453" s="106" t="str">
        <f t="shared" si="14"/>
        <v>nonono</v>
      </c>
      <c r="B453" s="21" t="s">
        <v>3596</v>
      </c>
      <c r="C453" s="28" t="s">
        <v>3597</v>
      </c>
      <c r="D453" s="107" t="s">
        <v>1274</v>
      </c>
      <c r="E453" s="107" t="s">
        <v>420</v>
      </c>
      <c r="F453" s="107">
        <v>1</v>
      </c>
      <c r="G453" s="108">
        <v>0.81</v>
      </c>
      <c r="H453" s="107">
        <v>2</v>
      </c>
      <c r="I453" s="109"/>
      <c r="J453" s="107" t="s">
        <v>40</v>
      </c>
      <c r="K453" s="162" t="s">
        <v>3598</v>
      </c>
      <c r="L453" s="163">
        <v>18926224407</v>
      </c>
      <c r="M453" s="164" t="s">
        <v>3599</v>
      </c>
      <c r="N453" s="122" t="s">
        <v>3600</v>
      </c>
      <c r="O453" t="s">
        <v>3599</v>
      </c>
      <c r="P453" s="126">
        <v>18926224407</v>
      </c>
      <c r="Q453" s="122" t="s">
        <v>3601</v>
      </c>
      <c r="R453">
        <f t="shared" si="13"/>
        <v>2</v>
      </c>
      <c r="S453" s="15" t="s">
        <v>3602</v>
      </c>
    </row>
    <row r="454" spans="1:19" ht="15.75">
      <c r="A454" s="106" t="str">
        <f t="shared" si="14"/>
        <v>nonono</v>
      </c>
      <c r="B454" s="21" t="s">
        <v>3603</v>
      </c>
      <c r="C454" s="15" t="s">
        <v>3604</v>
      </c>
      <c r="D454" s="110" t="s">
        <v>2203</v>
      </c>
      <c r="E454" s="107" t="s">
        <v>261</v>
      </c>
      <c r="F454" s="107">
        <v>1</v>
      </c>
      <c r="G454" s="108">
        <v>1.72</v>
      </c>
      <c r="H454" s="107">
        <v>15</v>
      </c>
      <c r="I454" s="137" t="s">
        <v>391</v>
      </c>
      <c r="J454" s="110" t="s">
        <v>40</v>
      </c>
      <c r="K454" s="117" t="s">
        <v>3605</v>
      </c>
      <c r="L454" s="107">
        <v>13560315011</v>
      </c>
      <c r="M454" s="186" t="s">
        <v>1674</v>
      </c>
      <c r="N454" s="122" t="s">
        <v>3606</v>
      </c>
      <c r="O454" s="123" t="s">
        <v>3607</v>
      </c>
      <c r="P454" s="134">
        <v>18818807997</v>
      </c>
      <c r="Q454" s="122" t="s">
        <v>3608</v>
      </c>
      <c r="R454">
        <f t="shared" si="13"/>
        <v>1</v>
      </c>
      <c r="S454" s="15" t="s">
        <v>3609</v>
      </c>
    </row>
    <row r="455" spans="1:19" ht="15.75">
      <c r="A455" s="106" t="str">
        <f t="shared" si="14"/>
        <v>nonono</v>
      </c>
      <c r="B455" s="21" t="s">
        <v>3610</v>
      </c>
      <c r="C455" s="15" t="s">
        <v>3611</v>
      </c>
      <c r="D455" s="110" t="s">
        <v>2210</v>
      </c>
      <c r="E455" s="107" t="s">
        <v>201</v>
      </c>
      <c r="F455" s="107">
        <v>1</v>
      </c>
      <c r="G455" s="108">
        <v>1.72</v>
      </c>
      <c r="H455" s="107">
        <v>10</v>
      </c>
      <c r="I455" s="137" t="s">
        <v>944</v>
      </c>
      <c r="J455" s="110" t="s">
        <v>40</v>
      </c>
      <c r="K455" s="110" t="s">
        <v>2571</v>
      </c>
      <c r="L455" s="107">
        <v>13660050609</v>
      </c>
      <c r="M455" s="135" t="s">
        <v>2572</v>
      </c>
      <c r="N455" s="122" t="s">
        <v>3612</v>
      </c>
      <c r="O455" t="s">
        <v>2572</v>
      </c>
      <c r="P455" s="126">
        <v>13660050609</v>
      </c>
      <c r="Q455" s="122" t="s">
        <v>3613</v>
      </c>
      <c r="R455">
        <f t="shared" ref="R455:R518" si="15">COUNTIF($K$1:$K$2982,K455)</f>
        <v>3</v>
      </c>
      <c r="S455" s="15" t="s">
        <v>3614</v>
      </c>
    </row>
    <row r="456" spans="1:19" ht="15.75">
      <c r="A456" s="106" t="str">
        <f t="shared" si="14"/>
        <v>nonono</v>
      </c>
      <c r="B456" s="21" t="s">
        <v>3615</v>
      </c>
      <c r="C456" s="15" t="s">
        <v>3616</v>
      </c>
      <c r="D456" s="110" t="s">
        <v>3617</v>
      </c>
      <c r="E456" s="107" t="s">
        <v>201</v>
      </c>
      <c r="F456" s="107">
        <v>1</v>
      </c>
      <c r="G456" s="108">
        <v>1.49</v>
      </c>
      <c r="H456" s="107">
        <v>14</v>
      </c>
      <c r="I456" s="137" t="s">
        <v>944</v>
      </c>
      <c r="J456" s="110" t="s">
        <v>40</v>
      </c>
      <c r="K456" s="117" t="s">
        <v>3334</v>
      </c>
      <c r="L456" s="107">
        <v>13798150707</v>
      </c>
      <c r="M456" s="110" t="s">
        <v>3335</v>
      </c>
      <c r="N456" s="122" t="s">
        <v>3618</v>
      </c>
      <c r="O456" t="s">
        <v>3335</v>
      </c>
      <c r="P456" s="126">
        <v>13798150707</v>
      </c>
      <c r="Q456" s="122" t="s">
        <v>3619</v>
      </c>
      <c r="R456">
        <f t="shared" si="15"/>
        <v>3</v>
      </c>
      <c r="S456" s="15" t="s">
        <v>3620</v>
      </c>
    </row>
    <row r="457" spans="1:19" ht="15.75">
      <c r="A457" s="106" t="str">
        <f t="shared" si="14"/>
        <v>nonono</v>
      </c>
      <c r="B457" s="21" t="s">
        <v>3621</v>
      </c>
      <c r="C457" s="28" t="s">
        <v>3622</v>
      </c>
      <c r="D457" s="107" t="s">
        <v>1274</v>
      </c>
      <c r="E457" s="107" t="s">
        <v>420</v>
      </c>
      <c r="F457" s="107">
        <v>1</v>
      </c>
      <c r="G457" s="108">
        <v>0.81</v>
      </c>
      <c r="H457" s="107">
        <v>2</v>
      </c>
      <c r="I457" s="109"/>
      <c r="J457" s="107" t="s">
        <v>40</v>
      </c>
      <c r="K457" s="162" t="s">
        <v>1275</v>
      </c>
      <c r="L457" s="163">
        <v>15672663259</v>
      </c>
      <c r="M457" s="164" t="s">
        <v>1276</v>
      </c>
      <c r="N457" s="122" t="s">
        <v>3623</v>
      </c>
      <c r="O457" s="123" t="s">
        <v>3624</v>
      </c>
      <c r="P457" s="134">
        <v>13432896744</v>
      </c>
      <c r="Q457" s="122" t="s">
        <v>3625</v>
      </c>
      <c r="R457">
        <f t="shared" si="15"/>
        <v>5</v>
      </c>
      <c r="S457" s="15" t="s">
        <v>3626</v>
      </c>
    </row>
    <row r="458" spans="1:19" ht="25.5">
      <c r="A458" s="106" t="str">
        <f t="shared" si="14"/>
        <v>nonono</v>
      </c>
      <c r="B458" s="21" t="s">
        <v>3627</v>
      </c>
      <c r="C458" s="28" t="s">
        <v>3628</v>
      </c>
      <c r="D458" s="107" t="s">
        <v>1274</v>
      </c>
      <c r="E458" s="107" t="s">
        <v>420</v>
      </c>
      <c r="F458" s="107">
        <v>1</v>
      </c>
      <c r="G458" s="108">
        <v>0.81</v>
      </c>
      <c r="H458" s="107">
        <v>2</v>
      </c>
      <c r="I458" s="109"/>
      <c r="J458" s="107" t="s">
        <v>40</v>
      </c>
      <c r="K458" s="162" t="s">
        <v>1283</v>
      </c>
      <c r="L458" s="163">
        <v>18926224930</v>
      </c>
      <c r="M458" s="164" t="s">
        <v>1284</v>
      </c>
      <c r="N458" s="122" t="s">
        <v>3629</v>
      </c>
      <c r="O458" s="123" t="s">
        <v>3630</v>
      </c>
      <c r="P458" s="128">
        <v>13824827772</v>
      </c>
      <c r="Q458" s="122" t="s">
        <v>3631</v>
      </c>
      <c r="R458">
        <f t="shared" si="15"/>
        <v>4</v>
      </c>
      <c r="S458" s="15" t="s">
        <v>3632</v>
      </c>
    </row>
    <row r="459" spans="1:19" ht="15.75">
      <c r="A459" s="106" t="str">
        <f t="shared" si="14"/>
        <v>nonono</v>
      </c>
      <c r="B459" s="21" t="s">
        <v>3633</v>
      </c>
      <c r="C459" s="28" t="s">
        <v>3634</v>
      </c>
      <c r="D459" s="107" t="s">
        <v>1340</v>
      </c>
      <c r="E459" s="107" t="s">
        <v>706</v>
      </c>
      <c r="F459" s="107">
        <v>1</v>
      </c>
      <c r="G459" s="108">
        <v>1.49</v>
      </c>
      <c r="H459" s="107">
        <v>10</v>
      </c>
      <c r="I459" s="109" t="s">
        <v>70</v>
      </c>
      <c r="J459" s="107" t="s">
        <v>29</v>
      </c>
      <c r="K459" s="162" t="s">
        <v>1429</v>
      </c>
      <c r="L459" s="163">
        <v>17180669418</v>
      </c>
      <c r="M459" s="164" t="s">
        <v>1430</v>
      </c>
      <c r="N459" s="122" t="s">
        <v>3635</v>
      </c>
      <c r="O459" t="s">
        <v>1430</v>
      </c>
      <c r="P459" s="126">
        <v>17180669418</v>
      </c>
      <c r="Q459" s="122" t="s">
        <v>3636</v>
      </c>
      <c r="R459">
        <f t="shared" si="15"/>
        <v>4</v>
      </c>
      <c r="S459" s="15" t="s">
        <v>3637</v>
      </c>
    </row>
    <row r="460" spans="1:19" ht="15.75">
      <c r="A460" s="106" t="str">
        <f t="shared" si="14"/>
        <v>nonono</v>
      </c>
      <c r="B460" s="21" t="s">
        <v>3638</v>
      </c>
      <c r="C460" s="28" t="s">
        <v>3639</v>
      </c>
      <c r="D460" s="107" t="s">
        <v>1340</v>
      </c>
      <c r="E460" s="107" t="s">
        <v>706</v>
      </c>
      <c r="F460" s="107">
        <v>1</v>
      </c>
      <c r="G460" s="108">
        <v>1.49</v>
      </c>
      <c r="H460" s="107">
        <v>10</v>
      </c>
      <c r="I460" s="109" t="s">
        <v>70</v>
      </c>
      <c r="J460" s="107" t="s">
        <v>29</v>
      </c>
      <c r="K460" s="162" t="s">
        <v>1357</v>
      </c>
      <c r="L460" s="163">
        <v>18928770178</v>
      </c>
      <c r="M460" s="209" t="s">
        <v>1437</v>
      </c>
      <c r="N460" s="126" t="s">
        <v>1357</v>
      </c>
      <c r="O460" s="123" t="s">
        <v>3640</v>
      </c>
      <c r="P460" s="128">
        <v>18902327138</v>
      </c>
      <c r="Q460" s="126" t="s">
        <v>3641</v>
      </c>
      <c r="R460">
        <f t="shared" si="15"/>
        <v>4</v>
      </c>
      <c r="S460" s="15" t="s">
        <v>3642</v>
      </c>
    </row>
    <row r="461" spans="1:19" ht="15.75">
      <c r="A461" s="106" t="str">
        <f t="shared" si="14"/>
        <v>nonono</v>
      </c>
      <c r="B461" s="21" t="s">
        <v>3643</v>
      </c>
      <c r="C461" s="28" t="s">
        <v>3644</v>
      </c>
      <c r="D461" s="107" t="s">
        <v>1340</v>
      </c>
      <c r="E461" s="107" t="s">
        <v>706</v>
      </c>
      <c r="F461" s="107">
        <v>1</v>
      </c>
      <c r="G461" s="108">
        <v>1.49</v>
      </c>
      <c r="H461" s="107">
        <v>10</v>
      </c>
      <c r="I461" s="109" t="s">
        <v>70</v>
      </c>
      <c r="J461" s="107" t="s">
        <v>29</v>
      </c>
      <c r="K461" s="163" t="s">
        <v>1290</v>
      </c>
      <c r="L461" s="34">
        <v>13972728049</v>
      </c>
      <c r="M461" s="34" t="s">
        <v>1846</v>
      </c>
      <c r="N461" s="126" t="s">
        <v>1290</v>
      </c>
      <c r="O461" t="s">
        <v>1846</v>
      </c>
      <c r="P461" s="126">
        <v>13972728049</v>
      </c>
      <c r="Q461" s="126" t="s">
        <v>3645</v>
      </c>
      <c r="R461">
        <f t="shared" si="15"/>
        <v>3</v>
      </c>
      <c r="S461" s="15" t="s">
        <v>3646</v>
      </c>
    </row>
    <row r="462" spans="1:19" ht="15.75">
      <c r="A462" s="106" t="str">
        <f t="shared" si="14"/>
        <v>nonono</v>
      </c>
      <c r="B462" s="21" t="s">
        <v>3647</v>
      </c>
      <c r="C462" s="28" t="s">
        <v>3648</v>
      </c>
      <c r="D462" s="107" t="s">
        <v>1340</v>
      </c>
      <c r="E462" s="107" t="s">
        <v>706</v>
      </c>
      <c r="F462" s="107">
        <v>1</v>
      </c>
      <c r="G462" s="108">
        <v>1.49</v>
      </c>
      <c r="H462" s="107">
        <v>10</v>
      </c>
      <c r="I462" s="109" t="s">
        <v>70</v>
      </c>
      <c r="J462" s="107" t="s">
        <v>29</v>
      </c>
      <c r="K462" s="34" t="s">
        <v>3649</v>
      </c>
      <c r="L462" s="34">
        <v>18926224930</v>
      </c>
      <c r="M462" s="34" t="s">
        <v>3650</v>
      </c>
      <c r="N462" s="126" t="s">
        <v>3649</v>
      </c>
      <c r="O462" s="123" t="s">
        <v>3651</v>
      </c>
      <c r="P462" s="134">
        <v>13428488001</v>
      </c>
      <c r="Q462" s="126" t="s">
        <v>3652</v>
      </c>
      <c r="R462">
        <f t="shared" si="15"/>
        <v>1</v>
      </c>
      <c r="S462" s="15" t="s">
        <v>3653</v>
      </c>
    </row>
    <row r="463" spans="1:19" ht="15.75">
      <c r="A463" s="106" t="str">
        <f t="shared" si="14"/>
        <v>nonono</v>
      </c>
      <c r="B463" s="21" t="s">
        <v>3654</v>
      </c>
      <c r="C463" s="15" t="s">
        <v>3655</v>
      </c>
      <c r="D463" s="110" t="s">
        <v>1274</v>
      </c>
      <c r="E463" s="107" t="s">
        <v>420</v>
      </c>
      <c r="F463" s="107">
        <v>1</v>
      </c>
      <c r="G463" s="108">
        <v>1.26</v>
      </c>
      <c r="H463" s="107">
        <v>2</v>
      </c>
      <c r="I463" s="109"/>
      <c r="J463" s="110" t="s">
        <v>40</v>
      </c>
      <c r="K463" s="162" t="s">
        <v>1429</v>
      </c>
      <c r="L463" s="163">
        <v>17180669418</v>
      </c>
      <c r="M463" s="164" t="s">
        <v>1430</v>
      </c>
      <c r="N463" s="122" t="s">
        <v>3656</v>
      </c>
      <c r="O463" s="123" t="s">
        <v>3657</v>
      </c>
      <c r="P463" s="128">
        <v>13590050256</v>
      </c>
      <c r="Q463" s="122" t="s">
        <v>3658</v>
      </c>
      <c r="R463">
        <f t="shared" si="15"/>
        <v>4</v>
      </c>
      <c r="S463" s="15" t="s">
        <v>3659</v>
      </c>
    </row>
    <row r="464" spans="1:19" ht="15.75">
      <c r="A464" s="106" t="str">
        <f t="shared" si="14"/>
        <v>nonono</v>
      </c>
      <c r="B464" s="21" t="s">
        <v>3660</v>
      </c>
      <c r="C464" s="15" t="s">
        <v>3661</v>
      </c>
      <c r="D464" s="110" t="s">
        <v>705</v>
      </c>
      <c r="E464" s="107" t="s">
        <v>706</v>
      </c>
      <c r="F464" s="107">
        <v>1</v>
      </c>
      <c r="G464" s="116">
        <v>1.95</v>
      </c>
      <c r="H464" s="107">
        <v>14</v>
      </c>
      <c r="I464" s="137" t="s">
        <v>402</v>
      </c>
      <c r="J464" s="110" t="s">
        <v>29</v>
      </c>
      <c r="K464" s="117" t="s">
        <v>2535</v>
      </c>
      <c r="L464" s="37">
        <v>18253443808</v>
      </c>
      <c r="M464" s="117" t="s">
        <v>2536</v>
      </c>
      <c r="N464" s="126" t="s">
        <v>2535</v>
      </c>
      <c r="O464" s="123" t="s">
        <v>3662</v>
      </c>
      <c r="P464" s="128">
        <v>13280707777</v>
      </c>
      <c r="Q464" s="126" t="s">
        <v>3663</v>
      </c>
      <c r="R464">
        <f t="shared" si="15"/>
        <v>2</v>
      </c>
      <c r="S464" s="15" t="s">
        <v>3664</v>
      </c>
    </row>
    <row r="465" spans="1:19" ht="15.75">
      <c r="A465" s="106" t="str">
        <f t="shared" si="14"/>
        <v>nonono</v>
      </c>
      <c r="B465" s="21" t="s">
        <v>3665</v>
      </c>
      <c r="C465" s="15" t="s">
        <v>3666</v>
      </c>
      <c r="D465" s="110" t="s">
        <v>705</v>
      </c>
      <c r="E465" s="107" t="s">
        <v>706</v>
      </c>
      <c r="F465" s="107">
        <v>1</v>
      </c>
      <c r="G465" s="116">
        <v>1.95</v>
      </c>
      <c r="H465" s="107">
        <v>14</v>
      </c>
      <c r="I465" s="137" t="s">
        <v>402</v>
      </c>
      <c r="J465" s="110" t="s">
        <v>29</v>
      </c>
      <c r="K465" s="117" t="s">
        <v>3667</v>
      </c>
      <c r="L465" s="37">
        <v>15880037787</v>
      </c>
      <c r="M465" s="149" t="s">
        <v>1480</v>
      </c>
      <c r="N465" s="126" t="s">
        <v>3667</v>
      </c>
      <c r="O465" s="123" t="s">
        <v>3668</v>
      </c>
      <c r="P465" s="128">
        <v>18663309177</v>
      </c>
      <c r="Q465" s="126" t="s">
        <v>3669</v>
      </c>
      <c r="R465">
        <f t="shared" si="15"/>
        <v>1</v>
      </c>
      <c r="S465" s="15" t="s">
        <v>3670</v>
      </c>
    </row>
    <row r="466" spans="1:19" ht="15.75">
      <c r="A466" s="106" t="str">
        <f t="shared" si="14"/>
        <v>nonono</v>
      </c>
      <c r="B466" s="21" t="s">
        <v>3671</v>
      </c>
      <c r="C466" s="15" t="s">
        <v>3672</v>
      </c>
      <c r="D466" s="110" t="s">
        <v>132</v>
      </c>
      <c r="E466" s="107" t="s">
        <v>133</v>
      </c>
      <c r="F466" s="107">
        <v>1</v>
      </c>
      <c r="G466" s="111">
        <v>1.72</v>
      </c>
      <c r="H466" s="107">
        <v>15</v>
      </c>
      <c r="I466" s="109" t="s">
        <v>134</v>
      </c>
      <c r="J466" s="110" t="s">
        <v>40</v>
      </c>
      <c r="K466" s="32" t="s">
        <v>237</v>
      </c>
      <c r="L466" s="152">
        <v>18341785826</v>
      </c>
      <c r="M466" s="32" t="s">
        <v>238</v>
      </c>
      <c r="N466" s="122" t="s">
        <v>3673</v>
      </c>
      <c r="O466" s="123" t="s">
        <v>3674</v>
      </c>
      <c r="P466" s="128">
        <v>13604237025</v>
      </c>
      <c r="Q466" s="122" t="s">
        <v>3675</v>
      </c>
      <c r="R466">
        <f t="shared" si="15"/>
        <v>4</v>
      </c>
      <c r="S466" s="15" t="s">
        <v>3676</v>
      </c>
    </row>
    <row r="467" spans="1:19" ht="15.75">
      <c r="A467" s="106" t="str">
        <f t="shared" si="14"/>
        <v>nonono</v>
      </c>
      <c r="B467" s="21" t="s">
        <v>3677</v>
      </c>
      <c r="C467" s="15" t="s">
        <v>3678</v>
      </c>
      <c r="D467" s="110" t="s">
        <v>132</v>
      </c>
      <c r="E467" s="107" t="s">
        <v>133</v>
      </c>
      <c r="F467" s="107">
        <v>1</v>
      </c>
      <c r="G467" s="111">
        <v>1.72</v>
      </c>
      <c r="H467" s="107">
        <v>15</v>
      </c>
      <c r="I467" s="109" t="s">
        <v>134</v>
      </c>
      <c r="J467" s="110" t="s">
        <v>40</v>
      </c>
      <c r="K467" s="32" t="s">
        <v>244</v>
      </c>
      <c r="L467" s="152">
        <v>13940778352</v>
      </c>
      <c r="M467" s="32" t="s">
        <v>245</v>
      </c>
      <c r="N467" s="122" t="s">
        <v>3679</v>
      </c>
      <c r="O467" t="s">
        <v>245</v>
      </c>
      <c r="P467" s="126">
        <v>13940778352</v>
      </c>
      <c r="Q467" s="122" t="s">
        <v>3680</v>
      </c>
      <c r="R467">
        <f t="shared" si="15"/>
        <v>4</v>
      </c>
      <c r="S467" s="15" t="s">
        <v>3681</v>
      </c>
    </row>
    <row r="468" spans="1:19" ht="15.75">
      <c r="A468" s="106" t="str">
        <f t="shared" si="14"/>
        <v>nonono</v>
      </c>
      <c r="B468" s="21" t="s">
        <v>3682</v>
      </c>
      <c r="C468" s="15" t="s">
        <v>3683</v>
      </c>
      <c r="D468" s="110" t="s">
        <v>132</v>
      </c>
      <c r="E468" s="107" t="s">
        <v>133</v>
      </c>
      <c r="F468" s="107">
        <v>1</v>
      </c>
      <c r="G468" s="111">
        <v>1.72</v>
      </c>
      <c r="H468" s="107">
        <v>15</v>
      </c>
      <c r="I468" s="109" t="s">
        <v>134</v>
      </c>
      <c r="J468" s="110" t="s">
        <v>40</v>
      </c>
      <c r="K468" s="136" t="s">
        <v>229</v>
      </c>
      <c r="L468" s="118">
        <v>13840761783</v>
      </c>
      <c r="M468" s="149" t="s">
        <v>230</v>
      </c>
      <c r="N468" s="122" t="s">
        <v>3684</v>
      </c>
      <c r="O468" t="s">
        <v>230</v>
      </c>
      <c r="P468" s="126">
        <v>13840761783</v>
      </c>
      <c r="Q468" s="122" t="s">
        <v>3685</v>
      </c>
      <c r="R468">
        <f t="shared" si="15"/>
        <v>4</v>
      </c>
      <c r="S468" s="15" t="s">
        <v>3686</v>
      </c>
    </row>
    <row r="469" spans="1:19" ht="15.75">
      <c r="A469" s="106" t="str">
        <f t="shared" si="14"/>
        <v>nonono</v>
      </c>
      <c r="B469" s="21" t="s">
        <v>3687</v>
      </c>
      <c r="C469" s="15" t="s">
        <v>3688</v>
      </c>
      <c r="D469" s="110" t="s">
        <v>132</v>
      </c>
      <c r="E469" s="107" t="s">
        <v>133</v>
      </c>
      <c r="F469" s="107">
        <v>1</v>
      </c>
      <c r="G469" s="111">
        <v>1.72</v>
      </c>
      <c r="H469" s="107">
        <v>15</v>
      </c>
      <c r="I469" s="109" t="s">
        <v>134</v>
      </c>
      <c r="J469" s="110" t="s">
        <v>40</v>
      </c>
      <c r="K469" s="39" t="s">
        <v>237</v>
      </c>
      <c r="L469" s="34">
        <v>18341785826</v>
      </c>
      <c r="M469" s="32" t="s">
        <v>238</v>
      </c>
      <c r="N469" s="122" t="s">
        <v>3689</v>
      </c>
      <c r="O469" s="123" t="s">
        <v>3690</v>
      </c>
      <c r="P469" s="131">
        <v>18600382666</v>
      </c>
      <c r="Q469" s="122" t="s">
        <v>3691</v>
      </c>
      <c r="R469">
        <f t="shared" si="15"/>
        <v>4</v>
      </c>
      <c r="S469" s="15" t="s">
        <v>3692</v>
      </c>
    </row>
    <row r="470" spans="1:19" ht="15.75">
      <c r="A470" s="106" t="str">
        <f t="shared" si="14"/>
        <v>nonono</v>
      </c>
      <c r="B470" s="21" t="s">
        <v>3693</v>
      </c>
      <c r="C470" s="22" t="s">
        <v>3694</v>
      </c>
      <c r="D470" s="118" t="s">
        <v>353</v>
      </c>
      <c r="E470" s="37" t="s">
        <v>133</v>
      </c>
      <c r="F470" s="37">
        <v>1</v>
      </c>
      <c r="G470" s="116">
        <v>1.72</v>
      </c>
      <c r="H470" s="37">
        <v>14</v>
      </c>
      <c r="I470" s="109" t="s">
        <v>354</v>
      </c>
      <c r="J470" s="37" t="s">
        <v>40</v>
      </c>
      <c r="K470" s="23" t="s">
        <v>355</v>
      </c>
      <c r="L470" s="23">
        <v>13911116697</v>
      </c>
      <c r="M470" s="23" t="s">
        <v>356</v>
      </c>
      <c r="N470" s="122" t="s">
        <v>3695</v>
      </c>
      <c r="O470" t="s">
        <v>356</v>
      </c>
      <c r="P470">
        <v>13911116697</v>
      </c>
      <c r="Q470" s="122" t="s">
        <v>3696</v>
      </c>
      <c r="R470">
        <f t="shared" si="15"/>
        <v>4</v>
      </c>
      <c r="S470" s="15" t="s">
        <v>3697</v>
      </c>
    </row>
    <row r="471" spans="1:19" ht="15.75">
      <c r="A471" s="106" t="str">
        <f t="shared" si="14"/>
        <v>nonono</v>
      </c>
      <c r="B471" s="21" t="s">
        <v>3698</v>
      </c>
      <c r="C471" s="15" t="s">
        <v>3699</v>
      </c>
      <c r="D471" s="37" t="s">
        <v>143</v>
      </c>
      <c r="E471" s="107" t="s">
        <v>144</v>
      </c>
      <c r="F471" s="107">
        <v>1</v>
      </c>
      <c r="G471" s="108">
        <v>1.49</v>
      </c>
      <c r="H471" s="107">
        <v>11</v>
      </c>
      <c r="I471" s="109" t="s">
        <v>145</v>
      </c>
      <c r="J471" s="107" t="s">
        <v>29</v>
      </c>
      <c r="K471" s="24" t="s">
        <v>3700</v>
      </c>
      <c r="L471" s="24">
        <v>17197756156</v>
      </c>
      <c r="M471" s="23" t="s">
        <v>3701</v>
      </c>
      <c r="N471" s="126" t="s">
        <v>3700</v>
      </c>
      <c r="O471" s="123" t="s">
        <v>3702</v>
      </c>
      <c r="P471" s="131">
        <v>18905344777</v>
      </c>
      <c r="Q471" s="126" t="s">
        <v>3703</v>
      </c>
      <c r="R471">
        <f t="shared" si="15"/>
        <v>1</v>
      </c>
      <c r="S471" s="15" t="s">
        <v>3704</v>
      </c>
    </row>
    <row r="472" spans="1:19" ht="15.75">
      <c r="A472" s="106" t="str">
        <f t="shared" si="14"/>
        <v>nonono</v>
      </c>
      <c r="B472" s="21" t="s">
        <v>3705</v>
      </c>
      <c r="C472" s="15" t="s">
        <v>3706</v>
      </c>
      <c r="D472" s="37" t="s">
        <v>143</v>
      </c>
      <c r="E472" s="107" t="s">
        <v>144</v>
      </c>
      <c r="F472" s="107">
        <v>1</v>
      </c>
      <c r="G472" s="108">
        <v>1.49</v>
      </c>
      <c r="H472" s="107">
        <v>11</v>
      </c>
      <c r="I472" s="109" t="s">
        <v>145</v>
      </c>
      <c r="J472" s="107" t="s">
        <v>29</v>
      </c>
      <c r="K472" s="23" t="s">
        <v>1861</v>
      </c>
      <c r="L472" s="24">
        <v>18760440425</v>
      </c>
      <c r="M472" s="23" t="s">
        <v>1862</v>
      </c>
      <c r="N472" s="122" t="s">
        <v>3707</v>
      </c>
      <c r="O472" s="123" t="s">
        <v>3708</v>
      </c>
      <c r="P472" s="125">
        <v>15910713221</v>
      </c>
      <c r="Q472" s="122" t="s">
        <v>3709</v>
      </c>
      <c r="R472">
        <f t="shared" si="15"/>
        <v>3</v>
      </c>
      <c r="S472" s="15" t="s">
        <v>3710</v>
      </c>
    </row>
    <row r="473" spans="1:19" ht="15.75">
      <c r="A473" s="106" t="str">
        <f t="shared" si="14"/>
        <v>nonono</v>
      </c>
      <c r="B473" s="21" t="s">
        <v>3711</v>
      </c>
      <c r="C473" s="19" t="s">
        <v>3712</v>
      </c>
      <c r="D473" s="133" t="s">
        <v>3713</v>
      </c>
      <c r="E473" s="203" t="s">
        <v>3714</v>
      </c>
      <c r="F473" s="114">
        <v>1</v>
      </c>
      <c r="G473" s="115">
        <v>0.58181818181818201</v>
      </c>
      <c r="H473" s="114">
        <v>1</v>
      </c>
      <c r="I473" s="132"/>
      <c r="J473" s="133" t="s">
        <v>293</v>
      </c>
      <c r="K473" s="210" t="s">
        <v>3715</v>
      </c>
      <c r="L473" s="210">
        <v>13840312561</v>
      </c>
      <c r="M473" s="210" t="s">
        <v>3716</v>
      </c>
      <c r="N473" s="126" t="s">
        <v>3715</v>
      </c>
      <c r="O473" t="s">
        <v>3716</v>
      </c>
      <c r="P473">
        <v>13840312561</v>
      </c>
      <c r="Q473" s="126" t="s">
        <v>3717</v>
      </c>
      <c r="R473">
        <f t="shared" si="15"/>
        <v>1</v>
      </c>
      <c r="S473" s="15" t="s">
        <v>3718</v>
      </c>
    </row>
    <row r="474" spans="1:19" ht="15.75">
      <c r="A474" s="106" t="str">
        <f t="shared" si="14"/>
        <v>nonono</v>
      </c>
      <c r="B474" s="21" t="s">
        <v>3719</v>
      </c>
      <c r="C474" s="19" t="s">
        <v>3720</v>
      </c>
      <c r="D474" s="112" t="s">
        <v>3721</v>
      </c>
      <c r="E474" s="113" t="s">
        <v>163</v>
      </c>
      <c r="F474" s="114">
        <v>1</v>
      </c>
      <c r="G474" s="115">
        <v>1.2636363636363599</v>
      </c>
      <c r="H474" s="114">
        <v>5</v>
      </c>
      <c r="I474" s="132" t="s">
        <v>164</v>
      </c>
      <c r="J474" s="133" t="s">
        <v>29</v>
      </c>
      <c r="K474" s="210" t="s">
        <v>2549</v>
      </c>
      <c r="L474" s="210">
        <v>13951669460</v>
      </c>
      <c r="M474" s="210" t="s">
        <v>2550</v>
      </c>
      <c r="N474" s="126" t="s">
        <v>2549</v>
      </c>
      <c r="O474" t="s">
        <v>2550</v>
      </c>
      <c r="P474" s="126">
        <v>13951669460</v>
      </c>
      <c r="Q474" s="126" t="s">
        <v>3722</v>
      </c>
      <c r="R474">
        <f t="shared" si="15"/>
        <v>2</v>
      </c>
      <c r="S474" s="15" t="s">
        <v>3723</v>
      </c>
    </row>
    <row r="475" spans="1:19" ht="15.75">
      <c r="A475" s="106" t="str">
        <f t="shared" si="14"/>
        <v>nonono</v>
      </c>
      <c r="B475" s="21" t="s">
        <v>3724</v>
      </c>
      <c r="C475" s="19" t="s">
        <v>3725</v>
      </c>
      <c r="D475" s="112" t="s">
        <v>2557</v>
      </c>
      <c r="E475" s="113" t="s">
        <v>163</v>
      </c>
      <c r="F475" s="114">
        <v>1</v>
      </c>
      <c r="G475" s="115">
        <v>1.0363636363636399</v>
      </c>
      <c r="H475" s="114">
        <v>2</v>
      </c>
      <c r="I475" s="132" t="s">
        <v>164</v>
      </c>
      <c r="J475" s="133" t="s">
        <v>29</v>
      </c>
      <c r="K475" s="210" t="s">
        <v>3726</v>
      </c>
      <c r="L475" s="210">
        <v>18689785396</v>
      </c>
      <c r="M475" s="210" t="s">
        <v>3727</v>
      </c>
      <c r="N475" s="126" t="s">
        <v>3726</v>
      </c>
      <c r="O475" t="s">
        <v>3727</v>
      </c>
      <c r="P475" s="126">
        <v>18689785396</v>
      </c>
      <c r="Q475" s="126" t="s">
        <v>3728</v>
      </c>
      <c r="R475">
        <f t="shared" si="15"/>
        <v>1</v>
      </c>
      <c r="S475" s="15" t="s">
        <v>3729</v>
      </c>
    </row>
    <row r="476" spans="1:19" ht="15.75">
      <c r="A476" s="106" t="str">
        <f t="shared" si="14"/>
        <v>nonono</v>
      </c>
      <c r="B476" s="21" t="s">
        <v>3730</v>
      </c>
      <c r="C476" s="19" t="s">
        <v>3731</v>
      </c>
      <c r="D476" s="112" t="s">
        <v>162</v>
      </c>
      <c r="E476" s="113" t="s">
        <v>163</v>
      </c>
      <c r="F476" s="114">
        <v>1</v>
      </c>
      <c r="G476" s="115">
        <v>2.1727272727272702</v>
      </c>
      <c r="H476" s="114">
        <v>5</v>
      </c>
      <c r="I476" s="132" t="s">
        <v>164</v>
      </c>
      <c r="J476" s="133" t="s">
        <v>29</v>
      </c>
      <c r="K476" s="210" t="s">
        <v>1461</v>
      </c>
      <c r="L476" s="210">
        <v>13003229793</v>
      </c>
      <c r="M476" s="210" t="s">
        <v>1462</v>
      </c>
      <c r="N476" s="122" t="s">
        <v>3732</v>
      </c>
      <c r="O476" s="123" t="s">
        <v>3733</v>
      </c>
      <c r="P476" s="134">
        <v>13817794826</v>
      </c>
      <c r="Q476" s="122" t="s">
        <v>3734</v>
      </c>
      <c r="R476">
        <f t="shared" si="15"/>
        <v>4</v>
      </c>
      <c r="S476" s="15" t="s">
        <v>3735</v>
      </c>
    </row>
    <row r="477" spans="1:19" ht="15.75">
      <c r="A477" s="106" t="str">
        <f t="shared" si="14"/>
        <v>nonono</v>
      </c>
      <c r="B477" s="21" t="s">
        <v>3736</v>
      </c>
      <c r="C477" s="19" t="s">
        <v>3737</v>
      </c>
      <c r="D477" s="112" t="s">
        <v>173</v>
      </c>
      <c r="E477" s="113" t="s">
        <v>163</v>
      </c>
      <c r="F477" s="114">
        <v>1</v>
      </c>
      <c r="G477" s="115">
        <v>1.2636363636363599</v>
      </c>
      <c r="H477" s="114">
        <v>3</v>
      </c>
      <c r="I477" s="132"/>
      <c r="J477" s="133" t="s">
        <v>29</v>
      </c>
      <c r="K477" s="210" t="s">
        <v>2599</v>
      </c>
      <c r="L477" s="210">
        <v>13787346627</v>
      </c>
      <c r="M477" s="210" t="s">
        <v>2600</v>
      </c>
      <c r="N477" s="122" t="s">
        <v>3738</v>
      </c>
      <c r="O477" t="s">
        <v>2600</v>
      </c>
      <c r="P477">
        <v>13787346627</v>
      </c>
      <c r="Q477" s="122" t="s">
        <v>3739</v>
      </c>
      <c r="R477">
        <f t="shared" si="15"/>
        <v>2</v>
      </c>
      <c r="S477" s="15" t="s">
        <v>3740</v>
      </c>
    </row>
    <row r="478" spans="1:19" ht="15.75">
      <c r="A478" s="106" t="str">
        <f t="shared" si="14"/>
        <v>nonono</v>
      </c>
      <c r="B478" s="21" t="s">
        <v>3741</v>
      </c>
      <c r="C478" s="19" t="s">
        <v>3742</v>
      </c>
      <c r="D478" s="112" t="s">
        <v>3743</v>
      </c>
      <c r="E478" s="113" t="s">
        <v>1451</v>
      </c>
      <c r="F478" s="114">
        <v>1</v>
      </c>
      <c r="G478" s="115">
        <v>1.94545454545455</v>
      </c>
      <c r="H478" s="114">
        <v>3</v>
      </c>
      <c r="I478" s="132" t="s">
        <v>402</v>
      </c>
      <c r="J478" s="133" t="s">
        <v>29</v>
      </c>
      <c r="K478" s="210" t="s">
        <v>3744</v>
      </c>
      <c r="L478" s="210">
        <v>13806185092</v>
      </c>
      <c r="M478" s="210" t="s">
        <v>3745</v>
      </c>
      <c r="N478" s="126" t="s">
        <v>3744</v>
      </c>
      <c r="O478" t="s">
        <v>3745</v>
      </c>
      <c r="P478">
        <v>13806185092</v>
      </c>
      <c r="Q478" s="126" t="s">
        <v>3746</v>
      </c>
      <c r="R478">
        <f t="shared" si="15"/>
        <v>1</v>
      </c>
      <c r="S478" s="15" t="s">
        <v>3747</v>
      </c>
    </row>
    <row r="479" spans="1:19" ht="15.75">
      <c r="A479" s="106" t="str">
        <f t="shared" si="14"/>
        <v>nonono</v>
      </c>
      <c r="B479" s="21" t="s">
        <v>3748</v>
      </c>
      <c r="C479" s="30" t="s">
        <v>3749</v>
      </c>
      <c r="D479" s="110" t="s">
        <v>1477</v>
      </c>
      <c r="E479" s="107" t="s">
        <v>429</v>
      </c>
      <c r="F479" s="107">
        <v>1</v>
      </c>
      <c r="G479" s="108">
        <v>1.49</v>
      </c>
      <c r="H479" s="107">
        <v>14</v>
      </c>
      <c r="I479" s="109" t="s">
        <v>1478</v>
      </c>
      <c r="J479" s="110" t="s">
        <v>29</v>
      </c>
      <c r="K479" s="142" t="s">
        <v>1479</v>
      </c>
      <c r="L479" s="24">
        <v>13459103839</v>
      </c>
      <c r="M479" s="142" t="s">
        <v>1480</v>
      </c>
      <c r="N479" s="122" t="s">
        <v>3750</v>
      </c>
      <c r="O479" s="123" t="s">
        <v>3751</v>
      </c>
      <c r="P479" s="131">
        <v>13793416507</v>
      </c>
      <c r="Q479" s="122" t="s">
        <v>3752</v>
      </c>
      <c r="R479">
        <f t="shared" si="15"/>
        <v>3</v>
      </c>
      <c r="S479" s="15" t="s">
        <v>3753</v>
      </c>
    </row>
    <row r="480" spans="1:19" ht="15.75">
      <c r="A480" s="106" t="str">
        <f t="shared" si="14"/>
        <v>nonono</v>
      </c>
      <c r="B480" s="21" t="s">
        <v>3754</v>
      </c>
      <c r="C480" s="38" t="s">
        <v>3755</v>
      </c>
      <c r="D480" s="110" t="s">
        <v>1494</v>
      </c>
      <c r="E480" s="107" t="s">
        <v>706</v>
      </c>
      <c r="F480" s="107">
        <v>1</v>
      </c>
      <c r="G480" s="108">
        <v>1.49</v>
      </c>
      <c r="H480" s="107">
        <v>16</v>
      </c>
      <c r="I480" s="109" t="s">
        <v>1495</v>
      </c>
      <c r="J480" s="110" t="s">
        <v>29</v>
      </c>
      <c r="K480" s="142" t="s">
        <v>1496</v>
      </c>
      <c r="L480" s="24">
        <v>13635279948</v>
      </c>
      <c r="M480" s="142" t="s">
        <v>1497</v>
      </c>
      <c r="N480" s="122" t="s">
        <v>3756</v>
      </c>
      <c r="O480" s="123" t="s">
        <v>3757</v>
      </c>
      <c r="P480" s="134">
        <v>13963335661</v>
      </c>
      <c r="Q480" s="122" t="s">
        <v>3758</v>
      </c>
      <c r="R480">
        <f t="shared" si="15"/>
        <v>4</v>
      </c>
      <c r="S480" s="15" t="s">
        <v>3759</v>
      </c>
    </row>
    <row r="481" spans="1:19" ht="15.75">
      <c r="A481" s="106" t="str">
        <f t="shared" si="14"/>
        <v>nonono</v>
      </c>
      <c r="B481" s="21" t="s">
        <v>3760</v>
      </c>
      <c r="C481" s="38" t="s">
        <v>3761</v>
      </c>
      <c r="D481" s="110" t="s">
        <v>1504</v>
      </c>
      <c r="E481" s="107" t="s">
        <v>429</v>
      </c>
      <c r="F481" s="107">
        <v>1</v>
      </c>
      <c r="G481" s="108">
        <v>1.26</v>
      </c>
      <c r="H481" s="107">
        <v>11</v>
      </c>
      <c r="I481" s="109" t="s">
        <v>1505</v>
      </c>
      <c r="J481" s="110" t="s">
        <v>29</v>
      </c>
      <c r="K481" s="142" t="s">
        <v>1506</v>
      </c>
      <c r="L481" s="24">
        <v>17098714030</v>
      </c>
      <c r="M481" s="142" t="s">
        <v>713</v>
      </c>
      <c r="N481" s="122" t="s">
        <v>3762</v>
      </c>
      <c r="O481" s="123" t="s">
        <v>3763</v>
      </c>
      <c r="P481" s="131">
        <v>15053406566</v>
      </c>
      <c r="Q481" s="122" t="s">
        <v>3764</v>
      </c>
      <c r="R481">
        <f t="shared" si="15"/>
        <v>3</v>
      </c>
      <c r="S481" s="15" t="s">
        <v>3765</v>
      </c>
    </row>
    <row r="482" spans="1:19" ht="15.75">
      <c r="A482" s="106" t="str">
        <f t="shared" si="14"/>
        <v>nonono</v>
      </c>
      <c r="B482" s="21" t="s">
        <v>3766</v>
      </c>
      <c r="C482" s="22" t="s">
        <v>3767</v>
      </c>
      <c r="D482" s="110" t="s">
        <v>1513</v>
      </c>
      <c r="E482" s="204" t="s">
        <v>1514</v>
      </c>
      <c r="F482" s="204">
        <v>1</v>
      </c>
      <c r="G482" s="205">
        <v>3.08</v>
      </c>
      <c r="H482" s="204">
        <v>6</v>
      </c>
      <c r="I482" s="211"/>
      <c r="J482" s="212" t="s">
        <v>293</v>
      </c>
      <c r="K482" s="22" t="s">
        <v>2634</v>
      </c>
      <c r="L482" s="93">
        <v>15032852111</v>
      </c>
      <c r="M482" s="22" t="s">
        <v>2635</v>
      </c>
      <c r="N482" s="126" t="s">
        <v>2634</v>
      </c>
      <c r="O482" s="123" t="s">
        <v>3768</v>
      </c>
      <c r="P482" s="131">
        <v>15369777088</v>
      </c>
      <c r="Q482" s="126" t="s">
        <v>3769</v>
      </c>
      <c r="R482">
        <f t="shared" si="15"/>
        <v>3</v>
      </c>
      <c r="S482" s="15" t="s">
        <v>3770</v>
      </c>
    </row>
    <row r="483" spans="1:19" ht="15.75">
      <c r="A483" s="106" t="str">
        <f t="shared" si="14"/>
        <v>nonono</v>
      </c>
      <c r="B483" s="21" t="s">
        <v>3771</v>
      </c>
      <c r="C483" s="22" t="s">
        <v>3772</v>
      </c>
      <c r="D483" s="206" t="s">
        <v>1513</v>
      </c>
      <c r="E483" s="207" t="s">
        <v>1514</v>
      </c>
      <c r="F483" s="207">
        <v>1</v>
      </c>
      <c r="G483" s="208">
        <v>3.08</v>
      </c>
      <c r="H483" s="207">
        <v>6</v>
      </c>
      <c r="I483" s="213"/>
      <c r="J483" s="214" t="s">
        <v>293</v>
      </c>
      <c r="K483" s="22" t="s">
        <v>1523</v>
      </c>
      <c r="L483" s="93" t="s">
        <v>1524</v>
      </c>
      <c r="M483" s="22" t="s">
        <v>1525</v>
      </c>
      <c r="N483" s="122" t="s">
        <v>3773</v>
      </c>
      <c r="O483" s="123" t="s">
        <v>3774</v>
      </c>
      <c r="P483" s="125">
        <v>18232887063</v>
      </c>
      <c r="Q483" s="122" t="s">
        <v>3775</v>
      </c>
      <c r="R483">
        <f t="shared" si="15"/>
        <v>3</v>
      </c>
      <c r="S483" s="15" t="s">
        <v>3776</v>
      </c>
    </row>
    <row r="484" spans="1:19" ht="15.75">
      <c r="A484" s="106" t="str">
        <f t="shared" si="14"/>
        <v>nonono</v>
      </c>
      <c r="B484" s="21" t="s">
        <v>3777</v>
      </c>
      <c r="C484" s="31" t="s">
        <v>3778</v>
      </c>
      <c r="D484" s="37" t="s">
        <v>1532</v>
      </c>
      <c r="E484" s="37" t="s">
        <v>1533</v>
      </c>
      <c r="F484" s="37">
        <v>1</v>
      </c>
      <c r="G484" s="116">
        <v>1.49</v>
      </c>
      <c r="H484" s="37">
        <v>15</v>
      </c>
      <c r="I484" s="215" t="s">
        <v>1534</v>
      </c>
      <c r="J484" s="216" t="s">
        <v>40</v>
      </c>
      <c r="K484" s="217" t="s">
        <v>1554</v>
      </c>
      <c r="L484" s="217">
        <v>19990075328</v>
      </c>
      <c r="M484" s="217" t="s">
        <v>1555</v>
      </c>
      <c r="N484" s="122" t="s">
        <v>3779</v>
      </c>
      <c r="O484" s="123" t="s">
        <v>3780</v>
      </c>
      <c r="P484" s="125">
        <v>18604156922</v>
      </c>
      <c r="Q484" s="122" t="s">
        <v>3781</v>
      </c>
      <c r="R484">
        <f t="shared" si="15"/>
        <v>4</v>
      </c>
      <c r="S484" s="15" t="s">
        <v>3782</v>
      </c>
    </row>
    <row r="485" spans="1:19" ht="15.75">
      <c r="A485" s="106" t="str">
        <f t="shared" si="14"/>
        <v>nonono</v>
      </c>
      <c r="B485" s="21" t="s">
        <v>3783</v>
      </c>
      <c r="C485" s="23" t="s">
        <v>3784</v>
      </c>
      <c r="D485" s="37" t="s">
        <v>1543</v>
      </c>
      <c r="E485" s="37" t="s">
        <v>1533</v>
      </c>
      <c r="F485" s="37">
        <v>1</v>
      </c>
      <c r="G485" s="116">
        <v>1.49</v>
      </c>
      <c r="H485" s="37">
        <v>15</v>
      </c>
      <c r="I485" s="215" t="s">
        <v>1534</v>
      </c>
      <c r="J485" s="216" t="s">
        <v>40</v>
      </c>
      <c r="K485" s="218" t="s">
        <v>1554</v>
      </c>
      <c r="L485" s="218">
        <v>19990075328</v>
      </c>
      <c r="M485" s="218" t="s">
        <v>1555</v>
      </c>
      <c r="N485" s="122" t="s">
        <v>3785</v>
      </c>
      <c r="O485" s="123" t="s">
        <v>3786</v>
      </c>
      <c r="P485" s="138">
        <v>13842520750</v>
      </c>
      <c r="Q485" s="122" t="s">
        <v>3787</v>
      </c>
      <c r="R485">
        <f t="shared" si="15"/>
        <v>4</v>
      </c>
      <c r="S485" s="15" t="s">
        <v>3788</v>
      </c>
    </row>
    <row r="486" spans="1:19" ht="15.75">
      <c r="A486" s="106" t="str">
        <f t="shared" si="14"/>
        <v>nonono</v>
      </c>
      <c r="B486" s="21" t="s">
        <v>3789</v>
      </c>
      <c r="C486" s="31" t="s">
        <v>3790</v>
      </c>
      <c r="D486" s="37" t="s">
        <v>1543</v>
      </c>
      <c r="E486" s="37" t="s">
        <v>1533</v>
      </c>
      <c r="F486" s="37">
        <v>1</v>
      </c>
      <c r="G486" s="116">
        <v>1.49</v>
      </c>
      <c r="H486" s="37">
        <v>15</v>
      </c>
      <c r="I486" s="37" t="s">
        <v>1534</v>
      </c>
      <c r="J486" s="117" t="s">
        <v>40</v>
      </c>
      <c r="K486" s="171" t="s">
        <v>3791</v>
      </c>
      <c r="L486" s="171">
        <v>18541231844</v>
      </c>
      <c r="M486" s="171" t="s">
        <v>3792</v>
      </c>
      <c r="N486" s="122" t="s">
        <v>3793</v>
      </c>
      <c r="O486" t="s">
        <v>3792</v>
      </c>
      <c r="P486">
        <v>18541231844</v>
      </c>
      <c r="Q486" s="122" t="s">
        <v>3794</v>
      </c>
      <c r="R486">
        <f t="shared" si="15"/>
        <v>1</v>
      </c>
      <c r="S486" s="15" t="s">
        <v>3795</v>
      </c>
    </row>
    <row r="487" spans="1:19" ht="15.75">
      <c r="A487" s="106" t="str">
        <f t="shared" si="14"/>
        <v>nonono</v>
      </c>
      <c r="B487" s="21" t="s">
        <v>3796</v>
      </c>
      <c r="C487" s="32" t="s">
        <v>3797</v>
      </c>
      <c r="D487" s="37" t="s">
        <v>1551</v>
      </c>
      <c r="E487" s="37" t="s">
        <v>1552</v>
      </c>
      <c r="F487" s="37">
        <v>1</v>
      </c>
      <c r="G487" s="116">
        <v>1.95</v>
      </c>
      <c r="H487" s="107">
        <v>15</v>
      </c>
      <c r="I487" s="37" t="s">
        <v>1553</v>
      </c>
      <c r="J487" s="110" t="s">
        <v>40</v>
      </c>
      <c r="K487" s="171" t="s">
        <v>1535</v>
      </c>
      <c r="L487" s="171">
        <v>13818301527</v>
      </c>
      <c r="M487" s="171" t="s">
        <v>1536</v>
      </c>
      <c r="N487" s="122" t="s">
        <v>3798</v>
      </c>
      <c r="O487" t="s">
        <v>1536</v>
      </c>
      <c r="P487">
        <v>13818301527</v>
      </c>
      <c r="Q487" s="122" t="s">
        <v>3799</v>
      </c>
      <c r="R487">
        <f t="shared" si="15"/>
        <v>2</v>
      </c>
      <c r="S487" s="15" t="s">
        <v>3800</v>
      </c>
    </row>
    <row r="488" spans="1:19" ht="15.75">
      <c r="A488" s="106" t="str">
        <f t="shared" si="14"/>
        <v>nonono</v>
      </c>
      <c r="B488" s="21" t="s">
        <v>3801</v>
      </c>
      <c r="C488" s="20" t="s">
        <v>3802</v>
      </c>
      <c r="D488" s="107" t="s">
        <v>3803</v>
      </c>
      <c r="E488" s="107" t="s">
        <v>3804</v>
      </c>
      <c r="F488" s="107">
        <v>1</v>
      </c>
      <c r="G488" s="108">
        <v>1.49</v>
      </c>
      <c r="H488" s="107">
        <v>10</v>
      </c>
      <c r="I488" s="109" t="s">
        <v>3805</v>
      </c>
      <c r="J488" s="107" t="s">
        <v>29</v>
      </c>
      <c r="K488" s="107" t="s">
        <v>3806</v>
      </c>
      <c r="L488" s="107">
        <v>18785583696</v>
      </c>
      <c r="M488" s="107" t="s">
        <v>3807</v>
      </c>
      <c r="N488" s="122" t="s">
        <v>3808</v>
      </c>
      <c r="O488" t="s">
        <v>3807</v>
      </c>
      <c r="P488">
        <v>18785583696</v>
      </c>
      <c r="Q488" s="122" t="s">
        <v>3809</v>
      </c>
      <c r="R488">
        <f t="shared" si="15"/>
        <v>1</v>
      </c>
      <c r="S488" s="15" t="s">
        <v>3810</v>
      </c>
    </row>
    <row r="489" spans="1:19" ht="15.75">
      <c r="A489" s="106" t="str">
        <f t="shared" si="14"/>
        <v>nonono</v>
      </c>
      <c r="B489" s="21" t="s">
        <v>3811</v>
      </c>
      <c r="C489" s="15" t="s">
        <v>3812</v>
      </c>
      <c r="D489" s="107" t="s">
        <v>1579</v>
      </c>
      <c r="E489" s="107" t="s">
        <v>50</v>
      </c>
      <c r="F489" s="107">
        <v>1</v>
      </c>
      <c r="G489" s="108">
        <v>0.81</v>
      </c>
      <c r="H489" s="107">
        <v>16</v>
      </c>
      <c r="I489" s="109" t="s">
        <v>51</v>
      </c>
      <c r="J489" s="107" t="s">
        <v>40</v>
      </c>
      <c r="K489" s="107" t="s">
        <v>52</v>
      </c>
      <c r="L489" s="107">
        <v>15862363551</v>
      </c>
      <c r="M489" s="107" t="s">
        <v>53</v>
      </c>
      <c r="N489" s="126" t="s">
        <v>52</v>
      </c>
      <c r="O489" t="s">
        <v>53</v>
      </c>
      <c r="P489">
        <v>15862366951</v>
      </c>
      <c r="Q489" s="126" t="s">
        <v>3813</v>
      </c>
      <c r="R489">
        <f t="shared" si="15"/>
        <v>2</v>
      </c>
      <c r="S489" s="15" t="s">
        <v>3814</v>
      </c>
    </row>
    <row r="490" spans="1:19" ht="15.75">
      <c r="A490" s="106" t="str">
        <f t="shared" si="14"/>
        <v>nonono</v>
      </c>
      <c r="B490" s="21" t="s">
        <v>3815</v>
      </c>
      <c r="C490" s="17" t="s">
        <v>3816</v>
      </c>
      <c r="D490" s="107" t="s">
        <v>3817</v>
      </c>
      <c r="E490" s="107" t="s">
        <v>3818</v>
      </c>
      <c r="F490" s="107">
        <v>1</v>
      </c>
      <c r="G490" s="108">
        <v>2.17</v>
      </c>
      <c r="H490" s="107">
        <v>16</v>
      </c>
      <c r="I490" s="109" t="s">
        <v>3819</v>
      </c>
      <c r="J490" s="107" t="s">
        <v>40</v>
      </c>
      <c r="K490" s="24" t="s">
        <v>41</v>
      </c>
      <c r="L490" s="24">
        <v>13963658628</v>
      </c>
      <c r="M490" s="24" t="s">
        <v>42</v>
      </c>
      <c r="N490" s="126" t="s">
        <v>41</v>
      </c>
      <c r="O490" t="s">
        <v>42</v>
      </c>
      <c r="P490">
        <v>13960058628</v>
      </c>
      <c r="Q490" s="126" t="s">
        <v>3820</v>
      </c>
      <c r="R490">
        <f t="shared" si="15"/>
        <v>2</v>
      </c>
      <c r="S490" s="15" t="s">
        <v>3821</v>
      </c>
    </row>
    <row r="491" spans="1:19" ht="15.75">
      <c r="A491" s="106" t="str">
        <f t="shared" si="14"/>
        <v>nonono</v>
      </c>
      <c r="B491" s="21" t="s">
        <v>3822</v>
      </c>
      <c r="C491" s="15" t="s">
        <v>3823</v>
      </c>
      <c r="D491" s="107" t="s">
        <v>3824</v>
      </c>
      <c r="E491" s="107" t="s">
        <v>69</v>
      </c>
      <c r="F491" s="107">
        <v>1</v>
      </c>
      <c r="G491" s="108">
        <v>1.72</v>
      </c>
      <c r="H491" s="107">
        <v>12</v>
      </c>
      <c r="I491" s="109" t="s">
        <v>70</v>
      </c>
      <c r="J491" s="107" t="s">
        <v>40</v>
      </c>
      <c r="K491" s="24" t="s">
        <v>71</v>
      </c>
      <c r="L491" s="24">
        <v>13539989686</v>
      </c>
      <c r="M491" s="24" t="s">
        <v>72</v>
      </c>
      <c r="N491" s="122" t="s">
        <v>3825</v>
      </c>
      <c r="O491" s="123" t="s">
        <v>3826</v>
      </c>
      <c r="P491" s="131">
        <v>13760874813</v>
      </c>
      <c r="Q491" s="122" t="s">
        <v>3827</v>
      </c>
      <c r="R491">
        <f t="shared" si="15"/>
        <v>3</v>
      </c>
      <c r="S491" s="15" t="s">
        <v>3828</v>
      </c>
    </row>
    <row r="492" spans="1:19" ht="15.75">
      <c r="A492" s="106" t="str">
        <f t="shared" si="14"/>
        <v>nonono</v>
      </c>
      <c r="B492" s="21" t="s">
        <v>3829</v>
      </c>
      <c r="C492" s="15" t="s">
        <v>3830</v>
      </c>
      <c r="D492" s="107" t="s">
        <v>3831</v>
      </c>
      <c r="E492" s="107" t="s">
        <v>3832</v>
      </c>
      <c r="F492" s="107">
        <v>1</v>
      </c>
      <c r="G492" s="108">
        <v>0.81</v>
      </c>
      <c r="H492" s="107">
        <v>8</v>
      </c>
      <c r="I492" s="109" t="s">
        <v>3833</v>
      </c>
      <c r="J492" s="107" t="s">
        <v>29</v>
      </c>
      <c r="K492" s="24" t="s">
        <v>879</v>
      </c>
      <c r="L492" s="24">
        <v>18330660293</v>
      </c>
      <c r="M492" s="24" t="s">
        <v>871</v>
      </c>
      <c r="N492" s="126" t="s">
        <v>879</v>
      </c>
      <c r="O492" s="123" t="s">
        <v>3834</v>
      </c>
      <c r="P492" s="131">
        <v>15830235577</v>
      </c>
      <c r="Q492" s="126" t="s">
        <v>3835</v>
      </c>
      <c r="R492">
        <f t="shared" si="15"/>
        <v>4</v>
      </c>
      <c r="S492" s="15" t="s">
        <v>3836</v>
      </c>
    </row>
    <row r="493" spans="1:19" ht="15.75">
      <c r="A493" s="106" t="str">
        <f t="shared" si="14"/>
        <v>nonono</v>
      </c>
      <c r="B493" s="21" t="s">
        <v>3837</v>
      </c>
      <c r="C493" s="15" t="s">
        <v>3838</v>
      </c>
      <c r="D493" s="107" t="s">
        <v>3839</v>
      </c>
      <c r="E493" s="107" t="s">
        <v>3840</v>
      </c>
      <c r="F493" s="107">
        <v>1</v>
      </c>
      <c r="G493" s="108">
        <v>0.81</v>
      </c>
      <c r="H493" s="107">
        <v>5</v>
      </c>
      <c r="I493" s="109" t="s">
        <v>3841</v>
      </c>
      <c r="J493" s="107" t="s">
        <v>29</v>
      </c>
      <c r="K493" s="24" t="s">
        <v>3842</v>
      </c>
      <c r="L493" s="24">
        <v>18081641236</v>
      </c>
      <c r="M493" s="24" t="s">
        <v>3843</v>
      </c>
      <c r="N493" s="122" t="s">
        <v>3844</v>
      </c>
      <c r="O493" t="s">
        <v>3843</v>
      </c>
      <c r="P493">
        <v>18081641236</v>
      </c>
      <c r="Q493" s="122" t="s">
        <v>3845</v>
      </c>
      <c r="R493">
        <f t="shared" si="15"/>
        <v>1</v>
      </c>
      <c r="S493" s="15" t="s">
        <v>3846</v>
      </c>
    </row>
    <row r="494" spans="1:19" ht="15.75">
      <c r="A494" s="106" t="str">
        <f t="shared" si="14"/>
        <v>nonono</v>
      </c>
      <c r="B494" s="21" t="s">
        <v>3847</v>
      </c>
      <c r="C494" s="15" t="s">
        <v>3848</v>
      </c>
      <c r="D494" s="107" t="s">
        <v>3849</v>
      </c>
      <c r="E494" s="107" t="s">
        <v>3850</v>
      </c>
      <c r="F494" s="107">
        <v>1</v>
      </c>
      <c r="G494" s="108">
        <v>1.26</v>
      </c>
      <c r="H494" s="107">
        <v>6</v>
      </c>
      <c r="I494" s="109" t="s">
        <v>3851</v>
      </c>
      <c r="J494" s="107" t="s">
        <v>29</v>
      </c>
      <c r="K494" s="24" t="s">
        <v>870</v>
      </c>
      <c r="L494" s="24">
        <v>15652037350</v>
      </c>
      <c r="M494" s="24" t="s">
        <v>871</v>
      </c>
      <c r="N494" s="122" t="s">
        <v>3852</v>
      </c>
      <c r="O494" t="s">
        <v>871</v>
      </c>
      <c r="P494" s="126">
        <v>15652037350</v>
      </c>
      <c r="Q494" s="122" t="s">
        <v>3853</v>
      </c>
      <c r="R494">
        <f t="shared" si="15"/>
        <v>4</v>
      </c>
      <c r="S494" s="15" t="s">
        <v>3854</v>
      </c>
    </row>
    <row r="495" spans="1:19" ht="15.75">
      <c r="A495" s="106" t="str">
        <f t="shared" si="14"/>
        <v>nonono</v>
      </c>
      <c r="B495" s="21" t="s">
        <v>3855</v>
      </c>
      <c r="C495" s="15" t="s">
        <v>3856</v>
      </c>
      <c r="D495" s="107" t="s">
        <v>3857</v>
      </c>
      <c r="E495" s="107" t="s">
        <v>111</v>
      </c>
      <c r="F495" s="107">
        <v>1</v>
      </c>
      <c r="G495" s="108">
        <v>1.72</v>
      </c>
      <c r="H495" s="107">
        <v>15</v>
      </c>
      <c r="I495" s="109" t="s">
        <v>3858</v>
      </c>
      <c r="J495" s="107" t="s">
        <v>40</v>
      </c>
      <c r="K495" s="24" t="s">
        <v>113</v>
      </c>
      <c r="L495" s="24">
        <v>15837581275</v>
      </c>
      <c r="M495" s="24" t="s">
        <v>114</v>
      </c>
      <c r="N495" s="126" t="s">
        <v>113</v>
      </c>
      <c r="O495" t="s">
        <v>114</v>
      </c>
      <c r="P495" s="126">
        <v>15837581275</v>
      </c>
      <c r="Q495" s="126" t="s">
        <v>3859</v>
      </c>
      <c r="R495">
        <f t="shared" si="15"/>
        <v>3</v>
      </c>
      <c r="S495" s="15" t="s">
        <v>3860</v>
      </c>
    </row>
    <row r="496" spans="1:19" ht="15.75">
      <c r="A496" s="106" t="str">
        <f t="shared" si="14"/>
        <v>nonono</v>
      </c>
      <c r="B496" s="21" t="s">
        <v>3861</v>
      </c>
      <c r="C496" s="15" t="s">
        <v>3862</v>
      </c>
      <c r="D496" s="107" t="s">
        <v>3863</v>
      </c>
      <c r="E496" s="107" t="s">
        <v>183</v>
      </c>
      <c r="F496" s="107">
        <v>1</v>
      </c>
      <c r="G496" s="108">
        <v>0.81</v>
      </c>
      <c r="H496" s="107">
        <v>5</v>
      </c>
      <c r="I496" s="109" t="s">
        <v>3864</v>
      </c>
      <c r="J496" s="107" t="s">
        <v>29</v>
      </c>
      <c r="K496" s="24" t="s">
        <v>124</v>
      </c>
      <c r="L496" s="24">
        <v>15720962388</v>
      </c>
      <c r="M496" s="24" t="s">
        <v>125</v>
      </c>
      <c r="N496" s="122" t="s">
        <v>3865</v>
      </c>
      <c r="O496" t="s">
        <v>125</v>
      </c>
      <c r="P496" s="126">
        <v>15720962388</v>
      </c>
      <c r="Q496" s="122" t="s">
        <v>3866</v>
      </c>
      <c r="R496">
        <f t="shared" si="15"/>
        <v>3</v>
      </c>
      <c r="S496" s="15" t="s">
        <v>3867</v>
      </c>
    </row>
    <row r="497" spans="1:19" ht="15.75">
      <c r="A497" s="106" t="str">
        <f t="shared" si="14"/>
        <v>nonono</v>
      </c>
      <c r="B497" s="21" t="s">
        <v>3868</v>
      </c>
      <c r="C497" s="15" t="s">
        <v>3869</v>
      </c>
      <c r="D497" s="107" t="s">
        <v>3863</v>
      </c>
      <c r="E497" s="107" t="s">
        <v>183</v>
      </c>
      <c r="F497" s="107">
        <v>1</v>
      </c>
      <c r="G497" s="108">
        <v>0.81</v>
      </c>
      <c r="H497" s="107">
        <v>5</v>
      </c>
      <c r="I497" s="109" t="s">
        <v>3864</v>
      </c>
      <c r="J497" s="107" t="s">
        <v>29</v>
      </c>
      <c r="K497" s="24" t="s">
        <v>1643</v>
      </c>
      <c r="L497" s="24">
        <v>18163221890</v>
      </c>
      <c r="M497" s="24" t="s">
        <v>1644</v>
      </c>
      <c r="N497" s="122" t="s">
        <v>3870</v>
      </c>
      <c r="O497" t="s">
        <v>1644</v>
      </c>
      <c r="P497">
        <v>18163221890</v>
      </c>
      <c r="Q497" s="122" t="s">
        <v>3871</v>
      </c>
      <c r="R497">
        <f t="shared" si="15"/>
        <v>3</v>
      </c>
      <c r="S497" s="15" t="s">
        <v>3872</v>
      </c>
    </row>
    <row r="498" spans="1:19" ht="15.75">
      <c r="A498" s="106" t="str">
        <f t="shared" si="14"/>
        <v>nonono</v>
      </c>
      <c r="B498" s="21" t="s">
        <v>3873</v>
      </c>
      <c r="C498" s="15" t="s">
        <v>3874</v>
      </c>
      <c r="D498" s="107" t="s">
        <v>3875</v>
      </c>
      <c r="E498" s="107" t="s">
        <v>1633</v>
      </c>
      <c r="F498" s="107">
        <v>1</v>
      </c>
      <c r="G498" s="108">
        <v>0.81</v>
      </c>
      <c r="H498" s="107">
        <v>6</v>
      </c>
      <c r="I498" s="109" t="s">
        <v>1634</v>
      </c>
      <c r="J498" s="107" t="s">
        <v>29</v>
      </c>
      <c r="K498" s="196" t="s">
        <v>3876</v>
      </c>
      <c r="L498" s="24">
        <v>17376776866</v>
      </c>
      <c r="M498" s="24" t="s">
        <v>3877</v>
      </c>
      <c r="N498" s="122" t="s">
        <v>3878</v>
      </c>
      <c r="O498" t="s">
        <v>3877</v>
      </c>
      <c r="P498">
        <v>17376776866</v>
      </c>
      <c r="Q498" s="122" t="s">
        <v>3879</v>
      </c>
      <c r="R498">
        <f t="shared" si="15"/>
        <v>1</v>
      </c>
      <c r="S498" s="15" t="s">
        <v>3880</v>
      </c>
    </row>
    <row r="499" spans="1:19" ht="15.75">
      <c r="A499" s="106" t="str">
        <f t="shared" si="14"/>
        <v>nonono</v>
      </c>
      <c r="B499" s="21" t="s">
        <v>3881</v>
      </c>
      <c r="C499" s="15" t="s">
        <v>3882</v>
      </c>
      <c r="D499" s="107" t="s">
        <v>3883</v>
      </c>
      <c r="E499" s="107" t="s">
        <v>111</v>
      </c>
      <c r="F499" s="107">
        <v>1</v>
      </c>
      <c r="G499" s="108">
        <v>1.49</v>
      </c>
      <c r="H499" s="107">
        <v>15</v>
      </c>
      <c r="I499" s="109" t="s">
        <v>3512</v>
      </c>
      <c r="J499" s="107" t="s">
        <v>40</v>
      </c>
      <c r="K499" s="24" t="s">
        <v>203</v>
      </c>
      <c r="L499" s="24">
        <v>13672440172</v>
      </c>
      <c r="M499" s="186" t="s">
        <v>204</v>
      </c>
      <c r="N499" s="126" t="s">
        <v>203</v>
      </c>
      <c r="O499" s="123" t="s">
        <v>3884</v>
      </c>
      <c r="P499" s="139">
        <v>13602221757</v>
      </c>
      <c r="Q499" s="126" t="s">
        <v>3885</v>
      </c>
      <c r="R499">
        <f t="shared" si="15"/>
        <v>3</v>
      </c>
      <c r="S499" s="15" t="s">
        <v>3886</v>
      </c>
    </row>
    <row r="500" spans="1:19" ht="15.75">
      <c r="A500" s="106" t="str">
        <f t="shared" si="14"/>
        <v>nonono</v>
      </c>
      <c r="B500" s="21" t="s">
        <v>3887</v>
      </c>
      <c r="C500" s="15" t="s">
        <v>3888</v>
      </c>
      <c r="D500" s="107" t="s">
        <v>200</v>
      </c>
      <c r="E500" s="107" t="s">
        <v>201</v>
      </c>
      <c r="F500" s="107">
        <v>1</v>
      </c>
      <c r="G500" s="108">
        <v>1.72</v>
      </c>
      <c r="H500" s="107">
        <v>10</v>
      </c>
      <c r="I500" s="109" t="s">
        <v>202</v>
      </c>
      <c r="J500" s="107" t="s">
        <v>40</v>
      </c>
      <c r="K500" s="24" t="s">
        <v>214</v>
      </c>
      <c r="L500" s="24">
        <v>13928934034</v>
      </c>
      <c r="M500" s="186" t="s">
        <v>215</v>
      </c>
      <c r="N500" s="122" t="s">
        <v>3889</v>
      </c>
      <c r="O500" s="123" t="s">
        <v>3890</v>
      </c>
      <c r="P500" s="156">
        <v>13929575420</v>
      </c>
      <c r="Q500" s="122" t="s">
        <v>3891</v>
      </c>
      <c r="R500">
        <f t="shared" si="15"/>
        <v>3</v>
      </c>
      <c r="S500" s="15" t="s">
        <v>3892</v>
      </c>
    </row>
    <row r="501" spans="1:19" ht="15.75">
      <c r="A501" s="106" t="str">
        <f t="shared" si="14"/>
        <v>nonono</v>
      </c>
      <c r="B501" s="21" t="s">
        <v>3893</v>
      </c>
      <c r="C501" s="15" t="s">
        <v>3894</v>
      </c>
      <c r="D501" s="37" t="s">
        <v>221</v>
      </c>
      <c r="E501" s="37" t="s">
        <v>201</v>
      </c>
      <c r="F501" s="37">
        <v>1</v>
      </c>
      <c r="G501" s="116">
        <v>1.49</v>
      </c>
      <c r="H501" s="37">
        <v>12</v>
      </c>
      <c r="I501" s="109" t="s">
        <v>202</v>
      </c>
      <c r="J501" s="107" t="s">
        <v>40</v>
      </c>
      <c r="K501" s="23" t="s">
        <v>222</v>
      </c>
      <c r="L501" s="24">
        <v>13527705551</v>
      </c>
      <c r="M501" s="186" t="s">
        <v>223</v>
      </c>
      <c r="N501" s="122" t="s">
        <v>3895</v>
      </c>
      <c r="O501" s="123" t="s">
        <v>3896</v>
      </c>
      <c r="P501" s="129">
        <v>13044223492</v>
      </c>
      <c r="Q501" s="122" t="s">
        <v>3897</v>
      </c>
      <c r="R501">
        <f t="shared" si="15"/>
        <v>3</v>
      </c>
      <c r="S501" s="15" t="s">
        <v>3898</v>
      </c>
    </row>
    <row r="502" spans="1:19" ht="15.75">
      <c r="A502" s="106" t="str">
        <f t="shared" si="14"/>
        <v>nonono</v>
      </c>
      <c r="B502" s="21" t="s">
        <v>3899</v>
      </c>
      <c r="C502" s="15" t="s">
        <v>3900</v>
      </c>
      <c r="D502" s="110" t="s">
        <v>3901</v>
      </c>
      <c r="E502" s="107" t="s">
        <v>281</v>
      </c>
      <c r="F502" s="107">
        <v>1</v>
      </c>
      <c r="G502" s="108">
        <v>0.57999999999999996</v>
      </c>
      <c r="H502" s="107">
        <v>9</v>
      </c>
      <c r="I502" s="137" t="s">
        <v>282</v>
      </c>
      <c r="J502" s="110" t="s">
        <v>40</v>
      </c>
      <c r="K502" s="142" t="s">
        <v>283</v>
      </c>
      <c r="L502" s="24">
        <v>15821041519</v>
      </c>
      <c r="M502" s="142" t="s">
        <v>284</v>
      </c>
      <c r="N502" s="126" t="s">
        <v>283</v>
      </c>
      <c r="O502" t="s">
        <v>284</v>
      </c>
      <c r="P502" s="126">
        <v>15821041519</v>
      </c>
      <c r="Q502" s="126" t="s">
        <v>3902</v>
      </c>
      <c r="R502">
        <f t="shared" si="15"/>
        <v>2</v>
      </c>
      <c r="S502" s="15" t="s">
        <v>3903</v>
      </c>
    </row>
    <row r="503" spans="1:19" ht="15.75">
      <c r="A503" s="106" t="str">
        <f t="shared" si="14"/>
        <v>nonono</v>
      </c>
      <c r="B503" s="21" t="s">
        <v>3904</v>
      </c>
      <c r="C503" s="15" t="s">
        <v>3905</v>
      </c>
      <c r="D503" s="110" t="s">
        <v>312</v>
      </c>
      <c r="E503" s="107" t="s">
        <v>465</v>
      </c>
      <c r="F503" s="107">
        <v>1</v>
      </c>
      <c r="G503" s="108">
        <v>1.04</v>
      </c>
      <c r="H503" s="107">
        <v>1</v>
      </c>
      <c r="I503" s="109"/>
      <c r="J503" s="110" t="s">
        <v>304</v>
      </c>
      <c r="K503" s="149" t="s">
        <v>3906</v>
      </c>
      <c r="L503" s="23">
        <v>18113807947</v>
      </c>
      <c r="M503" s="23" t="s">
        <v>3907</v>
      </c>
      <c r="N503" s="122" t="s">
        <v>3908</v>
      </c>
      <c r="O503" t="s">
        <v>3907</v>
      </c>
      <c r="P503">
        <v>18113807947</v>
      </c>
      <c r="Q503" s="122" t="s">
        <v>3909</v>
      </c>
      <c r="R503">
        <f t="shared" si="15"/>
        <v>1</v>
      </c>
      <c r="S503" s="15" t="s">
        <v>3910</v>
      </c>
    </row>
    <row r="504" spans="1:19" ht="15.75">
      <c r="A504" s="106" t="str">
        <f t="shared" si="14"/>
        <v>nonono</v>
      </c>
      <c r="B504" s="21" t="s">
        <v>3911</v>
      </c>
      <c r="C504" s="15" t="s">
        <v>3912</v>
      </c>
      <c r="D504" s="110" t="s">
        <v>3913</v>
      </c>
      <c r="E504" s="107" t="s">
        <v>111</v>
      </c>
      <c r="F504" s="107">
        <v>1</v>
      </c>
      <c r="G504" s="108">
        <v>1.26</v>
      </c>
      <c r="H504" s="107">
        <v>9</v>
      </c>
      <c r="I504" s="137" t="s">
        <v>430</v>
      </c>
      <c r="J504" s="110" t="s">
        <v>40</v>
      </c>
      <c r="K504" s="142" t="s">
        <v>2805</v>
      </c>
      <c r="L504" s="24">
        <v>17763969869</v>
      </c>
      <c r="M504" s="142" t="s">
        <v>2806</v>
      </c>
      <c r="N504" s="126" t="s">
        <v>2805</v>
      </c>
      <c r="O504" s="123" t="s">
        <v>3914</v>
      </c>
      <c r="P504" s="131">
        <v>13930675577</v>
      </c>
      <c r="Q504" s="126" t="s">
        <v>3915</v>
      </c>
      <c r="R504">
        <f t="shared" si="15"/>
        <v>2</v>
      </c>
      <c r="S504" s="15" t="s">
        <v>3916</v>
      </c>
    </row>
    <row r="505" spans="1:19" ht="15.75">
      <c r="A505" s="106" t="str">
        <f t="shared" si="14"/>
        <v>nonono</v>
      </c>
      <c r="B505" s="21" t="s">
        <v>3917</v>
      </c>
      <c r="C505" s="15" t="s">
        <v>3918</v>
      </c>
      <c r="D505" s="117" t="s">
        <v>3919</v>
      </c>
      <c r="E505" s="37" t="s">
        <v>302</v>
      </c>
      <c r="F505" s="37">
        <v>1</v>
      </c>
      <c r="G505" s="116">
        <v>1.04</v>
      </c>
      <c r="H505" s="37">
        <v>1</v>
      </c>
      <c r="I505" s="137" t="s">
        <v>3920</v>
      </c>
      <c r="J505" s="110" t="s">
        <v>304</v>
      </c>
      <c r="K505" s="142" t="s">
        <v>3921</v>
      </c>
      <c r="L505" s="24">
        <v>13995373111</v>
      </c>
      <c r="M505" s="142" t="s">
        <v>3922</v>
      </c>
      <c r="N505" s="126" t="s">
        <v>3921</v>
      </c>
      <c r="O505" t="s">
        <v>3922</v>
      </c>
      <c r="P505">
        <v>13995373111</v>
      </c>
      <c r="Q505" s="126" t="s">
        <v>3923</v>
      </c>
      <c r="R505">
        <f t="shared" si="15"/>
        <v>1</v>
      </c>
      <c r="S505" s="15" t="s">
        <v>3924</v>
      </c>
    </row>
    <row r="506" spans="1:19" ht="15.75">
      <c r="A506" s="106" t="str">
        <f t="shared" si="14"/>
        <v>nonono</v>
      </c>
      <c r="B506" s="21" t="s">
        <v>3925</v>
      </c>
      <c r="C506" s="15" t="s">
        <v>3926</v>
      </c>
      <c r="D506" s="110" t="s">
        <v>3927</v>
      </c>
      <c r="E506" s="107" t="s">
        <v>261</v>
      </c>
      <c r="F506" s="107">
        <v>1</v>
      </c>
      <c r="G506" s="108">
        <v>1.04</v>
      </c>
      <c r="H506" s="107">
        <v>5</v>
      </c>
      <c r="I506" s="137" t="s">
        <v>391</v>
      </c>
      <c r="J506" s="110" t="s">
        <v>40</v>
      </c>
      <c r="K506" s="142" t="s">
        <v>2822</v>
      </c>
      <c r="L506" s="24">
        <v>13902459079</v>
      </c>
      <c r="M506" s="142" t="s">
        <v>2823</v>
      </c>
      <c r="N506" s="122" t="s">
        <v>3928</v>
      </c>
      <c r="O506" t="s">
        <v>2823</v>
      </c>
      <c r="P506" s="126">
        <v>13902459079</v>
      </c>
      <c r="Q506" s="122" t="s">
        <v>3929</v>
      </c>
      <c r="R506">
        <f t="shared" si="15"/>
        <v>2</v>
      </c>
      <c r="S506" s="15" t="s">
        <v>3930</v>
      </c>
    </row>
    <row r="507" spans="1:19" ht="15.75">
      <c r="A507" s="106" t="str">
        <f t="shared" si="14"/>
        <v>nonono</v>
      </c>
      <c r="B507" s="21" t="s">
        <v>3931</v>
      </c>
      <c r="C507" s="15" t="s">
        <v>3932</v>
      </c>
      <c r="D507" s="110" t="s">
        <v>3933</v>
      </c>
      <c r="E507" s="107" t="s">
        <v>281</v>
      </c>
      <c r="F507" s="107">
        <v>1</v>
      </c>
      <c r="G507" s="108">
        <v>1.26</v>
      </c>
      <c r="H507" s="107">
        <v>5</v>
      </c>
      <c r="I507" s="109" t="s">
        <v>3934</v>
      </c>
      <c r="J507" s="110" t="s">
        <v>40</v>
      </c>
      <c r="K507" s="142" t="s">
        <v>832</v>
      </c>
      <c r="L507" s="24">
        <v>13957852776</v>
      </c>
      <c r="M507" s="155" t="s">
        <v>833</v>
      </c>
      <c r="N507" s="122" t="s">
        <v>3935</v>
      </c>
      <c r="O507" s="123" t="s">
        <v>3936</v>
      </c>
      <c r="P507" s="131">
        <v>13588300106</v>
      </c>
      <c r="Q507" s="122" t="s">
        <v>3937</v>
      </c>
      <c r="R507">
        <f t="shared" si="15"/>
        <v>4</v>
      </c>
      <c r="S507" s="15" t="s">
        <v>3938</v>
      </c>
    </row>
    <row r="508" spans="1:19" ht="15.75">
      <c r="A508" s="106" t="str">
        <f t="shared" si="14"/>
        <v>nonono</v>
      </c>
      <c r="B508" s="21" t="s">
        <v>3939</v>
      </c>
      <c r="C508" s="15" t="s">
        <v>3940</v>
      </c>
      <c r="D508" s="110" t="s">
        <v>3941</v>
      </c>
      <c r="E508" s="107" t="s">
        <v>281</v>
      </c>
      <c r="F508" s="107">
        <v>1</v>
      </c>
      <c r="G508" s="108">
        <v>1.04</v>
      </c>
      <c r="H508" s="107">
        <v>4</v>
      </c>
      <c r="I508" s="109" t="s">
        <v>831</v>
      </c>
      <c r="J508" s="110" t="s">
        <v>40</v>
      </c>
      <c r="K508" s="142" t="s">
        <v>832</v>
      </c>
      <c r="L508" s="24">
        <v>13957852776</v>
      </c>
      <c r="M508" s="155" t="s">
        <v>833</v>
      </c>
      <c r="N508" s="126" t="s">
        <v>832</v>
      </c>
      <c r="O508" s="123" t="s">
        <v>3942</v>
      </c>
      <c r="P508" s="158">
        <v>13056818698</v>
      </c>
      <c r="Q508" s="126" t="s">
        <v>3943</v>
      </c>
      <c r="R508">
        <f t="shared" si="15"/>
        <v>4</v>
      </c>
      <c r="S508" s="15" t="s">
        <v>3944</v>
      </c>
    </row>
    <row r="509" spans="1:19" ht="15.75">
      <c r="A509" s="106" t="str">
        <f t="shared" si="14"/>
        <v>nonono</v>
      </c>
      <c r="B509" s="21" t="s">
        <v>3945</v>
      </c>
      <c r="C509" s="15" t="s">
        <v>3946</v>
      </c>
      <c r="D509" s="110" t="s">
        <v>3947</v>
      </c>
      <c r="E509" s="107" t="s">
        <v>3948</v>
      </c>
      <c r="F509" s="107">
        <v>1</v>
      </c>
      <c r="G509" s="108">
        <v>1.26</v>
      </c>
      <c r="H509" s="107">
        <v>6</v>
      </c>
      <c r="I509" s="109" t="s">
        <v>3949</v>
      </c>
      <c r="J509" s="110" t="s">
        <v>29</v>
      </c>
      <c r="K509" s="149" t="s">
        <v>3950</v>
      </c>
      <c r="L509" s="24">
        <v>13600323432</v>
      </c>
      <c r="M509" s="142" t="s">
        <v>3951</v>
      </c>
      <c r="N509" s="126" t="s">
        <v>3950</v>
      </c>
      <c r="O509" t="s">
        <v>3951</v>
      </c>
      <c r="P509" s="126">
        <v>13600323432</v>
      </c>
      <c r="Q509" s="126" t="s">
        <v>3952</v>
      </c>
      <c r="R509">
        <f t="shared" si="15"/>
        <v>1</v>
      </c>
      <c r="S509" s="15" t="s">
        <v>3953</v>
      </c>
    </row>
    <row r="510" spans="1:19" ht="15.75">
      <c r="A510" s="106" t="str">
        <f t="shared" si="14"/>
        <v>nonono</v>
      </c>
      <c r="B510" s="21" t="s">
        <v>3954</v>
      </c>
      <c r="C510" s="15" t="s">
        <v>3955</v>
      </c>
      <c r="D510" s="110" t="s">
        <v>3956</v>
      </c>
      <c r="E510" s="107" t="s">
        <v>201</v>
      </c>
      <c r="F510" s="107">
        <v>1</v>
      </c>
      <c r="G510" s="108">
        <v>2.17</v>
      </c>
      <c r="H510" s="107">
        <v>12</v>
      </c>
      <c r="I510" s="137" t="s">
        <v>944</v>
      </c>
      <c r="J510" s="110" t="s">
        <v>40</v>
      </c>
      <c r="K510" s="219" t="s">
        <v>392</v>
      </c>
      <c r="L510" s="24">
        <v>18918016978</v>
      </c>
      <c r="M510" s="149" t="s">
        <v>393</v>
      </c>
      <c r="N510" s="122" t="s">
        <v>3957</v>
      </c>
      <c r="O510" t="s">
        <v>393</v>
      </c>
      <c r="P510">
        <v>18918016978</v>
      </c>
      <c r="Q510" s="122" t="s">
        <v>3958</v>
      </c>
      <c r="R510">
        <f t="shared" si="15"/>
        <v>4</v>
      </c>
      <c r="S510" s="15" t="s">
        <v>3959</v>
      </c>
    </row>
    <row r="511" spans="1:19" ht="15.75">
      <c r="A511" s="106" t="str">
        <f t="shared" si="14"/>
        <v>nonono</v>
      </c>
      <c r="B511" s="21" t="s">
        <v>3960</v>
      </c>
      <c r="C511" s="15" t="s">
        <v>3961</v>
      </c>
      <c r="D511" s="173" t="s">
        <v>3962</v>
      </c>
      <c r="E511" s="109" t="s">
        <v>3963</v>
      </c>
      <c r="F511" s="107">
        <v>1</v>
      </c>
      <c r="G511" s="108">
        <v>2.63</v>
      </c>
      <c r="H511" s="109"/>
      <c r="I511" s="109" t="s">
        <v>3964</v>
      </c>
      <c r="J511" s="110" t="s">
        <v>40</v>
      </c>
      <c r="K511" s="149" t="s">
        <v>1729</v>
      </c>
      <c r="L511" s="24">
        <v>13556052647</v>
      </c>
      <c r="M511" s="142" t="s">
        <v>1730</v>
      </c>
      <c r="N511" s="122" t="s">
        <v>3965</v>
      </c>
      <c r="O511" s="123" t="s">
        <v>3966</v>
      </c>
      <c r="P511" s="169">
        <v>18620738977</v>
      </c>
      <c r="Q511" s="122" t="s">
        <v>3967</v>
      </c>
      <c r="R511">
        <f t="shared" si="15"/>
        <v>2</v>
      </c>
      <c r="S511" s="15" t="s">
        <v>3968</v>
      </c>
    </row>
    <row r="512" spans="1:19" ht="15.75">
      <c r="A512" s="106" t="str">
        <f t="shared" si="14"/>
        <v>nonono</v>
      </c>
      <c r="B512" s="21" t="s">
        <v>3969</v>
      </c>
      <c r="C512" s="15" t="s">
        <v>3970</v>
      </c>
      <c r="D512" s="110" t="s">
        <v>2865</v>
      </c>
      <c r="E512" s="107" t="s">
        <v>201</v>
      </c>
      <c r="F512" s="107">
        <v>1</v>
      </c>
      <c r="G512" s="108">
        <v>1.49</v>
      </c>
      <c r="H512" s="107">
        <v>11</v>
      </c>
      <c r="I512" s="137" t="s">
        <v>944</v>
      </c>
      <c r="J512" s="110" t="s">
        <v>40</v>
      </c>
      <c r="K512" s="149" t="s">
        <v>1754</v>
      </c>
      <c r="L512" s="24">
        <v>13003387219</v>
      </c>
      <c r="M512" s="186" t="s">
        <v>1755</v>
      </c>
      <c r="N512" s="122" t="s">
        <v>3971</v>
      </c>
      <c r="O512" t="s">
        <v>1755</v>
      </c>
      <c r="P512">
        <v>13003387219</v>
      </c>
      <c r="Q512" s="122" t="s">
        <v>3972</v>
      </c>
      <c r="R512">
        <f t="shared" si="15"/>
        <v>3</v>
      </c>
      <c r="S512" s="15" t="s">
        <v>3973</v>
      </c>
    </row>
    <row r="513" spans="1:19" ht="15.75">
      <c r="A513" s="106" t="str">
        <f t="shared" ref="A513:A575" si="16">IF(B513=C513,"","nonono")</f>
        <v>nonono</v>
      </c>
      <c r="B513" s="21" t="s">
        <v>3974</v>
      </c>
      <c r="C513" s="15" t="s">
        <v>3975</v>
      </c>
      <c r="D513" s="110" t="s">
        <v>3976</v>
      </c>
      <c r="E513" s="107" t="s">
        <v>429</v>
      </c>
      <c r="F513" s="107">
        <v>1</v>
      </c>
      <c r="G513" s="108">
        <v>1.26</v>
      </c>
      <c r="H513" s="107">
        <v>9</v>
      </c>
      <c r="I513" s="137" t="s">
        <v>430</v>
      </c>
      <c r="J513" s="110" t="s">
        <v>29</v>
      </c>
      <c r="K513" s="142" t="s">
        <v>1773</v>
      </c>
      <c r="L513" s="24">
        <v>13916274801</v>
      </c>
      <c r="M513" s="142" t="s">
        <v>1774</v>
      </c>
      <c r="N513" s="122" t="s">
        <v>3977</v>
      </c>
      <c r="O513" t="s">
        <v>1774</v>
      </c>
      <c r="P513" s="126">
        <v>13916274801</v>
      </c>
      <c r="Q513" s="122" t="s">
        <v>3978</v>
      </c>
      <c r="R513">
        <f t="shared" si="15"/>
        <v>3</v>
      </c>
      <c r="S513" s="15" t="s">
        <v>3979</v>
      </c>
    </row>
    <row r="514" spans="1:19" ht="15.75">
      <c r="A514" s="106" t="str">
        <f t="shared" si="16"/>
        <v>nonono</v>
      </c>
      <c r="B514" s="21" t="s">
        <v>3980</v>
      </c>
      <c r="C514" s="15" t="s">
        <v>3981</v>
      </c>
      <c r="D514" s="110" t="s">
        <v>3982</v>
      </c>
      <c r="E514" s="107" t="s">
        <v>706</v>
      </c>
      <c r="F514" s="107">
        <v>1</v>
      </c>
      <c r="G514" s="108">
        <v>1.26</v>
      </c>
      <c r="H514" s="107">
        <v>4</v>
      </c>
      <c r="I514" s="137" t="s">
        <v>402</v>
      </c>
      <c r="J514" s="110" t="s">
        <v>29</v>
      </c>
      <c r="K514" s="142" t="s">
        <v>3983</v>
      </c>
      <c r="L514" s="24">
        <v>18621325787</v>
      </c>
      <c r="M514" s="142" t="s">
        <v>3984</v>
      </c>
      <c r="N514" s="122" t="s">
        <v>3985</v>
      </c>
      <c r="O514" t="s">
        <v>3984</v>
      </c>
      <c r="P514">
        <v>18621325787</v>
      </c>
      <c r="Q514" s="122" t="s">
        <v>3986</v>
      </c>
      <c r="R514">
        <f t="shared" si="15"/>
        <v>1</v>
      </c>
      <c r="S514" s="15" t="s">
        <v>3987</v>
      </c>
    </row>
    <row r="515" spans="1:19" ht="15.75">
      <c r="A515" s="106" t="str">
        <f t="shared" si="16"/>
        <v>nonono</v>
      </c>
      <c r="B515" s="21" t="s">
        <v>3988</v>
      </c>
      <c r="C515" s="15" t="s">
        <v>3989</v>
      </c>
      <c r="D515" s="110" t="s">
        <v>3990</v>
      </c>
      <c r="E515" s="107" t="s">
        <v>281</v>
      </c>
      <c r="F515" s="107">
        <v>1</v>
      </c>
      <c r="G515" s="108">
        <v>1.04</v>
      </c>
      <c r="H515" s="107">
        <v>12</v>
      </c>
      <c r="I515" s="109" t="s">
        <v>3991</v>
      </c>
      <c r="J515" s="110" t="s">
        <v>40</v>
      </c>
      <c r="K515" s="142" t="s">
        <v>1783</v>
      </c>
      <c r="L515" s="24">
        <v>15912146261</v>
      </c>
      <c r="M515" s="142" t="s">
        <v>1784</v>
      </c>
      <c r="N515" s="126" t="s">
        <v>1783</v>
      </c>
      <c r="O515" s="123" t="s">
        <v>3992</v>
      </c>
      <c r="P515" s="128">
        <v>13888301890</v>
      </c>
      <c r="Q515" s="126" t="s">
        <v>3993</v>
      </c>
      <c r="R515">
        <f t="shared" si="15"/>
        <v>2</v>
      </c>
      <c r="S515" s="15" t="s">
        <v>3994</v>
      </c>
    </row>
    <row r="516" spans="1:19" ht="15.75">
      <c r="A516" s="106" t="str">
        <f t="shared" si="16"/>
        <v>nonono</v>
      </c>
      <c r="B516" s="21" t="s">
        <v>3995</v>
      </c>
      <c r="C516" s="15" t="s">
        <v>3996</v>
      </c>
      <c r="D516" s="110" t="s">
        <v>3997</v>
      </c>
      <c r="E516" s="37" t="s">
        <v>2873</v>
      </c>
      <c r="F516" s="107">
        <v>1</v>
      </c>
      <c r="G516" s="108">
        <v>0.81</v>
      </c>
      <c r="H516" s="107">
        <v>3</v>
      </c>
      <c r="I516" s="109" t="s">
        <v>3998</v>
      </c>
      <c r="J516" s="110" t="s">
        <v>29</v>
      </c>
      <c r="K516" s="142" t="s">
        <v>3999</v>
      </c>
      <c r="L516" s="24">
        <v>13988900692</v>
      </c>
      <c r="M516" s="142" t="s">
        <v>4000</v>
      </c>
      <c r="N516" s="126" t="s">
        <v>3999</v>
      </c>
      <c r="O516" t="s">
        <v>4000</v>
      </c>
      <c r="P516" s="126">
        <v>13988900692</v>
      </c>
      <c r="Q516" s="126" t="s">
        <v>4001</v>
      </c>
      <c r="R516">
        <f t="shared" si="15"/>
        <v>1</v>
      </c>
      <c r="S516" s="15" t="s">
        <v>4002</v>
      </c>
    </row>
    <row r="517" spans="1:19" ht="15.75">
      <c r="A517" s="106" t="str">
        <f t="shared" si="16"/>
        <v>nonono</v>
      </c>
      <c r="B517" s="21" t="s">
        <v>4003</v>
      </c>
      <c r="C517" s="15" t="s">
        <v>4004</v>
      </c>
      <c r="D517" s="110" t="s">
        <v>291</v>
      </c>
      <c r="E517" s="107" t="s">
        <v>292</v>
      </c>
      <c r="F517" s="107">
        <v>1</v>
      </c>
      <c r="G517" s="108">
        <v>0.81</v>
      </c>
      <c r="H517" s="107">
        <v>1</v>
      </c>
      <c r="I517" s="109"/>
      <c r="J517" s="110" t="s">
        <v>293</v>
      </c>
      <c r="K517" s="149" t="s">
        <v>4005</v>
      </c>
      <c r="L517" s="37">
        <v>18398233603</v>
      </c>
      <c r="M517" s="23" t="s">
        <v>4006</v>
      </c>
      <c r="N517" s="126" t="s">
        <v>4005</v>
      </c>
      <c r="O517" t="s">
        <v>4006</v>
      </c>
      <c r="P517">
        <v>18398233603</v>
      </c>
      <c r="Q517" s="126" t="s">
        <v>4007</v>
      </c>
      <c r="R517">
        <f t="shared" si="15"/>
        <v>1</v>
      </c>
      <c r="S517" s="15" t="s">
        <v>4008</v>
      </c>
    </row>
    <row r="518" spans="1:19" ht="15.75">
      <c r="A518" s="106" t="str">
        <f t="shared" si="16"/>
        <v>nonono</v>
      </c>
      <c r="B518" s="21" t="s">
        <v>4009</v>
      </c>
      <c r="C518" s="15" t="s">
        <v>4010</v>
      </c>
      <c r="D518" s="110" t="s">
        <v>464</v>
      </c>
      <c r="E518" s="107" t="s">
        <v>465</v>
      </c>
      <c r="F518" s="107">
        <v>1</v>
      </c>
      <c r="G518" s="108">
        <v>0.81</v>
      </c>
      <c r="H518" s="107">
        <v>1</v>
      </c>
      <c r="I518" s="109"/>
      <c r="J518" s="110" t="s">
        <v>304</v>
      </c>
      <c r="K518" s="149" t="s">
        <v>4011</v>
      </c>
      <c r="L518" s="23">
        <v>18808566611</v>
      </c>
      <c r="M518" s="23" t="s">
        <v>4012</v>
      </c>
      <c r="N518" s="122" t="s">
        <v>4013</v>
      </c>
      <c r="O518" t="s">
        <v>4012</v>
      </c>
      <c r="P518">
        <v>18808566611</v>
      </c>
      <c r="Q518" s="122" t="s">
        <v>4014</v>
      </c>
      <c r="R518">
        <f t="shared" si="15"/>
        <v>1</v>
      </c>
      <c r="S518" s="15" t="s">
        <v>4015</v>
      </c>
    </row>
    <row r="519" spans="1:19" ht="15.75">
      <c r="A519" s="106" t="str">
        <f t="shared" si="16"/>
        <v>nonono</v>
      </c>
      <c r="B519" s="21" t="s">
        <v>4016</v>
      </c>
      <c r="C519" s="15" t="s">
        <v>4017</v>
      </c>
      <c r="D519" s="110" t="s">
        <v>2919</v>
      </c>
      <c r="E519" s="107" t="s">
        <v>2920</v>
      </c>
      <c r="F519" s="107">
        <v>1</v>
      </c>
      <c r="G519" s="108">
        <v>0.81</v>
      </c>
      <c r="H519" s="107">
        <v>1</v>
      </c>
      <c r="I519" s="109"/>
      <c r="J519" s="110" t="s">
        <v>304</v>
      </c>
      <c r="K519" s="142" t="s">
        <v>4018</v>
      </c>
      <c r="L519" s="24">
        <v>13904182728</v>
      </c>
      <c r="M519" s="142" t="s">
        <v>4019</v>
      </c>
      <c r="N519" s="126" t="s">
        <v>4018</v>
      </c>
      <c r="O519" t="s">
        <v>4019</v>
      </c>
      <c r="P519" s="126">
        <v>13904182728</v>
      </c>
      <c r="Q519" s="126" t="s">
        <v>4020</v>
      </c>
      <c r="R519">
        <f t="shared" ref="R519:R582" si="17">COUNTIF($K$1:$K$2982,K519)</f>
        <v>1</v>
      </c>
      <c r="S519" s="15" t="s">
        <v>4021</v>
      </c>
    </row>
    <row r="520" spans="1:19" ht="15.75">
      <c r="A520" s="106" t="str">
        <f t="shared" si="16"/>
        <v>nonono</v>
      </c>
      <c r="B520" s="21" t="s">
        <v>4022</v>
      </c>
      <c r="C520" s="15" t="s">
        <v>4023</v>
      </c>
      <c r="D520" s="107" t="s">
        <v>4024</v>
      </c>
      <c r="E520" s="107" t="s">
        <v>482</v>
      </c>
      <c r="F520" s="107">
        <v>1</v>
      </c>
      <c r="G520" s="108">
        <v>0.81</v>
      </c>
      <c r="H520" s="107">
        <v>2</v>
      </c>
      <c r="I520" s="137" t="s">
        <v>402</v>
      </c>
      <c r="J520" s="110" t="s">
        <v>103</v>
      </c>
      <c r="K520" s="142" t="s">
        <v>4025</v>
      </c>
      <c r="L520" s="24">
        <v>17608017788</v>
      </c>
      <c r="M520" s="142" t="s">
        <v>4026</v>
      </c>
      <c r="N520" s="126" t="s">
        <v>4025</v>
      </c>
      <c r="O520" t="s">
        <v>4026</v>
      </c>
      <c r="P520" s="126">
        <v>17608017788</v>
      </c>
      <c r="Q520" s="126" t="s">
        <v>4027</v>
      </c>
      <c r="R520">
        <f t="shared" si="17"/>
        <v>1</v>
      </c>
      <c r="S520" s="15" t="s">
        <v>4028</v>
      </c>
    </row>
    <row r="521" spans="1:19" ht="15.75">
      <c r="A521" s="106" t="str">
        <f t="shared" si="16"/>
        <v>nonono</v>
      </c>
      <c r="B521" s="21" t="s">
        <v>4029</v>
      </c>
      <c r="C521" s="15" t="s">
        <v>4030</v>
      </c>
      <c r="D521" s="110" t="s">
        <v>4031</v>
      </c>
      <c r="E521" s="107" t="s">
        <v>482</v>
      </c>
      <c r="F521" s="107">
        <v>1</v>
      </c>
      <c r="G521" s="108">
        <v>0.35</v>
      </c>
      <c r="H521" s="107">
        <v>2</v>
      </c>
      <c r="I521" s="137" t="s">
        <v>402</v>
      </c>
      <c r="J521" s="110" t="s">
        <v>103</v>
      </c>
      <c r="K521" s="142" t="s">
        <v>4032</v>
      </c>
      <c r="L521" s="24">
        <v>18072900432</v>
      </c>
      <c r="M521" s="142" t="s">
        <v>4033</v>
      </c>
      <c r="N521" s="126" t="s">
        <v>4032</v>
      </c>
      <c r="O521" t="s">
        <v>4033</v>
      </c>
      <c r="P521" s="126">
        <v>18072900432</v>
      </c>
      <c r="Q521" s="126" t="s">
        <v>4034</v>
      </c>
      <c r="R521">
        <f t="shared" si="17"/>
        <v>1</v>
      </c>
      <c r="S521" s="15" t="s">
        <v>4035</v>
      </c>
    </row>
    <row r="522" spans="1:19" ht="15.75">
      <c r="A522" s="106" t="str">
        <f t="shared" si="16"/>
        <v>nonono</v>
      </c>
      <c r="B522" s="21" t="s">
        <v>4036</v>
      </c>
      <c r="C522" s="15" t="s">
        <v>4037</v>
      </c>
      <c r="D522" s="110" t="s">
        <v>4038</v>
      </c>
      <c r="E522" s="107" t="s">
        <v>678</v>
      </c>
      <c r="F522" s="107">
        <v>1</v>
      </c>
      <c r="G522" s="108">
        <v>0.81</v>
      </c>
      <c r="H522" s="107">
        <v>3</v>
      </c>
      <c r="I522" s="137" t="s">
        <v>282</v>
      </c>
      <c r="J522" s="110" t="s">
        <v>103</v>
      </c>
      <c r="K522" s="142" t="s">
        <v>4039</v>
      </c>
      <c r="L522" s="24">
        <v>13197120005</v>
      </c>
      <c r="M522" s="142" t="s">
        <v>4040</v>
      </c>
      <c r="N522" s="122" t="s">
        <v>4041</v>
      </c>
      <c r="O522" t="s">
        <v>4040</v>
      </c>
      <c r="P522">
        <v>13197120005</v>
      </c>
      <c r="Q522" s="122" t="s">
        <v>4042</v>
      </c>
      <c r="R522">
        <f t="shared" si="17"/>
        <v>1</v>
      </c>
      <c r="S522" s="15" t="s">
        <v>4043</v>
      </c>
    </row>
    <row r="523" spans="1:19" ht="15.75">
      <c r="A523" s="106" t="str">
        <f t="shared" si="16"/>
        <v>nonono</v>
      </c>
      <c r="B523" s="21" t="s">
        <v>4044</v>
      </c>
      <c r="C523" s="15" t="s">
        <v>4045</v>
      </c>
      <c r="D523" s="110" t="s">
        <v>291</v>
      </c>
      <c r="E523" s="107" t="s">
        <v>292</v>
      </c>
      <c r="F523" s="107">
        <v>1</v>
      </c>
      <c r="G523" s="108">
        <v>0.81</v>
      </c>
      <c r="H523" s="107">
        <v>1</v>
      </c>
      <c r="I523" s="109"/>
      <c r="J523" s="110" t="s">
        <v>293</v>
      </c>
      <c r="K523" s="149" t="s">
        <v>4046</v>
      </c>
      <c r="L523" s="23">
        <v>13638110750</v>
      </c>
      <c r="M523" s="23" t="s">
        <v>4047</v>
      </c>
      <c r="N523" s="122" t="s">
        <v>4048</v>
      </c>
      <c r="O523" t="s">
        <v>4047</v>
      </c>
      <c r="P523">
        <v>13638110750</v>
      </c>
      <c r="Q523" s="122" t="s">
        <v>4049</v>
      </c>
      <c r="R523">
        <f t="shared" si="17"/>
        <v>1</v>
      </c>
      <c r="S523" s="15" t="s">
        <v>4050</v>
      </c>
    </row>
    <row r="524" spans="1:19" ht="15.75">
      <c r="A524" s="106" t="str">
        <f t="shared" si="16"/>
        <v>nonono</v>
      </c>
      <c r="B524" s="21" t="s">
        <v>4051</v>
      </c>
      <c r="C524" s="15" t="s">
        <v>4052</v>
      </c>
      <c r="D524" s="110" t="s">
        <v>4053</v>
      </c>
      <c r="E524" s="37" t="s">
        <v>4054</v>
      </c>
      <c r="F524" s="107">
        <v>1</v>
      </c>
      <c r="G524" s="108">
        <v>0.81</v>
      </c>
      <c r="H524" s="107">
        <v>2</v>
      </c>
      <c r="I524" s="137" t="s">
        <v>4055</v>
      </c>
      <c r="J524" s="110" t="s">
        <v>103</v>
      </c>
      <c r="K524" s="117" t="s">
        <v>4056</v>
      </c>
      <c r="L524" s="37">
        <v>18670716150</v>
      </c>
      <c r="M524" s="37" t="s">
        <v>4057</v>
      </c>
      <c r="N524" s="122" t="s">
        <v>4058</v>
      </c>
      <c r="O524" t="s">
        <v>4057</v>
      </c>
      <c r="P524">
        <v>18670716150</v>
      </c>
      <c r="Q524" s="122" t="s">
        <v>4059</v>
      </c>
      <c r="R524">
        <f t="shared" si="17"/>
        <v>1</v>
      </c>
      <c r="S524" s="15" t="s">
        <v>4060</v>
      </c>
    </row>
    <row r="525" spans="1:19" ht="15.75">
      <c r="A525" s="106" t="str">
        <f t="shared" si="16"/>
        <v>nonono</v>
      </c>
      <c r="B525" s="21" t="s">
        <v>4061</v>
      </c>
      <c r="C525" s="15" t="s">
        <v>4062</v>
      </c>
      <c r="D525" s="110" t="s">
        <v>291</v>
      </c>
      <c r="E525" s="107" t="s">
        <v>292</v>
      </c>
      <c r="F525" s="107">
        <v>1</v>
      </c>
      <c r="G525" s="108">
        <v>1.04</v>
      </c>
      <c r="H525" s="107">
        <v>1</v>
      </c>
      <c r="I525" s="109"/>
      <c r="J525" s="110" t="s">
        <v>293</v>
      </c>
      <c r="K525" s="117" t="s">
        <v>4063</v>
      </c>
      <c r="L525" s="37">
        <v>13944573339</v>
      </c>
      <c r="M525" s="37" t="s">
        <v>4064</v>
      </c>
      <c r="N525" s="122" t="s">
        <v>4065</v>
      </c>
      <c r="O525" t="s">
        <v>4064</v>
      </c>
      <c r="P525" s="126">
        <v>13944573339</v>
      </c>
      <c r="Q525" s="122" t="s">
        <v>4066</v>
      </c>
      <c r="R525">
        <f t="shared" si="17"/>
        <v>1</v>
      </c>
      <c r="S525" s="15" t="s">
        <v>4067</v>
      </c>
    </row>
    <row r="526" spans="1:19" ht="15.75">
      <c r="A526" s="106" t="str">
        <f t="shared" si="16"/>
        <v>nonono</v>
      </c>
      <c r="B526" s="21" t="s">
        <v>4068</v>
      </c>
      <c r="C526" s="15" t="s">
        <v>4069</v>
      </c>
      <c r="D526" s="117" t="s">
        <v>291</v>
      </c>
      <c r="E526" s="37" t="s">
        <v>292</v>
      </c>
      <c r="F526" s="37">
        <v>1</v>
      </c>
      <c r="G526" s="116">
        <v>1.04</v>
      </c>
      <c r="H526" s="37">
        <v>1</v>
      </c>
      <c r="I526" s="109"/>
      <c r="J526" s="110" t="s">
        <v>293</v>
      </c>
      <c r="K526" s="117" t="s">
        <v>4070</v>
      </c>
      <c r="L526" s="37">
        <v>13860694796</v>
      </c>
      <c r="M526" s="37" t="s">
        <v>4071</v>
      </c>
      <c r="N526" s="122" t="s">
        <v>4072</v>
      </c>
      <c r="O526" t="s">
        <v>4071</v>
      </c>
      <c r="P526">
        <v>13860694796</v>
      </c>
      <c r="Q526" s="122" t="s">
        <v>4073</v>
      </c>
      <c r="R526">
        <f t="shared" si="17"/>
        <v>1</v>
      </c>
      <c r="S526" s="15" t="s">
        <v>4074</v>
      </c>
    </row>
    <row r="527" spans="1:19" ht="15.75">
      <c r="A527" s="106" t="str">
        <f t="shared" si="16"/>
        <v>nonono</v>
      </c>
      <c r="B527" s="21" t="s">
        <v>4075</v>
      </c>
      <c r="C527" s="15" t="s">
        <v>4076</v>
      </c>
      <c r="D527" s="110" t="s">
        <v>4077</v>
      </c>
      <c r="E527" s="37" t="s">
        <v>201</v>
      </c>
      <c r="F527" s="107">
        <v>1</v>
      </c>
      <c r="G527" s="108">
        <v>1.72</v>
      </c>
      <c r="H527" s="107">
        <v>14</v>
      </c>
      <c r="I527" s="137" t="s">
        <v>944</v>
      </c>
      <c r="J527" s="110" t="s">
        <v>40</v>
      </c>
      <c r="K527" s="110" t="s">
        <v>4078</v>
      </c>
      <c r="L527" s="107">
        <v>13861011199</v>
      </c>
      <c r="M527" s="110" t="s">
        <v>4079</v>
      </c>
      <c r="N527" s="126" t="s">
        <v>4078</v>
      </c>
      <c r="O527" t="s">
        <v>4079</v>
      </c>
      <c r="P527">
        <v>13861011199</v>
      </c>
      <c r="Q527" s="126" t="s">
        <v>4080</v>
      </c>
      <c r="R527">
        <f t="shared" si="17"/>
        <v>1</v>
      </c>
      <c r="S527" s="15" t="s">
        <v>4081</v>
      </c>
    </row>
    <row r="528" spans="1:19" ht="15.75">
      <c r="A528" s="106" t="str">
        <f t="shared" si="16"/>
        <v>nonono</v>
      </c>
      <c r="B528" s="21" t="s">
        <v>4082</v>
      </c>
      <c r="C528" s="15" t="s">
        <v>4083</v>
      </c>
      <c r="D528" s="110" t="s">
        <v>4084</v>
      </c>
      <c r="E528" s="37" t="s">
        <v>201</v>
      </c>
      <c r="F528" s="107">
        <v>1</v>
      </c>
      <c r="G528" s="108">
        <v>1.72</v>
      </c>
      <c r="H528" s="107">
        <v>14</v>
      </c>
      <c r="I528" s="109" t="s">
        <v>4085</v>
      </c>
      <c r="J528" s="110" t="s">
        <v>40</v>
      </c>
      <c r="K528" s="110" t="s">
        <v>4086</v>
      </c>
      <c r="L528" s="107">
        <v>13191666573</v>
      </c>
      <c r="M528" s="110" t="s">
        <v>4087</v>
      </c>
      <c r="N528" s="122" t="s">
        <v>4088</v>
      </c>
      <c r="O528" t="s">
        <v>4087</v>
      </c>
      <c r="P528">
        <v>13191666573</v>
      </c>
      <c r="Q528" s="122" t="s">
        <v>4089</v>
      </c>
      <c r="R528">
        <f t="shared" si="17"/>
        <v>1</v>
      </c>
      <c r="S528" s="15" t="s">
        <v>4090</v>
      </c>
    </row>
    <row r="529" spans="1:19" ht="15.75">
      <c r="A529" s="106" t="str">
        <f t="shared" si="16"/>
        <v>nonono</v>
      </c>
      <c r="B529" s="21" t="s">
        <v>4091</v>
      </c>
      <c r="C529" s="15" t="s">
        <v>4092</v>
      </c>
      <c r="D529" s="110" t="s">
        <v>4093</v>
      </c>
      <c r="E529" s="107" t="s">
        <v>111</v>
      </c>
      <c r="F529" s="107">
        <v>1</v>
      </c>
      <c r="G529" s="108">
        <v>0.81</v>
      </c>
      <c r="H529" s="107">
        <v>7</v>
      </c>
      <c r="I529" s="137" t="s">
        <v>430</v>
      </c>
      <c r="J529" s="110" t="s">
        <v>40</v>
      </c>
      <c r="K529" s="110" t="s">
        <v>551</v>
      </c>
      <c r="L529" s="107">
        <v>15932748608</v>
      </c>
      <c r="M529" s="110" t="s">
        <v>552</v>
      </c>
      <c r="N529" s="126" t="s">
        <v>551</v>
      </c>
      <c r="O529" t="s">
        <v>552</v>
      </c>
      <c r="P529" s="126">
        <v>15932748608</v>
      </c>
      <c r="Q529" s="126" t="s">
        <v>4094</v>
      </c>
      <c r="R529">
        <f t="shared" si="17"/>
        <v>2</v>
      </c>
      <c r="S529" s="15" t="s">
        <v>4095</v>
      </c>
    </row>
    <row r="530" spans="1:19" ht="15.75">
      <c r="A530" s="106" t="str">
        <f t="shared" si="16"/>
        <v>nonono</v>
      </c>
      <c r="B530" s="21" t="s">
        <v>4096</v>
      </c>
      <c r="C530" s="15" t="s">
        <v>4097</v>
      </c>
      <c r="D530" s="110" t="s">
        <v>4098</v>
      </c>
      <c r="E530" s="107" t="s">
        <v>429</v>
      </c>
      <c r="F530" s="107">
        <v>1</v>
      </c>
      <c r="G530" s="108">
        <v>1.72</v>
      </c>
      <c r="H530" s="107">
        <v>7</v>
      </c>
      <c r="I530" s="109" t="s">
        <v>4099</v>
      </c>
      <c r="J530" s="110" t="s">
        <v>29</v>
      </c>
      <c r="K530" s="110" t="s">
        <v>4100</v>
      </c>
      <c r="L530" s="107">
        <v>13889172222</v>
      </c>
      <c r="M530" s="110" t="s">
        <v>4101</v>
      </c>
      <c r="N530" s="126" t="s">
        <v>4100</v>
      </c>
      <c r="O530" t="s">
        <v>4101</v>
      </c>
      <c r="P530" s="126">
        <v>13889172222</v>
      </c>
      <c r="Q530" s="126" t="s">
        <v>4102</v>
      </c>
      <c r="R530">
        <f t="shared" si="17"/>
        <v>1</v>
      </c>
      <c r="S530" s="15" t="s">
        <v>4103</v>
      </c>
    </row>
    <row r="531" spans="1:19" ht="15.75">
      <c r="A531" s="106" t="str">
        <f t="shared" si="16"/>
        <v>nonono</v>
      </c>
      <c r="B531" s="21" t="s">
        <v>4104</v>
      </c>
      <c r="C531" s="15" t="s">
        <v>4105</v>
      </c>
      <c r="D531" s="110" t="s">
        <v>4106</v>
      </c>
      <c r="E531" s="37" t="s">
        <v>4107</v>
      </c>
      <c r="F531" s="107">
        <v>1</v>
      </c>
      <c r="G531" s="108">
        <v>0.81</v>
      </c>
      <c r="H531" s="107">
        <v>6</v>
      </c>
      <c r="I531" s="109" t="s">
        <v>4108</v>
      </c>
      <c r="J531" s="110" t="s">
        <v>29</v>
      </c>
      <c r="K531" s="110" t="s">
        <v>4109</v>
      </c>
      <c r="L531" s="107">
        <v>13757110801</v>
      </c>
      <c r="M531" s="110" t="s">
        <v>4110</v>
      </c>
      <c r="N531" s="126" t="s">
        <v>4109</v>
      </c>
      <c r="O531" t="s">
        <v>4110</v>
      </c>
      <c r="P531" s="126">
        <v>13757110801</v>
      </c>
      <c r="Q531" s="126" t="s">
        <v>4111</v>
      </c>
      <c r="R531">
        <f t="shared" si="17"/>
        <v>1</v>
      </c>
      <c r="S531" s="15" t="s">
        <v>4112</v>
      </c>
    </row>
    <row r="532" spans="1:19" ht="15.75">
      <c r="A532" s="106" t="str">
        <f t="shared" si="16"/>
        <v>nonono</v>
      </c>
      <c r="B532" s="21" t="s">
        <v>4113</v>
      </c>
      <c r="C532" s="15" t="s">
        <v>4114</v>
      </c>
      <c r="D532" s="110" t="s">
        <v>4115</v>
      </c>
      <c r="E532" s="107" t="s">
        <v>261</v>
      </c>
      <c r="F532" s="107">
        <v>1</v>
      </c>
      <c r="G532" s="108">
        <v>1.95</v>
      </c>
      <c r="H532" s="107">
        <v>12</v>
      </c>
      <c r="I532" s="109" t="s">
        <v>4116</v>
      </c>
      <c r="J532" s="110" t="s">
        <v>40</v>
      </c>
      <c r="K532" s="110" t="s">
        <v>4117</v>
      </c>
      <c r="L532" s="107">
        <v>13610282274</v>
      </c>
      <c r="M532" s="110" t="s">
        <v>4118</v>
      </c>
      <c r="N532" s="126" t="s">
        <v>4117</v>
      </c>
      <c r="O532" t="s">
        <v>4118</v>
      </c>
      <c r="P532">
        <v>13610282274</v>
      </c>
      <c r="Q532" s="126" t="s">
        <v>4119</v>
      </c>
      <c r="R532">
        <f t="shared" si="17"/>
        <v>1</v>
      </c>
      <c r="S532" s="15" t="s">
        <v>4120</v>
      </c>
    </row>
    <row r="533" spans="1:19" ht="15.75">
      <c r="A533" s="106" t="str">
        <f t="shared" si="16"/>
        <v>nonono</v>
      </c>
      <c r="B533" s="21" t="s">
        <v>4121</v>
      </c>
      <c r="C533" s="15" t="s">
        <v>4122</v>
      </c>
      <c r="D533" s="110" t="s">
        <v>4123</v>
      </c>
      <c r="E533" s="107" t="s">
        <v>429</v>
      </c>
      <c r="F533" s="107">
        <v>1</v>
      </c>
      <c r="G533" s="108">
        <v>1.26</v>
      </c>
      <c r="H533" s="107">
        <v>6</v>
      </c>
      <c r="I533" s="137" t="s">
        <v>430</v>
      </c>
      <c r="J533" s="110" t="s">
        <v>29</v>
      </c>
      <c r="K533" s="110" t="s">
        <v>786</v>
      </c>
      <c r="L533" s="107">
        <v>13931164773</v>
      </c>
      <c r="M533" s="110" t="s">
        <v>787</v>
      </c>
      <c r="N533" s="126" t="s">
        <v>786</v>
      </c>
      <c r="O533" t="s">
        <v>787</v>
      </c>
      <c r="P533">
        <v>13931164773</v>
      </c>
      <c r="Q533" s="126" t="s">
        <v>4124</v>
      </c>
      <c r="R533">
        <f t="shared" si="17"/>
        <v>2</v>
      </c>
      <c r="S533" s="15" t="s">
        <v>4125</v>
      </c>
    </row>
    <row r="534" spans="1:19" ht="15.75">
      <c r="A534" s="106" t="str">
        <f t="shared" si="16"/>
        <v>nonono</v>
      </c>
      <c r="B534" s="21" t="s">
        <v>4126</v>
      </c>
      <c r="C534" s="15" t="s">
        <v>4127</v>
      </c>
      <c r="D534" s="37" t="s">
        <v>3060</v>
      </c>
      <c r="E534" s="107" t="s">
        <v>429</v>
      </c>
      <c r="F534" s="107">
        <v>1</v>
      </c>
      <c r="G534" s="108">
        <v>1.49</v>
      </c>
      <c r="H534" s="107">
        <v>8</v>
      </c>
      <c r="I534" s="137" t="s">
        <v>430</v>
      </c>
      <c r="J534" s="110" t="s">
        <v>40</v>
      </c>
      <c r="K534" s="110" t="s">
        <v>1963</v>
      </c>
      <c r="L534" s="107">
        <v>13661097422</v>
      </c>
      <c r="M534" s="110" t="s">
        <v>1964</v>
      </c>
      <c r="N534" s="122" t="s">
        <v>4128</v>
      </c>
      <c r="O534" t="s">
        <v>1964</v>
      </c>
      <c r="P534">
        <v>13661097422</v>
      </c>
      <c r="Q534" s="122" t="s">
        <v>4129</v>
      </c>
      <c r="R534">
        <f t="shared" si="17"/>
        <v>3</v>
      </c>
      <c r="S534" s="15" t="s">
        <v>4130</v>
      </c>
    </row>
    <row r="535" spans="1:19" ht="15.75">
      <c r="A535" s="106" t="str">
        <f t="shared" si="16"/>
        <v>nonono</v>
      </c>
      <c r="B535" s="21" t="s">
        <v>4131</v>
      </c>
      <c r="C535" s="15" t="s">
        <v>4132</v>
      </c>
      <c r="D535" s="110" t="s">
        <v>4133</v>
      </c>
      <c r="E535" s="37" t="s">
        <v>4134</v>
      </c>
      <c r="F535" s="107">
        <v>1</v>
      </c>
      <c r="G535" s="108">
        <v>0.81</v>
      </c>
      <c r="H535" s="107">
        <v>17</v>
      </c>
      <c r="I535" s="109" t="s">
        <v>4135</v>
      </c>
      <c r="J535" s="110" t="s">
        <v>29</v>
      </c>
      <c r="K535" s="117" t="s">
        <v>3069</v>
      </c>
      <c r="L535" s="107">
        <v>17526867788</v>
      </c>
      <c r="M535" s="110" t="s">
        <v>1230</v>
      </c>
      <c r="N535" s="126" t="s">
        <v>3069</v>
      </c>
      <c r="O535" t="s">
        <v>1230</v>
      </c>
      <c r="P535">
        <v>17526867788</v>
      </c>
      <c r="Q535" s="126" t="s">
        <v>4136</v>
      </c>
      <c r="R535">
        <f t="shared" si="17"/>
        <v>4</v>
      </c>
      <c r="S535" s="15" t="s">
        <v>4137</v>
      </c>
    </row>
    <row r="536" spans="1:19" ht="15.75">
      <c r="A536" s="106" t="str">
        <f t="shared" si="16"/>
        <v>nonono</v>
      </c>
      <c r="B536" s="21" t="s">
        <v>4138</v>
      </c>
      <c r="C536" s="15" t="s">
        <v>4139</v>
      </c>
      <c r="D536" s="110" t="s">
        <v>2009</v>
      </c>
      <c r="E536" s="107" t="s">
        <v>743</v>
      </c>
      <c r="F536" s="107">
        <v>1</v>
      </c>
      <c r="G536" s="108">
        <v>1.49</v>
      </c>
      <c r="H536" s="107">
        <v>1</v>
      </c>
      <c r="I536" s="109"/>
      <c r="J536" s="110" t="s">
        <v>293</v>
      </c>
      <c r="K536" s="110" t="s">
        <v>4140</v>
      </c>
      <c r="L536" s="107">
        <v>13752455618</v>
      </c>
      <c r="M536" s="135" t="s">
        <v>4141</v>
      </c>
      <c r="N536" s="126" t="s">
        <v>4140</v>
      </c>
      <c r="O536" t="s">
        <v>4141</v>
      </c>
      <c r="P536" s="126">
        <v>13752455618</v>
      </c>
      <c r="Q536" s="126" t="s">
        <v>4142</v>
      </c>
      <c r="R536">
        <f t="shared" si="17"/>
        <v>1</v>
      </c>
      <c r="S536" s="15" t="s">
        <v>4143</v>
      </c>
    </row>
    <row r="537" spans="1:19" ht="15.75">
      <c r="A537" s="106" t="str">
        <f t="shared" si="16"/>
        <v>nonono</v>
      </c>
      <c r="B537" s="21" t="s">
        <v>4144</v>
      </c>
      <c r="C537" s="15" t="s">
        <v>4145</v>
      </c>
      <c r="D537" s="107" t="s">
        <v>4146</v>
      </c>
      <c r="E537" s="107" t="s">
        <v>4147</v>
      </c>
      <c r="F537" s="107">
        <v>1</v>
      </c>
      <c r="G537" s="108">
        <v>1.49</v>
      </c>
      <c r="H537" s="107">
        <v>5</v>
      </c>
      <c r="I537" s="137" t="s">
        <v>391</v>
      </c>
      <c r="J537" s="110" t="s">
        <v>103</v>
      </c>
      <c r="K537" s="110" t="s">
        <v>4148</v>
      </c>
      <c r="L537" s="107">
        <v>13580542083</v>
      </c>
      <c r="M537" s="110" t="s">
        <v>4149</v>
      </c>
      <c r="N537" s="126" t="s">
        <v>4148</v>
      </c>
      <c r="O537" t="s">
        <v>4149</v>
      </c>
      <c r="P537" s="126">
        <v>13580542083</v>
      </c>
      <c r="Q537" s="126" t="s">
        <v>4150</v>
      </c>
      <c r="R537">
        <f t="shared" si="17"/>
        <v>1</v>
      </c>
      <c r="S537" s="15" t="s">
        <v>4151</v>
      </c>
    </row>
    <row r="538" spans="1:19" ht="15.75">
      <c r="A538" s="106" t="str">
        <f t="shared" si="16"/>
        <v>nonono</v>
      </c>
      <c r="B538" s="21" t="s">
        <v>4152</v>
      </c>
      <c r="C538" s="15" t="s">
        <v>4153</v>
      </c>
      <c r="D538" s="110" t="s">
        <v>633</v>
      </c>
      <c r="E538" s="107" t="s">
        <v>111</v>
      </c>
      <c r="F538" s="107">
        <v>1</v>
      </c>
      <c r="G538" s="108">
        <v>1.49</v>
      </c>
      <c r="H538" s="107">
        <v>5</v>
      </c>
      <c r="I538" s="109" t="s">
        <v>634</v>
      </c>
      <c r="J538" s="110" t="s">
        <v>40</v>
      </c>
      <c r="K538" s="110" t="s">
        <v>635</v>
      </c>
      <c r="L538" s="107">
        <v>13820680917</v>
      </c>
      <c r="M538" s="110" t="s">
        <v>636</v>
      </c>
      <c r="N538" s="126" t="s">
        <v>635</v>
      </c>
      <c r="O538" t="s">
        <v>636</v>
      </c>
      <c r="P538" s="126">
        <v>13820680917</v>
      </c>
      <c r="Q538" s="126" t="s">
        <v>4154</v>
      </c>
      <c r="R538">
        <f t="shared" si="17"/>
        <v>2</v>
      </c>
      <c r="S538" s="15" t="s">
        <v>4155</v>
      </c>
    </row>
    <row r="539" spans="1:19" ht="15.75">
      <c r="A539" s="106" t="str">
        <f t="shared" si="16"/>
        <v>nonono</v>
      </c>
      <c r="B539" s="21" t="s">
        <v>4156</v>
      </c>
      <c r="C539" s="15" t="s">
        <v>4157</v>
      </c>
      <c r="D539" s="110" t="s">
        <v>4158</v>
      </c>
      <c r="E539" s="107" t="s">
        <v>281</v>
      </c>
      <c r="F539" s="107">
        <v>1</v>
      </c>
      <c r="G539" s="108">
        <v>1.04</v>
      </c>
      <c r="H539" s="107">
        <v>8</v>
      </c>
      <c r="I539" s="109" t="s">
        <v>4159</v>
      </c>
      <c r="J539" s="110" t="s">
        <v>40</v>
      </c>
      <c r="K539" s="110" t="s">
        <v>4160</v>
      </c>
      <c r="L539" s="107">
        <v>13917790618</v>
      </c>
      <c r="M539" s="110" t="s">
        <v>4161</v>
      </c>
      <c r="N539" s="126" t="s">
        <v>4160</v>
      </c>
      <c r="O539" t="s">
        <v>4161</v>
      </c>
      <c r="P539">
        <v>13917790618</v>
      </c>
      <c r="Q539" s="126" t="s">
        <v>4162</v>
      </c>
      <c r="R539">
        <f t="shared" si="17"/>
        <v>1</v>
      </c>
      <c r="S539" s="15" t="s">
        <v>4163</v>
      </c>
    </row>
    <row r="540" spans="1:19" ht="15.75">
      <c r="A540" s="106" t="str">
        <f t="shared" si="16"/>
        <v>nonono</v>
      </c>
      <c r="B540" s="21" t="s">
        <v>4164</v>
      </c>
      <c r="C540" s="15" t="s">
        <v>4165</v>
      </c>
      <c r="D540" s="220" t="s">
        <v>4166</v>
      </c>
      <c r="E540" s="207" t="s">
        <v>625</v>
      </c>
      <c r="F540" s="207">
        <v>1</v>
      </c>
      <c r="G540" s="208">
        <v>0.81</v>
      </c>
      <c r="H540" s="207">
        <v>10</v>
      </c>
      <c r="I540" s="213"/>
      <c r="J540" s="214" t="s">
        <v>40</v>
      </c>
      <c r="K540" s="110" t="s">
        <v>3111</v>
      </c>
      <c r="L540" s="107">
        <v>18921628904</v>
      </c>
      <c r="M540" s="110" t="s">
        <v>3112</v>
      </c>
      <c r="N540" s="126" t="s">
        <v>3111</v>
      </c>
      <c r="O540" t="s">
        <v>3112</v>
      </c>
      <c r="P540">
        <v>18921628904</v>
      </c>
      <c r="Q540" s="126" t="s">
        <v>4167</v>
      </c>
      <c r="R540">
        <f t="shared" si="17"/>
        <v>3</v>
      </c>
      <c r="S540" s="15" t="s">
        <v>4168</v>
      </c>
    </row>
    <row r="541" spans="1:19" ht="15.75">
      <c r="A541" s="106" t="str">
        <f t="shared" si="16"/>
        <v>nonono</v>
      </c>
      <c r="B541" s="21" t="s">
        <v>4169</v>
      </c>
      <c r="C541" s="15" t="s">
        <v>4170</v>
      </c>
      <c r="D541" s="206" t="s">
        <v>4171</v>
      </c>
      <c r="E541" s="207" t="s">
        <v>111</v>
      </c>
      <c r="F541" s="207">
        <v>1</v>
      </c>
      <c r="G541" s="208">
        <v>1.26</v>
      </c>
      <c r="H541" s="207">
        <v>8</v>
      </c>
      <c r="I541" s="223" t="s">
        <v>430</v>
      </c>
      <c r="J541" s="214" t="s">
        <v>40</v>
      </c>
      <c r="K541" s="137" t="s">
        <v>4172</v>
      </c>
      <c r="L541" s="107">
        <v>18658688110</v>
      </c>
      <c r="M541" s="110" t="s">
        <v>4173</v>
      </c>
      <c r="N541" s="122" t="s">
        <v>4174</v>
      </c>
      <c r="O541" t="s">
        <v>4173</v>
      </c>
      <c r="P541">
        <v>18658688110</v>
      </c>
      <c r="Q541" s="122" t="s">
        <v>4175</v>
      </c>
      <c r="R541">
        <f t="shared" si="17"/>
        <v>1</v>
      </c>
      <c r="S541" s="15" t="s">
        <v>4176</v>
      </c>
    </row>
    <row r="542" spans="1:19" ht="15.75">
      <c r="A542" s="106" t="str">
        <f t="shared" si="16"/>
        <v>nonono</v>
      </c>
      <c r="B542" s="21" t="s">
        <v>4177</v>
      </c>
      <c r="C542" s="15" t="s">
        <v>4178</v>
      </c>
      <c r="D542" s="206" t="s">
        <v>4179</v>
      </c>
      <c r="E542" s="207" t="s">
        <v>4180</v>
      </c>
      <c r="F542" s="207">
        <v>1</v>
      </c>
      <c r="G542" s="208">
        <v>1.04</v>
      </c>
      <c r="H542" s="207">
        <v>7</v>
      </c>
      <c r="I542" s="223" t="s">
        <v>4181</v>
      </c>
      <c r="J542" s="214" t="s">
        <v>103</v>
      </c>
      <c r="K542" s="110" t="s">
        <v>497</v>
      </c>
      <c r="L542" s="107">
        <v>13787106733</v>
      </c>
      <c r="M542" s="110" t="s">
        <v>498</v>
      </c>
      <c r="N542" s="122" t="s">
        <v>4182</v>
      </c>
      <c r="O542" s="123" t="s">
        <v>4183</v>
      </c>
      <c r="P542" s="125">
        <v>15608414870</v>
      </c>
      <c r="Q542" s="122" t="s">
        <v>4184</v>
      </c>
      <c r="R542">
        <f t="shared" si="17"/>
        <v>2</v>
      </c>
      <c r="S542" s="15" t="s">
        <v>4185</v>
      </c>
    </row>
    <row r="543" spans="1:19" ht="15.75">
      <c r="A543" s="106" t="str">
        <f t="shared" si="16"/>
        <v>nonono</v>
      </c>
      <c r="B543" s="21" t="s">
        <v>4186</v>
      </c>
      <c r="C543" s="15" t="s">
        <v>4187</v>
      </c>
      <c r="D543" s="221" t="s">
        <v>4024</v>
      </c>
      <c r="E543" s="207" t="s">
        <v>482</v>
      </c>
      <c r="F543" s="207">
        <v>1</v>
      </c>
      <c r="G543" s="208">
        <v>0.81</v>
      </c>
      <c r="H543" s="207">
        <v>2</v>
      </c>
      <c r="I543" s="223" t="s">
        <v>402</v>
      </c>
      <c r="J543" s="214" t="s">
        <v>103</v>
      </c>
      <c r="K543" s="110" t="s">
        <v>4188</v>
      </c>
      <c r="L543" s="107">
        <v>15303114669</v>
      </c>
      <c r="M543" s="110" t="s">
        <v>4189</v>
      </c>
      <c r="N543" s="122" t="s">
        <v>4190</v>
      </c>
      <c r="O543" t="s">
        <v>4189</v>
      </c>
      <c r="P543">
        <v>15303114669</v>
      </c>
      <c r="Q543" s="122" t="s">
        <v>4191</v>
      </c>
      <c r="R543">
        <f t="shared" si="17"/>
        <v>1</v>
      </c>
      <c r="S543" s="15" t="s">
        <v>4192</v>
      </c>
    </row>
    <row r="544" spans="1:19" ht="15.75">
      <c r="A544" s="106" t="str">
        <f t="shared" si="16"/>
        <v>nonono</v>
      </c>
      <c r="B544" s="21" t="s">
        <v>4193</v>
      </c>
      <c r="C544" s="15" t="s">
        <v>4194</v>
      </c>
      <c r="D544" s="110" t="s">
        <v>4195</v>
      </c>
      <c r="E544" s="37" t="s">
        <v>4196</v>
      </c>
      <c r="F544" s="107">
        <v>1</v>
      </c>
      <c r="G544" s="108">
        <v>1.26</v>
      </c>
      <c r="H544" s="107">
        <v>14</v>
      </c>
      <c r="I544" s="109" t="s">
        <v>4197</v>
      </c>
      <c r="J544" s="110" t="s">
        <v>29</v>
      </c>
      <c r="K544" s="110" t="s">
        <v>991</v>
      </c>
      <c r="L544" s="107">
        <v>17695963119</v>
      </c>
      <c r="M544" s="135" t="s">
        <v>992</v>
      </c>
      <c r="N544" s="122" t="s">
        <v>4198</v>
      </c>
      <c r="O544" s="123" t="s">
        <v>4199</v>
      </c>
      <c r="P544" s="125">
        <v>13920096889</v>
      </c>
      <c r="Q544" s="122" t="s">
        <v>4200</v>
      </c>
      <c r="R544">
        <f t="shared" si="17"/>
        <v>3</v>
      </c>
      <c r="S544" s="15" t="s">
        <v>4201</v>
      </c>
    </row>
    <row r="545" spans="1:19" ht="15.75">
      <c r="A545" s="106" t="str">
        <f t="shared" si="16"/>
        <v>nonono</v>
      </c>
      <c r="B545" s="21" t="s">
        <v>4202</v>
      </c>
      <c r="C545" s="15" t="s">
        <v>4203</v>
      </c>
      <c r="D545" s="110" t="s">
        <v>695</v>
      </c>
      <c r="E545" s="37" t="s">
        <v>696</v>
      </c>
      <c r="F545" s="107">
        <v>1</v>
      </c>
      <c r="G545" s="116">
        <v>1.49</v>
      </c>
      <c r="H545" s="107">
        <v>15</v>
      </c>
      <c r="I545" s="109"/>
      <c r="J545" s="110" t="s">
        <v>29</v>
      </c>
      <c r="K545" s="142" t="s">
        <v>697</v>
      </c>
      <c r="L545" s="24">
        <v>13635290903</v>
      </c>
      <c r="M545" s="142" t="s">
        <v>698</v>
      </c>
      <c r="N545" s="122" t="s">
        <v>4204</v>
      </c>
      <c r="O545" t="s">
        <v>698</v>
      </c>
      <c r="P545">
        <v>13635290903</v>
      </c>
      <c r="Q545" s="122" t="s">
        <v>4205</v>
      </c>
      <c r="R545">
        <f t="shared" si="17"/>
        <v>3</v>
      </c>
      <c r="S545" s="15" t="s">
        <v>4206</v>
      </c>
    </row>
    <row r="546" spans="1:19" ht="15.75">
      <c r="A546" s="106" t="str">
        <f t="shared" si="16"/>
        <v>nonono</v>
      </c>
      <c r="B546" s="21" t="s">
        <v>4207</v>
      </c>
      <c r="C546" s="15" t="s">
        <v>4208</v>
      </c>
      <c r="D546" s="110" t="s">
        <v>4209</v>
      </c>
      <c r="E546" s="107" t="s">
        <v>4210</v>
      </c>
      <c r="F546" s="107">
        <v>1</v>
      </c>
      <c r="G546" s="108">
        <v>1.49</v>
      </c>
      <c r="H546" s="107">
        <v>5</v>
      </c>
      <c r="I546" s="109" t="s">
        <v>1058</v>
      </c>
      <c r="J546" s="110" t="s">
        <v>29</v>
      </c>
      <c r="K546" s="149" t="s">
        <v>3150</v>
      </c>
      <c r="L546" s="24">
        <v>13969103407</v>
      </c>
      <c r="M546" s="155" t="s">
        <v>3151</v>
      </c>
      <c r="N546" s="122" t="s">
        <v>4211</v>
      </c>
      <c r="O546" t="s">
        <v>3151</v>
      </c>
      <c r="P546">
        <v>13969103407</v>
      </c>
      <c r="Q546" s="122" t="s">
        <v>4212</v>
      </c>
      <c r="R546">
        <f t="shared" si="17"/>
        <v>2</v>
      </c>
      <c r="S546" s="15" t="s">
        <v>4213</v>
      </c>
    </row>
    <row r="547" spans="1:19" ht="15.75">
      <c r="A547" s="106" t="str">
        <f t="shared" si="16"/>
        <v>nonono</v>
      </c>
      <c r="B547" s="21" t="s">
        <v>4214</v>
      </c>
      <c r="C547" s="15" t="s">
        <v>4215</v>
      </c>
      <c r="D547" s="110" t="s">
        <v>4216</v>
      </c>
      <c r="E547" s="107" t="s">
        <v>3286</v>
      </c>
      <c r="F547" s="107">
        <v>1</v>
      </c>
      <c r="G547" s="108">
        <v>1.04</v>
      </c>
      <c r="H547" s="107">
        <v>5</v>
      </c>
      <c r="I547" s="109" t="s">
        <v>4217</v>
      </c>
      <c r="J547" s="110" t="s">
        <v>29</v>
      </c>
      <c r="K547" s="142" t="s">
        <v>4218</v>
      </c>
      <c r="L547" s="24">
        <v>13873653838</v>
      </c>
      <c r="M547" s="142" t="s">
        <v>4219</v>
      </c>
      <c r="N547" s="122" t="s">
        <v>4220</v>
      </c>
      <c r="O547" s="123" t="s">
        <v>4221</v>
      </c>
      <c r="P547" s="131">
        <v>15367791616</v>
      </c>
      <c r="Q547" s="122" t="s">
        <v>4222</v>
      </c>
      <c r="R547">
        <f t="shared" si="17"/>
        <v>2</v>
      </c>
      <c r="S547" s="15" t="s">
        <v>4223</v>
      </c>
    </row>
    <row r="548" spans="1:19" ht="15.75">
      <c r="A548" s="106" t="str">
        <f t="shared" si="16"/>
        <v>nonono</v>
      </c>
      <c r="B548" s="21" t="s">
        <v>4224</v>
      </c>
      <c r="C548" s="15" t="s">
        <v>4225</v>
      </c>
      <c r="D548" s="110" t="s">
        <v>3174</v>
      </c>
      <c r="E548" s="37" t="s">
        <v>625</v>
      </c>
      <c r="F548" s="107">
        <v>1</v>
      </c>
      <c r="G548" s="108">
        <v>1.72</v>
      </c>
      <c r="H548" s="107">
        <v>10</v>
      </c>
      <c r="I548" s="109" t="s">
        <v>3175</v>
      </c>
      <c r="J548" s="110" t="s">
        <v>40</v>
      </c>
      <c r="K548" s="142" t="s">
        <v>752</v>
      </c>
      <c r="L548" s="24">
        <v>18958811267</v>
      </c>
      <c r="M548" s="142" t="s">
        <v>753</v>
      </c>
      <c r="N548" s="122" t="s">
        <v>4226</v>
      </c>
      <c r="O548" s="123" t="s">
        <v>4227</v>
      </c>
      <c r="P548" s="131">
        <v>13732018958</v>
      </c>
      <c r="Q548" s="122" t="s">
        <v>4228</v>
      </c>
      <c r="R548">
        <f t="shared" si="17"/>
        <v>4</v>
      </c>
      <c r="S548" s="15" t="s">
        <v>4229</v>
      </c>
    </row>
    <row r="549" spans="1:19" ht="15.75">
      <c r="A549" s="106" t="str">
        <f t="shared" si="16"/>
        <v>nonono</v>
      </c>
      <c r="B549" s="21" t="s">
        <v>4230</v>
      </c>
      <c r="C549" s="15" t="s">
        <v>4231</v>
      </c>
      <c r="D549" s="110" t="s">
        <v>4232</v>
      </c>
      <c r="E549" s="37" t="s">
        <v>183</v>
      </c>
      <c r="F549" s="107">
        <v>1</v>
      </c>
      <c r="G549" s="108">
        <v>0.81</v>
      </c>
      <c r="H549" s="107">
        <v>5</v>
      </c>
      <c r="I549" s="109" t="s">
        <v>4233</v>
      </c>
      <c r="J549" s="110" t="s">
        <v>29</v>
      </c>
      <c r="K549" s="142" t="s">
        <v>3184</v>
      </c>
      <c r="L549" s="24">
        <v>13903460303</v>
      </c>
      <c r="M549" s="142" t="s">
        <v>3185</v>
      </c>
      <c r="N549" s="122" t="s">
        <v>4234</v>
      </c>
      <c r="O549" s="123" t="s">
        <v>4235</v>
      </c>
      <c r="P549" s="125">
        <v>15536629444</v>
      </c>
      <c r="Q549" s="122" t="s">
        <v>4236</v>
      </c>
      <c r="R549">
        <f t="shared" si="17"/>
        <v>3</v>
      </c>
      <c r="S549" s="15" t="s">
        <v>4237</v>
      </c>
    </row>
    <row r="550" spans="1:19" ht="15.75">
      <c r="A550" s="106" t="str">
        <f t="shared" si="16"/>
        <v>nonono</v>
      </c>
      <c r="B550" s="21" t="s">
        <v>4238</v>
      </c>
      <c r="C550" s="15" t="s">
        <v>4239</v>
      </c>
      <c r="D550" s="110" t="s">
        <v>4240</v>
      </c>
      <c r="E550" s="107" t="s">
        <v>625</v>
      </c>
      <c r="F550" s="107">
        <v>1</v>
      </c>
      <c r="G550" s="108">
        <v>1.49</v>
      </c>
      <c r="H550" s="107">
        <v>3</v>
      </c>
      <c r="I550" s="109" t="s">
        <v>4241</v>
      </c>
      <c r="J550" s="110" t="s">
        <v>40</v>
      </c>
      <c r="K550" s="110" t="s">
        <v>803</v>
      </c>
      <c r="L550" s="37">
        <v>13905157907</v>
      </c>
      <c r="M550" s="110" t="s">
        <v>804</v>
      </c>
      <c r="N550" s="126" t="s">
        <v>803</v>
      </c>
      <c r="O550" s="123" t="s">
        <v>4242</v>
      </c>
      <c r="P550" s="131">
        <v>13913899058</v>
      </c>
      <c r="Q550" s="126" t="s">
        <v>4243</v>
      </c>
      <c r="R550">
        <f t="shared" si="17"/>
        <v>4</v>
      </c>
      <c r="S550" s="15" t="s">
        <v>4244</v>
      </c>
    </row>
    <row r="551" spans="1:19" ht="15.75">
      <c r="A551" s="106" t="str">
        <f t="shared" si="16"/>
        <v>nonono</v>
      </c>
      <c r="B551" s="21" t="s">
        <v>4245</v>
      </c>
      <c r="C551" s="15" t="s">
        <v>4246</v>
      </c>
      <c r="D551" s="110" t="s">
        <v>4247</v>
      </c>
      <c r="E551" s="107" t="s">
        <v>625</v>
      </c>
      <c r="F551" s="107">
        <v>1</v>
      </c>
      <c r="G551" s="108">
        <v>0.35</v>
      </c>
      <c r="H551" s="107">
        <v>3</v>
      </c>
      <c r="I551" s="109"/>
      <c r="J551" s="110" t="s">
        <v>40</v>
      </c>
      <c r="K551" s="142" t="s">
        <v>4248</v>
      </c>
      <c r="L551" s="24">
        <v>18223457491</v>
      </c>
      <c r="M551" s="142" t="s">
        <v>4249</v>
      </c>
      <c r="N551" s="122" t="s">
        <v>4250</v>
      </c>
      <c r="O551" t="s">
        <v>4249</v>
      </c>
      <c r="P551">
        <v>18223457491</v>
      </c>
      <c r="Q551" s="122" t="s">
        <v>4251</v>
      </c>
      <c r="R551">
        <f t="shared" si="17"/>
        <v>1</v>
      </c>
      <c r="S551" s="15" t="s">
        <v>4252</v>
      </c>
    </row>
    <row r="552" spans="1:19" ht="15.75">
      <c r="A552" s="106" t="str">
        <f t="shared" si="16"/>
        <v>nonono</v>
      </c>
      <c r="B552" s="21" t="s">
        <v>4253</v>
      </c>
      <c r="C552" s="15" t="s">
        <v>4254</v>
      </c>
      <c r="D552" s="110" t="s">
        <v>878</v>
      </c>
      <c r="E552" s="107" t="s">
        <v>80</v>
      </c>
      <c r="F552" s="107">
        <v>1</v>
      </c>
      <c r="G552" s="108">
        <v>0.81</v>
      </c>
      <c r="H552" s="107">
        <v>9</v>
      </c>
      <c r="I552" s="109" t="s">
        <v>81</v>
      </c>
      <c r="J552" s="110" t="s">
        <v>29</v>
      </c>
      <c r="K552" s="142" t="s">
        <v>82</v>
      </c>
      <c r="L552" s="24">
        <v>15210622672</v>
      </c>
      <c r="M552" s="186" t="s">
        <v>871</v>
      </c>
      <c r="N552" s="122" t="s">
        <v>4255</v>
      </c>
      <c r="O552" s="123" t="s">
        <v>4256</v>
      </c>
      <c r="P552" s="200">
        <v>13373155557</v>
      </c>
      <c r="Q552" s="122" t="s">
        <v>4257</v>
      </c>
      <c r="R552">
        <f t="shared" si="17"/>
        <v>4</v>
      </c>
      <c r="S552" s="15" t="s">
        <v>4258</v>
      </c>
    </row>
    <row r="553" spans="1:19" ht="15.75">
      <c r="A553" s="106" t="str">
        <f t="shared" si="16"/>
        <v>nonono</v>
      </c>
      <c r="B553" s="21" t="s">
        <v>4259</v>
      </c>
      <c r="C553" s="15" t="s">
        <v>4260</v>
      </c>
      <c r="D553" s="110" t="s">
        <v>4261</v>
      </c>
      <c r="E553" s="107" t="s">
        <v>3303</v>
      </c>
      <c r="F553" s="107">
        <v>1</v>
      </c>
      <c r="G553" s="108">
        <v>1.26</v>
      </c>
      <c r="H553" s="107">
        <v>13</v>
      </c>
      <c r="I553" s="109" t="s">
        <v>4262</v>
      </c>
      <c r="J553" s="110" t="s">
        <v>29</v>
      </c>
      <c r="K553" s="110" t="s">
        <v>879</v>
      </c>
      <c r="L553" s="107">
        <v>18330660293</v>
      </c>
      <c r="M553" s="135" t="s">
        <v>880</v>
      </c>
      <c r="N553" s="122" t="s">
        <v>4263</v>
      </c>
      <c r="O553" t="s">
        <v>880</v>
      </c>
      <c r="P553" s="126">
        <v>18330660293</v>
      </c>
      <c r="Q553" s="122" t="s">
        <v>4264</v>
      </c>
      <c r="R553">
        <f t="shared" si="17"/>
        <v>4</v>
      </c>
      <c r="S553" s="15" t="s">
        <v>4265</v>
      </c>
    </row>
    <row r="554" spans="1:19" ht="15.75">
      <c r="A554" s="106" t="str">
        <f t="shared" si="16"/>
        <v>nonono</v>
      </c>
      <c r="B554" s="21" t="s">
        <v>4266</v>
      </c>
      <c r="C554" s="15" t="s">
        <v>4267</v>
      </c>
      <c r="D554" s="117" t="s">
        <v>4268</v>
      </c>
      <c r="E554" s="37" t="s">
        <v>281</v>
      </c>
      <c r="F554" s="37">
        <v>1</v>
      </c>
      <c r="G554" s="116">
        <v>1.04</v>
      </c>
      <c r="H554" s="37">
        <v>9</v>
      </c>
      <c r="I554" s="109" t="s">
        <v>4269</v>
      </c>
      <c r="J554" s="110" t="s">
        <v>40</v>
      </c>
      <c r="K554" s="142" t="s">
        <v>899</v>
      </c>
      <c r="L554" s="24">
        <v>18903126532</v>
      </c>
      <c r="M554" s="142" t="s">
        <v>900</v>
      </c>
      <c r="N554" s="122" t="s">
        <v>4270</v>
      </c>
      <c r="O554" t="s">
        <v>900</v>
      </c>
      <c r="P554">
        <v>18903126532</v>
      </c>
      <c r="Q554" s="122" t="s">
        <v>4271</v>
      </c>
      <c r="R554">
        <f t="shared" si="17"/>
        <v>4</v>
      </c>
      <c r="S554" s="15" t="s">
        <v>4272</v>
      </c>
    </row>
    <row r="555" spans="1:19" ht="15.75">
      <c r="A555" s="106" t="str">
        <f t="shared" si="16"/>
        <v>nonono</v>
      </c>
      <c r="B555" s="21" t="s">
        <v>4273</v>
      </c>
      <c r="C555" s="15" t="s">
        <v>4274</v>
      </c>
      <c r="D555" s="117" t="s">
        <v>4275</v>
      </c>
      <c r="E555" s="37" t="s">
        <v>2069</v>
      </c>
      <c r="F555" s="37">
        <v>1</v>
      </c>
      <c r="G555" s="116">
        <v>0.81</v>
      </c>
      <c r="H555" s="37">
        <v>3</v>
      </c>
      <c r="I555" s="109"/>
      <c r="J555" s="110" t="s">
        <v>103</v>
      </c>
      <c r="K555" s="155" t="s">
        <v>4276</v>
      </c>
      <c r="L555" s="24">
        <v>13611082359</v>
      </c>
      <c r="M555" s="142" t="s">
        <v>4277</v>
      </c>
      <c r="N555" s="122" t="s">
        <v>4278</v>
      </c>
      <c r="O555" t="s">
        <v>4277</v>
      </c>
      <c r="P555">
        <v>13611082359</v>
      </c>
      <c r="Q555" s="122" t="s">
        <v>4279</v>
      </c>
      <c r="R555">
        <f t="shared" si="17"/>
        <v>1</v>
      </c>
      <c r="S555" s="15" t="s">
        <v>4280</v>
      </c>
    </row>
    <row r="556" spans="1:19" ht="15.75">
      <c r="A556" s="106" t="str">
        <f t="shared" si="16"/>
        <v>nonono</v>
      </c>
      <c r="B556" s="21" t="s">
        <v>4281</v>
      </c>
      <c r="C556" s="15" t="s">
        <v>4282</v>
      </c>
      <c r="D556" s="110" t="s">
        <v>916</v>
      </c>
      <c r="E556" s="107" t="s">
        <v>625</v>
      </c>
      <c r="F556" s="107">
        <v>1</v>
      </c>
      <c r="G556" s="108">
        <v>1.72</v>
      </c>
      <c r="H556" s="107">
        <v>3</v>
      </c>
      <c r="I556" s="109"/>
      <c r="J556" s="110" t="s">
        <v>40</v>
      </c>
      <c r="K556" s="142" t="s">
        <v>917</v>
      </c>
      <c r="L556" s="24">
        <v>15900779722</v>
      </c>
      <c r="M556" s="142" t="s">
        <v>918</v>
      </c>
      <c r="N556" s="126" t="s">
        <v>917</v>
      </c>
      <c r="O556" t="s">
        <v>918</v>
      </c>
      <c r="P556">
        <v>15900129722</v>
      </c>
      <c r="Q556" s="126" t="s">
        <v>4283</v>
      </c>
      <c r="R556">
        <f t="shared" si="17"/>
        <v>2</v>
      </c>
      <c r="S556" s="15" t="s">
        <v>4284</v>
      </c>
    </row>
    <row r="557" spans="1:19" ht="15.75">
      <c r="A557" s="106" t="str">
        <f t="shared" si="16"/>
        <v>nonono</v>
      </c>
      <c r="B557" s="21" t="s">
        <v>4285</v>
      </c>
      <c r="C557" s="15" t="s">
        <v>4286</v>
      </c>
      <c r="D557" s="110" t="s">
        <v>4287</v>
      </c>
      <c r="E557" s="107" t="s">
        <v>429</v>
      </c>
      <c r="F557" s="107">
        <v>1</v>
      </c>
      <c r="G557" s="108">
        <v>1.49</v>
      </c>
      <c r="H557" s="107">
        <v>13</v>
      </c>
      <c r="I557" s="109" t="s">
        <v>4288</v>
      </c>
      <c r="J557" s="110" t="s">
        <v>29</v>
      </c>
      <c r="K557" s="142" t="s">
        <v>4289</v>
      </c>
      <c r="L557" s="24">
        <v>18905901265</v>
      </c>
      <c r="M557" s="142" t="s">
        <v>4290</v>
      </c>
      <c r="N557" s="122" t="s">
        <v>4291</v>
      </c>
      <c r="O557" s="123" t="s">
        <v>4292</v>
      </c>
      <c r="P557" s="129">
        <v>13405349966</v>
      </c>
      <c r="Q557" s="122" t="s">
        <v>4293</v>
      </c>
      <c r="R557">
        <f t="shared" si="17"/>
        <v>1</v>
      </c>
      <c r="S557" s="15" t="s">
        <v>4294</v>
      </c>
    </row>
    <row r="558" spans="1:19" ht="15.75">
      <c r="A558" s="106" t="str">
        <f t="shared" si="16"/>
        <v>nonono</v>
      </c>
      <c r="B558" s="21" t="s">
        <v>4295</v>
      </c>
      <c r="C558" s="15" t="s">
        <v>4296</v>
      </c>
      <c r="D558" s="110" t="s">
        <v>3333</v>
      </c>
      <c r="E558" s="107" t="s">
        <v>111</v>
      </c>
      <c r="F558" s="107">
        <v>1</v>
      </c>
      <c r="G558" s="108">
        <v>2.17</v>
      </c>
      <c r="H558" s="107">
        <v>15</v>
      </c>
      <c r="I558" s="137" t="s">
        <v>430</v>
      </c>
      <c r="J558" s="110" t="s">
        <v>40</v>
      </c>
      <c r="K558" s="117" t="s">
        <v>3334</v>
      </c>
      <c r="L558" s="107">
        <v>13798150707</v>
      </c>
      <c r="M558" s="135" t="s">
        <v>3335</v>
      </c>
      <c r="N558" s="122" t="s">
        <v>4297</v>
      </c>
      <c r="O558" s="123" t="s">
        <v>4298</v>
      </c>
      <c r="P558" s="128">
        <v>13902218811</v>
      </c>
      <c r="Q558" s="122" t="s">
        <v>4299</v>
      </c>
      <c r="R558">
        <f t="shared" si="17"/>
        <v>3</v>
      </c>
      <c r="S558" s="15" t="s">
        <v>4300</v>
      </c>
    </row>
    <row r="559" spans="1:19" ht="15.75">
      <c r="A559" s="106" t="str">
        <f t="shared" si="16"/>
        <v>nonono</v>
      </c>
      <c r="B559" s="21" t="s">
        <v>4301</v>
      </c>
      <c r="C559" s="15" t="s">
        <v>4302</v>
      </c>
      <c r="D559" s="110" t="s">
        <v>3342</v>
      </c>
      <c r="E559" s="107" t="s">
        <v>261</v>
      </c>
      <c r="F559" s="107">
        <v>1</v>
      </c>
      <c r="G559" s="108">
        <v>1.72</v>
      </c>
      <c r="H559" s="107">
        <v>15</v>
      </c>
      <c r="I559" s="137" t="s">
        <v>391</v>
      </c>
      <c r="J559" s="110" t="s">
        <v>40</v>
      </c>
      <c r="K559" s="117" t="s">
        <v>203</v>
      </c>
      <c r="L559" s="107">
        <v>13672440172</v>
      </c>
      <c r="M559" s="135" t="s">
        <v>204</v>
      </c>
      <c r="N559" s="122" t="s">
        <v>4303</v>
      </c>
      <c r="O559" t="s">
        <v>204</v>
      </c>
      <c r="P559" s="126">
        <v>13672440172</v>
      </c>
      <c r="Q559" s="122" t="s">
        <v>4304</v>
      </c>
      <c r="R559">
        <f t="shared" si="17"/>
        <v>3</v>
      </c>
      <c r="S559" s="15" t="s">
        <v>4305</v>
      </c>
    </row>
    <row r="560" spans="1:19" ht="15.75">
      <c r="A560" s="106" t="str">
        <f t="shared" si="16"/>
        <v>nonono</v>
      </c>
      <c r="B560" s="21" t="s">
        <v>4306</v>
      </c>
      <c r="C560" s="15" t="s">
        <v>4307</v>
      </c>
      <c r="D560" s="110" t="s">
        <v>4308</v>
      </c>
      <c r="E560" s="107" t="s">
        <v>1180</v>
      </c>
      <c r="F560" s="107">
        <v>1</v>
      </c>
      <c r="G560" s="108">
        <v>1.72</v>
      </c>
      <c r="H560" s="107">
        <v>15</v>
      </c>
      <c r="I560" s="137" t="s">
        <v>851</v>
      </c>
      <c r="J560" s="110" t="s">
        <v>40</v>
      </c>
      <c r="K560" s="117" t="s">
        <v>222</v>
      </c>
      <c r="L560" s="107">
        <v>13527705551</v>
      </c>
      <c r="M560" s="135" t="s">
        <v>223</v>
      </c>
      <c r="N560" s="122" t="s">
        <v>4309</v>
      </c>
      <c r="O560" s="123" t="s">
        <v>1661</v>
      </c>
      <c r="P560" s="128">
        <v>15011769738</v>
      </c>
      <c r="Q560" s="122" t="s">
        <v>4310</v>
      </c>
      <c r="R560">
        <f t="shared" si="17"/>
        <v>3</v>
      </c>
      <c r="S560" s="15" t="s">
        <v>4311</v>
      </c>
    </row>
    <row r="561" spans="1:19" ht="15.75">
      <c r="A561" s="106" t="str">
        <f t="shared" si="16"/>
        <v>nonono</v>
      </c>
      <c r="B561" s="21" t="s">
        <v>4312</v>
      </c>
      <c r="C561" s="15" t="s">
        <v>4313</v>
      </c>
      <c r="D561" s="110" t="s">
        <v>962</v>
      </c>
      <c r="E561" s="107" t="s">
        <v>111</v>
      </c>
      <c r="F561" s="107">
        <v>1</v>
      </c>
      <c r="G561" s="108">
        <v>1.26</v>
      </c>
      <c r="H561" s="107">
        <v>15</v>
      </c>
      <c r="I561" s="137" t="s">
        <v>430</v>
      </c>
      <c r="J561" s="110" t="s">
        <v>40</v>
      </c>
      <c r="K561" s="110" t="s">
        <v>263</v>
      </c>
      <c r="L561" s="107">
        <v>13710770402</v>
      </c>
      <c r="M561" s="135" t="s">
        <v>264</v>
      </c>
      <c r="N561" s="122" t="s">
        <v>4314</v>
      </c>
      <c r="O561" s="123" t="s">
        <v>4315</v>
      </c>
      <c r="P561" s="134">
        <v>13066328460</v>
      </c>
      <c r="Q561" s="122" t="s">
        <v>4316</v>
      </c>
      <c r="R561">
        <f t="shared" si="17"/>
        <v>3</v>
      </c>
      <c r="S561" s="15" t="s">
        <v>4317</v>
      </c>
    </row>
    <row r="562" spans="1:19" ht="15.75">
      <c r="A562" s="106" t="str">
        <f t="shared" si="16"/>
        <v>nonono</v>
      </c>
      <c r="B562" s="21" t="s">
        <v>4318</v>
      </c>
      <c r="C562" s="15" t="s">
        <v>4319</v>
      </c>
      <c r="D562" s="110" t="s">
        <v>4320</v>
      </c>
      <c r="E562" s="107" t="s">
        <v>261</v>
      </c>
      <c r="F562" s="107">
        <v>1</v>
      </c>
      <c r="G562" s="108">
        <v>1.26</v>
      </c>
      <c r="H562" s="107">
        <v>9</v>
      </c>
      <c r="I562" s="109" t="s">
        <v>4321</v>
      </c>
      <c r="J562" s="110" t="s">
        <v>40</v>
      </c>
      <c r="K562" s="110" t="s">
        <v>4322</v>
      </c>
      <c r="L562" s="107">
        <v>15929677462</v>
      </c>
      <c r="M562" s="110" t="s">
        <v>4323</v>
      </c>
      <c r="N562" s="126" t="s">
        <v>4322</v>
      </c>
      <c r="O562" t="s">
        <v>4323</v>
      </c>
      <c r="P562" s="126">
        <v>15929677462</v>
      </c>
      <c r="Q562" s="126" t="s">
        <v>4324</v>
      </c>
      <c r="R562">
        <f t="shared" si="17"/>
        <v>1</v>
      </c>
      <c r="S562" s="15" t="s">
        <v>4325</v>
      </c>
    </row>
    <row r="563" spans="1:19" ht="15.75">
      <c r="A563" s="106" t="str">
        <f t="shared" si="16"/>
        <v>nonono</v>
      </c>
      <c r="B563" s="21" t="s">
        <v>4326</v>
      </c>
      <c r="C563" s="15" t="s">
        <v>4327</v>
      </c>
      <c r="D563" s="110" t="s">
        <v>4328</v>
      </c>
      <c r="E563" s="107" t="s">
        <v>111</v>
      </c>
      <c r="F563" s="107">
        <v>1</v>
      </c>
      <c r="G563" s="108">
        <v>1.49</v>
      </c>
      <c r="H563" s="107">
        <v>14</v>
      </c>
      <c r="I563" s="137" t="s">
        <v>430</v>
      </c>
      <c r="J563" s="110" t="s">
        <v>40</v>
      </c>
      <c r="K563" s="110" t="s">
        <v>980</v>
      </c>
      <c r="L563" s="107">
        <v>13501522178</v>
      </c>
      <c r="M563" s="110" t="s">
        <v>981</v>
      </c>
      <c r="N563" s="126" t="s">
        <v>980</v>
      </c>
      <c r="O563" t="s">
        <v>981</v>
      </c>
      <c r="P563" s="126">
        <v>13501522178</v>
      </c>
      <c r="Q563" s="126" t="s">
        <v>4329</v>
      </c>
      <c r="R563">
        <f t="shared" si="17"/>
        <v>2</v>
      </c>
      <c r="S563" s="15" t="s">
        <v>4330</v>
      </c>
    </row>
    <row r="564" spans="1:19" ht="15.75">
      <c r="A564" s="106" t="str">
        <f t="shared" si="16"/>
        <v>nonono</v>
      </c>
      <c r="B564" s="21" t="s">
        <v>4331</v>
      </c>
      <c r="C564" s="15" t="s">
        <v>4332</v>
      </c>
      <c r="D564" s="110" t="s">
        <v>4333</v>
      </c>
      <c r="E564" s="107" t="s">
        <v>868</v>
      </c>
      <c r="F564" s="107">
        <v>1</v>
      </c>
      <c r="G564" s="108">
        <v>1.26</v>
      </c>
      <c r="H564" s="107">
        <v>5</v>
      </c>
      <c r="I564" s="109" t="s">
        <v>4334</v>
      </c>
      <c r="J564" s="110" t="s">
        <v>29</v>
      </c>
      <c r="K564" s="110" t="s">
        <v>4218</v>
      </c>
      <c r="L564" s="107">
        <v>13873653838</v>
      </c>
      <c r="M564" s="110" t="s">
        <v>4219</v>
      </c>
      <c r="N564" s="122" t="s">
        <v>4335</v>
      </c>
      <c r="O564" t="s">
        <v>4219</v>
      </c>
      <c r="P564" s="126">
        <v>13873653838</v>
      </c>
      <c r="Q564" s="122" t="s">
        <v>4336</v>
      </c>
      <c r="R564">
        <f t="shared" si="17"/>
        <v>2</v>
      </c>
      <c r="S564" s="15" t="s">
        <v>4337</v>
      </c>
    </row>
    <row r="565" spans="1:19" ht="15.75">
      <c r="A565" s="106" t="str">
        <f t="shared" si="16"/>
        <v>nonono</v>
      </c>
      <c r="B565" s="21" t="s">
        <v>4338</v>
      </c>
      <c r="C565" s="15" t="s">
        <v>4339</v>
      </c>
      <c r="D565" s="110" t="s">
        <v>4340</v>
      </c>
      <c r="E565" s="37" t="s">
        <v>4341</v>
      </c>
      <c r="F565" s="107">
        <v>1</v>
      </c>
      <c r="G565" s="108">
        <v>0.81</v>
      </c>
      <c r="H565" s="107">
        <v>8</v>
      </c>
      <c r="I565" s="137" t="s">
        <v>282</v>
      </c>
      <c r="J565" s="110" t="s">
        <v>40</v>
      </c>
      <c r="K565" s="117" t="s">
        <v>3069</v>
      </c>
      <c r="L565" s="107">
        <v>17526867788</v>
      </c>
      <c r="M565" s="110" t="s">
        <v>1230</v>
      </c>
      <c r="N565" s="122" t="s">
        <v>4342</v>
      </c>
      <c r="O565" s="123" t="s">
        <v>4343</v>
      </c>
      <c r="P565" s="128">
        <v>13132295652</v>
      </c>
      <c r="Q565" s="122" t="s">
        <v>4344</v>
      </c>
      <c r="R565">
        <f t="shared" si="17"/>
        <v>4</v>
      </c>
      <c r="S565" s="15" t="s">
        <v>4345</v>
      </c>
    </row>
    <row r="566" spans="1:19" ht="15.75">
      <c r="A566" s="106" t="str">
        <f t="shared" si="16"/>
        <v>nonono</v>
      </c>
      <c r="B566" s="21" t="s">
        <v>4346</v>
      </c>
      <c r="C566" s="15" t="s">
        <v>4347</v>
      </c>
      <c r="D566" s="110" t="s">
        <v>4348</v>
      </c>
      <c r="E566" s="37" t="s">
        <v>4349</v>
      </c>
      <c r="F566" s="107">
        <v>1</v>
      </c>
      <c r="G566" s="108">
        <v>1.72</v>
      </c>
      <c r="H566" s="107">
        <v>9</v>
      </c>
      <c r="I566" s="109" t="s">
        <v>4350</v>
      </c>
      <c r="J566" s="110" t="s">
        <v>293</v>
      </c>
      <c r="K566" s="110" t="s">
        <v>3375</v>
      </c>
      <c r="L566" s="107">
        <v>18538286679</v>
      </c>
      <c r="M566" s="135" t="s">
        <v>3376</v>
      </c>
      <c r="N566" s="126" t="s">
        <v>3375</v>
      </c>
      <c r="O566" t="s">
        <v>3376</v>
      </c>
      <c r="P566" s="126">
        <v>18538286679</v>
      </c>
      <c r="Q566" s="126" t="s">
        <v>4351</v>
      </c>
      <c r="R566">
        <f t="shared" si="17"/>
        <v>2</v>
      </c>
      <c r="S566" s="15" t="s">
        <v>4352</v>
      </c>
    </row>
    <row r="567" spans="1:19" ht="15.75">
      <c r="A567" s="106" t="str">
        <f t="shared" si="16"/>
        <v>nonono</v>
      </c>
      <c r="B567" s="21" t="s">
        <v>4353</v>
      </c>
      <c r="C567" s="15" t="s">
        <v>4354</v>
      </c>
      <c r="D567" s="110" t="s">
        <v>4355</v>
      </c>
      <c r="E567" s="107" t="s">
        <v>4356</v>
      </c>
      <c r="F567" s="107">
        <v>1</v>
      </c>
      <c r="G567" s="108">
        <v>1.26</v>
      </c>
      <c r="H567" s="107">
        <v>7</v>
      </c>
      <c r="I567" s="109" t="s">
        <v>4357</v>
      </c>
      <c r="J567" s="110" t="s">
        <v>29</v>
      </c>
      <c r="K567" s="110" t="s">
        <v>4358</v>
      </c>
      <c r="L567" s="107">
        <v>15150532069</v>
      </c>
      <c r="M567" s="137" t="s">
        <v>4359</v>
      </c>
      <c r="N567" s="126" t="s">
        <v>4358</v>
      </c>
      <c r="O567" t="s">
        <v>4359</v>
      </c>
      <c r="P567">
        <v>15150532069</v>
      </c>
      <c r="Q567" s="126" t="s">
        <v>4360</v>
      </c>
      <c r="R567">
        <f t="shared" si="17"/>
        <v>1</v>
      </c>
      <c r="S567" s="15" t="s">
        <v>4361</v>
      </c>
    </row>
    <row r="568" spans="1:19" ht="15.75">
      <c r="A568" s="106" t="str">
        <f t="shared" si="16"/>
        <v>nonono</v>
      </c>
      <c r="B568" s="21" t="s">
        <v>4362</v>
      </c>
      <c r="C568" s="15" t="s">
        <v>4363</v>
      </c>
      <c r="D568" s="110" t="s">
        <v>312</v>
      </c>
      <c r="E568" s="107" t="s">
        <v>4364</v>
      </c>
      <c r="F568" s="107">
        <v>1</v>
      </c>
      <c r="G568" s="108">
        <v>0.81</v>
      </c>
      <c r="H568" s="107">
        <v>1</v>
      </c>
      <c r="I568" s="109"/>
      <c r="J568" s="110" t="s">
        <v>304</v>
      </c>
      <c r="K568" s="110" t="s">
        <v>1028</v>
      </c>
      <c r="L568" s="107">
        <v>15037170532</v>
      </c>
      <c r="M568" s="135" t="s">
        <v>1029</v>
      </c>
      <c r="N568" s="122" t="s">
        <v>4365</v>
      </c>
      <c r="O568" t="s">
        <v>1029</v>
      </c>
      <c r="P568" s="126">
        <v>15037170532</v>
      </c>
      <c r="Q568" s="122" t="s">
        <v>4366</v>
      </c>
      <c r="R568">
        <f t="shared" si="17"/>
        <v>2</v>
      </c>
      <c r="S568" s="15" t="s">
        <v>4367</v>
      </c>
    </row>
    <row r="569" spans="1:19" ht="15.75">
      <c r="A569" s="106" t="str">
        <f t="shared" si="16"/>
        <v>nonono</v>
      </c>
      <c r="B569" s="21" t="s">
        <v>4368</v>
      </c>
      <c r="C569" s="15" t="s">
        <v>4369</v>
      </c>
      <c r="D569" s="110" t="s">
        <v>4370</v>
      </c>
      <c r="E569" s="37" t="s">
        <v>4371</v>
      </c>
      <c r="F569" s="107">
        <v>1</v>
      </c>
      <c r="G569" s="108">
        <v>1.95</v>
      </c>
      <c r="H569" s="107">
        <v>9</v>
      </c>
      <c r="I569" s="109" t="s">
        <v>4372</v>
      </c>
      <c r="J569" s="110" t="s">
        <v>29</v>
      </c>
      <c r="K569" s="110" t="s">
        <v>4373</v>
      </c>
      <c r="L569" s="107">
        <v>18739919170</v>
      </c>
      <c r="M569" s="110" t="s">
        <v>4374</v>
      </c>
      <c r="N569" s="122" t="s">
        <v>4375</v>
      </c>
      <c r="O569" t="s">
        <v>4374</v>
      </c>
      <c r="P569" s="126">
        <v>18739919170</v>
      </c>
      <c r="Q569" s="122" t="s">
        <v>4376</v>
      </c>
      <c r="R569">
        <f t="shared" si="17"/>
        <v>1</v>
      </c>
      <c r="S569" s="15" t="s">
        <v>4377</v>
      </c>
    </row>
    <row r="570" spans="1:19" ht="15.75">
      <c r="A570" s="106" t="str">
        <f t="shared" si="16"/>
        <v>nonono</v>
      </c>
      <c r="B570" s="21" t="s">
        <v>4378</v>
      </c>
      <c r="C570" s="15" t="s">
        <v>4379</v>
      </c>
      <c r="D570" s="110" t="s">
        <v>4380</v>
      </c>
      <c r="E570" s="37" t="s">
        <v>4381</v>
      </c>
      <c r="F570" s="107">
        <v>1</v>
      </c>
      <c r="G570" s="108">
        <v>0.81</v>
      </c>
      <c r="H570" s="107">
        <v>5</v>
      </c>
      <c r="I570" s="109" t="s">
        <v>4382</v>
      </c>
      <c r="J570" s="110" t="s">
        <v>304</v>
      </c>
      <c r="K570" s="110" t="s">
        <v>4383</v>
      </c>
      <c r="L570" s="107">
        <v>13838214133</v>
      </c>
      <c r="M570" s="110" t="s">
        <v>4384</v>
      </c>
      <c r="N570" s="126" t="s">
        <v>4383</v>
      </c>
      <c r="O570" t="s">
        <v>4384</v>
      </c>
      <c r="P570" s="126">
        <v>13838214133</v>
      </c>
      <c r="Q570" s="126" t="s">
        <v>4385</v>
      </c>
      <c r="R570">
        <f t="shared" si="17"/>
        <v>1</v>
      </c>
      <c r="S570" s="15" t="s">
        <v>4386</v>
      </c>
    </row>
    <row r="571" spans="1:19" ht="15.75">
      <c r="A571" s="106" t="str">
        <f t="shared" si="16"/>
        <v>nonono</v>
      </c>
      <c r="B571" s="21" t="s">
        <v>4387</v>
      </c>
      <c r="C571" s="15" t="s">
        <v>4388</v>
      </c>
      <c r="D571" s="117" t="s">
        <v>312</v>
      </c>
      <c r="E571" s="37" t="s">
        <v>302</v>
      </c>
      <c r="F571" s="37">
        <v>1</v>
      </c>
      <c r="G571" s="116">
        <v>1.26</v>
      </c>
      <c r="H571" s="37">
        <v>1</v>
      </c>
      <c r="I571" s="109"/>
      <c r="J571" s="117" t="s">
        <v>304</v>
      </c>
      <c r="K571" s="110" t="s">
        <v>4389</v>
      </c>
      <c r="L571" s="107">
        <v>16638166117</v>
      </c>
      <c r="M571" s="110" t="s">
        <v>4390</v>
      </c>
      <c r="N571" s="122" t="s">
        <v>4391</v>
      </c>
      <c r="O571" t="s">
        <v>4390</v>
      </c>
      <c r="P571" s="126">
        <v>16638166117</v>
      </c>
      <c r="Q571" s="122" t="s">
        <v>4392</v>
      </c>
      <c r="R571">
        <f t="shared" si="17"/>
        <v>1</v>
      </c>
      <c r="S571" s="15" t="s">
        <v>4393</v>
      </c>
    </row>
    <row r="572" spans="1:19" ht="15.75">
      <c r="A572" s="106" t="str">
        <f t="shared" si="16"/>
        <v>nonono</v>
      </c>
      <c r="B572" s="21" t="s">
        <v>4394</v>
      </c>
      <c r="C572" s="15" t="s">
        <v>4395</v>
      </c>
      <c r="D572" s="109" t="s">
        <v>4396</v>
      </c>
      <c r="E572" s="109" t="s">
        <v>4397</v>
      </c>
      <c r="F572" s="107">
        <v>1</v>
      </c>
      <c r="G572" s="108">
        <v>0.81</v>
      </c>
      <c r="H572" s="107">
        <v>10</v>
      </c>
      <c r="I572" s="109" t="s">
        <v>4398</v>
      </c>
      <c r="J572" s="37" t="s">
        <v>293</v>
      </c>
      <c r="K572" s="110" t="s">
        <v>4399</v>
      </c>
      <c r="L572" s="107">
        <v>15975596563</v>
      </c>
      <c r="M572" s="110" t="s">
        <v>4400</v>
      </c>
      <c r="N572" s="126" t="s">
        <v>4399</v>
      </c>
      <c r="O572" t="s">
        <v>4400</v>
      </c>
      <c r="P572" s="126">
        <v>15975596563</v>
      </c>
      <c r="Q572" s="126" t="s">
        <v>4401</v>
      </c>
      <c r="R572">
        <f t="shared" si="17"/>
        <v>1</v>
      </c>
      <c r="S572" s="15" t="s">
        <v>4402</v>
      </c>
    </row>
    <row r="573" spans="1:19" ht="15.75">
      <c r="A573" s="106" t="str">
        <f t="shared" si="16"/>
        <v>nonono</v>
      </c>
      <c r="B573" s="21" t="s">
        <v>4403</v>
      </c>
      <c r="C573" s="15" t="s">
        <v>4404</v>
      </c>
      <c r="D573" s="142" t="s">
        <v>4405</v>
      </c>
      <c r="E573" s="24" t="s">
        <v>69</v>
      </c>
      <c r="F573" s="24">
        <v>1</v>
      </c>
      <c r="G573" s="222">
        <v>0.57999999999999996</v>
      </c>
      <c r="H573" s="24">
        <v>4</v>
      </c>
      <c r="I573" s="196" t="s">
        <v>2889</v>
      </c>
      <c r="J573" s="142" t="s">
        <v>40</v>
      </c>
      <c r="K573" s="142" t="s">
        <v>4406</v>
      </c>
      <c r="L573" s="24">
        <v>18845155483</v>
      </c>
      <c r="M573" s="142" t="s">
        <v>4407</v>
      </c>
      <c r="N573" s="126" t="s">
        <v>4406</v>
      </c>
      <c r="O573" t="s">
        <v>4407</v>
      </c>
      <c r="P573" s="126">
        <v>18845155483</v>
      </c>
      <c r="Q573" s="126" t="s">
        <v>4408</v>
      </c>
      <c r="R573">
        <f t="shared" si="17"/>
        <v>1</v>
      </c>
      <c r="S573" s="15" t="s">
        <v>4409</v>
      </c>
    </row>
    <row r="574" spans="1:19" ht="15.75">
      <c r="A574" s="106" t="str">
        <f t="shared" si="16"/>
        <v>nonono</v>
      </c>
      <c r="B574" s="21" t="s">
        <v>4410</v>
      </c>
      <c r="C574" s="15" t="s">
        <v>4411</v>
      </c>
      <c r="D574" s="142" t="s">
        <v>1083</v>
      </c>
      <c r="E574" s="23" t="s">
        <v>1084</v>
      </c>
      <c r="F574" s="24">
        <v>1</v>
      </c>
      <c r="G574" s="222">
        <v>1.95</v>
      </c>
      <c r="H574" s="24">
        <v>8</v>
      </c>
      <c r="I574" s="196" t="s">
        <v>1085</v>
      </c>
      <c r="J574" s="142" t="s">
        <v>40</v>
      </c>
      <c r="K574" s="142" t="s">
        <v>1086</v>
      </c>
      <c r="L574" s="24">
        <v>13882248118</v>
      </c>
      <c r="M574" s="142" t="s">
        <v>1087</v>
      </c>
      <c r="N574" s="122" t="s">
        <v>4412</v>
      </c>
      <c r="O574" t="s">
        <v>1087</v>
      </c>
      <c r="P574" s="126">
        <v>13882248118</v>
      </c>
      <c r="Q574" s="122" t="s">
        <v>4413</v>
      </c>
      <c r="R574">
        <f t="shared" si="17"/>
        <v>4</v>
      </c>
      <c r="S574" s="15" t="s">
        <v>4414</v>
      </c>
    </row>
    <row r="575" spans="1:19" ht="15.75">
      <c r="A575" s="106" t="str">
        <f t="shared" si="16"/>
        <v>nonono</v>
      </c>
      <c r="B575" s="21" t="s">
        <v>4415</v>
      </c>
      <c r="C575" s="15" t="s">
        <v>4416</v>
      </c>
      <c r="D575" s="142" t="s">
        <v>4417</v>
      </c>
      <c r="E575" s="24" t="s">
        <v>625</v>
      </c>
      <c r="F575" s="24">
        <v>1</v>
      </c>
      <c r="G575" s="222">
        <v>0.81</v>
      </c>
      <c r="H575" s="24">
        <v>1</v>
      </c>
      <c r="I575" s="196" t="s">
        <v>4418</v>
      </c>
      <c r="J575" s="142" t="s">
        <v>40</v>
      </c>
      <c r="K575" s="142" t="s">
        <v>4419</v>
      </c>
      <c r="L575" s="24">
        <v>13660558727</v>
      </c>
      <c r="M575" s="149" t="s">
        <v>4420</v>
      </c>
      <c r="N575" s="126" t="s">
        <v>4419</v>
      </c>
      <c r="O575" t="s">
        <v>4420</v>
      </c>
      <c r="P575" s="126">
        <v>13660558727</v>
      </c>
      <c r="Q575" s="126" t="s">
        <v>4421</v>
      </c>
      <c r="R575">
        <f t="shared" si="17"/>
        <v>1</v>
      </c>
      <c r="S575" s="15" t="s">
        <v>4422</v>
      </c>
    </row>
    <row r="576" spans="1:19" ht="15.75">
      <c r="A576" s="106" t="str">
        <f t="shared" ref="A576:A598" si="18">IF(B576=C576,"","nonono")</f>
        <v>nonono</v>
      </c>
      <c r="B576" s="21" t="s">
        <v>4423</v>
      </c>
      <c r="C576" s="15" t="s">
        <v>4424</v>
      </c>
      <c r="D576" s="142" t="s">
        <v>4425</v>
      </c>
      <c r="E576" s="24" t="s">
        <v>1112</v>
      </c>
      <c r="F576" s="24">
        <v>1</v>
      </c>
      <c r="G576" s="222">
        <v>1.95</v>
      </c>
      <c r="H576" s="24">
        <v>11</v>
      </c>
      <c r="I576" s="196" t="s">
        <v>4426</v>
      </c>
      <c r="J576" s="142" t="s">
        <v>29</v>
      </c>
      <c r="K576" s="142" t="s">
        <v>1105</v>
      </c>
      <c r="L576" s="24">
        <v>13923489399</v>
      </c>
      <c r="M576" s="142" t="s">
        <v>1106</v>
      </c>
      <c r="N576" s="122" t="s">
        <v>4427</v>
      </c>
      <c r="O576" s="123" t="s">
        <v>4428</v>
      </c>
      <c r="P576" s="128">
        <v>13662619440</v>
      </c>
      <c r="Q576" s="122" t="s">
        <v>4429</v>
      </c>
      <c r="R576">
        <f t="shared" si="17"/>
        <v>2</v>
      </c>
      <c r="S576" s="15" t="s">
        <v>4430</v>
      </c>
    </row>
    <row r="577" spans="1:19" ht="15.75">
      <c r="A577" s="106" t="str">
        <f t="shared" si="18"/>
        <v>nonono</v>
      </c>
      <c r="B577" s="21" t="s">
        <v>4431</v>
      </c>
      <c r="C577" s="15" t="s">
        <v>4432</v>
      </c>
      <c r="D577" s="142" t="s">
        <v>4433</v>
      </c>
      <c r="E577" s="24" t="s">
        <v>201</v>
      </c>
      <c r="F577" s="24">
        <v>1</v>
      </c>
      <c r="G577" s="222">
        <v>1.95</v>
      </c>
      <c r="H577" s="24">
        <v>10</v>
      </c>
      <c r="I577" s="196" t="s">
        <v>4434</v>
      </c>
      <c r="J577" s="142" t="s">
        <v>40</v>
      </c>
      <c r="K577" s="142" t="s">
        <v>1122</v>
      </c>
      <c r="L577" s="24">
        <v>13817013878</v>
      </c>
      <c r="M577" s="142" t="s">
        <v>1123</v>
      </c>
      <c r="N577" s="122" t="s">
        <v>4435</v>
      </c>
      <c r="O577" t="s">
        <v>1123</v>
      </c>
      <c r="P577">
        <v>13817013878</v>
      </c>
      <c r="Q577" s="122" t="s">
        <v>4436</v>
      </c>
      <c r="R577">
        <f t="shared" si="17"/>
        <v>4</v>
      </c>
      <c r="S577" s="15" t="s">
        <v>4437</v>
      </c>
    </row>
    <row r="578" spans="1:19" ht="15.75">
      <c r="A578" s="106" t="str">
        <f t="shared" si="18"/>
        <v>nonono</v>
      </c>
      <c r="B578" s="21" t="s">
        <v>4438</v>
      </c>
      <c r="C578" s="15" t="s">
        <v>4439</v>
      </c>
      <c r="D578" s="149" t="s">
        <v>4440</v>
      </c>
      <c r="E578" s="24" t="s">
        <v>4441</v>
      </c>
      <c r="F578" s="24">
        <v>1</v>
      </c>
      <c r="G578" s="222">
        <v>1.72</v>
      </c>
      <c r="H578" s="24">
        <v>7</v>
      </c>
      <c r="I578" s="155" t="s">
        <v>402</v>
      </c>
      <c r="J578" s="142" t="s">
        <v>29</v>
      </c>
      <c r="K578" s="149" t="s">
        <v>1191</v>
      </c>
      <c r="L578" s="23">
        <v>18382618053</v>
      </c>
      <c r="M578" s="23" t="s">
        <v>1192</v>
      </c>
      <c r="N578" s="122" t="s">
        <v>4442</v>
      </c>
      <c r="O578" t="s">
        <v>1192</v>
      </c>
      <c r="P578">
        <v>18382618053</v>
      </c>
      <c r="Q578" s="122" t="s">
        <v>4443</v>
      </c>
      <c r="R578">
        <f t="shared" si="17"/>
        <v>4</v>
      </c>
      <c r="S578" s="15" t="s">
        <v>4444</v>
      </c>
    </row>
    <row r="579" spans="1:19" ht="15.75">
      <c r="A579" s="106" t="str">
        <f t="shared" si="18"/>
        <v>nonono</v>
      </c>
      <c r="B579" s="21" t="s">
        <v>4445</v>
      </c>
      <c r="C579" s="15" t="s">
        <v>4446</v>
      </c>
      <c r="D579" s="142" t="s">
        <v>4447</v>
      </c>
      <c r="E579" s="24" t="s">
        <v>111</v>
      </c>
      <c r="F579" s="24">
        <v>1</v>
      </c>
      <c r="G579" s="222">
        <v>1.26</v>
      </c>
      <c r="H579" s="24">
        <v>12</v>
      </c>
      <c r="I579" s="196" t="s">
        <v>4448</v>
      </c>
      <c r="J579" s="142" t="s">
        <v>40</v>
      </c>
      <c r="K579" s="142" t="s">
        <v>1201</v>
      </c>
      <c r="L579" s="24">
        <v>13805356723</v>
      </c>
      <c r="M579" s="142" t="s">
        <v>1202</v>
      </c>
      <c r="N579" s="122" t="s">
        <v>4449</v>
      </c>
      <c r="O579" t="s">
        <v>1202</v>
      </c>
      <c r="P579">
        <v>13805356723</v>
      </c>
      <c r="Q579" s="122" t="s">
        <v>4450</v>
      </c>
      <c r="R579">
        <f t="shared" si="17"/>
        <v>4</v>
      </c>
      <c r="S579" s="15" t="s">
        <v>4451</v>
      </c>
    </row>
    <row r="580" spans="1:19" ht="15.75">
      <c r="A580" s="106" t="str">
        <f t="shared" si="18"/>
        <v>nonono</v>
      </c>
      <c r="B580" s="21" t="s">
        <v>4452</v>
      </c>
      <c r="C580" s="15" t="s">
        <v>4453</v>
      </c>
      <c r="D580" s="149" t="s">
        <v>4454</v>
      </c>
      <c r="E580" s="24" t="s">
        <v>4455</v>
      </c>
      <c r="F580" s="24">
        <v>1</v>
      </c>
      <c r="G580" s="222">
        <v>1.72</v>
      </c>
      <c r="H580" s="24">
        <v>12</v>
      </c>
      <c r="I580" s="155" t="s">
        <v>402</v>
      </c>
      <c r="J580" s="142" t="s">
        <v>293</v>
      </c>
      <c r="K580" s="32" t="s">
        <v>1211</v>
      </c>
      <c r="L580" s="152">
        <v>17695963119</v>
      </c>
      <c r="M580" s="32" t="s">
        <v>992</v>
      </c>
      <c r="N580" s="122" t="s">
        <v>4456</v>
      </c>
      <c r="O580" t="s">
        <v>992</v>
      </c>
      <c r="P580">
        <v>17695963119</v>
      </c>
      <c r="Q580" s="122" t="s">
        <v>4457</v>
      </c>
      <c r="R580">
        <f t="shared" si="17"/>
        <v>4</v>
      </c>
      <c r="S580" s="15" t="s">
        <v>4458</v>
      </c>
    </row>
    <row r="581" spans="1:19" ht="15.75">
      <c r="A581" s="106" t="str">
        <f t="shared" si="18"/>
        <v>nonono</v>
      </c>
      <c r="B581" s="21" t="s">
        <v>4459</v>
      </c>
      <c r="C581" s="15" t="s">
        <v>4460</v>
      </c>
      <c r="D581" s="142" t="s">
        <v>4461</v>
      </c>
      <c r="E581" s="23" t="s">
        <v>4462</v>
      </c>
      <c r="F581" s="24">
        <v>1</v>
      </c>
      <c r="G581" s="222">
        <v>1.72</v>
      </c>
      <c r="H581" s="24">
        <v>12</v>
      </c>
      <c r="I581" s="196" t="s">
        <v>4463</v>
      </c>
      <c r="J581" s="142" t="s">
        <v>29</v>
      </c>
      <c r="K581" s="32" t="s">
        <v>1220</v>
      </c>
      <c r="L581" s="152">
        <v>17694885170</v>
      </c>
      <c r="M581" s="32" t="s">
        <v>1221</v>
      </c>
      <c r="N581" s="126" t="s">
        <v>1220</v>
      </c>
      <c r="O581" s="123" t="s">
        <v>4464</v>
      </c>
      <c r="P581" s="125">
        <v>15022308112</v>
      </c>
      <c r="Q581" s="126" t="s">
        <v>4465</v>
      </c>
      <c r="R581">
        <f t="shared" si="17"/>
        <v>4</v>
      </c>
      <c r="S581" s="15" t="s">
        <v>4466</v>
      </c>
    </row>
    <row r="582" spans="1:19" ht="15.75">
      <c r="A582" s="106" t="str">
        <f t="shared" si="18"/>
        <v>nonono</v>
      </c>
      <c r="B582" s="21" t="s">
        <v>4467</v>
      </c>
      <c r="C582" s="15" t="s">
        <v>4468</v>
      </c>
      <c r="D582" s="142" t="s">
        <v>4469</v>
      </c>
      <c r="E582" s="24" t="s">
        <v>465</v>
      </c>
      <c r="F582" s="24">
        <v>1</v>
      </c>
      <c r="G582" s="224">
        <v>0.81</v>
      </c>
      <c r="H582" s="24">
        <v>2</v>
      </c>
      <c r="I582" s="196"/>
      <c r="J582" s="142" t="s">
        <v>304</v>
      </c>
      <c r="K582" s="32" t="s">
        <v>1229</v>
      </c>
      <c r="L582" s="152">
        <v>18722622602</v>
      </c>
      <c r="M582" s="32" t="s">
        <v>1230</v>
      </c>
      <c r="N582" s="122" t="s">
        <v>4470</v>
      </c>
      <c r="O582" s="123" t="s">
        <v>4471</v>
      </c>
      <c r="P582" s="131">
        <v>13132205652</v>
      </c>
      <c r="Q582" s="122" t="s">
        <v>4472</v>
      </c>
      <c r="R582">
        <f t="shared" si="17"/>
        <v>4</v>
      </c>
      <c r="S582" s="15" t="s">
        <v>4473</v>
      </c>
    </row>
    <row r="583" spans="1:19" ht="15.75">
      <c r="A583" s="106" t="str">
        <f t="shared" si="18"/>
        <v>nonono</v>
      </c>
      <c r="B583" s="21" t="s">
        <v>4474</v>
      </c>
      <c r="C583" s="15" t="s">
        <v>4475</v>
      </c>
      <c r="D583" s="142" t="s">
        <v>4476</v>
      </c>
      <c r="E583" s="23" t="s">
        <v>4477</v>
      </c>
      <c r="F583" s="24">
        <v>1</v>
      </c>
      <c r="G583" s="222">
        <v>0.81</v>
      </c>
      <c r="H583" s="24">
        <v>5</v>
      </c>
      <c r="I583" s="155" t="s">
        <v>282</v>
      </c>
      <c r="J583" s="142" t="s">
        <v>29</v>
      </c>
      <c r="K583" s="142" t="s">
        <v>1239</v>
      </c>
      <c r="L583" s="24">
        <v>17694885170</v>
      </c>
      <c r="M583" s="186" t="s">
        <v>1230</v>
      </c>
      <c r="N583" s="122" t="s">
        <v>4478</v>
      </c>
      <c r="O583" s="123" t="s">
        <v>4479</v>
      </c>
      <c r="P583" s="131">
        <v>13516251777</v>
      </c>
      <c r="Q583" s="122" t="s">
        <v>4480</v>
      </c>
      <c r="R583">
        <f t="shared" ref="R583:R643" si="19">COUNTIF($K$1:$K$2982,K583)</f>
        <v>4</v>
      </c>
      <c r="S583" s="15" t="s">
        <v>4481</v>
      </c>
    </row>
    <row r="584" spans="1:19" ht="15.75">
      <c r="A584" s="106" t="str">
        <f t="shared" si="18"/>
        <v>nonono</v>
      </c>
      <c r="B584" s="21" t="s">
        <v>4482</v>
      </c>
      <c r="C584" s="27" t="s">
        <v>4483</v>
      </c>
      <c r="D584" s="225" t="s">
        <v>1255</v>
      </c>
      <c r="E584" s="226" t="s">
        <v>429</v>
      </c>
      <c r="F584" s="226">
        <v>1</v>
      </c>
      <c r="G584" s="227">
        <v>1.72</v>
      </c>
      <c r="H584" s="226">
        <v>11</v>
      </c>
      <c r="I584" s="229" t="s">
        <v>1256</v>
      </c>
      <c r="J584" s="225" t="s">
        <v>40</v>
      </c>
      <c r="K584" s="225" t="s">
        <v>1257</v>
      </c>
      <c r="L584" s="226">
        <v>18820285826</v>
      </c>
      <c r="M584" s="225" t="s">
        <v>1258</v>
      </c>
      <c r="N584" s="122" t="s">
        <v>4484</v>
      </c>
      <c r="O584" s="123" t="s">
        <v>4485</v>
      </c>
      <c r="P584" s="131">
        <v>15012676080</v>
      </c>
      <c r="Q584" s="122" t="s">
        <v>4486</v>
      </c>
      <c r="R584">
        <f t="shared" si="19"/>
        <v>4</v>
      </c>
      <c r="S584" s="15" t="s">
        <v>4487</v>
      </c>
    </row>
    <row r="585" spans="1:19" ht="15.75">
      <c r="A585" s="106" t="str">
        <f t="shared" si="18"/>
        <v>nonono</v>
      </c>
      <c r="B585" s="21" t="s">
        <v>4488</v>
      </c>
      <c r="C585" s="22" t="s">
        <v>4489</v>
      </c>
      <c r="D585" s="23" t="s">
        <v>1264</v>
      </c>
      <c r="E585" s="23" t="s">
        <v>429</v>
      </c>
      <c r="F585" s="24">
        <v>1</v>
      </c>
      <c r="G585" s="222">
        <f>3/2.2-0.1</f>
        <v>1.2636363636363599</v>
      </c>
      <c r="H585" s="23">
        <v>10</v>
      </c>
      <c r="I585" s="196" t="s">
        <v>1265</v>
      </c>
      <c r="J585" s="23" t="s">
        <v>29</v>
      </c>
      <c r="K585" s="24" t="s">
        <v>1266</v>
      </c>
      <c r="L585" s="24">
        <v>13611066495</v>
      </c>
      <c r="M585" s="142" t="s">
        <v>1267</v>
      </c>
      <c r="N585" s="122" t="s">
        <v>4490</v>
      </c>
      <c r="O585" t="s">
        <v>1267</v>
      </c>
      <c r="P585">
        <v>13611066495</v>
      </c>
      <c r="Q585" s="122" t="s">
        <v>4491</v>
      </c>
      <c r="R585">
        <f t="shared" si="19"/>
        <v>4</v>
      </c>
      <c r="S585" s="15" t="s">
        <v>4492</v>
      </c>
    </row>
    <row r="586" spans="1:19" ht="15.75">
      <c r="A586" s="106" t="str">
        <f t="shared" si="18"/>
        <v>nonono</v>
      </c>
      <c r="B586" s="21" t="s">
        <v>4493</v>
      </c>
      <c r="C586" s="24" t="s">
        <v>4494</v>
      </c>
      <c r="D586" s="24" t="s">
        <v>1274</v>
      </c>
      <c r="E586" s="24" t="s">
        <v>420</v>
      </c>
      <c r="F586" s="24">
        <v>1</v>
      </c>
      <c r="G586" s="222">
        <v>0.81</v>
      </c>
      <c r="H586" s="24">
        <v>2</v>
      </c>
      <c r="I586" s="196"/>
      <c r="J586" s="24" t="s">
        <v>40</v>
      </c>
      <c r="K586" s="31" t="s">
        <v>1332</v>
      </c>
      <c r="L586" s="230">
        <v>18926220287</v>
      </c>
      <c r="M586" s="209" t="s">
        <v>1333</v>
      </c>
      <c r="N586" s="122" t="s">
        <v>4495</v>
      </c>
      <c r="O586" t="s">
        <v>1333</v>
      </c>
      <c r="P586">
        <v>18926220287</v>
      </c>
      <c r="Q586" s="122" t="s">
        <v>4496</v>
      </c>
      <c r="R586">
        <f t="shared" si="19"/>
        <v>3</v>
      </c>
      <c r="S586" s="15" t="s">
        <v>4497</v>
      </c>
    </row>
    <row r="587" spans="1:19" ht="15.75">
      <c r="A587" s="106" t="str">
        <f t="shared" si="18"/>
        <v>nonono</v>
      </c>
      <c r="B587" s="21" t="s">
        <v>4498</v>
      </c>
      <c r="C587" s="34" t="s">
        <v>4499</v>
      </c>
      <c r="D587" s="107" t="s">
        <v>1274</v>
      </c>
      <c r="E587" s="107" t="s">
        <v>420</v>
      </c>
      <c r="F587" s="107">
        <v>1</v>
      </c>
      <c r="G587" s="108">
        <v>0.81</v>
      </c>
      <c r="H587" s="107">
        <v>2</v>
      </c>
      <c r="I587" s="109"/>
      <c r="J587" s="107" t="s">
        <v>40</v>
      </c>
      <c r="K587" s="162" t="s">
        <v>1341</v>
      </c>
      <c r="L587" s="163">
        <v>13922769996</v>
      </c>
      <c r="M587" s="164" t="s">
        <v>1342</v>
      </c>
      <c r="N587" s="122" t="s">
        <v>4500</v>
      </c>
      <c r="O587" t="s">
        <v>1342</v>
      </c>
      <c r="P587">
        <v>13922769996</v>
      </c>
      <c r="Q587" s="122" t="s">
        <v>4501</v>
      </c>
      <c r="R587">
        <f t="shared" si="19"/>
        <v>4</v>
      </c>
      <c r="S587" s="15" t="s">
        <v>4502</v>
      </c>
    </row>
    <row r="588" spans="1:19" ht="15.75">
      <c r="A588" s="106" t="str">
        <f t="shared" si="18"/>
        <v>nonono</v>
      </c>
      <c r="B588" s="21" t="s">
        <v>4503</v>
      </c>
      <c r="C588" s="28" t="s">
        <v>4504</v>
      </c>
      <c r="D588" s="107" t="s">
        <v>1274</v>
      </c>
      <c r="E588" s="107" t="s">
        <v>420</v>
      </c>
      <c r="F588" s="107">
        <v>1</v>
      </c>
      <c r="G588" s="108">
        <v>0.81</v>
      </c>
      <c r="H588" s="107">
        <v>2</v>
      </c>
      <c r="I588" s="109"/>
      <c r="J588" s="107" t="s">
        <v>40</v>
      </c>
      <c r="K588" s="162" t="s">
        <v>1349</v>
      </c>
      <c r="L588" s="163">
        <v>18571938601</v>
      </c>
      <c r="M588" s="164" t="s">
        <v>1350</v>
      </c>
      <c r="N588" s="126" t="s">
        <v>1349</v>
      </c>
      <c r="O588" t="s">
        <v>1350</v>
      </c>
      <c r="P588">
        <v>18571938601</v>
      </c>
      <c r="Q588" s="126" t="s">
        <v>4505</v>
      </c>
      <c r="R588">
        <f t="shared" si="19"/>
        <v>2</v>
      </c>
      <c r="S588" s="15" t="s">
        <v>4506</v>
      </c>
    </row>
    <row r="589" spans="1:19" ht="15.75">
      <c r="A589" s="106" t="str">
        <f t="shared" si="18"/>
        <v>nonono</v>
      </c>
      <c r="B589" s="21" t="s">
        <v>4507</v>
      </c>
      <c r="C589" s="15" t="s">
        <v>4508</v>
      </c>
      <c r="D589" s="142" t="s">
        <v>1130</v>
      </c>
      <c r="E589" s="24" t="s">
        <v>1131</v>
      </c>
      <c r="F589" s="24">
        <v>1</v>
      </c>
      <c r="G589" s="222">
        <v>2.85</v>
      </c>
      <c r="H589" s="24">
        <v>6</v>
      </c>
      <c r="I589" s="196" t="s">
        <v>1132</v>
      </c>
      <c r="J589" s="142" t="s">
        <v>293</v>
      </c>
      <c r="K589" s="142" t="s">
        <v>1133</v>
      </c>
      <c r="L589" s="24">
        <v>18722628063</v>
      </c>
      <c r="M589" s="186" t="s">
        <v>1134</v>
      </c>
      <c r="N589" s="122" t="s">
        <v>4509</v>
      </c>
      <c r="O589" t="s">
        <v>1134</v>
      </c>
      <c r="P589">
        <v>18722628063</v>
      </c>
      <c r="Q589" s="122" t="s">
        <v>4510</v>
      </c>
      <c r="R589">
        <f t="shared" si="19"/>
        <v>3</v>
      </c>
      <c r="S589" s="15" t="s">
        <v>4511</v>
      </c>
    </row>
    <row r="590" spans="1:19" ht="15.75">
      <c r="A590" s="106" t="str">
        <f t="shared" si="18"/>
        <v>nonono</v>
      </c>
      <c r="B590" s="21" t="s">
        <v>4512</v>
      </c>
      <c r="C590" s="30" t="s">
        <v>4513</v>
      </c>
      <c r="D590" s="142" t="s">
        <v>1141</v>
      </c>
      <c r="E590" s="24" t="s">
        <v>420</v>
      </c>
      <c r="F590" s="24">
        <v>1</v>
      </c>
      <c r="G590" s="222">
        <v>1.72</v>
      </c>
      <c r="H590" s="24">
        <v>14</v>
      </c>
      <c r="I590" s="196" t="s">
        <v>1142</v>
      </c>
      <c r="J590" s="142" t="s">
        <v>29</v>
      </c>
      <c r="K590" s="142" t="s">
        <v>1143</v>
      </c>
      <c r="L590" s="24">
        <v>13266533076</v>
      </c>
      <c r="M590" s="142" t="s">
        <v>1144</v>
      </c>
      <c r="N590" s="122" t="s">
        <v>4514</v>
      </c>
      <c r="O590" s="123" t="s">
        <v>4515</v>
      </c>
      <c r="P590" s="131">
        <v>13922877716</v>
      </c>
      <c r="Q590" s="122" t="s">
        <v>4516</v>
      </c>
      <c r="R590">
        <f t="shared" si="19"/>
        <v>4</v>
      </c>
      <c r="S590" s="15" t="s">
        <v>4517</v>
      </c>
    </row>
    <row r="591" spans="1:19" ht="15.75">
      <c r="A591" s="106" t="str">
        <f t="shared" si="18"/>
        <v>nonono</v>
      </c>
      <c r="B591" s="21" t="s">
        <v>4518</v>
      </c>
      <c r="C591" s="15" t="s">
        <v>4519</v>
      </c>
      <c r="D591" s="24" t="s">
        <v>4520</v>
      </c>
      <c r="E591" s="24" t="s">
        <v>201</v>
      </c>
      <c r="F591" s="24">
        <v>1</v>
      </c>
      <c r="G591" s="222">
        <v>0.81</v>
      </c>
      <c r="H591" s="24">
        <v>12</v>
      </c>
      <c r="I591" s="196" t="s">
        <v>4521</v>
      </c>
      <c r="J591" s="24" t="s">
        <v>40</v>
      </c>
      <c r="K591" s="24" t="s">
        <v>1153</v>
      </c>
      <c r="L591" s="24">
        <v>13313625098</v>
      </c>
      <c r="M591" s="24" t="s">
        <v>1154</v>
      </c>
      <c r="N591" s="231" t="s">
        <v>4522</v>
      </c>
      <c r="O591" t="s">
        <v>1154</v>
      </c>
      <c r="P591">
        <v>13313625098</v>
      </c>
      <c r="Q591" s="122" t="s">
        <v>4523</v>
      </c>
      <c r="R591">
        <f t="shared" si="19"/>
        <v>4</v>
      </c>
      <c r="S591" s="15" t="s">
        <v>4524</v>
      </c>
    </row>
    <row r="592" spans="1:19" ht="15.75">
      <c r="A592" s="106" t="str">
        <f t="shared" si="18"/>
        <v>nonono</v>
      </c>
      <c r="B592" s="21" t="s">
        <v>4525</v>
      </c>
      <c r="C592" s="31" t="s">
        <v>4526</v>
      </c>
      <c r="D592" s="37" t="s">
        <v>1532</v>
      </c>
      <c r="E592" s="37" t="s">
        <v>1533</v>
      </c>
      <c r="F592" s="37">
        <v>1</v>
      </c>
      <c r="G592" s="116">
        <v>1.49</v>
      </c>
      <c r="H592" s="37">
        <v>15</v>
      </c>
      <c r="I592" s="37" t="s">
        <v>1534</v>
      </c>
      <c r="J592" s="117" t="s">
        <v>40</v>
      </c>
      <c r="K592" s="171" t="s">
        <v>2956</v>
      </c>
      <c r="L592" s="171">
        <v>13050379788</v>
      </c>
      <c r="M592" s="171" t="s">
        <v>2957</v>
      </c>
      <c r="N592" s="122" t="s">
        <v>4527</v>
      </c>
      <c r="O592" s="123" t="s">
        <v>4528</v>
      </c>
      <c r="P592" s="134">
        <v>18741560808</v>
      </c>
      <c r="Q592" s="122" t="s">
        <v>4529</v>
      </c>
      <c r="R592">
        <f t="shared" si="19"/>
        <v>4</v>
      </c>
      <c r="S592" s="15" t="s">
        <v>4530</v>
      </c>
    </row>
    <row r="593" spans="1:19" ht="15.75">
      <c r="A593" s="106" t="str">
        <f t="shared" si="18"/>
        <v>nonono</v>
      </c>
      <c r="B593" s="21" t="s">
        <v>4531</v>
      </c>
      <c r="C593" s="31" t="s">
        <v>4532</v>
      </c>
      <c r="D593" s="37" t="s">
        <v>1543</v>
      </c>
      <c r="E593" s="37" t="s">
        <v>1533</v>
      </c>
      <c r="F593" s="37">
        <v>1</v>
      </c>
      <c r="G593" s="116">
        <v>1.49</v>
      </c>
      <c r="H593" s="37">
        <v>15</v>
      </c>
      <c r="I593" s="37" t="s">
        <v>1534</v>
      </c>
      <c r="J593" s="117" t="s">
        <v>40</v>
      </c>
      <c r="K593" s="171" t="s">
        <v>2956</v>
      </c>
      <c r="L593" s="171">
        <v>13050379788</v>
      </c>
      <c r="M593" s="171" t="s">
        <v>2957</v>
      </c>
      <c r="N593" s="122" t="s">
        <v>4533</v>
      </c>
      <c r="O593" t="s">
        <v>2957</v>
      </c>
      <c r="P593" s="126">
        <v>13050379788</v>
      </c>
      <c r="Q593" s="122" t="s">
        <v>4534</v>
      </c>
      <c r="R593">
        <f t="shared" si="19"/>
        <v>4</v>
      </c>
      <c r="S593" s="15" t="s">
        <v>4535</v>
      </c>
    </row>
    <row r="594" spans="1:19" ht="15.75">
      <c r="A594" s="106" t="str">
        <f t="shared" si="18"/>
        <v>nonono</v>
      </c>
      <c r="B594" s="21" t="s">
        <v>4536</v>
      </c>
      <c r="C594" s="37" t="s">
        <v>4537</v>
      </c>
      <c r="D594" s="37" t="s">
        <v>1551</v>
      </c>
      <c r="E594" s="37" t="s">
        <v>1552</v>
      </c>
      <c r="F594" s="37">
        <v>1</v>
      </c>
      <c r="G594" s="116">
        <v>1.95</v>
      </c>
      <c r="H594" s="107">
        <v>15</v>
      </c>
      <c r="I594" s="37" t="s">
        <v>1553</v>
      </c>
      <c r="J594" s="110" t="s">
        <v>40</v>
      </c>
      <c r="K594" s="171" t="s">
        <v>2642</v>
      </c>
      <c r="L594" s="171">
        <v>13050323110</v>
      </c>
      <c r="M594" s="171" t="s">
        <v>2643</v>
      </c>
      <c r="N594" s="122" t="s">
        <v>4538</v>
      </c>
      <c r="O594" t="s">
        <v>2643</v>
      </c>
      <c r="P594" s="126">
        <v>13050323110</v>
      </c>
      <c r="Q594" s="122" t="s">
        <v>4539</v>
      </c>
      <c r="R594">
        <f t="shared" si="19"/>
        <v>2</v>
      </c>
      <c r="S594" s="15" t="s">
        <v>4540</v>
      </c>
    </row>
    <row r="595" spans="1:19" ht="15.75">
      <c r="A595" s="106" t="str">
        <f t="shared" si="18"/>
        <v>nonono</v>
      </c>
      <c r="B595" s="21" t="s">
        <v>4541</v>
      </c>
      <c r="C595" s="15" t="s">
        <v>4542</v>
      </c>
      <c r="D595" s="24" t="s">
        <v>4543</v>
      </c>
      <c r="E595" s="24" t="s">
        <v>261</v>
      </c>
      <c r="F595" s="24">
        <v>1</v>
      </c>
      <c r="G595" s="222">
        <v>1.49</v>
      </c>
      <c r="H595" s="24">
        <v>10</v>
      </c>
      <c r="I595" s="196" t="s">
        <v>262</v>
      </c>
      <c r="J595" s="24" t="s">
        <v>40</v>
      </c>
      <c r="K595" s="24" t="s">
        <v>321</v>
      </c>
      <c r="L595" s="24">
        <v>13701078667</v>
      </c>
      <c r="M595" s="24" t="s">
        <v>322</v>
      </c>
      <c r="N595" s="122" t="s">
        <v>4544</v>
      </c>
      <c r="O595" s="123" t="s">
        <v>4545</v>
      </c>
      <c r="P595" s="128">
        <v>18911776231</v>
      </c>
      <c r="Q595" s="122" t="s">
        <v>4546</v>
      </c>
      <c r="R595">
        <f t="shared" si="19"/>
        <v>4</v>
      </c>
      <c r="S595" s="15" t="s">
        <v>4547</v>
      </c>
    </row>
    <row r="596" spans="1:19" ht="15.75">
      <c r="A596" s="106" t="str">
        <f t="shared" si="18"/>
        <v>nonono</v>
      </c>
      <c r="B596" s="21" t="s">
        <v>4548</v>
      </c>
      <c r="C596" s="15" t="s">
        <v>4549</v>
      </c>
      <c r="D596" s="24" t="s">
        <v>4550</v>
      </c>
      <c r="E596" s="24" t="s">
        <v>281</v>
      </c>
      <c r="F596" s="24">
        <v>1</v>
      </c>
      <c r="G596" s="222">
        <v>1.49</v>
      </c>
      <c r="H596" s="24">
        <v>10</v>
      </c>
      <c r="I596" s="196" t="s">
        <v>4551</v>
      </c>
      <c r="J596" s="24" t="s">
        <v>40</v>
      </c>
      <c r="K596" s="24" t="s">
        <v>1171</v>
      </c>
      <c r="L596" s="24">
        <v>13689911637</v>
      </c>
      <c r="M596" s="186" t="s">
        <v>1172</v>
      </c>
      <c r="N596" s="126" t="s">
        <v>1171</v>
      </c>
      <c r="O596" t="s">
        <v>1172</v>
      </c>
      <c r="P596">
        <v>13689911637</v>
      </c>
      <c r="Q596" s="126" t="s">
        <v>4552</v>
      </c>
      <c r="R596">
        <f t="shared" si="19"/>
        <v>4</v>
      </c>
      <c r="S596" s="15" t="s">
        <v>4553</v>
      </c>
    </row>
    <row r="597" spans="1:19" ht="15.75">
      <c r="A597" s="106" t="str">
        <f t="shared" si="18"/>
        <v>nonono</v>
      </c>
      <c r="B597" s="21" t="s">
        <v>4554</v>
      </c>
      <c r="C597" s="15" t="s">
        <v>4555</v>
      </c>
      <c r="D597" s="24" t="s">
        <v>4556</v>
      </c>
      <c r="E597" s="24" t="s">
        <v>281</v>
      </c>
      <c r="F597" s="24">
        <v>1</v>
      </c>
      <c r="G597" s="222">
        <v>1.26</v>
      </c>
      <c r="H597" s="24">
        <v>13</v>
      </c>
      <c r="I597" s="196" t="s">
        <v>1318</v>
      </c>
      <c r="J597" s="24" t="s">
        <v>40</v>
      </c>
      <c r="K597" s="23" t="s">
        <v>3513</v>
      </c>
      <c r="L597" s="24">
        <v>13999205305</v>
      </c>
      <c r="M597" s="24" t="s">
        <v>3514</v>
      </c>
      <c r="N597" s="122" t="s">
        <v>4557</v>
      </c>
      <c r="O597" t="s">
        <v>3514</v>
      </c>
      <c r="P597">
        <v>13999205305</v>
      </c>
      <c r="Q597" s="122" t="s">
        <v>4558</v>
      </c>
      <c r="R597">
        <f t="shared" si="19"/>
        <v>2</v>
      </c>
      <c r="S597" s="15" t="s">
        <v>4559</v>
      </c>
    </row>
    <row r="598" spans="1:19" ht="15.75">
      <c r="A598" s="106" t="str">
        <f t="shared" si="18"/>
        <v>nonono</v>
      </c>
      <c r="B598" s="21" t="s">
        <v>4560</v>
      </c>
      <c r="C598" s="15" t="s">
        <v>4561</v>
      </c>
      <c r="D598" s="23" t="s">
        <v>4562</v>
      </c>
      <c r="E598" s="23" t="s">
        <v>261</v>
      </c>
      <c r="F598" s="24">
        <v>1</v>
      </c>
      <c r="G598" s="222">
        <v>1.04</v>
      </c>
      <c r="H598" s="23">
        <v>10</v>
      </c>
      <c r="I598" s="196" t="s">
        <v>262</v>
      </c>
      <c r="J598" s="23" t="s">
        <v>40</v>
      </c>
      <c r="K598" s="24" t="s">
        <v>1181</v>
      </c>
      <c r="L598" s="24">
        <v>13321152741</v>
      </c>
      <c r="M598" s="24" t="s">
        <v>1182</v>
      </c>
      <c r="N598" s="122" t="s">
        <v>4563</v>
      </c>
      <c r="O598" t="s">
        <v>1182</v>
      </c>
      <c r="P598" s="126">
        <v>13321152741</v>
      </c>
      <c r="Q598" s="122" t="s">
        <v>4564</v>
      </c>
      <c r="R598">
        <f t="shared" si="19"/>
        <v>4</v>
      </c>
      <c r="S598" s="15" t="s">
        <v>4565</v>
      </c>
    </row>
    <row r="599" spans="1:19" ht="15.75">
      <c r="B599" s="21" t="s">
        <v>4566</v>
      </c>
      <c r="C599" s="28" t="s">
        <v>4567</v>
      </c>
      <c r="D599" s="107" t="s">
        <v>1274</v>
      </c>
      <c r="E599" s="107" t="s">
        <v>420</v>
      </c>
      <c r="F599" s="107">
        <v>1</v>
      </c>
      <c r="G599" s="108">
        <v>0.81</v>
      </c>
      <c r="H599" s="107">
        <v>2</v>
      </c>
      <c r="I599" s="109"/>
      <c r="J599" s="107" t="s">
        <v>40</v>
      </c>
      <c r="K599" s="162" t="s">
        <v>1429</v>
      </c>
      <c r="L599" s="163">
        <v>17180669418</v>
      </c>
      <c r="M599" s="164" t="s">
        <v>1430</v>
      </c>
      <c r="N599" s="122" t="s">
        <v>4568</v>
      </c>
      <c r="O599" s="123" t="s">
        <v>4569</v>
      </c>
      <c r="P599" s="139">
        <v>13827101733</v>
      </c>
      <c r="Q599" s="122" t="s">
        <v>4570</v>
      </c>
      <c r="R599">
        <f t="shared" si="19"/>
        <v>4</v>
      </c>
      <c r="S599" s="15" t="s">
        <v>4571</v>
      </c>
    </row>
    <row r="600" spans="1:19" ht="15.75">
      <c r="B600" s="21" t="s">
        <v>4572</v>
      </c>
      <c r="C600" s="34" t="s">
        <v>4573</v>
      </c>
      <c r="D600" s="107" t="s">
        <v>1274</v>
      </c>
      <c r="E600" s="107" t="s">
        <v>420</v>
      </c>
      <c r="F600" s="107">
        <v>1</v>
      </c>
      <c r="G600" s="108">
        <v>0.81</v>
      </c>
      <c r="H600" s="107">
        <v>2</v>
      </c>
      <c r="I600" s="109"/>
      <c r="J600" s="107" t="s">
        <v>40</v>
      </c>
      <c r="K600" s="162" t="s">
        <v>1357</v>
      </c>
      <c r="L600" s="163">
        <v>18928770178</v>
      </c>
      <c r="M600" s="164" t="s">
        <v>1437</v>
      </c>
      <c r="N600" s="122" t="s">
        <v>4574</v>
      </c>
      <c r="O600" t="s">
        <v>1437</v>
      </c>
      <c r="P600">
        <v>18928770178</v>
      </c>
      <c r="Q600" s="122" t="s">
        <v>4575</v>
      </c>
      <c r="R600">
        <f t="shared" si="19"/>
        <v>4</v>
      </c>
      <c r="S600" s="15" t="s">
        <v>4576</v>
      </c>
    </row>
    <row r="601" spans="1:19" ht="15.75">
      <c r="A601" s="106" t="str">
        <f>IF(B601=C601,"","nonono")</f>
        <v>nonono</v>
      </c>
      <c r="B601" s="21" t="s">
        <v>4577</v>
      </c>
      <c r="C601" s="28" t="s">
        <v>4578</v>
      </c>
      <c r="D601" s="107" t="s">
        <v>1340</v>
      </c>
      <c r="E601" s="107" t="s">
        <v>706</v>
      </c>
      <c r="F601" s="107">
        <v>1</v>
      </c>
      <c r="G601" s="108">
        <v>1.49</v>
      </c>
      <c r="H601" s="107">
        <v>10</v>
      </c>
      <c r="I601" s="109" t="s">
        <v>70</v>
      </c>
      <c r="J601" s="107" t="s">
        <v>29</v>
      </c>
      <c r="K601" s="162" t="s">
        <v>1325</v>
      </c>
      <c r="L601" s="163">
        <v>17098899489</v>
      </c>
      <c r="M601" s="164" t="s">
        <v>1326</v>
      </c>
      <c r="N601" s="122" t="s">
        <v>4579</v>
      </c>
      <c r="O601" s="123" t="s">
        <v>4580</v>
      </c>
      <c r="P601" s="131">
        <v>13652892275</v>
      </c>
      <c r="Q601" s="122" t="s">
        <v>4581</v>
      </c>
      <c r="R601">
        <f t="shared" si="19"/>
        <v>4</v>
      </c>
      <c r="S601" s="15" t="s">
        <v>4582</v>
      </c>
    </row>
    <row r="602" spans="1:19" ht="15.75">
      <c r="B602" s="21" t="s">
        <v>4583</v>
      </c>
      <c r="C602" s="28" t="s">
        <v>4584</v>
      </c>
      <c r="D602" s="107" t="s">
        <v>1340</v>
      </c>
      <c r="E602" s="107" t="s">
        <v>706</v>
      </c>
      <c r="F602" s="107">
        <v>1</v>
      </c>
      <c r="G602" s="108">
        <v>1.49</v>
      </c>
      <c r="H602" s="107">
        <v>10</v>
      </c>
      <c r="I602" s="109" t="s">
        <v>70</v>
      </c>
      <c r="J602" s="107" t="s">
        <v>29</v>
      </c>
      <c r="K602" s="162" t="s">
        <v>3598</v>
      </c>
      <c r="L602" s="163">
        <v>18926224407</v>
      </c>
      <c r="M602" s="164" t="s">
        <v>3599</v>
      </c>
      <c r="N602" s="122" t="s">
        <v>4585</v>
      </c>
      <c r="O602" s="123" t="s">
        <v>4586</v>
      </c>
      <c r="P602" s="185">
        <v>15917566134</v>
      </c>
      <c r="Q602" s="122" t="s">
        <v>4587</v>
      </c>
      <c r="R602">
        <f t="shared" si="19"/>
        <v>2</v>
      </c>
      <c r="S602" s="15" t="s">
        <v>4588</v>
      </c>
    </row>
    <row r="603" spans="1:19" ht="15.75">
      <c r="B603" s="21" t="s">
        <v>4589</v>
      </c>
      <c r="C603" s="15" t="s">
        <v>4590</v>
      </c>
      <c r="D603" s="110" t="s">
        <v>4591</v>
      </c>
      <c r="E603" s="107" t="s">
        <v>69</v>
      </c>
      <c r="F603" s="107">
        <v>1</v>
      </c>
      <c r="G603" s="108">
        <v>2.17</v>
      </c>
      <c r="H603" s="107">
        <v>11</v>
      </c>
      <c r="I603" s="137" t="s">
        <v>402</v>
      </c>
      <c r="J603" s="110" t="s">
        <v>40</v>
      </c>
      <c r="K603" s="110" t="s">
        <v>660</v>
      </c>
      <c r="L603" s="107">
        <v>13135347968</v>
      </c>
      <c r="M603" s="110" t="s">
        <v>661</v>
      </c>
      <c r="N603" s="122" t="s">
        <v>4592</v>
      </c>
      <c r="O603" t="s">
        <v>661</v>
      </c>
      <c r="P603" s="126">
        <v>13135347968</v>
      </c>
      <c r="Q603" s="122" t="s">
        <v>4593</v>
      </c>
      <c r="R603">
        <f t="shared" si="19"/>
        <v>4</v>
      </c>
      <c r="S603" s="15" t="s">
        <v>4594</v>
      </c>
    </row>
    <row r="604" spans="1:19" ht="15.75">
      <c r="A604" s="106" t="str">
        <f>IF(B604=C604,"","nonono")</f>
        <v>nonono</v>
      </c>
      <c r="B604" s="21" t="s">
        <v>4595</v>
      </c>
      <c r="C604" s="15" t="s">
        <v>4596</v>
      </c>
      <c r="D604" s="110" t="s">
        <v>4597</v>
      </c>
      <c r="E604" s="107" t="s">
        <v>4598</v>
      </c>
      <c r="F604" s="107">
        <v>1</v>
      </c>
      <c r="G604" s="108">
        <v>1.49</v>
      </c>
      <c r="H604" s="107">
        <v>10</v>
      </c>
      <c r="I604" s="137" t="s">
        <v>944</v>
      </c>
      <c r="J604" s="110" t="s">
        <v>29</v>
      </c>
      <c r="K604" s="110" t="s">
        <v>2043</v>
      </c>
      <c r="L604" s="107">
        <v>13824680321</v>
      </c>
      <c r="M604" s="110" t="s">
        <v>2044</v>
      </c>
      <c r="N604" s="122" t="s">
        <v>4599</v>
      </c>
      <c r="O604" s="123" t="s">
        <v>4600</v>
      </c>
      <c r="P604" s="131">
        <v>13822732280</v>
      </c>
      <c r="Q604" s="122" t="s">
        <v>4601</v>
      </c>
      <c r="R604">
        <f t="shared" si="19"/>
        <v>3</v>
      </c>
      <c r="S604" s="15" t="s">
        <v>4602</v>
      </c>
    </row>
    <row r="605" spans="1:19" ht="15.75">
      <c r="B605" s="21" t="s">
        <v>4603</v>
      </c>
      <c r="C605" s="15" t="s">
        <v>4604</v>
      </c>
      <c r="D605" s="110" t="s">
        <v>4605</v>
      </c>
      <c r="E605" s="107" t="s">
        <v>4606</v>
      </c>
      <c r="F605" s="107">
        <v>1</v>
      </c>
      <c r="G605" s="108">
        <v>0.81</v>
      </c>
      <c r="H605" s="107">
        <v>4</v>
      </c>
      <c r="I605" s="109" t="s">
        <v>4607</v>
      </c>
      <c r="J605" s="110" t="s">
        <v>29</v>
      </c>
      <c r="K605" s="110" t="s">
        <v>4608</v>
      </c>
      <c r="L605" s="107">
        <v>13978328608</v>
      </c>
      <c r="M605" s="110" t="s">
        <v>4609</v>
      </c>
      <c r="N605" s="126" t="s">
        <v>4608</v>
      </c>
      <c r="O605" t="s">
        <v>4609</v>
      </c>
      <c r="P605" s="126">
        <v>13978328608</v>
      </c>
      <c r="Q605" s="126" t="s">
        <v>4610</v>
      </c>
      <c r="R605">
        <f t="shared" si="19"/>
        <v>1</v>
      </c>
      <c r="S605" s="15" t="s">
        <v>4611</v>
      </c>
    </row>
    <row r="606" spans="1:19" ht="15.75">
      <c r="B606" s="21" t="s">
        <v>4612</v>
      </c>
      <c r="C606" s="15" t="s">
        <v>4613</v>
      </c>
      <c r="D606" s="110" t="s">
        <v>4614</v>
      </c>
      <c r="E606" s="107" t="s">
        <v>2920</v>
      </c>
      <c r="F606" s="107">
        <v>1</v>
      </c>
      <c r="G606" s="108">
        <v>0.81</v>
      </c>
      <c r="H606" s="107">
        <v>2</v>
      </c>
      <c r="I606" s="109"/>
      <c r="J606" s="110" t="s">
        <v>103</v>
      </c>
      <c r="K606" s="110" t="s">
        <v>4615</v>
      </c>
      <c r="L606" s="107">
        <v>13802672268</v>
      </c>
      <c r="M606" s="110" t="s">
        <v>4616</v>
      </c>
      <c r="N606" s="126" t="s">
        <v>4615</v>
      </c>
      <c r="O606" t="s">
        <v>4616</v>
      </c>
      <c r="P606">
        <v>13802672268</v>
      </c>
      <c r="Q606" s="126" t="s">
        <v>4617</v>
      </c>
      <c r="R606">
        <f t="shared" si="19"/>
        <v>1</v>
      </c>
      <c r="S606" s="15" t="s">
        <v>4618</v>
      </c>
    </row>
    <row r="607" spans="1:19" ht="15.75">
      <c r="B607" s="21" t="s">
        <v>4619</v>
      </c>
      <c r="C607" s="15" t="s">
        <v>4620</v>
      </c>
      <c r="D607" s="107" t="s">
        <v>4621</v>
      </c>
      <c r="E607" s="37" t="s">
        <v>4622</v>
      </c>
      <c r="F607" s="107">
        <v>1</v>
      </c>
      <c r="G607" s="108">
        <v>0.81</v>
      </c>
      <c r="H607" s="107">
        <v>4</v>
      </c>
      <c r="I607" s="109" t="s">
        <v>4623</v>
      </c>
      <c r="J607" s="110" t="s">
        <v>103</v>
      </c>
      <c r="K607" s="110" t="s">
        <v>4624</v>
      </c>
      <c r="L607" s="107">
        <v>13730810067</v>
      </c>
      <c r="M607" s="135" t="s">
        <v>4625</v>
      </c>
      <c r="N607" s="122" t="s">
        <v>4626</v>
      </c>
      <c r="O607" t="s">
        <v>4625</v>
      </c>
      <c r="P607">
        <v>13730810067</v>
      </c>
      <c r="Q607" s="122" t="s">
        <v>4627</v>
      </c>
      <c r="R607">
        <f t="shared" si="19"/>
        <v>1</v>
      </c>
      <c r="S607" s="15" t="s">
        <v>4628</v>
      </c>
    </row>
    <row r="608" spans="1:19" ht="15.75">
      <c r="A608" s="106" t="str">
        <f>IF(B608=C608,"","nonono")</f>
        <v>nonono</v>
      </c>
      <c r="B608" s="21" t="s">
        <v>4629</v>
      </c>
      <c r="C608" s="15" t="s">
        <v>4630</v>
      </c>
      <c r="D608" s="110" t="s">
        <v>4631</v>
      </c>
      <c r="E608" s="37" t="s">
        <v>4632</v>
      </c>
      <c r="F608" s="107">
        <v>1</v>
      </c>
      <c r="G608" s="108">
        <v>0.81</v>
      </c>
      <c r="H608" s="107">
        <v>13</v>
      </c>
      <c r="I608" s="137" t="s">
        <v>4633</v>
      </c>
      <c r="J608" s="110" t="s">
        <v>29</v>
      </c>
      <c r="K608" s="110" t="s">
        <v>4634</v>
      </c>
      <c r="L608" s="107">
        <v>18695618599</v>
      </c>
      <c r="M608" s="142" t="s">
        <v>4635</v>
      </c>
      <c r="N608" s="126" t="s">
        <v>4634</v>
      </c>
      <c r="O608" s="123" t="s">
        <v>4636</v>
      </c>
      <c r="P608" s="128">
        <v>18650360515</v>
      </c>
      <c r="Q608" s="126" t="s">
        <v>4637</v>
      </c>
      <c r="R608">
        <f t="shared" si="19"/>
        <v>1</v>
      </c>
      <c r="S608" s="15" t="s">
        <v>4638</v>
      </c>
    </row>
    <row r="609" spans="1:19" ht="15.75">
      <c r="B609" s="21" t="s">
        <v>4639</v>
      </c>
      <c r="C609" s="15" t="s">
        <v>4640</v>
      </c>
      <c r="D609" s="37" t="s">
        <v>4641</v>
      </c>
      <c r="E609" s="37" t="s">
        <v>4642</v>
      </c>
      <c r="F609" s="37">
        <v>1</v>
      </c>
      <c r="G609" s="116">
        <v>1.49</v>
      </c>
      <c r="H609" s="37">
        <v>6</v>
      </c>
      <c r="I609" s="109" t="s">
        <v>4643</v>
      </c>
      <c r="J609" s="110" t="s">
        <v>103</v>
      </c>
      <c r="K609" s="110" t="s">
        <v>3086</v>
      </c>
      <c r="L609" s="107">
        <v>15080609972</v>
      </c>
      <c r="M609" s="117" t="s">
        <v>3087</v>
      </c>
      <c r="N609" s="122" t="s">
        <v>4644</v>
      </c>
      <c r="O609" t="s">
        <v>3087</v>
      </c>
      <c r="P609" s="126">
        <v>15080609972</v>
      </c>
      <c r="Q609" s="122" t="s">
        <v>4645</v>
      </c>
      <c r="R609">
        <f t="shared" si="19"/>
        <v>3</v>
      </c>
      <c r="S609" s="15" t="s">
        <v>4646</v>
      </c>
    </row>
    <row r="610" spans="1:19" ht="15.75">
      <c r="B610" s="21" t="s">
        <v>4647</v>
      </c>
      <c r="C610" s="15" t="s">
        <v>4648</v>
      </c>
      <c r="D610" s="110" t="s">
        <v>4649</v>
      </c>
      <c r="E610" s="107" t="s">
        <v>69</v>
      </c>
      <c r="F610" s="107">
        <v>1</v>
      </c>
      <c r="G610" s="108">
        <v>0.81</v>
      </c>
      <c r="H610" s="107">
        <v>10</v>
      </c>
      <c r="I610" s="109" t="s">
        <v>4650</v>
      </c>
      <c r="J610" s="110" t="s">
        <v>40</v>
      </c>
      <c r="K610" s="110" t="s">
        <v>752</v>
      </c>
      <c r="L610" s="107">
        <v>18958811267</v>
      </c>
      <c r="M610" s="110" t="s">
        <v>753</v>
      </c>
      <c r="N610" s="122" t="s">
        <v>4651</v>
      </c>
      <c r="O610" t="s">
        <v>753</v>
      </c>
      <c r="P610" s="126">
        <v>18958811267</v>
      </c>
      <c r="Q610" s="122" t="s">
        <v>4652</v>
      </c>
      <c r="R610">
        <f t="shared" si="19"/>
        <v>4</v>
      </c>
      <c r="S610" s="15" t="s">
        <v>4653</v>
      </c>
    </row>
    <row r="611" spans="1:19" ht="15.75">
      <c r="A611" s="106" t="str">
        <f>IF(B611=C611,"","nonono")</f>
        <v>nonono</v>
      </c>
      <c r="B611" s="21" t="s">
        <v>4654</v>
      </c>
      <c r="C611" s="15" t="s">
        <v>4655</v>
      </c>
      <c r="D611" s="110" t="s">
        <v>4656</v>
      </c>
      <c r="E611" s="37" t="s">
        <v>122</v>
      </c>
      <c r="F611" s="107">
        <v>1</v>
      </c>
      <c r="G611" s="108">
        <v>0.35</v>
      </c>
      <c r="H611" s="107">
        <v>3</v>
      </c>
      <c r="I611" s="109" t="s">
        <v>4657</v>
      </c>
      <c r="J611" s="110" t="s">
        <v>29</v>
      </c>
      <c r="K611" s="110" t="s">
        <v>3184</v>
      </c>
      <c r="L611" s="107">
        <v>13903460303</v>
      </c>
      <c r="M611" s="110" t="s">
        <v>3185</v>
      </c>
      <c r="N611" s="122" t="s">
        <v>4658</v>
      </c>
      <c r="O611" t="s">
        <v>3185</v>
      </c>
      <c r="P611">
        <v>13903460303</v>
      </c>
      <c r="Q611" s="122" t="s">
        <v>4659</v>
      </c>
      <c r="R611">
        <f t="shared" si="19"/>
        <v>3</v>
      </c>
      <c r="S611" s="15" t="s">
        <v>4660</v>
      </c>
    </row>
    <row r="612" spans="1:19" ht="15.75">
      <c r="B612" s="21" t="s">
        <v>4661</v>
      </c>
      <c r="C612" s="34" t="s">
        <v>4662</v>
      </c>
      <c r="D612" s="107" t="s">
        <v>1340</v>
      </c>
      <c r="E612" s="107" t="s">
        <v>706</v>
      </c>
      <c r="F612" s="107">
        <v>1</v>
      </c>
      <c r="G612" s="108">
        <v>1.49</v>
      </c>
      <c r="H612" s="107">
        <v>10</v>
      </c>
      <c r="I612" s="109" t="s">
        <v>70</v>
      </c>
      <c r="J612" s="107" t="s">
        <v>29</v>
      </c>
      <c r="K612" s="163" t="s">
        <v>4663</v>
      </c>
      <c r="L612" s="34">
        <v>13922769996</v>
      </c>
      <c r="M612" s="34" t="s">
        <v>4664</v>
      </c>
      <c r="N612" s="126" t="s">
        <v>4663</v>
      </c>
      <c r="O612" s="123" t="s">
        <v>4665</v>
      </c>
      <c r="P612" s="131">
        <v>18320738856</v>
      </c>
      <c r="Q612" s="126" t="s">
        <v>4666</v>
      </c>
      <c r="R612">
        <f t="shared" si="19"/>
        <v>1</v>
      </c>
      <c r="S612" s="15" t="s">
        <v>4667</v>
      </c>
    </row>
    <row r="613" spans="1:19" ht="15.75">
      <c r="B613" s="21" t="s">
        <v>4668</v>
      </c>
      <c r="C613" s="28" t="s">
        <v>4669</v>
      </c>
      <c r="D613" s="107" t="s">
        <v>1340</v>
      </c>
      <c r="E613" s="107" t="s">
        <v>706</v>
      </c>
      <c r="F613" s="107">
        <v>1</v>
      </c>
      <c r="G613" s="108">
        <v>1.49</v>
      </c>
      <c r="H613" s="107">
        <v>10</v>
      </c>
      <c r="I613" s="109" t="s">
        <v>70</v>
      </c>
      <c r="J613" s="107" t="s">
        <v>29</v>
      </c>
      <c r="K613" s="34" t="s">
        <v>1275</v>
      </c>
      <c r="L613" s="34">
        <v>18926220287</v>
      </c>
      <c r="M613" s="34" t="s">
        <v>2492</v>
      </c>
      <c r="N613" s="122" t="s">
        <v>4670</v>
      </c>
      <c r="O613" s="123" t="s">
        <v>4671</v>
      </c>
      <c r="P613" s="125">
        <v>13509977738</v>
      </c>
      <c r="Q613" s="122" t="s">
        <v>4672</v>
      </c>
      <c r="R613">
        <f t="shared" si="19"/>
        <v>5</v>
      </c>
      <c r="S613" s="15" t="s">
        <v>4673</v>
      </c>
    </row>
    <row r="614" spans="1:19" ht="15.75">
      <c r="B614" s="21" t="s">
        <v>4674</v>
      </c>
      <c r="C614" s="15" t="s">
        <v>4675</v>
      </c>
      <c r="D614" s="110" t="s">
        <v>1274</v>
      </c>
      <c r="E614" s="107" t="s">
        <v>420</v>
      </c>
      <c r="F614" s="107">
        <v>1</v>
      </c>
      <c r="G614" s="108">
        <v>1.26</v>
      </c>
      <c r="H614" s="107">
        <v>2</v>
      </c>
      <c r="I614" s="109"/>
      <c r="J614" s="110" t="s">
        <v>40</v>
      </c>
      <c r="K614" s="162" t="s">
        <v>1325</v>
      </c>
      <c r="L614" s="163">
        <v>17098899489</v>
      </c>
      <c r="M614" s="164" t="s">
        <v>1326</v>
      </c>
      <c r="N614" s="122" t="s">
        <v>4676</v>
      </c>
      <c r="O614" s="123" t="s">
        <v>4677</v>
      </c>
      <c r="P614" s="139">
        <v>13763084022</v>
      </c>
      <c r="Q614" s="122" t="s">
        <v>4678</v>
      </c>
      <c r="R614">
        <f t="shared" si="19"/>
        <v>4</v>
      </c>
      <c r="S614" s="15" t="s">
        <v>4679</v>
      </c>
    </row>
    <row r="615" spans="1:19" ht="15.75">
      <c r="B615" s="21" t="s">
        <v>4680</v>
      </c>
      <c r="C615" s="15" t="s">
        <v>4681</v>
      </c>
      <c r="D615" s="110" t="s">
        <v>705</v>
      </c>
      <c r="E615" s="107" t="s">
        <v>706</v>
      </c>
      <c r="F615" s="107">
        <v>1</v>
      </c>
      <c r="G615" s="116">
        <v>1.95</v>
      </c>
      <c r="H615" s="107">
        <v>14</v>
      </c>
      <c r="I615" s="137" t="s">
        <v>402</v>
      </c>
      <c r="J615" s="110" t="s">
        <v>29</v>
      </c>
      <c r="K615" s="117" t="s">
        <v>1365</v>
      </c>
      <c r="L615" s="37">
        <v>18766077610</v>
      </c>
      <c r="M615" s="117" t="s">
        <v>1366</v>
      </c>
      <c r="N615" s="122" t="s">
        <v>4682</v>
      </c>
      <c r="O615" s="123" t="s">
        <v>4683</v>
      </c>
      <c r="P615" s="167">
        <v>13600828862</v>
      </c>
      <c r="Q615" s="122" t="s">
        <v>4684</v>
      </c>
      <c r="R615">
        <f t="shared" si="19"/>
        <v>3</v>
      </c>
      <c r="S615" s="15" t="s">
        <v>4685</v>
      </c>
    </row>
    <row r="616" spans="1:19" ht="15.75">
      <c r="B616" s="21" t="s">
        <v>4686</v>
      </c>
      <c r="C616" s="17" t="s">
        <v>4687</v>
      </c>
      <c r="D616" s="110" t="s">
        <v>705</v>
      </c>
      <c r="E616" s="107" t="s">
        <v>706</v>
      </c>
      <c r="F616" s="107">
        <v>1</v>
      </c>
      <c r="G616" s="116">
        <v>1.95</v>
      </c>
      <c r="H616" s="107">
        <v>14</v>
      </c>
      <c r="I616" s="137" t="s">
        <v>402</v>
      </c>
      <c r="J616" s="110" t="s">
        <v>29</v>
      </c>
      <c r="K616" s="117" t="s">
        <v>363</v>
      </c>
      <c r="L616" s="37">
        <v>18105042053</v>
      </c>
      <c r="M616" s="117" t="s">
        <v>364</v>
      </c>
      <c r="N616" s="122" t="s">
        <v>4688</v>
      </c>
      <c r="O616" s="123" t="s">
        <v>4689</v>
      </c>
      <c r="P616" s="128">
        <v>18763310511</v>
      </c>
      <c r="Q616" s="122" t="s">
        <v>4690</v>
      </c>
      <c r="R616">
        <f t="shared" si="19"/>
        <v>2</v>
      </c>
      <c r="S616" s="15" t="s">
        <v>4691</v>
      </c>
    </row>
    <row r="617" spans="1:19" ht="15.75">
      <c r="B617" s="21" t="s">
        <v>4692</v>
      </c>
      <c r="C617" s="19" t="s">
        <v>4693</v>
      </c>
      <c r="D617" s="112" t="s">
        <v>173</v>
      </c>
      <c r="E617" s="113" t="s">
        <v>163</v>
      </c>
      <c r="F617" s="114">
        <v>1</v>
      </c>
      <c r="G617" s="115">
        <v>1.2636363636363599</v>
      </c>
      <c r="H617" s="114">
        <v>3</v>
      </c>
      <c r="I617" s="132"/>
      <c r="J617" s="133" t="s">
        <v>29</v>
      </c>
      <c r="K617" s="114" t="s">
        <v>1452</v>
      </c>
      <c r="L617" s="114">
        <v>13247860122</v>
      </c>
      <c r="M617" s="114" t="s">
        <v>1453</v>
      </c>
      <c r="N617" s="126" t="s">
        <v>1452</v>
      </c>
      <c r="O617" t="s">
        <v>1453</v>
      </c>
      <c r="P617" s="126">
        <v>13247860122</v>
      </c>
      <c r="Q617" s="126" t="s">
        <v>4694</v>
      </c>
      <c r="R617">
        <f t="shared" si="19"/>
        <v>2</v>
      </c>
      <c r="S617" s="15" t="s">
        <v>4695</v>
      </c>
    </row>
    <row r="618" spans="1:19" ht="15.75">
      <c r="B618" s="21" t="s">
        <v>4696</v>
      </c>
      <c r="C618" s="228" t="s">
        <v>4697</v>
      </c>
      <c r="D618" s="112" t="s">
        <v>162</v>
      </c>
      <c r="E618" s="113" t="s">
        <v>163</v>
      </c>
      <c r="F618" s="114">
        <v>1</v>
      </c>
      <c r="G618" s="115">
        <v>2.1727272727272702</v>
      </c>
      <c r="H618" s="114">
        <v>5</v>
      </c>
      <c r="I618" s="132" t="s">
        <v>164</v>
      </c>
      <c r="J618" s="133" t="s">
        <v>29</v>
      </c>
      <c r="K618" s="114" t="s">
        <v>1461</v>
      </c>
      <c r="L618" s="114">
        <v>13003229793</v>
      </c>
      <c r="M618" s="114" t="s">
        <v>1462</v>
      </c>
      <c r="N618" s="122" t="s">
        <v>4698</v>
      </c>
      <c r="O618" t="s">
        <v>1462</v>
      </c>
      <c r="P618" s="126">
        <v>13003229793</v>
      </c>
      <c r="Q618" s="122" t="s">
        <v>4699</v>
      </c>
      <c r="R618">
        <f t="shared" si="19"/>
        <v>4</v>
      </c>
      <c r="S618" s="15" t="s">
        <v>4700</v>
      </c>
    </row>
    <row r="619" spans="1:19" ht="15.75">
      <c r="B619" s="21" t="s">
        <v>4701</v>
      </c>
      <c r="C619" s="19" t="s">
        <v>4702</v>
      </c>
      <c r="D619" s="112" t="s">
        <v>4703</v>
      </c>
      <c r="E619" s="113" t="s">
        <v>163</v>
      </c>
      <c r="F619" s="114">
        <v>1</v>
      </c>
      <c r="G619" s="115">
        <v>3.0818181818181798</v>
      </c>
      <c r="H619" s="114">
        <v>4</v>
      </c>
      <c r="I619" s="132"/>
      <c r="J619" s="133" t="s">
        <v>29</v>
      </c>
      <c r="K619" s="114" t="s">
        <v>4704</v>
      </c>
      <c r="L619" s="114">
        <v>13873683768</v>
      </c>
      <c r="M619" s="114" t="s">
        <v>4705</v>
      </c>
      <c r="N619" s="126" t="s">
        <v>4704</v>
      </c>
      <c r="O619" t="s">
        <v>4705</v>
      </c>
      <c r="P619" s="126">
        <v>13873683768</v>
      </c>
      <c r="Q619" s="126" t="s">
        <v>4706</v>
      </c>
      <c r="R619">
        <f t="shared" si="19"/>
        <v>1</v>
      </c>
      <c r="S619" s="15" t="s">
        <v>4707</v>
      </c>
    </row>
    <row r="620" spans="1:19" ht="15.75">
      <c r="B620" s="21" t="s">
        <v>4708</v>
      </c>
      <c r="C620" s="19" t="s">
        <v>4709</v>
      </c>
      <c r="D620" s="112" t="s">
        <v>4710</v>
      </c>
      <c r="E620" s="113" t="s">
        <v>1451</v>
      </c>
      <c r="F620" s="114">
        <v>1</v>
      </c>
      <c r="G620" s="115">
        <v>1.2636363636363599</v>
      </c>
      <c r="H620" s="114">
        <v>3</v>
      </c>
      <c r="I620" s="132" t="s">
        <v>402</v>
      </c>
      <c r="J620" s="133" t="s">
        <v>29</v>
      </c>
      <c r="K620" s="114" t="s">
        <v>4711</v>
      </c>
      <c r="L620" s="114">
        <v>18797887263</v>
      </c>
      <c r="M620" s="114" t="s">
        <v>4712</v>
      </c>
      <c r="N620" s="126" t="s">
        <v>4711</v>
      </c>
      <c r="O620" t="s">
        <v>4712</v>
      </c>
      <c r="P620" s="126">
        <v>18797887263</v>
      </c>
      <c r="Q620" s="126" t="s">
        <v>4713</v>
      </c>
      <c r="R620">
        <f t="shared" si="19"/>
        <v>1</v>
      </c>
      <c r="S620" s="15" t="s">
        <v>4714</v>
      </c>
    </row>
    <row r="621" spans="1:19" ht="15.75">
      <c r="B621" s="21" t="s">
        <v>4715</v>
      </c>
      <c r="C621" s="15" t="s">
        <v>4716</v>
      </c>
      <c r="D621" s="110" t="s">
        <v>4717</v>
      </c>
      <c r="E621" s="37" t="s">
        <v>4718</v>
      </c>
      <c r="F621" s="107">
        <v>1</v>
      </c>
      <c r="G621" s="108">
        <v>1.04</v>
      </c>
      <c r="H621" s="107">
        <v>5</v>
      </c>
      <c r="I621" s="137" t="s">
        <v>4719</v>
      </c>
      <c r="J621" s="110" t="s">
        <v>103</v>
      </c>
      <c r="K621" s="142" t="s">
        <v>4720</v>
      </c>
      <c r="L621" s="24">
        <v>18550099980</v>
      </c>
      <c r="M621" s="142" t="s">
        <v>4721</v>
      </c>
      <c r="N621" s="122" t="s">
        <v>4722</v>
      </c>
      <c r="O621" t="s">
        <v>4721</v>
      </c>
      <c r="P621">
        <v>18550099980</v>
      </c>
      <c r="Q621" s="122" t="s">
        <v>4723</v>
      </c>
      <c r="R621">
        <f t="shared" si="19"/>
        <v>1</v>
      </c>
      <c r="S621" s="15" t="s">
        <v>4724</v>
      </c>
    </row>
    <row r="622" spans="1:19" ht="15.75">
      <c r="B622" s="21" t="s">
        <v>4725</v>
      </c>
      <c r="C622" s="15" t="s">
        <v>4726</v>
      </c>
      <c r="D622" s="110" t="s">
        <v>4727</v>
      </c>
      <c r="E622" s="107" t="s">
        <v>111</v>
      </c>
      <c r="F622" s="107">
        <v>1</v>
      </c>
      <c r="G622" s="108">
        <v>1.04</v>
      </c>
      <c r="H622" s="107">
        <v>13</v>
      </c>
      <c r="I622" s="109" t="s">
        <v>4728</v>
      </c>
      <c r="J622" s="110" t="s">
        <v>40</v>
      </c>
      <c r="K622" s="142" t="s">
        <v>803</v>
      </c>
      <c r="L622" s="196">
        <v>13905157909</v>
      </c>
      <c r="M622" s="142" t="s">
        <v>804</v>
      </c>
      <c r="N622" s="122" t="s">
        <v>4729</v>
      </c>
      <c r="O622" s="123" t="s">
        <v>4730</v>
      </c>
      <c r="P622" s="134">
        <v>18651877236</v>
      </c>
      <c r="Q622" s="122" t="s">
        <v>4731</v>
      </c>
      <c r="R622">
        <f t="shared" si="19"/>
        <v>4</v>
      </c>
      <c r="S622" s="15" t="s">
        <v>4732</v>
      </c>
    </row>
    <row r="623" spans="1:19" ht="15.75">
      <c r="B623" s="21" t="s">
        <v>4733</v>
      </c>
      <c r="C623" s="15" t="s">
        <v>4734</v>
      </c>
      <c r="D623" s="110" t="s">
        <v>2830</v>
      </c>
      <c r="E623" s="107" t="s">
        <v>625</v>
      </c>
      <c r="F623" s="107">
        <v>1</v>
      </c>
      <c r="G623" s="108">
        <v>1.04</v>
      </c>
      <c r="H623" s="107">
        <v>2</v>
      </c>
      <c r="I623" s="109" t="s">
        <v>4735</v>
      </c>
      <c r="J623" s="110" t="s">
        <v>40</v>
      </c>
      <c r="K623" s="142" t="s">
        <v>812</v>
      </c>
      <c r="L623" s="24">
        <v>13601026293</v>
      </c>
      <c r="M623" s="142" t="s">
        <v>813</v>
      </c>
      <c r="N623" s="122" t="s">
        <v>4736</v>
      </c>
      <c r="O623" t="s">
        <v>813</v>
      </c>
      <c r="P623" s="126">
        <v>13601026293</v>
      </c>
      <c r="Q623" s="122" t="s">
        <v>4737</v>
      </c>
      <c r="R623">
        <f t="shared" si="19"/>
        <v>4</v>
      </c>
      <c r="S623" s="15" t="s">
        <v>4738</v>
      </c>
    </row>
    <row r="624" spans="1:19" ht="15.75">
      <c r="B624" s="21" t="s">
        <v>4739</v>
      </c>
      <c r="C624" s="15" t="s">
        <v>4740</v>
      </c>
      <c r="D624" s="110" t="s">
        <v>4741</v>
      </c>
      <c r="E624" s="107" t="s">
        <v>69</v>
      </c>
      <c r="F624" s="107">
        <v>1</v>
      </c>
      <c r="G624" s="108">
        <v>1.04</v>
      </c>
      <c r="H624" s="107">
        <v>10</v>
      </c>
      <c r="I624" s="109" t="s">
        <v>2889</v>
      </c>
      <c r="J624" s="110" t="s">
        <v>40</v>
      </c>
      <c r="K624" s="142" t="s">
        <v>4742</v>
      </c>
      <c r="L624" s="24">
        <v>18906398821</v>
      </c>
      <c r="M624" s="142" t="s">
        <v>4743</v>
      </c>
      <c r="N624" s="126" t="s">
        <v>4742</v>
      </c>
      <c r="O624" t="s">
        <v>4743</v>
      </c>
      <c r="P624" s="126">
        <v>18906398821</v>
      </c>
      <c r="Q624" s="126" t="s">
        <v>4744</v>
      </c>
      <c r="R624">
        <f t="shared" si="19"/>
        <v>1</v>
      </c>
      <c r="S624" s="15" t="s">
        <v>4745</v>
      </c>
    </row>
    <row r="625" spans="2:19" ht="15.75">
      <c r="B625" s="21" t="s">
        <v>4746</v>
      </c>
      <c r="C625" s="15" t="s">
        <v>4747</v>
      </c>
      <c r="D625" s="110" t="s">
        <v>4748</v>
      </c>
      <c r="E625" s="107" t="s">
        <v>281</v>
      </c>
      <c r="F625" s="107">
        <v>1</v>
      </c>
      <c r="G625" s="108">
        <v>1.26</v>
      </c>
      <c r="H625" s="107">
        <v>12</v>
      </c>
      <c r="I625" s="109" t="s">
        <v>4749</v>
      </c>
      <c r="J625" s="110" t="s">
        <v>40</v>
      </c>
      <c r="K625" s="110" t="s">
        <v>331</v>
      </c>
      <c r="L625" s="107">
        <v>13906685749</v>
      </c>
      <c r="M625" s="110" t="s">
        <v>332</v>
      </c>
      <c r="N625" s="231" t="s">
        <v>4750</v>
      </c>
      <c r="O625" t="s">
        <v>332</v>
      </c>
      <c r="P625">
        <v>13906685749</v>
      </c>
      <c r="Q625" s="122" t="s">
        <v>4751</v>
      </c>
      <c r="R625">
        <f t="shared" si="19"/>
        <v>3</v>
      </c>
      <c r="S625" s="15" t="s">
        <v>4752</v>
      </c>
    </row>
    <row r="626" spans="2:19" ht="15.75">
      <c r="B626" s="21" t="s">
        <v>4753</v>
      </c>
      <c r="C626" s="15" t="s">
        <v>4754</v>
      </c>
      <c r="D626" s="110" t="s">
        <v>4755</v>
      </c>
      <c r="E626" s="107" t="s">
        <v>201</v>
      </c>
      <c r="F626" s="107">
        <v>1</v>
      </c>
      <c r="G626" s="108">
        <v>1.04</v>
      </c>
      <c r="H626" s="107">
        <v>11</v>
      </c>
      <c r="I626" s="109" t="s">
        <v>4756</v>
      </c>
      <c r="J626" s="110" t="s">
        <v>40</v>
      </c>
      <c r="K626" s="142" t="s">
        <v>841</v>
      </c>
      <c r="L626" s="24">
        <v>13857400062</v>
      </c>
      <c r="M626" s="142" t="s">
        <v>842</v>
      </c>
      <c r="N626" s="122" t="s">
        <v>4757</v>
      </c>
      <c r="O626" t="s">
        <v>842</v>
      </c>
      <c r="P626" s="126">
        <v>13857400062</v>
      </c>
      <c r="Q626" s="122" t="s">
        <v>4758</v>
      </c>
      <c r="R626">
        <f t="shared" si="19"/>
        <v>3</v>
      </c>
      <c r="S626" s="15" t="s">
        <v>4759</v>
      </c>
    </row>
    <row r="627" spans="2:19" ht="15.75">
      <c r="B627" s="21" t="s">
        <v>4760</v>
      </c>
      <c r="C627" s="15" t="s">
        <v>4761</v>
      </c>
      <c r="D627" s="110" t="s">
        <v>4762</v>
      </c>
      <c r="E627" s="107" t="s">
        <v>281</v>
      </c>
      <c r="F627" s="107">
        <v>1</v>
      </c>
      <c r="G627" s="108">
        <v>1.49</v>
      </c>
      <c r="H627" s="107">
        <v>12</v>
      </c>
      <c r="I627" s="109" t="s">
        <v>2421</v>
      </c>
      <c r="J627" s="110" t="s">
        <v>40</v>
      </c>
      <c r="K627" s="142" t="s">
        <v>2109</v>
      </c>
      <c r="L627" s="24">
        <v>13555827588</v>
      </c>
      <c r="M627" s="142" t="s">
        <v>2110</v>
      </c>
      <c r="N627" s="126" t="s">
        <v>2109</v>
      </c>
      <c r="O627" t="s">
        <v>2110</v>
      </c>
      <c r="P627" s="126">
        <v>13555827588</v>
      </c>
      <c r="Q627" s="126" t="s">
        <v>4763</v>
      </c>
      <c r="R627">
        <f t="shared" si="19"/>
        <v>3</v>
      </c>
      <c r="S627" s="15" t="s">
        <v>4764</v>
      </c>
    </row>
    <row r="628" spans="2:19" ht="15.75">
      <c r="B628" s="21" t="s">
        <v>4765</v>
      </c>
      <c r="C628" s="15" t="s">
        <v>4766</v>
      </c>
      <c r="D628" s="117" t="s">
        <v>4767</v>
      </c>
      <c r="E628" s="37" t="s">
        <v>69</v>
      </c>
      <c r="F628" s="107">
        <v>1</v>
      </c>
      <c r="G628" s="108">
        <v>1.49</v>
      </c>
      <c r="H628" s="107">
        <v>3</v>
      </c>
      <c r="I628" s="137" t="s">
        <v>402</v>
      </c>
      <c r="J628" s="110" t="s">
        <v>40</v>
      </c>
      <c r="K628" s="142" t="s">
        <v>860</v>
      </c>
      <c r="L628" s="24">
        <v>15941753117</v>
      </c>
      <c r="M628" s="155" t="s">
        <v>861</v>
      </c>
      <c r="N628" s="126" t="s">
        <v>860</v>
      </c>
      <c r="O628" s="123" t="s">
        <v>4768</v>
      </c>
      <c r="P628" s="131">
        <v>18642797706</v>
      </c>
      <c r="Q628" s="126" t="s">
        <v>4769</v>
      </c>
      <c r="R628">
        <f t="shared" si="19"/>
        <v>2</v>
      </c>
      <c r="S628" s="15" t="s">
        <v>4770</v>
      </c>
    </row>
    <row r="629" spans="2:19" ht="15.75">
      <c r="B629" s="21" t="s">
        <v>4771</v>
      </c>
      <c r="C629" s="15" t="s">
        <v>4772</v>
      </c>
      <c r="D629" s="110" t="s">
        <v>4773</v>
      </c>
      <c r="E629" s="107" t="s">
        <v>4774</v>
      </c>
      <c r="F629" s="107">
        <v>1</v>
      </c>
      <c r="G629" s="108">
        <v>0.81</v>
      </c>
      <c r="H629" s="107">
        <v>8</v>
      </c>
      <c r="I629" s="109" t="s">
        <v>4775</v>
      </c>
      <c r="J629" s="110" t="s">
        <v>29</v>
      </c>
      <c r="K629" s="142" t="s">
        <v>870</v>
      </c>
      <c r="L629" s="24">
        <v>15652037350</v>
      </c>
      <c r="M629" s="186" t="s">
        <v>871</v>
      </c>
      <c r="N629" s="122" t="s">
        <v>4776</v>
      </c>
      <c r="O629" s="123" t="s">
        <v>4777</v>
      </c>
      <c r="P629" s="131">
        <v>18000354196</v>
      </c>
      <c r="Q629" s="122" t="s">
        <v>4778</v>
      </c>
      <c r="R629">
        <f t="shared" si="19"/>
        <v>4</v>
      </c>
      <c r="S629" s="15" t="s">
        <v>4779</v>
      </c>
    </row>
    <row r="630" spans="2:19" ht="15.75">
      <c r="B630" s="21" t="s">
        <v>4780</v>
      </c>
      <c r="C630" s="29" t="s">
        <v>4781</v>
      </c>
      <c r="D630" s="110" t="s">
        <v>1477</v>
      </c>
      <c r="E630" s="107" t="s">
        <v>429</v>
      </c>
      <c r="F630" s="107">
        <v>1</v>
      </c>
      <c r="G630" s="108">
        <v>1.49</v>
      </c>
      <c r="H630" s="107">
        <v>14</v>
      </c>
      <c r="I630" s="109" t="s">
        <v>1478</v>
      </c>
      <c r="J630" s="110" t="s">
        <v>29</v>
      </c>
      <c r="K630" s="110" t="s">
        <v>1487</v>
      </c>
      <c r="L630" s="107">
        <v>13455405061</v>
      </c>
      <c r="M630" s="110" t="s">
        <v>364</v>
      </c>
      <c r="N630" s="122" t="s">
        <v>4782</v>
      </c>
      <c r="O630" s="123" t="s">
        <v>4783</v>
      </c>
      <c r="P630" s="131">
        <v>15001873060</v>
      </c>
      <c r="Q630" s="122" t="s">
        <v>4784</v>
      </c>
      <c r="R630">
        <f t="shared" si="19"/>
        <v>3</v>
      </c>
      <c r="S630" s="15" t="s">
        <v>4785</v>
      </c>
    </row>
    <row r="631" spans="2:19" ht="15.75">
      <c r="B631" s="21" t="s">
        <v>4786</v>
      </c>
      <c r="C631" s="30" t="s">
        <v>4787</v>
      </c>
      <c r="D631" s="110" t="s">
        <v>1494</v>
      </c>
      <c r="E631" s="107" t="s">
        <v>706</v>
      </c>
      <c r="F631" s="107">
        <v>1</v>
      </c>
      <c r="G631" s="108">
        <v>1.49</v>
      </c>
      <c r="H631" s="107">
        <v>16</v>
      </c>
      <c r="I631" s="109" t="s">
        <v>1495</v>
      </c>
      <c r="J631" s="110" t="s">
        <v>29</v>
      </c>
      <c r="K631" s="110" t="s">
        <v>1496</v>
      </c>
      <c r="L631" s="107">
        <v>13635279948</v>
      </c>
      <c r="M631" s="110" t="s">
        <v>1497</v>
      </c>
      <c r="N631" s="122" t="s">
        <v>4788</v>
      </c>
      <c r="O631" s="123" t="s">
        <v>4789</v>
      </c>
      <c r="P631" s="131">
        <v>13563320636</v>
      </c>
      <c r="Q631" s="122" t="s">
        <v>4790</v>
      </c>
      <c r="R631">
        <f t="shared" si="19"/>
        <v>4</v>
      </c>
      <c r="S631" s="15" t="s">
        <v>4791</v>
      </c>
    </row>
    <row r="632" spans="2:19" ht="15.75">
      <c r="B632" s="21" t="s">
        <v>4792</v>
      </c>
      <c r="C632" s="36" t="s">
        <v>4793</v>
      </c>
      <c r="D632" s="110" t="s">
        <v>1504</v>
      </c>
      <c r="E632" s="107" t="s">
        <v>429</v>
      </c>
      <c r="F632" s="107">
        <v>1</v>
      </c>
      <c r="G632" s="108">
        <v>1.26</v>
      </c>
      <c r="H632" s="107">
        <v>11</v>
      </c>
      <c r="I632" s="109" t="s">
        <v>1505</v>
      </c>
      <c r="J632" s="110" t="s">
        <v>29</v>
      </c>
      <c r="K632" s="110" t="s">
        <v>1506</v>
      </c>
      <c r="L632" s="107">
        <v>17098714030</v>
      </c>
      <c r="M632" s="110" t="s">
        <v>713</v>
      </c>
      <c r="N632" s="122" t="s">
        <v>4794</v>
      </c>
      <c r="O632" s="123" t="s">
        <v>4795</v>
      </c>
      <c r="P632" s="139">
        <v>15166992889</v>
      </c>
      <c r="Q632" s="122" t="s">
        <v>4796</v>
      </c>
      <c r="R632">
        <f t="shared" si="19"/>
        <v>3</v>
      </c>
      <c r="S632" s="15" t="s">
        <v>4797</v>
      </c>
    </row>
    <row r="633" spans="2:19" ht="15.75">
      <c r="B633" s="21" t="s">
        <v>4798</v>
      </c>
      <c r="C633" s="22" t="s">
        <v>4799</v>
      </c>
      <c r="D633" s="110" t="s">
        <v>1513</v>
      </c>
      <c r="E633" s="107" t="s">
        <v>1514</v>
      </c>
      <c r="F633" s="107">
        <v>1</v>
      </c>
      <c r="G633" s="108">
        <v>3.08</v>
      </c>
      <c r="H633" s="107">
        <v>6</v>
      </c>
      <c r="I633" s="109"/>
      <c r="J633" s="110" t="s">
        <v>293</v>
      </c>
      <c r="K633" s="36" t="s">
        <v>1523</v>
      </c>
      <c r="L633" s="170" t="s">
        <v>1524</v>
      </c>
      <c r="M633" s="36" t="s">
        <v>1525</v>
      </c>
      <c r="N633" s="126" t="s">
        <v>1523</v>
      </c>
      <c r="O633" s="123" t="s">
        <v>4800</v>
      </c>
      <c r="P633" s="128">
        <v>17331733833</v>
      </c>
      <c r="Q633" s="126" t="s">
        <v>4801</v>
      </c>
      <c r="R633">
        <f t="shared" si="19"/>
        <v>3</v>
      </c>
      <c r="S633" s="15" t="s">
        <v>4802</v>
      </c>
    </row>
    <row r="634" spans="2:19" ht="15.75">
      <c r="B634" s="21" t="s">
        <v>4803</v>
      </c>
      <c r="C634" s="22" t="s">
        <v>4804</v>
      </c>
      <c r="D634" s="110" t="s">
        <v>1513</v>
      </c>
      <c r="E634" s="107" t="s">
        <v>1514</v>
      </c>
      <c r="F634" s="107">
        <v>1</v>
      </c>
      <c r="G634" s="108">
        <v>3.08</v>
      </c>
      <c r="H634" s="107">
        <v>6</v>
      </c>
      <c r="I634" s="109"/>
      <c r="J634" s="110" t="s">
        <v>293</v>
      </c>
      <c r="K634" s="36" t="s">
        <v>2634</v>
      </c>
      <c r="L634" s="170">
        <v>15032852111</v>
      </c>
      <c r="M634" s="36" t="s">
        <v>2635</v>
      </c>
      <c r="N634" s="122" t="s">
        <v>4805</v>
      </c>
      <c r="O634" s="123" t="s">
        <v>4806</v>
      </c>
      <c r="P634" s="172">
        <v>15833777808</v>
      </c>
      <c r="Q634" s="122" t="s">
        <v>4807</v>
      </c>
      <c r="R634">
        <f t="shared" si="19"/>
        <v>3</v>
      </c>
      <c r="S634" s="15" t="s">
        <v>4808</v>
      </c>
    </row>
    <row r="635" spans="2:19" ht="15.75">
      <c r="B635" s="21" t="s">
        <v>4809</v>
      </c>
      <c r="C635" s="39" t="s">
        <v>4810</v>
      </c>
      <c r="D635" s="37" t="s">
        <v>1551</v>
      </c>
      <c r="E635" s="37" t="s">
        <v>1552</v>
      </c>
      <c r="F635" s="37">
        <v>1</v>
      </c>
      <c r="G635" s="116">
        <v>1.95</v>
      </c>
      <c r="H635" s="107">
        <v>15</v>
      </c>
      <c r="I635" s="37" t="s">
        <v>1553</v>
      </c>
      <c r="J635" s="110" t="s">
        <v>40</v>
      </c>
      <c r="K635" s="171" t="s">
        <v>2650</v>
      </c>
      <c r="L635" s="171">
        <v>18341271487</v>
      </c>
      <c r="M635" s="171" t="s">
        <v>2651</v>
      </c>
      <c r="N635" s="122" t="s">
        <v>4811</v>
      </c>
      <c r="O635" s="123" t="s">
        <v>4812</v>
      </c>
      <c r="P635" s="176">
        <v>15042543156</v>
      </c>
      <c r="Q635" s="122" t="s">
        <v>4813</v>
      </c>
      <c r="R635">
        <f t="shared" si="19"/>
        <v>2</v>
      </c>
      <c r="S635" s="15" t="s">
        <v>4814</v>
      </c>
    </row>
    <row r="636" spans="2:19" ht="15.75">
      <c r="B636" s="21" t="s">
        <v>4815</v>
      </c>
      <c r="C636" s="118" t="s">
        <v>4816</v>
      </c>
      <c r="D636" s="141" t="s">
        <v>4817</v>
      </c>
      <c r="E636" s="118" t="s">
        <v>4818</v>
      </c>
      <c r="F636" s="118">
        <v>1</v>
      </c>
      <c r="G636" s="111">
        <v>0.81</v>
      </c>
      <c r="H636" s="118">
        <v>3</v>
      </c>
      <c r="I636" s="141" t="s">
        <v>4819</v>
      </c>
      <c r="J636" s="141" t="s">
        <v>293</v>
      </c>
      <c r="K636" s="232" t="s">
        <v>4820</v>
      </c>
      <c r="L636" s="118">
        <v>13514224533</v>
      </c>
      <c r="M636" s="141" t="s">
        <v>4821</v>
      </c>
      <c r="N636" s="126" t="s">
        <v>4820</v>
      </c>
      <c r="O636" t="s">
        <v>4821</v>
      </c>
      <c r="P636">
        <v>13514224533</v>
      </c>
      <c r="Q636" s="126" t="s">
        <v>4822</v>
      </c>
      <c r="R636">
        <f t="shared" si="19"/>
        <v>1</v>
      </c>
      <c r="S636" s="15" t="s">
        <v>4823</v>
      </c>
    </row>
    <row r="637" spans="2:19" ht="15.75">
      <c r="B637" s="21" t="s">
        <v>4824</v>
      </c>
      <c r="C637" s="118" t="s">
        <v>4825</v>
      </c>
      <c r="D637" s="141" t="s">
        <v>4826</v>
      </c>
      <c r="E637" s="118" t="s">
        <v>4818</v>
      </c>
      <c r="F637" s="118">
        <v>1</v>
      </c>
      <c r="G637" s="111">
        <v>0.81</v>
      </c>
      <c r="H637" s="118">
        <v>3</v>
      </c>
      <c r="I637" s="141" t="s">
        <v>4827</v>
      </c>
      <c r="J637" s="141" t="s">
        <v>293</v>
      </c>
      <c r="K637" s="232" t="s">
        <v>4828</v>
      </c>
      <c r="L637" s="118">
        <v>13009368998</v>
      </c>
      <c r="M637" s="141" t="s">
        <v>4829</v>
      </c>
      <c r="N637" s="122" t="s">
        <v>4830</v>
      </c>
      <c r="O637" t="s">
        <v>4829</v>
      </c>
      <c r="P637">
        <v>13009368998</v>
      </c>
      <c r="Q637" s="122" t="s">
        <v>4831</v>
      </c>
      <c r="R637">
        <f t="shared" si="19"/>
        <v>1</v>
      </c>
      <c r="S637" s="15" t="s">
        <v>4832</v>
      </c>
    </row>
    <row r="638" spans="2:19" ht="15.75">
      <c r="B638" s="21" t="s">
        <v>4833</v>
      </c>
      <c r="C638" s="118" t="s">
        <v>4834</v>
      </c>
      <c r="D638" s="141" t="s">
        <v>4835</v>
      </c>
      <c r="E638" s="118" t="s">
        <v>1210</v>
      </c>
      <c r="F638" s="118">
        <v>1</v>
      </c>
      <c r="G638" s="111">
        <v>1.04</v>
      </c>
      <c r="H638" s="118">
        <v>3</v>
      </c>
      <c r="I638" s="118"/>
      <c r="J638" s="141" t="s">
        <v>29</v>
      </c>
      <c r="K638" s="141" t="s">
        <v>3069</v>
      </c>
      <c r="L638" s="118">
        <v>17526867788</v>
      </c>
      <c r="M638" s="141" t="s">
        <v>1230</v>
      </c>
      <c r="N638" s="122" t="s">
        <v>4836</v>
      </c>
      <c r="O638" s="123" t="s">
        <v>4837</v>
      </c>
      <c r="P638" s="125">
        <v>18622200563</v>
      </c>
      <c r="Q638" s="122" t="s">
        <v>4838</v>
      </c>
      <c r="R638">
        <f t="shared" si="19"/>
        <v>4</v>
      </c>
      <c r="S638" s="15" t="s">
        <v>4839</v>
      </c>
    </row>
    <row r="639" spans="2:19" ht="15.75">
      <c r="B639" s="21" t="s">
        <v>4840</v>
      </c>
      <c r="C639" s="118" t="s">
        <v>4841</v>
      </c>
      <c r="D639" s="141" t="s">
        <v>4842</v>
      </c>
      <c r="E639" s="118" t="s">
        <v>1210</v>
      </c>
      <c r="F639" s="118">
        <v>1</v>
      </c>
      <c r="G639" s="111">
        <v>0.81</v>
      </c>
      <c r="H639" s="118">
        <v>1</v>
      </c>
      <c r="I639" s="118"/>
      <c r="J639" s="141" t="s">
        <v>29</v>
      </c>
      <c r="K639" s="232" t="s">
        <v>4843</v>
      </c>
      <c r="L639" s="233">
        <v>13803059096</v>
      </c>
      <c r="M639" s="141" t="s">
        <v>4844</v>
      </c>
      <c r="N639" s="122" t="s">
        <v>4845</v>
      </c>
      <c r="O639" t="s">
        <v>4844</v>
      </c>
      <c r="P639">
        <v>13803059096</v>
      </c>
      <c r="Q639" s="122" t="s">
        <v>4846</v>
      </c>
      <c r="R639">
        <f t="shared" si="19"/>
        <v>1</v>
      </c>
      <c r="S639" s="15" t="s">
        <v>4847</v>
      </c>
    </row>
    <row r="640" spans="2:19" ht="15.75">
      <c r="B640" s="21" t="s">
        <v>4848</v>
      </c>
      <c r="C640" s="118" t="s">
        <v>4849</v>
      </c>
      <c r="D640" s="141" t="s">
        <v>4842</v>
      </c>
      <c r="E640" s="118" t="s">
        <v>1210</v>
      </c>
      <c r="F640" s="118">
        <v>1</v>
      </c>
      <c r="G640" s="111">
        <v>0.81</v>
      </c>
      <c r="H640" s="118">
        <v>1</v>
      </c>
      <c r="I640" s="118"/>
      <c r="J640" s="141" t="s">
        <v>29</v>
      </c>
      <c r="K640" s="141" t="s">
        <v>4850</v>
      </c>
      <c r="L640" s="118">
        <v>18602698557</v>
      </c>
      <c r="M640" s="141" t="s">
        <v>4851</v>
      </c>
      <c r="N640" s="122" t="s">
        <v>4852</v>
      </c>
      <c r="O640" t="s">
        <v>4851</v>
      </c>
      <c r="P640">
        <v>18602698557</v>
      </c>
      <c r="Q640" s="122" t="s">
        <v>4853</v>
      </c>
      <c r="R640">
        <f t="shared" si="19"/>
        <v>1</v>
      </c>
      <c r="S640" s="15" t="s">
        <v>4854</v>
      </c>
    </row>
    <row r="641" spans="2:19" ht="15.75">
      <c r="B641" s="21" t="s">
        <v>4855</v>
      </c>
      <c r="C641" s="118" t="s">
        <v>4856</v>
      </c>
      <c r="D641" s="141" t="s">
        <v>4842</v>
      </c>
      <c r="E641" s="118" t="s">
        <v>1210</v>
      </c>
      <c r="F641" s="118">
        <v>1</v>
      </c>
      <c r="G641" s="111">
        <v>0.81</v>
      </c>
      <c r="H641" s="118">
        <v>1</v>
      </c>
      <c r="I641" s="118"/>
      <c r="J641" s="141" t="s">
        <v>29</v>
      </c>
      <c r="K641" s="232" t="s">
        <v>4857</v>
      </c>
      <c r="L641" s="233">
        <v>13212277182</v>
      </c>
      <c r="M641" s="232" t="s">
        <v>4858</v>
      </c>
      <c r="N641" s="122" t="s">
        <v>4859</v>
      </c>
      <c r="O641" t="s">
        <v>4858</v>
      </c>
      <c r="P641">
        <v>13212277182</v>
      </c>
      <c r="Q641" s="122" t="s">
        <v>4860</v>
      </c>
      <c r="R641">
        <f t="shared" si="19"/>
        <v>1</v>
      </c>
      <c r="S641" s="15" t="s">
        <v>4861</v>
      </c>
    </row>
    <row r="642" spans="2:19" ht="15.75">
      <c r="B642" s="21" t="s">
        <v>4862</v>
      </c>
      <c r="C642" s="118" t="s">
        <v>4863</v>
      </c>
      <c r="D642" s="141" t="s">
        <v>4842</v>
      </c>
      <c r="E642" s="118" t="s">
        <v>1210</v>
      </c>
      <c r="F642" s="118">
        <v>1</v>
      </c>
      <c r="G642" s="111">
        <v>0.81</v>
      </c>
      <c r="H642" s="118">
        <v>1</v>
      </c>
      <c r="I642" s="118"/>
      <c r="J642" s="141" t="s">
        <v>29</v>
      </c>
      <c r="K642" s="141" t="s">
        <v>1974</v>
      </c>
      <c r="L642" s="118">
        <v>18722697608</v>
      </c>
      <c r="M642" s="141" t="s">
        <v>4864</v>
      </c>
      <c r="N642" s="122" t="s">
        <v>4865</v>
      </c>
      <c r="O642" t="s">
        <v>4864</v>
      </c>
      <c r="P642">
        <v>18722697608</v>
      </c>
      <c r="Q642" s="122" t="s">
        <v>4866</v>
      </c>
      <c r="R642">
        <f t="shared" si="19"/>
        <v>2</v>
      </c>
      <c r="S642" s="15" t="s">
        <v>4867</v>
      </c>
    </row>
    <row r="643" spans="2:19" ht="15.75">
      <c r="B643" s="21" t="s">
        <v>4868</v>
      </c>
      <c r="C643" s="118" t="s">
        <v>4869</v>
      </c>
      <c r="D643" s="141" t="s">
        <v>4842</v>
      </c>
      <c r="E643" s="118" t="s">
        <v>1210</v>
      </c>
      <c r="F643" s="118">
        <v>1</v>
      </c>
      <c r="G643" s="111">
        <v>0.38</v>
      </c>
      <c r="H643" s="118">
        <v>1</v>
      </c>
      <c r="I643" s="118"/>
      <c r="J643" s="141" t="s">
        <v>29</v>
      </c>
      <c r="K643" s="232" t="s">
        <v>4870</v>
      </c>
      <c r="L643" s="233">
        <v>18168973399</v>
      </c>
      <c r="M643" s="141" t="s">
        <v>4871</v>
      </c>
      <c r="N643" s="126" t="s">
        <v>4870</v>
      </c>
      <c r="O643" t="s">
        <v>4871</v>
      </c>
      <c r="P643">
        <v>18168973399</v>
      </c>
      <c r="Q643" s="126" t="s">
        <v>4872</v>
      </c>
      <c r="R643">
        <f t="shared" si="19"/>
        <v>1</v>
      </c>
      <c r="S643" s="15" t="s">
        <v>4873</v>
      </c>
    </row>
  </sheetData>
  <mergeCells count="2">
    <mergeCell ref="K5:M5"/>
    <mergeCell ref="N5:P5"/>
  </mergeCells>
  <phoneticPr fontId="47" type="noConversion"/>
  <conditionalFormatting sqref="N7">
    <cfRule type="duplicateValues" dxfId="160" priority="68"/>
    <cfRule type="duplicateValues" dxfId="159" priority="69"/>
    <cfRule type="duplicateValues" dxfId="158" priority="66"/>
    <cfRule type="duplicateValues" dxfId="157" priority="67"/>
  </conditionalFormatting>
  <conditionalFormatting sqref="Q7">
    <cfRule type="duplicateValues" dxfId="156" priority="39"/>
    <cfRule type="duplicateValues" dxfId="155" priority="40"/>
  </conditionalFormatting>
  <conditionalFormatting sqref="N8">
    <cfRule type="duplicateValues" dxfId="154" priority="60"/>
    <cfRule type="duplicateValues" dxfId="153" priority="61"/>
    <cfRule type="duplicateValues" dxfId="152" priority="58"/>
    <cfRule type="duplicateValues" dxfId="151" priority="59"/>
  </conditionalFormatting>
  <conditionalFormatting sqref="Q8">
    <cfRule type="duplicateValues" dxfId="150" priority="35"/>
    <cfRule type="duplicateValues" dxfId="149" priority="36"/>
  </conditionalFormatting>
  <conditionalFormatting sqref="N56">
    <cfRule type="duplicateValues" dxfId="148" priority="43"/>
    <cfRule type="duplicateValues" dxfId="147" priority="44"/>
    <cfRule type="duplicateValues" dxfId="146" priority="41"/>
    <cfRule type="duplicateValues" dxfId="145" priority="42"/>
  </conditionalFormatting>
  <conditionalFormatting sqref="Q56">
    <cfRule type="duplicateValues" dxfId="144" priority="26"/>
    <cfRule type="duplicateValues" dxfId="143" priority="27"/>
  </conditionalFormatting>
  <conditionalFormatting sqref="J463">
    <cfRule type="duplicateValues" dxfId="142" priority="184"/>
    <cfRule type="duplicateValues" dxfId="141" priority="185"/>
    <cfRule type="duplicateValues" dxfId="140" priority="186"/>
    <cfRule type="duplicateValues" dxfId="139" priority="187"/>
  </conditionalFormatting>
  <conditionalFormatting sqref="M463">
    <cfRule type="duplicateValues" dxfId="138" priority="188"/>
  </conditionalFormatting>
  <conditionalFormatting sqref="C480">
    <cfRule type="duplicateValues" dxfId="137" priority="160"/>
  </conditionalFormatting>
  <conditionalFormatting sqref="C481">
    <cfRule type="duplicateValues" dxfId="136" priority="158"/>
    <cfRule type="duplicateValues" dxfId="135" priority="159"/>
  </conditionalFormatting>
  <conditionalFormatting sqref="J481">
    <cfRule type="duplicateValues" dxfId="134" priority="181"/>
    <cfRule type="duplicateValues" dxfId="133" priority="182"/>
    <cfRule type="duplicateValues" dxfId="132" priority="183"/>
  </conditionalFormatting>
  <conditionalFormatting sqref="O506">
    <cfRule type="duplicateValues" dxfId="131" priority="13"/>
  </conditionalFormatting>
  <conditionalFormatting sqref="P506">
    <cfRule type="duplicateValues" dxfId="130" priority="12"/>
  </conditionalFormatting>
  <conditionalFormatting sqref="O509">
    <cfRule type="duplicateValues" dxfId="129" priority="15"/>
  </conditionalFormatting>
  <conditionalFormatting sqref="P509">
    <cfRule type="duplicateValues" dxfId="128" priority="14"/>
  </conditionalFormatting>
  <conditionalFormatting sqref="O513">
    <cfRule type="duplicateValues" dxfId="127" priority="19"/>
  </conditionalFormatting>
  <conditionalFormatting sqref="P513">
    <cfRule type="duplicateValues" dxfId="126" priority="18"/>
  </conditionalFormatting>
  <conditionalFormatting sqref="M540">
    <cfRule type="duplicateValues" dxfId="125" priority="180"/>
  </conditionalFormatting>
  <conditionalFormatting sqref="M541">
    <cfRule type="duplicateValues" dxfId="124" priority="179"/>
  </conditionalFormatting>
  <conditionalFormatting sqref="M542">
    <cfRule type="duplicateValues" dxfId="123" priority="178"/>
  </conditionalFormatting>
  <conditionalFormatting sqref="M543">
    <cfRule type="duplicateValues" dxfId="122" priority="177"/>
  </conditionalFormatting>
  <conditionalFormatting sqref="C636">
    <cfRule type="duplicateValues" dxfId="121" priority="86"/>
    <cfRule type="duplicateValues" dxfId="120" priority="87"/>
  </conditionalFormatting>
  <conditionalFormatting sqref="J636">
    <cfRule type="duplicateValues" dxfId="119" priority="136"/>
    <cfRule type="duplicateValues" dxfId="118" priority="137"/>
    <cfRule type="duplicateValues" dxfId="117" priority="138"/>
  </conditionalFormatting>
  <conditionalFormatting sqref="M636">
    <cfRule type="duplicateValues" dxfId="116" priority="135"/>
  </conditionalFormatting>
  <conditionalFormatting sqref="C637">
    <cfRule type="duplicateValues" dxfId="115" priority="84"/>
    <cfRule type="duplicateValues" dxfId="114" priority="85"/>
  </conditionalFormatting>
  <conditionalFormatting sqref="J637">
    <cfRule type="duplicateValues" dxfId="113" priority="132"/>
    <cfRule type="duplicateValues" dxfId="112" priority="133"/>
    <cfRule type="duplicateValues" dxfId="111" priority="134"/>
  </conditionalFormatting>
  <conditionalFormatting sqref="M637">
    <cfRule type="duplicateValues" dxfId="110" priority="131"/>
  </conditionalFormatting>
  <conditionalFormatting sqref="C638">
    <cfRule type="duplicateValues" dxfId="109" priority="82"/>
    <cfRule type="duplicateValues" dxfId="108" priority="83"/>
  </conditionalFormatting>
  <conditionalFormatting sqref="J638">
    <cfRule type="duplicateValues" dxfId="107" priority="128"/>
    <cfRule type="duplicateValues" dxfId="106" priority="129"/>
    <cfRule type="duplicateValues" dxfId="105" priority="130"/>
  </conditionalFormatting>
  <conditionalFormatting sqref="M638">
    <cfRule type="duplicateValues" dxfId="104" priority="102"/>
    <cfRule type="duplicateValues" dxfId="103" priority="103"/>
  </conditionalFormatting>
  <conditionalFormatting sqref="C639">
    <cfRule type="duplicateValues" dxfId="102" priority="78"/>
    <cfRule type="duplicateValues" dxfId="101" priority="79"/>
  </conditionalFormatting>
  <conditionalFormatting sqref="J639">
    <cfRule type="duplicateValues" dxfId="100" priority="121"/>
    <cfRule type="duplicateValues" dxfId="99" priority="122"/>
    <cfRule type="duplicateValues" dxfId="98" priority="123"/>
  </conditionalFormatting>
  <conditionalFormatting sqref="M639">
    <cfRule type="duplicateValues" dxfId="97" priority="120"/>
  </conditionalFormatting>
  <conditionalFormatting sqref="C640">
    <cfRule type="duplicateValues" dxfId="96" priority="76"/>
    <cfRule type="duplicateValues" dxfId="95" priority="77"/>
  </conditionalFormatting>
  <conditionalFormatting sqref="J640">
    <cfRule type="duplicateValues" dxfId="94" priority="117"/>
    <cfRule type="duplicateValues" dxfId="93" priority="118"/>
    <cfRule type="duplicateValues" dxfId="92" priority="119"/>
  </conditionalFormatting>
  <conditionalFormatting sqref="M640">
    <cfRule type="duplicateValues" dxfId="91" priority="116"/>
  </conditionalFormatting>
  <conditionalFormatting sqref="C641">
    <cfRule type="duplicateValues" dxfId="90" priority="75"/>
  </conditionalFormatting>
  <conditionalFormatting sqref="J641">
    <cfRule type="duplicateValues" dxfId="89" priority="113"/>
    <cfRule type="duplicateValues" dxfId="88" priority="114"/>
    <cfRule type="duplicateValues" dxfId="87" priority="115"/>
  </conditionalFormatting>
  <conditionalFormatting sqref="M641">
    <cfRule type="duplicateValues" dxfId="86" priority="112"/>
  </conditionalFormatting>
  <conditionalFormatting sqref="C642">
    <cfRule type="duplicateValues" dxfId="85" priority="74"/>
  </conditionalFormatting>
  <conditionalFormatting sqref="J642">
    <cfRule type="duplicateValues" dxfId="84" priority="109"/>
    <cfRule type="duplicateValues" dxfId="83" priority="110"/>
    <cfRule type="duplicateValues" dxfId="82" priority="111"/>
  </conditionalFormatting>
  <conditionalFormatting sqref="M642">
    <cfRule type="duplicateValues" dxfId="81" priority="108"/>
  </conditionalFormatting>
  <conditionalFormatting sqref="C643">
    <cfRule type="duplicateValues" dxfId="80" priority="72"/>
    <cfRule type="duplicateValues" dxfId="79" priority="73"/>
  </conditionalFormatting>
  <conditionalFormatting sqref="J643">
    <cfRule type="duplicateValues" dxfId="78" priority="105"/>
    <cfRule type="duplicateValues" dxfId="77" priority="106"/>
    <cfRule type="duplicateValues" dxfId="76" priority="107"/>
  </conditionalFormatting>
  <conditionalFormatting sqref="M643">
    <cfRule type="duplicateValues" dxfId="75" priority="104"/>
  </conditionalFormatting>
  <conditionalFormatting sqref="B7:B643">
    <cfRule type="duplicateValues" dxfId="74" priority="194"/>
  </conditionalFormatting>
  <conditionalFormatting sqref="C506:C509">
    <cfRule type="duplicateValues" dxfId="73" priority="155"/>
  </conditionalFormatting>
  <conditionalFormatting sqref="C510:C520">
    <cfRule type="duplicateValues" dxfId="72" priority="156"/>
  </conditionalFormatting>
  <conditionalFormatting sqref="C558:C561">
    <cfRule type="duplicateValues" dxfId="71" priority="151"/>
    <cfRule type="duplicateValues" dxfId="70" priority="152"/>
  </conditionalFormatting>
  <conditionalFormatting sqref="C639:C643">
    <cfRule type="duplicateValues" dxfId="69" priority="80"/>
    <cfRule type="duplicateValues" dxfId="68" priority="81"/>
  </conditionalFormatting>
  <conditionalFormatting sqref="J452:J453">
    <cfRule type="duplicateValues" dxfId="67" priority="190"/>
    <cfRule type="duplicateValues" dxfId="66" priority="191"/>
    <cfRule type="duplicateValues" dxfId="65" priority="192"/>
    <cfRule type="duplicateValues" dxfId="64" priority="193"/>
  </conditionalFormatting>
  <conditionalFormatting sqref="J639:J643">
    <cfRule type="duplicateValues" dxfId="63" priority="125"/>
    <cfRule type="duplicateValues" dxfId="62" priority="126"/>
    <cfRule type="duplicateValues" dxfId="61" priority="127"/>
  </conditionalFormatting>
  <conditionalFormatting sqref="M452:M453">
    <cfRule type="duplicateValues" dxfId="60" priority="189"/>
  </conditionalFormatting>
  <conditionalFormatting sqref="M639:M643">
    <cfRule type="duplicateValues" dxfId="59" priority="124"/>
  </conditionalFormatting>
  <conditionalFormatting sqref="N1:N1048576">
    <cfRule type="duplicateValues" dxfId="58" priority="25"/>
  </conditionalFormatting>
  <conditionalFormatting sqref="N9:N10">
    <cfRule type="duplicateValues" dxfId="57" priority="56"/>
    <cfRule type="duplicateValues" dxfId="56" priority="57"/>
    <cfRule type="duplicateValues" dxfId="55" priority="54"/>
    <cfRule type="duplicateValues" dxfId="54" priority="55"/>
  </conditionalFormatting>
  <conditionalFormatting sqref="N380:N472">
    <cfRule type="duplicateValues" dxfId="53" priority="64"/>
    <cfRule type="duplicateValues" dxfId="52" priority="65"/>
    <cfRule type="duplicateValues" dxfId="51" priority="62"/>
    <cfRule type="duplicateValues" dxfId="50" priority="63"/>
  </conditionalFormatting>
  <conditionalFormatting sqref="N473:N552">
    <cfRule type="duplicateValues" dxfId="49" priority="52"/>
    <cfRule type="duplicateValues" dxfId="48" priority="53"/>
    <cfRule type="duplicateValues" dxfId="47" priority="50"/>
    <cfRule type="duplicateValues" dxfId="46" priority="51"/>
  </conditionalFormatting>
  <conditionalFormatting sqref="N553:N643">
    <cfRule type="duplicateValues" dxfId="45" priority="46"/>
    <cfRule type="duplicateValues" dxfId="44" priority="47"/>
    <cfRule type="duplicateValues" dxfId="43" priority="48"/>
    <cfRule type="duplicateValues" dxfId="42" priority="49"/>
  </conditionalFormatting>
  <conditionalFormatting sqref="O7:O643">
    <cfRule type="duplicateValues" dxfId="41" priority="3"/>
    <cfRule type="duplicateValues" dxfId="40" priority="5"/>
  </conditionalFormatting>
  <conditionalFormatting sqref="O494:O496">
    <cfRule type="duplicateValues" dxfId="39" priority="9"/>
  </conditionalFormatting>
  <conditionalFormatting sqref="O500:O502">
    <cfRule type="duplicateValues" dxfId="38" priority="11"/>
  </conditionalFormatting>
  <conditionalFormatting sqref="O515:O516">
    <cfRule type="duplicateValues" dxfId="37" priority="17"/>
  </conditionalFormatting>
  <conditionalFormatting sqref="O519:O521">
    <cfRule type="duplicateValues" dxfId="36" priority="21"/>
  </conditionalFormatting>
  <conditionalFormatting sqref="P7:P643">
    <cfRule type="duplicateValues" dxfId="35" priority="2"/>
    <cfRule type="duplicateValues" dxfId="34" priority="4"/>
  </conditionalFormatting>
  <conditionalFormatting sqref="P494:P496">
    <cfRule type="duplicateValues" dxfId="33" priority="8"/>
  </conditionalFormatting>
  <conditionalFormatting sqref="P500:P502">
    <cfRule type="duplicateValues" dxfId="32" priority="10"/>
  </conditionalFormatting>
  <conditionalFormatting sqref="P515:P516">
    <cfRule type="duplicateValues" dxfId="31" priority="16"/>
  </conditionalFormatting>
  <conditionalFormatting sqref="P519:P521">
    <cfRule type="duplicateValues" dxfId="30" priority="20"/>
  </conditionalFormatting>
  <conditionalFormatting sqref="Q1:Q1048576">
    <cfRule type="duplicateValues" dxfId="29" priority="24"/>
  </conditionalFormatting>
  <conditionalFormatting sqref="Q9:Q10">
    <cfRule type="duplicateValues" dxfId="28" priority="33"/>
    <cfRule type="duplicateValues" dxfId="27" priority="34"/>
  </conditionalFormatting>
  <conditionalFormatting sqref="Q380:Q472">
    <cfRule type="duplicateValues" dxfId="26" priority="37"/>
    <cfRule type="duplicateValues" dxfId="25" priority="38"/>
  </conditionalFormatting>
  <conditionalFormatting sqref="Q473:Q552">
    <cfRule type="duplicateValues" dxfId="24" priority="31"/>
    <cfRule type="duplicateValues" dxfId="23" priority="32"/>
  </conditionalFormatting>
  <conditionalFormatting sqref="Q553:Q643">
    <cfRule type="duplicateValues" dxfId="22" priority="29"/>
    <cfRule type="duplicateValues" dxfId="21" priority="30"/>
  </conditionalFormatting>
  <conditionalFormatting sqref="B1:B6 B644:B1048576">
    <cfRule type="duplicateValues" dxfId="20" priority="923"/>
  </conditionalFormatting>
  <conditionalFormatting sqref="C1:C6 C644:C1048576">
    <cfRule type="duplicateValues" dxfId="19" priority="1607"/>
    <cfRule type="duplicateValues" dxfId="18" priority="1608"/>
  </conditionalFormatting>
  <conditionalFormatting sqref="C562:C572 C484:C485 C521:C539 C150:C232 C439:C479 C7:C16 C22:C145 C238:C403 C407:C434 C603:C611">
    <cfRule type="duplicateValues" dxfId="17" priority="161"/>
  </conditionalFormatting>
  <conditionalFormatting sqref="N7:N55 N57:N643">
    <cfRule type="duplicateValues" dxfId="16" priority="45"/>
  </conditionalFormatting>
  <conditionalFormatting sqref="O7 O9 O13:O14 O17:O20 O22:O28 O32:O34 O37 O42:O44 O46:O47 O50 O52:O55 O58:O63 O66:O72 O80:O83 O87:O88 O93 O101 O108 O114 O121 O127 O132:O137 O145:O146 O151:O152 O149 O156:O158 O160:O161 O164:O167 O170:O171 O173:O177 O567 O204:O210 O551 O554:O556 O539:O549 O532:O535 O526:O528 O522:O524 O514 O517:O518 O510:O512 O507:O508 O503:O505 O497:O499 O487:O493 O481:O484 O477:O479 O469:O473 O438 O426:O427 O405 O416:O424 O399:O403 O391 O393:O396 O378 O380:O384 O369:O371 O362:O365 O357 O359 O350:O354 O345:O347 O342:O343 O338:O340 O332:O336 O330 O324:O326 O319:O321 O311 O315:O317 O305 O307:O308 O300:O301 O292:O298 O287:O288 O284:O285 O279:O282 O269:O277 O266:O267 O260:O263 O234 O247:O251 O225 O219 O221:O223 O214:O215 O181:O182 O187:O188 O193 O201 O636:O643 O621 O625 O628:O632 O611:O615 O606:O607 O599:O601 O596:O597 O577:O591">
    <cfRule type="duplicateValues" dxfId="15" priority="23"/>
  </conditionalFormatting>
  <conditionalFormatting sqref="O7:O457 O459:O592 O594:O643">
    <cfRule type="duplicateValues" dxfId="14" priority="7"/>
  </conditionalFormatting>
  <conditionalFormatting sqref="P7 P9 P13:P14 P17:P20 P22:P28 P32:P34 P37 P42:P44 P46:P47 P50 P52:P55 P58:P63 P66:P72 P80:P83 P87:P88 P93 P101 P108 P114 P121 P127 P132:P137 P145:P146 P151:P152 P149 P156:P158 P160:P161 P164:P167 P170:P171 P173:P177 P567 P204:P210 P551 P554:P556 P539:P549 P532:P535 P526:P528 P522:P524 P514 P517:P518 P510:P512 P507:P508 P503:P505 P497:P499 P487:P493 P481:P484 P477:P479 P469:P473 P438 P426:P427 P405 P416:P424 P399:P403 P391 P393:P396 P378 P380:P384 P369:P371 P362:P365 P357 P359 P350:P354 P345:P347 P342:P343 P338:P340 P332:P336 P330 P324:P326 P319:P321 P311 P315:P317 P305 P307:P308 P300:P301 P292:P298 P287:P288 P284:P285 P279:P282 P269:P277 P266:P267 P260:P263 P234 P247:P251 P225 P219 P221:P223 P214:P215 P181:P182 P187:P188 P193 P201 P636:P643 P621 P625 P628:P632 P611:P615 P606:P607 P599:P601 P596:P597 P577:P591">
    <cfRule type="duplicateValues" dxfId="13" priority="22"/>
  </conditionalFormatting>
  <conditionalFormatting sqref="P7:P457 P459:P592 P594:P643">
    <cfRule type="duplicateValues" dxfId="12" priority="6"/>
  </conditionalFormatting>
  <conditionalFormatting sqref="Q7:Q55 Q57:Q643">
    <cfRule type="duplicateValues" dxfId="11" priority="28"/>
  </conditionalFormatting>
  <conditionalFormatting sqref="C146:C149 C233:C234 C17 C236:C237 C588 C599 C601:C602 C613:C615">
    <cfRule type="duplicateValues" dxfId="10" priority="195"/>
    <cfRule type="duplicateValues" dxfId="9" priority="196"/>
  </conditionalFormatting>
  <conditionalFormatting sqref="C491:C505 C404:C406">
    <cfRule type="duplicateValues" dxfId="8" priority="157"/>
  </conditionalFormatting>
  <conditionalFormatting sqref="C544:C557 C621:C629">
    <cfRule type="duplicateValues" dxfId="7" priority="153"/>
    <cfRule type="duplicateValues" dxfId="6" priority="154"/>
  </conditionalFormatting>
  <conditionalFormatting sqref="K573:K586 K589:K591 K595:K598">
    <cfRule type="duplicateValues" dxfId="5" priority="172"/>
    <cfRule type="duplicateValues" dxfId="4" priority="173"/>
    <cfRule type="duplicateValues" dxfId="3" priority="174"/>
    <cfRule type="duplicateValues" dxfId="2" priority="175"/>
  </conditionalFormatting>
  <conditionalFormatting sqref="K573:M586 K589:M591 K595:M598">
    <cfRule type="duplicateValues" dxfId="1" priority="176"/>
  </conditionalFormatting>
  <conditionalFormatting sqref="L1:M1048576">
    <cfRule type="duplicateValues" dxfId="0" priority="1"/>
  </conditionalFormatting>
  <pageMargins left="0.69930555555555596" right="0.69930555555555596"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dimension ref="A1:X802"/>
  <sheetViews>
    <sheetView topLeftCell="A431" workbookViewId="0">
      <selection activeCell="E447" sqref="E447"/>
    </sheetView>
  </sheetViews>
  <sheetFormatPr defaultColWidth="9.125" defaultRowHeight="13.5"/>
  <cols>
    <col min="1" max="2" width="9.125" style="43"/>
    <col min="3" max="3" width="9.125" style="79"/>
    <col min="4" max="4" width="13.875" style="43" customWidth="1"/>
    <col min="5" max="5" width="23.125" style="80" customWidth="1"/>
    <col min="6" max="6" width="19.125" style="81" customWidth="1"/>
    <col min="7" max="7" width="18.75" style="43" customWidth="1"/>
    <col min="8" max="8" width="9.125" style="43"/>
    <col min="9" max="9" width="5.25" style="43" customWidth="1"/>
    <col min="10" max="11" width="9" style="43" customWidth="1"/>
    <col min="12" max="12" width="9.125" style="82"/>
    <col min="13" max="13" width="46.625" style="82" customWidth="1"/>
    <col min="14" max="14" width="17.375" style="82" customWidth="1"/>
    <col min="15" max="15" width="12.75" style="43" customWidth="1"/>
    <col min="16" max="16" width="9.125" style="43"/>
    <col min="17" max="17" width="12.125" style="43" customWidth="1"/>
    <col min="18" max="18" width="15.25" style="43" customWidth="1"/>
    <col min="19" max="22" width="9.125" style="43"/>
    <col min="23" max="23" width="9.125" style="1"/>
    <col min="24" max="16384" width="9.125" style="43"/>
  </cols>
  <sheetData>
    <row r="1" spans="1:24" ht="14.25">
      <c r="A1" s="13" t="s">
        <v>4874</v>
      </c>
      <c r="B1" s="13" t="s">
        <v>4875</v>
      </c>
      <c r="C1" s="13" t="s">
        <v>6</v>
      </c>
      <c r="D1" s="83" t="s">
        <v>4876</v>
      </c>
      <c r="E1" s="80" t="s">
        <v>4877</v>
      </c>
      <c r="F1" s="84" t="s">
        <v>4878</v>
      </c>
      <c r="G1" s="83" t="s">
        <v>4879</v>
      </c>
      <c r="H1" s="83" t="s">
        <v>4880</v>
      </c>
      <c r="I1" s="86" t="s">
        <v>4881</v>
      </c>
      <c r="J1" s="87" t="s">
        <v>4882</v>
      </c>
      <c r="K1" s="87" t="s">
        <v>4883</v>
      </c>
      <c r="L1" s="88" t="s">
        <v>16</v>
      </c>
      <c r="M1" s="88" t="s">
        <v>18</v>
      </c>
      <c r="N1" s="88" t="s">
        <v>4884</v>
      </c>
      <c r="O1" s="89" t="s">
        <v>4885</v>
      </c>
      <c r="P1" s="89" t="s">
        <v>4886</v>
      </c>
      <c r="Q1" s="89" t="s">
        <v>4887</v>
      </c>
      <c r="R1" s="89" t="s">
        <v>4888</v>
      </c>
      <c r="S1" s="87" t="s">
        <v>4889</v>
      </c>
      <c r="T1" s="87" t="s">
        <v>4890</v>
      </c>
      <c r="U1" s="87" t="s">
        <v>4891</v>
      </c>
      <c r="V1" s="87" t="s">
        <v>4892</v>
      </c>
      <c r="W1" s="87" t="s">
        <v>4893</v>
      </c>
      <c r="X1" s="87" t="s">
        <v>4894</v>
      </c>
    </row>
    <row r="2" spans="1:24" ht="15.75">
      <c r="A2" s="13" t="str">
        <f>IFERROR(VLOOKUP($E:$E,scan!$A:$B,2,0),"**")</f>
        <v>**</v>
      </c>
      <c r="B2" s="13" t="str">
        <f>IFERROR(VLOOKUP($E2,scan!A:C,3,0),"**")</f>
        <v>**</v>
      </c>
      <c r="C2" s="79">
        <v>1</v>
      </c>
      <c r="E2" s="45"/>
      <c r="F2" s="78"/>
      <c r="G2" s="85" t="s">
        <v>4895</v>
      </c>
      <c r="H2" s="61">
        <v>0</v>
      </c>
      <c r="J2" s="43" t="e">
        <f>VLOOKUP(E2,Input!C:J,5,0)</f>
        <v>#N/A</v>
      </c>
      <c r="K2" s="43" t="e">
        <f>VLOOKUP(E2,Input!C:G,5,0)</f>
        <v>#N/A</v>
      </c>
      <c r="L2" s="82" t="str">
        <f>IFERROR(VLOOKUP($E:$E,Input!$C:$Q,12,0),"")</f>
        <v/>
      </c>
      <c r="M2" s="82" t="str">
        <f>IFERROR(VLOOKUP($E:$E,Input!$C:$Q,14,0),"")</f>
        <v/>
      </c>
      <c r="N2" s="82" t="str">
        <f>IFERROR(VLOOKUP($E:$E,Input!$C:$Q,15,0),"")</f>
        <v/>
      </c>
      <c r="P2" s="43" t="str">
        <f>V2&amp;","&amp;C2&amp;","&amp;B2</f>
        <v>1,1,**</v>
      </c>
      <c r="Q2" s="43" t="s">
        <v>4896</v>
      </c>
      <c r="R2" s="43">
        <v>6042070338</v>
      </c>
      <c r="T2" s="90" t="s">
        <v>4897</v>
      </c>
      <c r="V2" s="43">
        <v>1</v>
      </c>
    </row>
    <row r="3" spans="1:24" ht="15.75">
      <c r="A3" s="13" t="str">
        <f>IFERROR(VLOOKUP($E:$E,scan!$A:$B,2,0),"**")</f>
        <v>**</v>
      </c>
      <c r="B3" s="13" t="str">
        <f>IFERROR(VLOOKUP($E3,scan!A:C,3,0),"**")</f>
        <v>**</v>
      </c>
      <c r="C3" s="79">
        <v>2</v>
      </c>
      <c r="E3" s="45"/>
      <c r="F3" s="78"/>
      <c r="G3" s="85" t="s">
        <v>4895</v>
      </c>
      <c r="H3" s="61">
        <v>0</v>
      </c>
      <c r="J3" s="43" t="e">
        <f>VLOOKUP(E3,Input!C:J,5,0)</f>
        <v>#N/A</v>
      </c>
      <c r="K3" s="43" t="e">
        <f>VLOOKUP(E3,Input!C:G,5,0)</f>
        <v>#N/A</v>
      </c>
      <c r="L3" s="82" t="str">
        <f>IFERROR(VLOOKUP($E:$E,Input!$C:$Q,12,0),"")</f>
        <v/>
      </c>
      <c r="M3" s="82" t="str">
        <f>IFERROR(VLOOKUP($E:$E,Input!$C:$Q,14,0),"")</f>
        <v/>
      </c>
      <c r="N3" s="82" t="str">
        <f>IFERROR(VLOOKUP($E:$E,Input!$C:$Q,15,0),"")</f>
        <v/>
      </c>
      <c r="P3" s="43" t="str">
        <f>V3&amp;","&amp;C3&amp;","&amp;B3</f>
        <v>2,2,**</v>
      </c>
      <c r="Q3" s="43" t="s">
        <v>4896</v>
      </c>
      <c r="R3" s="43">
        <v>6042070338</v>
      </c>
      <c r="T3" s="90" t="s">
        <v>4897</v>
      </c>
      <c r="V3" s="43">
        <v>2</v>
      </c>
    </row>
    <row r="4" spans="1:24" ht="15.75">
      <c r="A4" s="13" t="str">
        <f>IFERROR(VLOOKUP($E:$E,scan!$A:$B,2,0),"**")</f>
        <v>**</v>
      </c>
      <c r="B4" s="13" t="str">
        <f>IFERROR(VLOOKUP($E4,scan!A:C,3,0),"**")</f>
        <v>**</v>
      </c>
      <c r="C4" s="79">
        <v>3</v>
      </c>
      <c r="E4" s="45"/>
      <c r="F4" s="78"/>
      <c r="G4" s="85" t="s">
        <v>4895</v>
      </c>
      <c r="H4" s="61">
        <v>0</v>
      </c>
      <c r="J4" s="43" t="e">
        <f>VLOOKUP(E4,Input!C:J,5,0)</f>
        <v>#N/A</v>
      </c>
      <c r="K4" s="43" t="e">
        <f>VLOOKUP(E4,Input!C:G,5,0)</f>
        <v>#N/A</v>
      </c>
      <c r="L4" s="82" t="str">
        <f>IFERROR(VLOOKUP($E:$E,Input!$C:$Q,12,0),"")</f>
        <v/>
      </c>
      <c r="M4" s="82" t="str">
        <f>IFERROR(VLOOKUP($E:$E,Input!$C:$Q,14,0),"")</f>
        <v/>
      </c>
      <c r="N4" s="82" t="str">
        <f>IFERROR(VLOOKUP($E:$E,Input!$C:$Q,15,0),"")</f>
        <v/>
      </c>
      <c r="P4" s="43" t="str">
        <f>V4&amp;","&amp;C4&amp;","&amp;B4</f>
        <v>3,3,**</v>
      </c>
      <c r="Q4" s="43" t="s">
        <v>4896</v>
      </c>
      <c r="R4" s="43">
        <v>6042070338</v>
      </c>
      <c r="T4" s="90" t="s">
        <v>4897</v>
      </c>
      <c r="V4" s="43">
        <v>3</v>
      </c>
    </row>
    <row r="5" spans="1:24" ht="15.75">
      <c r="A5" s="13" t="str">
        <f>IFERROR(VLOOKUP($E:$E,scan!$A:$B,2,0),"**")</f>
        <v>**</v>
      </c>
      <c r="B5" s="13" t="str">
        <f>IFERROR(VLOOKUP($E5,scan!A:C,3,0),"**")</f>
        <v>**</v>
      </c>
      <c r="C5" s="79">
        <v>4</v>
      </c>
      <c r="E5" s="45"/>
      <c r="F5" s="78"/>
      <c r="G5" s="85" t="s">
        <v>4895</v>
      </c>
      <c r="H5" s="61">
        <v>0</v>
      </c>
      <c r="J5" s="43" t="e">
        <f>VLOOKUP(E5,Input!C:J,5,0)</f>
        <v>#N/A</v>
      </c>
      <c r="K5" s="43" t="e">
        <f>VLOOKUP(E5,Input!C:G,5,0)</f>
        <v>#N/A</v>
      </c>
      <c r="L5" s="82" t="str">
        <f>IFERROR(VLOOKUP($E:$E,Input!$C:$Q,12,0),"")</f>
        <v/>
      </c>
      <c r="M5" s="82" t="str">
        <f>IFERROR(VLOOKUP($E:$E,Input!$C:$Q,14,0),"")</f>
        <v/>
      </c>
      <c r="N5" s="82" t="str">
        <f>IFERROR(VLOOKUP($E:$E,Input!$C:$Q,15,0),"")</f>
        <v/>
      </c>
      <c r="P5" s="43" t="str">
        <f>V5&amp;","&amp;C5&amp;","&amp;B5</f>
        <v>4,4,**</v>
      </c>
      <c r="Q5" s="43" t="s">
        <v>4896</v>
      </c>
      <c r="R5" s="43">
        <v>6042070338</v>
      </c>
      <c r="T5" s="90" t="s">
        <v>4897</v>
      </c>
      <c r="V5" s="43">
        <v>4</v>
      </c>
    </row>
    <row r="6" spans="1:24" ht="15.75">
      <c r="A6" s="13" t="str">
        <f>IFERROR(VLOOKUP($E:$E,scan!$A:$B,2,0),"**")</f>
        <v>**</v>
      </c>
      <c r="B6" s="13" t="str">
        <f>IFERROR(VLOOKUP($E6,scan!A:C,3,0),"**")</f>
        <v>**</v>
      </c>
      <c r="C6" s="79">
        <v>5</v>
      </c>
      <c r="E6" s="45"/>
      <c r="F6" s="78"/>
      <c r="G6" s="85" t="s">
        <v>4895</v>
      </c>
      <c r="H6" s="61">
        <v>0</v>
      </c>
      <c r="J6" s="43" t="e">
        <f>VLOOKUP(E6,Input!C:J,5,0)</f>
        <v>#N/A</v>
      </c>
      <c r="K6" s="43" t="e">
        <f>VLOOKUP(E6,Input!C:G,5,0)</f>
        <v>#N/A</v>
      </c>
      <c r="L6" s="82" t="str">
        <f>IFERROR(VLOOKUP($E:$E,Input!$C:$Q,12,0),"")</f>
        <v/>
      </c>
      <c r="M6" s="82" t="str">
        <f>IFERROR(VLOOKUP($E:$E,Input!$C:$Q,14,0),"")</f>
        <v/>
      </c>
      <c r="N6" s="82" t="str">
        <f>IFERROR(VLOOKUP($E:$E,Input!$C:$Q,15,0),"")</f>
        <v/>
      </c>
      <c r="P6" s="43" t="str">
        <f>V6&amp;","&amp;C6&amp;","&amp;B6</f>
        <v>5,5,**</v>
      </c>
      <c r="Q6" s="43" t="s">
        <v>4896</v>
      </c>
      <c r="R6" s="43">
        <v>6042070338</v>
      </c>
      <c r="T6" s="90" t="s">
        <v>4897</v>
      </c>
      <c r="V6" s="43">
        <v>5</v>
      </c>
    </row>
    <row r="7" spans="1:24" ht="15.75">
      <c r="A7" s="13" t="str">
        <f>IFERROR(VLOOKUP($E:$E,scan!$A:$B,2,0),"**")</f>
        <v>**</v>
      </c>
      <c r="B7" s="13" t="str">
        <f>IFERROR(VLOOKUP($E7,scan!A:C,3,0),"**")</f>
        <v>**</v>
      </c>
      <c r="C7" s="79">
        <v>6</v>
      </c>
      <c r="E7" s="45"/>
      <c r="F7" s="78"/>
      <c r="G7" s="85" t="s">
        <v>4895</v>
      </c>
      <c r="H7" s="61">
        <v>0</v>
      </c>
      <c r="J7" s="43" t="e">
        <f>VLOOKUP(E7,Input!C:J,5,0)</f>
        <v>#N/A</v>
      </c>
      <c r="K7" s="43" t="e">
        <f>VLOOKUP(E7,Input!C:G,5,0)</f>
        <v>#N/A</v>
      </c>
      <c r="L7" s="82" t="str">
        <f>IFERROR(VLOOKUP($E:$E,Input!$C:$Q,12,0),"")</f>
        <v/>
      </c>
      <c r="M7" s="82" t="str">
        <f>IFERROR(VLOOKUP($E:$E,Input!$C:$Q,14,0),"")</f>
        <v/>
      </c>
      <c r="N7" s="82" t="str">
        <f>IFERROR(VLOOKUP($E:$E,Input!$C:$Q,15,0),"")</f>
        <v/>
      </c>
      <c r="P7" s="43" t="str">
        <f t="shared" ref="P7:P38" si="0">V7&amp;","&amp;C7&amp;","&amp;B7</f>
        <v>6,6,**</v>
      </c>
      <c r="Q7" s="43" t="s">
        <v>4896</v>
      </c>
      <c r="R7" s="43">
        <v>6042070338</v>
      </c>
      <c r="T7" s="90" t="s">
        <v>4897</v>
      </c>
      <c r="V7" s="43">
        <v>6</v>
      </c>
    </row>
    <row r="8" spans="1:24" ht="15.75">
      <c r="A8" s="13" t="str">
        <f>IFERROR(VLOOKUP($E:$E,scan!$A:$B,2,0),"**")</f>
        <v>**</v>
      </c>
      <c r="B8" s="13" t="str">
        <f>IFERROR(VLOOKUP($E8,scan!A:C,3,0),"**")</f>
        <v>**</v>
      </c>
      <c r="C8" s="79">
        <v>7</v>
      </c>
      <c r="E8" s="45"/>
      <c r="F8" s="78"/>
      <c r="G8" s="85" t="s">
        <v>4895</v>
      </c>
      <c r="H8" s="61">
        <v>0</v>
      </c>
      <c r="I8" s="61"/>
      <c r="J8" s="43" t="e">
        <f>VLOOKUP(E8,Input!C:J,5,0)</f>
        <v>#N/A</v>
      </c>
      <c r="K8" s="43" t="e">
        <f>VLOOKUP(E8,Input!C:G,5,0)</f>
        <v>#N/A</v>
      </c>
      <c r="L8" s="82" t="str">
        <f>IFERROR(VLOOKUP($E:$E,Input!$C:$Q,12,0),"")</f>
        <v/>
      </c>
      <c r="M8" s="82" t="str">
        <f>IFERROR(VLOOKUP($E:$E,Input!$C:$Q,14,0),"")</f>
        <v/>
      </c>
      <c r="N8" s="82" t="str">
        <f>IFERROR(VLOOKUP($E:$E,Input!$C:$Q,15,0),"")</f>
        <v/>
      </c>
      <c r="P8" s="43" t="str">
        <f t="shared" si="0"/>
        <v>7,7,**</v>
      </c>
      <c r="Q8" s="43" t="s">
        <v>4896</v>
      </c>
      <c r="R8" s="43">
        <v>6042070338</v>
      </c>
      <c r="T8" s="90" t="s">
        <v>4897</v>
      </c>
      <c r="V8" s="43">
        <v>7</v>
      </c>
    </row>
    <row r="9" spans="1:24" ht="15.75">
      <c r="A9" s="13" t="str">
        <f>IFERROR(VLOOKUP($E:$E,scan!$A:$B,2,0),"**")</f>
        <v>**</v>
      </c>
      <c r="B9" s="13" t="str">
        <f>IFERROR(VLOOKUP($E9,scan!A:C,3,0),"**")</f>
        <v>**</v>
      </c>
      <c r="C9" s="79">
        <v>8</v>
      </c>
      <c r="E9" s="45"/>
      <c r="F9" s="78"/>
      <c r="G9" s="85" t="s">
        <v>4895</v>
      </c>
      <c r="H9" s="61">
        <v>0</v>
      </c>
      <c r="J9" s="43" t="e">
        <f>VLOOKUP(E9,Input!C:J,5,0)</f>
        <v>#N/A</v>
      </c>
      <c r="K9" s="43" t="e">
        <f>VLOOKUP(E9,Input!C:G,5,0)</f>
        <v>#N/A</v>
      </c>
      <c r="L9" s="82" t="str">
        <f>IFERROR(VLOOKUP($E:$E,Input!$C:$Q,12,0),"")</f>
        <v/>
      </c>
      <c r="M9" s="82" t="str">
        <f>IFERROR(VLOOKUP($E:$E,Input!$C:$Q,14,0),"")</f>
        <v/>
      </c>
      <c r="N9" s="82" t="str">
        <f>IFERROR(VLOOKUP($E:$E,Input!$C:$Q,15,0),"")</f>
        <v/>
      </c>
      <c r="P9" s="43" t="str">
        <f t="shared" si="0"/>
        <v>8,8,**</v>
      </c>
      <c r="Q9" s="43" t="s">
        <v>4896</v>
      </c>
      <c r="R9" s="43">
        <v>6042070338</v>
      </c>
      <c r="T9" s="90" t="s">
        <v>4897</v>
      </c>
      <c r="V9" s="43">
        <v>8</v>
      </c>
    </row>
    <row r="10" spans="1:24" ht="15.75">
      <c r="A10" s="13" t="str">
        <f>IFERROR(VLOOKUP($E:$E,scan!$A:$B,2,0),"**")</f>
        <v>**</v>
      </c>
      <c r="B10" s="13" t="str">
        <f>IFERROR(VLOOKUP($E10,scan!A:C,3,0),"**")</f>
        <v>**</v>
      </c>
      <c r="C10" s="79">
        <v>9</v>
      </c>
      <c r="E10" s="58"/>
      <c r="F10" s="78"/>
      <c r="G10" s="85" t="s">
        <v>4895</v>
      </c>
      <c r="H10" s="61">
        <v>0</v>
      </c>
      <c r="J10" s="43" t="e">
        <f>VLOOKUP(E10,Input!C:J,5,0)</f>
        <v>#N/A</v>
      </c>
      <c r="K10" s="43" t="e">
        <f>VLOOKUP(E10,Input!C:G,5,0)</f>
        <v>#N/A</v>
      </c>
      <c r="L10" s="82" t="str">
        <f>IFERROR(VLOOKUP($E:$E,Input!$C:$Q,12,0),"")</f>
        <v/>
      </c>
      <c r="M10" s="82" t="str">
        <f>IFERROR(VLOOKUP($E:$E,Input!$C:$Q,14,0),"")</f>
        <v/>
      </c>
      <c r="N10" s="82" t="str">
        <f>IFERROR(VLOOKUP($E:$E,Input!$C:$Q,15,0),"")</f>
        <v/>
      </c>
      <c r="P10" s="43" t="str">
        <f t="shared" si="0"/>
        <v>9,9,**</v>
      </c>
      <c r="Q10" s="43" t="s">
        <v>4896</v>
      </c>
      <c r="R10" s="43">
        <v>6042070338</v>
      </c>
      <c r="T10" s="90" t="s">
        <v>4897</v>
      </c>
      <c r="V10" s="43">
        <v>9</v>
      </c>
    </row>
    <row r="11" spans="1:24" ht="15.75">
      <c r="A11" s="13" t="str">
        <f>IFERROR(VLOOKUP($E:$E,scan!$A:$B,2,0),"**")</f>
        <v>**</v>
      </c>
      <c r="B11" s="13" t="str">
        <f>IFERROR(VLOOKUP($E11,scan!A:C,3,0),"**")</f>
        <v>**</v>
      </c>
      <c r="C11" s="79">
        <v>10</v>
      </c>
      <c r="E11" s="58"/>
      <c r="F11" s="78"/>
      <c r="G11" s="85" t="s">
        <v>4895</v>
      </c>
      <c r="H11" s="61">
        <v>0</v>
      </c>
      <c r="J11" s="43" t="e">
        <f>VLOOKUP(E11,Input!C:J,5,0)</f>
        <v>#N/A</v>
      </c>
      <c r="K11" s="43" t="e">
        <f>VLOOKUP(E11,Input!C:G,5,0)</f>
        <v>#N/A</v>
      </c>
      <c r="L11" s="82" t="str">
        <f>IFERROR(VLOOKUP($E:$E,Input!$C:$Q,12,0),"")</f>
        <v/>
      </c>
      <c r="M11" s="82" t="str">
        <f>IFERROR(VLOOKUP($E:$E,Input!$C:$Q,14,0),"")</f>
        <v/>
      </c>
      <c r="N11" s="82" t="str">
        <f>IFERROR(VLOOKUP($E:$E,Input!$C:$Q,15,0),"")</f>
        <v/>
      </c>
      <c r="P11" s="43" t="str">
        <f t="shared" si="0"/>
        <v>10,10,**</v>
      </c>
      <c r="Q11" s="43" t="s">
        <v>4896</v>
      </c>
      <c r="R11" s="43">
        <v>6042070338</v>
      </c>
      <c r="T11" s="90" t="s">
        <v>4897</v>
      </c>
      <c r="V11" s="43">
        <v>10</v>
      </c>
    </row>
    <row r="12" spans="1:24" ht="15.75">
      <c r="A12" s="13" t="str">
        <f>IFERROR(VLOOKUP($E:$E,scan!$A:$B,2,0),"**")</f>
        <v>**</v>
      </c>
      <c r="B12" s="13" t="str">
        <f>IFERROR(VLOOKUP($E12,scan!A:C,3,0),"**")</f>
        <v>**</v>
      </c>
      <c r="C12" s="79">
        <v>11</v>
      </c>
      <c r="E12" s="58"/>
      <c r="F12" s="78"/>
      <c r="G12" s="85" t="s">
        <v>4895</v>
      </c>
      <c r="H12" s="61">
        <v>0</v>
      </c>
      <c r="J12" s="43" t="e">
        <f>VLOOKUP(E12,Input!C:J,5,0)</f>
        <v>#N/A</v>
      </c>
      <c r="K12" s="43" t="e">
        <f>VLOOKUP(E12,Input!C:G,5,0)</f>
        <v>#N/A</v>
      </c>
      <c r="L12" s="82" t="str">
        <f>IFERROR(VLOOKUP($E:$E,Input!$C:$Q,12,0),"")</f>
        <v/>
      </c>
      <c r="M12" s="82" t="str">
        <f>IFERROR(VLOOKUP($E:$E,Input!$C:$Q,14,0),"")</f>
        <v/>
      </c>
      <c r="N12" s="82" t="str">
        <f>IFERROR(VLOOKUP($E:$E,Input!$C:$Q,15,0),"")</f>
        <v/>
      </c>
      <c r="P12" s="43" t="str">
        <f t="shared" si="0"/>
        <v>11,11,**</v>
      </c>
      <c r="Q12" s="43" t="s">
        <v>4896</v>
      </c>
      <c r="R12" s="43">
        <v>6042070338</v>
      </c>
      <c r="T12" s="90" t="s">
        <v>4897</v>
      </c>
      <c r="V12" s="43">
        <v>11</v>
      </c>
    </row>
    <row r="13" spans="1:24" ht="15.75">
      <c r="A13" s="13" t="str">
        <f>IFERROR(VLOOKUP($E:$E,scan!$A:$B,2,0),"**")</f>
        <v>**</v>
      </c>
      <c r="B13" s="13" t="str">
        <f>IFERROR(VLOOKUP($E13,scan!A:C,3,0),"**")</f>
        <v>**</v>
      </c>
      <c r="C13" s="79">
        <v>12</v>
      </c>
      <c r="E13" s="58"/>
      <c r="F13" s="78"/>
      <c r="G13" s="85" t="s">
        <v>4895</v>
      </c>
      <c r="H13" s="61">
        <v>0</v>
      </c>
      <c r="J13" s="43" t="e">
        <f>VLOOKUP(E13,Input!C:J,5,0)</f>
        <v>#N/A</v>
      </c>
      <c r="K13" s="43" t="e">
        <f>VLOOKUP(E13,Input!C:G,5,0)</f>
        <v>#N/A</v>
      </c>
      <c r="L13" s="82" t="str">
        <f>IFERROR(VLOOKUP($E:$E,Input!$C:$Q,12,0),"")</f>
        <v/>
      </c>
      <c r="M13" s="82" t="str">
        <f>IFERROR(VLOOKUP($E:$E,Input!$C:$Q,14,0),"")</f>
        <v/>
      </c>
      <c r="N13" s="82" t="str">
        <f>IFERROR(VLOOKUP($E:$E,Input!$C:$Q,15,0),"")</f>
        <v/>
      </c>
      <c r="P13" s="43" t="str">
        <f t="shared" si="0"/>
        <v>12,12,**</v>
      </c>
      <c r="Q13" s="43" t="s">
        <v>4896</v>
      </c>
      <c r="R13" s="43">
        <v>6042070338</v>
      </c>
      <c r="T13" s="90" t="s">
        <v>4897</v>
      </c>
      <c r="V13" s="43">
        <v>12</v>
      </c>
    </row>
    <row r="14" spans="1:24" ht="15.75">
      <c r="A14" s="13" t="str">
        <f>IFERROR(VLOOKUP($E:$E,scan!$A:$B,2,0),"**")</f>
        <v>**</v>
      </c>
      <c r="B14" s="13" t="str">
        <f>IFERROR(VLOOKUP($E14,scan!A:C,3,0),"**")</f>
        <v>**</v>
      </c>
      <c r="C14" s="79">
        <v>13</v>
      </c>
      <c r="E14" s="58"/>
      <c r="F14" s="78"/>
      <c r="G14" s="85" t="s">
        <v>4895</v>
      </c>
      <c r="H14" s="61">
        <v>0</v>
      </c>
      <c r="J14" s="43" t="e">
        <f>VLOOKUP(E14,Input!C:J,5,0)</f>
        <v>#N/A</v>
      </c>
      <c r="K14" s="43" t="e">
        <f>VLOOKUP(E14,Input!C:G,5,0)</f>
        <v>#N/A</v>
      </c>
      <c r="L14" s="82" t="str">
        <f>IFERROR(VLOOKUP($E:$E,Input!$C:$Q,12,0),"")</f>
        <v/>
      </c>
      <c r="M14" s="82" t="str">
        <f>IFERROR(VLOOKUP($E:$E,Input!$C:$Q,14,0),"")</f>
        <v/>
      </c>
      <c r="N14" s="82" t="str">
        <f>IFERROR(VLOOKUP($E:$E,Input!$C:$Q,15,0),"")</f>
        <v/>
      </c>
      <c r="P14" s="43" t="str">
        <f t="shared" si="0"/>
        <v>13,13,**</v>
      </c>
      <c r="Q14" s="43" t="s">
        <v>4896</v>
      </c>
      <c r="R14" s="43">
        <v>6042070338</v>
      </c>
      <c r="T14" s="90" t="s">
        <v>4897</v>
      </c>
      <c r="V14" s="43">
        <v>13</v>
      </c>
    </row>
    <row r="15" spans="1:24" ht="15.75">
      <c r="A15" s="13" t="str">
        <f>IFERROR(VLOOKUP($E:$E,scan!$A:$B,2,0),"**")</f>
        <v>**</v>
      </c>
      <c r="B15" s="13" t="str">
        <f>IFERROR(VLOOKUP($E15,scan!A:C,3,0),"**")</f>
        <v>**</v>
      </c>
      <c r="C15" s="79">
        <v>14</v>
      </c>
      <c r="E15" s="58"/>
      <c r="F15" s="78"/>
      <c r="G15" s="85" t="s">
        <v>4895</v>
      </c>
      <c r="H15" s="61">
        <v>0</v>
      </c>
      <c r="J15" s="43" t="e">
        <f>VLOOKUP(E15,Input!C:J,5,0)</f>
        <v>#N/A</v>
      </c>
      <c r="K15" s="43" t="e">
        <f>VLOOKUP(E15,Input!C:G,5,0)</f>
        <v>#N/A</v>
      </c>
      <c r="L15" s="82" t="str">
        <f>IFERROR(VLOOKUP($E:$E,Input!$C:$Q,12,0),"")</f>
        <v/>
      </c>
      <c r="M15" s="82" t="str">
        <f>IFERROR(VLOOKUP($E:$E,Input!$C:$Q,14,0),"")</f>
        <v/>
      </c>
      <c r="N15" s="82" t="str">
        <f>IFERROR(VLOOKUP($E:$E,Input!$C:$Q,15,0),"")</f>
        <v/>
      </c>
      <c r="P15" s="43" t="str">
        <f t="shared" si="0"/>
        <v>14,14,**</v>
      </c>
      <c r="Q15" s="43" t="s">
        <v>4896</v>
      </c>
      <c r="R15" s="43">
        <v>6042070338</v>
      </c>
      <c r="T15" s="90" t="s">
        <v>4897</v>
      </c>
      <c r="V15" s="43">
        <v>14</v>
      </c>
    </row>
    <row r="16" spans="1:24" ht="15.75">
      <c r="A16" s="13" t="str">
        <f>IFERROR(VLOOKUP($E:$E,scan!$A:$B,2,0),"**")</f>
        <v>**</v>
      </c>
      <c r="B16" s="13" t="str">
        <f>IFERROR(VLOOKUP($E16,scan!A:C,3,0),"**")</f>
        <v>**</v>
      </c>
      <c r="C16" s="79">
        <v>15</v>
      </c>
      <c r="E16" s="58"/>
      <c r="F16" s="78"/>
      <c r="G16" s="85" t="s">
        <v>4895</v>
      </c>
      <c r="H16" s="61">
        <v>0</v>
      </c>
      <c r="J16" s="43" t="e">
        <f>VLOOKUP(E16,Input!C:J,5,0)</f>
        <v>#N/A</v>
      </c>
      <c r="K16" s="43" t="e">
        <f>VLOOKUP(E16,Input!C:G,5,0)</f>
        <v>#N/A</v>
      </c>
      <c r="L16" s="82" t="str">
        <f>IFERROR(VLOOKUP($E:$E,Input!$C:$Q,12,0),"")</f>
        <v/>
      </c>
      <c r="M16" s="82" t="str">
        <f>IFERROR(VLOOKUP($E:$E,Input!$C:$Q,14,0),"")</f>
        <v/>
      </c>
      <c r="N16" s="82" t="str">
        <f>IFERROR(VLOOKUP($E:$E,Input!$C:$Q,15,0),"")</f>
        <v/>
      </c>
      <c r="P16" s="43" t="str">
        <f t="shared" si="0"/>
        <v>15,15,**</v>
      </c>
      <c r="Q16" s="43" t="s">
        <v>4896</v>
      </c>
      <c r="R16" s="43">
        <v>6042070338</v>
      </c>
      <c r="T16" s="90" t="s">
        <v>4897</v>
      </c>
      <c r="V16" s="43">
        <v>15</v>
      </c>
    </row>
    <row r="17" spans="1:22" ht="15.75">
      <c r="A17" s="13" t="str">
        <f>IFERROR(VLOOKUP($E:$E,scan!$A:$B,2,0),"**")</f>
        <v>**</v>
      </c>
      <c r="B17" s="13" t="str">
        <f>IFERROR(VLOOKUP($E17,scan!A:C,3,0),"**")</f>
        <v>**</v>
      </c>
      <c r="C17" s="79">
        <v>16</v>
      </c>
      <c r="E17" s="58"/>
      <c r="F17" s="78"/>
      <c r="G17" s="85" t="s">
        <v>4895</v>
      </c>
      <c r="H17" s="61">
        <v>0</v>
      </c>
      <c r="I17" s="61"/>
      <c r="J17" s="43" t="e">
        <f>VLOOKUP(E17,Input!C:J,5,0)</f>
        <v>#N/A</v>
      </c>
      <c r="K17" s="43" t="e">
        <f>VLOOKUP(E17,Input!C:G,5,0)</f>
        <v>#N/A</v>
      </c>
      <c r="L17" s="82" t="str">
        <f>IFERROR(VLOOKUP($E:$E,Input!$C:$Q,12,0),"")</f>
        <v/>
      </c>
      <c r="M17" s="82" t="str">
        <f>IFERROR(VLOOKUP($E:$E,Input!$C:$Q,14,0),"")</f>
        <v/>
      </c>
      <c r="N17" s="82" t="str">
        <f>IFERROR(VLOOKUP($E:$E,Input!$C:$Q,15,0),"")</f>
        <v/>
      </c>
      <c r="P17" s="43" t="str">
        <f t="shared" si="0"/>
        <v>16,16,**</v>
      </c>
      <c r="Q17" s="43" t="s">
        <v>4896</v>
      </c>
      <c r="R17" s="43">
        <v>6042070338</v>
      </c>
      <c r="T17" s="90" t="s">
        <v>4897</v>
      </c>
      <c r="V17" s="43">
        <v>16</v>
      </c>
    </row>
    <row r="18" spans="1:22" ht="15.75">
      <c r="A18" s="13" t="str">
        <f>IFERROR(VLOOKUP($E:$E,scan!$A:$B,2,0),"**")</f>
        <v>**</v>
      </c>
      <c r="B18" s="13" t="str">
        <f>IFERROR(VLOOKUP($E18,scan!A:C,3,0),"**")</f>
        <v>**</v>
      </c>
      <c r="C18" s="79">
        <v>17</v>
      </c>
      <c r="E18" s="58"/>
      <c r="F18" s="78"/>
      <c r="G18" s="85" t="s">
        <v>4895</v>
      </c>
      <c r="H18" s="61">
        <v>0</v>
      </c>
      <c r="I18" s="61"/>
      <c r="J18" s="43" t="e">
        <f>VLOOKUP(E18,Input!C:J,5,0)</f>
        <v>#N/A</v>
      </c>
      <c r="K18" s="43" t="e">
        <f>VLOOKUP(E18,Input!C:G,5,0)</f>
        <v>#N/A</v>
      </c>
      <c r="L18" s="82" t="str">
        <f>IFERROR(VLOOKUP($E:$E,Input!$C:$Q,12,0),"")</f>
        <v/>
      </c>
      <c r="M18" s="82" t="str">
        <f>IFERROR(VLOOKUP($E:$E,Input!$C:$Q,14,0),"")</f>
        <v/>
      </c>
      <c r="N18" s="82" t="str">
        <f>IFERROR(VLOOKUP($E:$E,Input!$C:$Q,15,0),"")</f>
        <v/>
      </c>
      <c r="P18" s="43" t="str">
        <f t="shared" si="0"/>
        <v>17,17,**</v>
      </c>
      <c r="Q18" s="43" t="s">
        <v>4896</v>
      </c>
      <c r="R18" s="43">
        <v>6042070338</v>
      </c>
      <c r="T18" s="90" t="s">
        <v>4897</v>
      </c>
      <c r="V18" s="43">
        <v>17</v>
      </c>
    </row>
    <row r="19" spans="1:22" ht="15.75">
      <c r="A19" s="13" t="str">
        <f>IFERROR(VLOOKUP($E:$E,scan!$A:$B,2,0),"**")</f>
        <v>**</v>
      </c>
      <c r="B19" s="13" t="str">
        <f>IFERROR(VLOOKUP($E19,scan!A:C,3,0),"**")</f>
        <v>**</v>
      </c>
      <c r="C19" s="79">
        <v>18</v>
      </c>
      <c r="E19" s="58"/>
      <c r="F19" s="78"/>
      <c r="G19" s="85" t="s">
        <v>4895</v>
      </c>
      <c r="H19" s="61">
        <v>0</v>
      </c>
      <c r="J19" s="43" t="e">
        <f>VLOOKUP(E19,Input!C:J,5,0)</f>
        <v>#N/A</v>
      </c>
      <c r="K19" s="43" t="e">
        <f>VLOOKUP(E19,Input!C:G,5,0)</f>
        <v>#N/A</v>
      </c>
      <c r="L19" s="82" t="str">
        <f>IFERROR(VLOOKUP($E:$E,Input!$C:$Q,12,0),"")</f>
        <v/>
      </c>
      <c r="M19" s="82" t="str">
        <f>IFERROR(VLOOKUP($E:$E,Input!$C:$Q,14,0),"")</f>
        <v/>
      </c>
      <c r="N19" s="82" t="str">
        <f>IFERROR(VLOOKUP($E:$E,Input!$C:$Q,15,0),"")</f>
        <v/>
      </c>
      <c r="P19" s="43" t="str">
        <f t="shared" si="0"/>
        <v>18,18,**</v>
      </c>
      <c r="Q19" s="43" t="s">
        <v>4896</v>
      </c>
      <c r="R19" s="43">
        <v>6042070338</v>
      </c>
      <c r="T19" s="90" t="s">
        <v>4897</v>
      </c>
      <c r="V19" s="43">
        <v>18</v>
      </c>
    </row>
    <row r="20" spans="1:22" ht="15.75">
      <c r="A20" s="13" t="str">
        <f>IFERROR(VLOOKUP($E:$E,scan!$A:$B,2,0),"**")</f>
        <v>**</v>
      </c>
      <c r="B20" s="13" t="str">
        <f>IFERROR(VLOOKUP($E20,scan!A:C,3,0),"**")</f>
        <v>**</v>
      </c>
      <c r="C20" s="79">
        <v>19</v>
      </c>
      <c r="E20" s="58"/>
      <c r="F20" s="78"/>
      <c r="G20" s="85" t="s">
        <v>4895</v>
      </c>
      <c r="H20" s="61">
        <v>0</v>
      </c>
      <c r="J20" s="43" t="e">
        <f>VLOOKUP(E20,Input!C:J,5,0)</f>
        <v>#N/A</v>
      </c>
      <c r="K20" s="43" t="e">
        <f>VLOOKUP(E20,Input!C:G,5,0)</f>
        <v>#N/A</v>
      </c>
      <c r="L20" s="82" t="str">
        <f>IFERROR(VLOOKUP($E:$E,Input!$C:$Q,12,0),"")</f>
        <v/>
      </c>
      <c r="M20" s="82" t="str">
        <f>IFERROR(VLOOKUP($E:$E,Input!$C:$Q,14,0),"")</f>
        <v/>
      </c>
      <c r="N20" s="82" t="str">
        <f>IFERROR(VLOOKUP($E:$E,Input!$C:$Q,15,0),"")</f>
        <v/>
      </c>
      <c r="P20" s="43" t="str">
        <f t="shared" si="0"/>
        <v>19,19,**</v>
      </c>
      <c r="Q20" s="43" t="s">
        <v>4896</v>
      </c>
      <c r="R20" s="43">
        <v>6042070338</v>
      </c>
      <c r="T20" s="90" t="s">
        <v>4897</v>
      </c>
      <c r="V20" s="43">
        <v>19</v>
      </c>
    </row>
    <row r="21" spans="1:22" ht="15.75">
      <c r="A21" s="13" t="str">
        <f>IFERROR(VLOOKUP($E:$E,scan!$A:$B,2,0),"**")</f>
        <v>**</v>
      </c>
      <c r="B21" s="13" t="str">
        <f>IFERROR(VLOOKUP($E21,scan!A:C,3,0),"**")</f>
        <v>**</v>
      </c>
      <c r="C21" s="79">
        <v>20</v>
      </c>
      <c r="E21" s="58"/>
      <c r="F21" s="78"/>
      <c r="G21" s="85" t="s">
        <v>4895</v>
      </c>
      <c r="H21" s="61">
        <v>0</v>
      </c>
      <c r="J21" s="43" t="e">
        <f>VLOOKUP(E21,Input!C:J,5,0)</f>
        <v>#N/A</v>
      </c>
      <c r="K21" s="43" t="e">
        <f>VLOOKUP(E21,Input!C:G,5,0)</f>
        <v>#N/A</v>
      </c>
      <c r="L21" s="82" t="str">
        <f>IFERROR(VLOOKUP($E:$E,Input!$C:$Q,12,0),"")</f>
        <v/>
      </c>
      <c r="M21" s="82" t="str">
        <f>IFERROR(VLOOKUP($E:$E,Input!$C:$Q,14,0),"")</f>
        <v/>
      </c>
      <c r="N21" s="82" t="str">
        <f>IFERROR(VLOOKUP($E:$E,Input!$C:$Q,15,0),"")</f>
        <v/>
      </c>
      <c r="P21" s="43" t="str">
        <f t="shared" si="0"/>
        <v>20,20,**</v>
      </c>
      <c r="Q21" s="43" t="s">
        <v>4896</v>
      </c>
      <c r="R21" s="43">
        <v>6042070338</v>
      </c>
      <c r="T21" s="90" t="s">
        <v>4897</v>
      </c>
      <c r="V21" s="43">
        <v>20</v>
      </c>
    </row>
    <row r="22" spans="1:22" ht="15.75">
      <c r="A22" s="13" t="str">
        <f>IFERROR(VLOOKUP($E:$E,scan!$A:$B,2,0),"**")</f>
        <v>**</v>
      </c>
      <c r="B22" s="13" t="str">
        <f>IFERROR(VLOOKUP($E22,scan!A:C,3,0),"**")</f>
        <v>**</v>
      </c>
      <c r="C22" s="79">
        <v>21</v>
      </c>
      <c r="E22" s="58"/>
      <c r="F22" s="78"/>
      <c r="G22" s="85" t="s">
        <v>4895</v>
      </c>
      <c r="H22" s="61">
        <v>0</v>
      </c>
      <c r="J22" s="43" t="e">
        <f>VLOOKUP(E22,Input!C:J,5,0)</f>
        <v>#N/A</v>
      </c>
      <c r="K22" s="43" t="e">
        <f>VLOOKUP(E22,Input!C:G,5,0)</f>
        <v>#N/A</v>
      </c>
      <c r="L22" s="82" t="str">
        <f>IFERROR(VLOOKUP($E:$E,Input!$C:$Q,12,0),"")</f>
        <v/>
      </c>
      <c r="M22" s="82" t="str">
        <f>IFERROR(VLOOKUP($E:$E,Input!$C:$Q,14,0),"")</f>
        <v/>
      </c>
      <c r="N22" s="82" t="str">
        <f>IFERROR(VLOOKUP($E:$E,Input!$C:$Q,15,0),"")</f>
        <v/>
      </c>
      <c r="P22" s="43" t="str">
        <f t="shared" si="0"/>
        <v>21,21,**</v>
      </c>
      <c r="Q22" s="43" t="s">
        <v>4896</v>
      </c>
      <c r="R22" s="43">
        <v>6042070338</v>
      </c>
      <c r="T22" s="90" t="s">
        <v>4897</v>
      </c>
      <c r="V22" s="43">
        <v>21</v>
      </c>
    </row>
    <row r="23" spans="1:22" ht="15.75">
      <c r="A23" s="13" t="str">
        <f>IFERROR(VLOOKUP($E:$E,scan!$A:$B,2,0),"**")</f>
        <v>**</v>
      </c>
      <c r="B23" s="13" t="str">
        <f>IFERROR(VLOOKUP($E23,scan!A:C,3,0),"**")</f>
        <v>**</v>
      </c>
      <c r="C23" s="79">
        <v>22</v>
      </c>
      <c r="E23" s="58"/>
      <c r="F23" s="78"/>
      <c r="G23" s="85" t="s">
        <v>4895</v>
      </c>
      <c r="H23" s="61">
        <v>0</v>
      </c>
      <c r="J23" s="43" t="e">
        <f>VLOOKUP(E23,Input!C:J,5,0)</f>
        <v>#N/A</v>
      </c>
      <c r="K23" s="43" t="e">
        <f>VLOOKUP(E23,Input!C:G,5,0)</f>
        <v>#N/A</v>
      </c>
      <c r="L23" s="82" t="str">
        <f>IFERROR(VLOOKUP($E:$E,Input!$C:$Q,12,0),"")</f>
        <v/>
      </c>
      <c r="M23" s="82" t="str">
        <f>IFERROR(VLOOKUP($E:$E,Input!$C:$Q,14,0),"")</f>
        <v/>
      </c>
      <c r="N23" s="82" t="str">
        <f>IFERROR(VLOOKUP($E:$E,Input!$C:$Q,15,0),"")</f>
        <v/>
      </c>
      <c r="P23" s="43" t="str">
        <f t="shared" si="0"/>
        <v>22,22,**</v>
      </c>
      <c r="Q23" s="43" t="s">
        <v>4896</v>
      </c>
      <c r="R23" s="43">
        <v>6042070338</v>
      </c>
      <c r="T23" s="90" t="s">
        <v>4897</v>
      </c>
      <c r="V23" s="43">
        <v>22</v>
      </c>
    </row>
    <row r="24" spans="1:22" ht="15.75">
      <c r="A24" s="13" t="str">
        <f>IFERROR(VLOOKUP($E:$E,scan!$A:$B,2,0),"**")</f>
        <v>**</v>
      </c>
      <c r="B24" s="13" t="str">
        <f>IFERROR(VLOOKUP($E24,scan!A:C,3,0),"**")</f>
        <v>**</v>
      </c>
      <c r="C24" s="79">
        <v>23</v>
      </c>
      <c r="E24" s="58"/>
      <c r="F24" s="78"/>
      <c r="G24" s="85" t="s">
        <v>4895</v>
      </c>
      <c r="H24" s="61">
        <v>0</v>
      </c>
      <c r="J24" s="43" t="e">
        <f>VLOOKUP(E24,Input!C:J,5,0)</f>
        <v>#N/A</v>
      </c>
      <c r="K24" s="43" t="e">
        <f>VLOOKUP(E24,Input!C:G,5,0)</f>
        <v>#N/A</v>
      </c>
      <c r="L24" s="82" t="str">
        <f>IFERROR(VLOOKUP($E:$E,Input!$C:$Q,12,0),"")</f>
        <v/>
      </c>
      <c r="M24" s="82" t="str">
        <f>IFERROR(VLOOKUP($E:$E,Input!$C:$Q,14,0),"")</f>
        <v/>
      </c>
      <c r="N24" s="82" t="str">
        <f>IFERROR(VLOOKUP($E:$E,Input!$C:$Q,15,0),"")</f>
        <v/>
      </c>
      <c r="P24" s="43" t="str">
        <f t="shared" si="0"/>
        <v>23,23,**</v>
      </c>
      <c r="Q24" s="43" t="s">
        <v>4896</v>
      </c>
      <c r="R24" s="43">
        <v>6042070338</v>
      </c>
      <c r="T24" s="90" t="s">
        <v>4897</v>
      </c>
      <c r="V24" s="43">
        <v>23</v>
      </c>
    </row>
    <row r="25" spans="1:22" ht="15.75">
      <c r="A25" s="13" t="str">
        <f>IFERROR(VLOOKUP($E:$E,scan!$A:$B,2,0),"**")</f>
        <v>**</v>
      </c>
      <c r="B25" s="13" t="str">
        <f>IFERROR(VLOOKUP($E25,scan!A:C,3,0),"**")</f>
        <v>**</v>
      </c>
      <c r="C25" s="79">
        <v>24</v>
      </c>
      <c r="E25" s="58"/>
      <c r="F25" s="78"/>
      <c r="G25" s="85" t="s">
        <v>4895</v>
      </c>
      <c r="H25" s="61">
        <v>0</v>
      </c>
      <c r="J25" s="43" t="e">
        <f>VLOOKUP(E25,Input!C:J,5,0)</f>
        <v>#N/A</v>
      </c>
      <c r="K25" s="43" t="e">
        <f>VLOOKUP(E25,Input!C:G,5,0)</f>
        <v>#N/A</v>
      </c>
      <c r="L25" s="82" t="str">
        <f>IFERROR(VLOOKUP($E:$E,Input!$C:$Q,12,0),"")</f>
        <v/>
      </c>
      <c r="M25" s="82" t="str">
        <f>IFERROR(VLOOKUP($E:$E,Input!$C:$Q,14,0),"")</f>
        <v/>
      </c>
      <c r="N25" s="82" t="str">
        <f>IFERROR(VLOOKUP($E:$E,Input!$C:$Q,15,0),"")</f>
        <v/>
      </c>
      <c r="P25" s="43" t="str">
        <f t="shared" si="0"/>
        <v>24,24,**</v>
      </c>
      <c r="Q25" s="43" t="s">
        <v>4896</v>
      </c>
      <c r="R25" s="43">
        <v>6042070338</v>
      </c>
      <c r="T25" s="90" t="s">
        <v>4897</v>
      </c>
      <c r="V25" s="43">
        <v>24</v>
      </c>
    </row>
    <row r="26" spans="1:22" ht="15.75">
      <c r="A26" s="13" t="str">
        <f>IFERROR(VLOOKUP($E:$E,scan!$A:$B,2,0),"**")</f>
        <v>**</v>
      </c>
      <c r="B26" s="13" t="str">
        <f>IFERROR(VLOOKUP($E26,scan!A:C,3,0),"**")</f>
        <v>**</v>
      </c>
      <c r="C26" s="79">
        <v>25</v>
      </c>
      <c r="E26" s="58"/>
      <c r="F26" s="78"/>
      <c r="G26" s="85" t="s">
        <v>4895</v>
      </c>
      <c r="H26" s="61">
        <v>0</v>
      </c>
      <c r="J26" s="43" t="e">
        <f>VLOOKUP(E26,Input!C:J,5,0)</f>
        <v>#N/A</v>
      </c>
      <c r="K26" s="43" t="e">
        <f>VLOOKUP(E26,Input!C:G,5,0)</f>
        <v>#N/A</v>
      </c>
      <c r="L26" s="82" t="str">
        <f>IFERROR(VLOOKUP($E:$E,Input!$C:$Q,12,0),"")</f>
        <v/>
      </c>
      <c r="M26" s="82" t="str">
        <f>IFERROR(VLOOKUP($E:$E,Input!$C:$Q,14,0),"")</f>
        <v/>
      </c>
      <c r="N26" s="82" t="str">
        <f>IFERROR(VLOOKUP($E:$E,Input!$C:$Q,15,0),"")</f>
        <v/>
      </c>
      <c r="P26" s="43" t="str">
        <f t="shared" si="0"/>
        <v>25,25,**</v>
      </c>
      <c r="Q26" s="43" t="s">
        <v>4896</v>
      </c>
      <c r="R26" s="43">
        <v>6042070338</v>
      </c>
      <c r="T26" s="90" t="s">
        <v>4897</v>
      </c>
      <c r="V26" s="43">
        <v>25</v>
      </c>
    </row>
    <row r="27" spans="1:22" ht="15.75">
      <c r="A27" s="13" t="str">
        <f>IFERROR(VLOOKUP($E:$E,scan!$A:$B,2,0),"**")</f>
        <v>**</v>
      </c>
      <c r="B27" s="13" t="str">
        <f>IFERROR(VLOOKUP($E27,scan!A:C,3,0),"**")</f>
        <v>**</v>
      </c>
      <c r="C27" s="79">
        <v>26</v>
      </c>
      <c r="E27" s="58"/>
      <c r="F27" s="78"/>
      <c r="G27" s="85" t="s">
        <v>4895</v>
      </c>
      <c r="H27" s="61">
        <v>0</v>
      </c>
      <c r="J27" s="43" t="e">
        <f>VLOOKUP(E27,Input!C:J,5,0)</f>
        <v>#N/A</v>
      </c>
      <c r="K27" s="43" t="e">
        <f>VLOOKUP(E27,Input!C:G,5,0)</f>
        <v>#N/A</v>
      </c>
      <c r="L27" s="82" t="str">
        <f>IFERROR(VLOOKUP($E:$E,Input!$C:$Q,12,0),"")</f>
        <v/>
      </c>
      <c r="M27" s="82" t="str">
        <f>IFERROR(VLOOKUP($E:$E,Input!$C:$Q,14,0),"")</f>
        <v/>
      </c>
      <c r="N27" s="82" t="str">
        <f>IFERROR(VLOOKUP($E:$E,Input!$C:$Q,15,0),"")</f>
        <v/>
      </c>
      <c r="P27" s="43" t="str">
        <f t="shared" si="0"/>
        <v>26,26,**</v>
      </c>
      <c r="Q27" s="43" t="s">
        <v>4896</v>
      </c>
      <c r="R27" s="43">
        <v>6042070338</v>
      </c>
      <c r="T27" s="90" t="s">
        <v>4897</v>
      </c>
      <c r="V27" s="43">
        <v>26</v>
      </c>
    </row>
    <row r="28" spans="1:22" ht="15.75">
      <c r="A28" s="13" t="str">
        <f>IFERROR(VLOOKUP($E:$E,scan!$A:$B,2,0),"**")</f>
        <v>**</v>
      </c>
      <c r="B28" s="13" t="str">
        <f>IFERROR(VLOOKUP($E28,scan!A:C,3,0),"**")</f>
        <v>**</v>
      </c>
      <c r="C28" s="79">
        <v>27</v>
      </c>
      <c r="E28" s="58"/>
      <c r="F28" s="78"/>
      <c r="G28" s="85" t="s">
        <v>4895</v>
      </c>
      <c r="H28" s="61">
        <v>0</v>
      </c>
      <c r="J28" s="43" t="e">
        <f>VLOOKUP(E28,Input!C:J,5,0)</f>
        <v>#N/A</v>
      </c>
      <c r="K28" s="43" t="e">
        <f>VLOOKUP(E28,Input!C:G,5,0)</f>
        <v>#N/A</v>
      </c>
      <c r="L28" s="82" t="str">
        <f>IFERROR(VLOOKUP($E:$E,Input!$C:$Q,12,0),"")</f>
        <v/>
      </c>
      <c r="M28" s="82" t="str">
        <f>IFERROR(VLOOKUP($E:$E,Input!$C:$Q,14,0),"")</f>
        <v/>
      </c>
      <c r="N28" s="82" t="str">
        <f>IFERROR(VLOOKUP($E:$E,Input!$C:$Q,15,0),"")</f>
        <v/>
      </c>
      <c r="P28" s="43" t="str">
        <f t="shared" si="0"/>
        <v>27,27,**</v>
      </c>
      <c r="Q28" s="43" t="s">
        <v>4896</v>
      </c>
      <c r="R28" s="43">
        <v>6042070338</v>
      </c>
      <c r="T28" s="90" t="s">
        <v>4897</v>
      </c>
      <c r="V28" s="43">
        <v>27</v>
      </c>
    </row>
    <row r="29" spans="1:22" ht="15.75">
      <c r="A29" s="13" t="str">
        <f>IFERROR(VLOOKUP($E:$E,scan!$A:$B,2,0),"**")</f>
        <v>**</v>
      </c>
      <c r="B29" s="13" t="str">
        <f>IFERROR(VLOOKUP($E29,scan!A:C,3,0),"**")</f>
        <v>**</v>
      </c>
      <c r="C29" s="79">
        <v>28</v>
      </c>
      <c r="E29" s="58"/>
      <c r="F29" s="78"/>
      <c r="G29" s="85" t="s">
        <v>4895</v>
      </c>
      <c r="H29" s="61">
        <v>0</v>
      </c>
      <c r="J29" s="43" t="e">
        <f>VLOOKUP(E29,Input!C:J,5,0)</f>
        <v>#N/A</v>
      </c>
      <c r="K29" s="43" t="e">
        <f>VLOOKUP(E29,Input!C:G,5,0)</f>
        <v>#N/A</v>
      </c>
      <c r="L29" s="82" t="str">
        <f>IFERROR(VLOOKUP($E:$E,Input!$C:$Q,12,0),"")</f>
        <v/>
      </c>
      <c r="M29" s="82" t="str">
        <f>IFERROR(VLOOKUP($E:$E,Input!$C:$Q,14,0),"")</f>
        <v/>
      </c>
      <c r="N29" s="82" t="str">
        <f>IFERROR(VLOOKUP($E:$E,Input!$C:$Q,15,0),"")</f>
        <v/>
      </c>
      <c r="P29" s="43" t="str">
        <f t="shared" si="0"/>
        <v>28,28,**</v>
      </c>
      <c r="Q29" s="43" t="s">
        <v>4896</v>
      </c>
      <c r="R29" s="43">
        <v>6042070338</v>
      </c>
      <c r="T29" s="90" t="s">
        <v>4897</v>
      </c>
      <c r="V29" s="43">
        <v>28</v>
      </c>
    </row>
    <row r="30" spans="1:22" ht="15.75">
      <c r="A30" s="13" t="str">
        <f>IFERROR(VLOOKUP($E:$E,scan!$A:$B,2,0),"**")</f>
        <v>**</v>
      </c>
      <c r="B30" s="13" t="str">
        <f>IFERROR(VLOOKUP($E30,scan!A:C,3,0),"**")</f>
        <v>**</v>
      </c>
      <c r="C30" s="79">
        <v>29</v>
      </c>
      <c r="E30" s="58"/>
      <c r="F30" s="78"/>
      <c r="G30" s="85" t="s">
        <v>4895</v>
      </c>
      <c r="H30" s="61">
        <v>0</v>
      </c>
      <c r="J30" s="43" t="e">
        <f>VLOOKUP(E30,Input!C:J,5,0)</f>
        <v>#N/A</v>
      </c>
      <c r="K30" s="43" t="e">
        <f>VLOOKUP(E30,Input!C:G,5,0)</f>
        <v>#N/A</v>
      </c>
      <c r="L30" s="82" t="str">
        <f>IFERROR(VLOOKUP($E:$E,Input!$C:$Q,12,0),"")</f>
        <v/>
      </c>
      <c r="M30" s="82" t="str">
        <f>IFERROR(VLOOKUP($E:$E,Input!$C:$Q,14,0),"")</f>
        <v/>
      </c>
      <c r="N30" s="82" t="str">
        <f>IFERROR(VLOOKUP($E:$E,Input!$C:$Q,15,0),"")</f>
        <v/>
      </c>
      <c r="P30" s="43" t="str">
        <f t="shared" si="0"/>
        <v>29,29,**</v>
      </c>
      <c r="Q30" s="43" t="s">
        <v>4896</v>
      </c>
      <c r="R30" s="43">
        <v>6042070338</v>
      </c>
      <c r="T30" s="90" t="s">
        <v>4897</v>
      </c>
      <c r="V30" s="43">
        <v>29</v>
      </c>
    </row>
    <row r="31" spans="1:22" ht="15.75">
      <c r="A31" s="13" t="str">
        <f>IFERROR(VLOOKUP($E:$E,scan!$A:$B,2,0),"**")</f>
        <v>**</v>
      </c>
      <c r="B31" s="13" t="str">
        <f>IFERROR(VLOOKUP($E31,scan!A:C,3,0),"**")</f>
        <v>**</v>
      </c>
      <c r="C31" s="79">
        <v>30</v>
      </c>
      <c r="E31" s="58"/>
      <c r="F31" s="78"/>
      <c r="G31" s="85" t="s">
        <v>4895</v>
      </c>
      <c r="H31" s="61">
        <v>0</v>
      </c>
      <c r="J31" s="43" t="e">
        <f>VLOOKUP(E31,Input!C:J,5,0)</f>
        <v>#N/A</v>
      </c>
      <c r="K31" s="43" t="e">
        <f>VLOOKUP(E31,Input!C:G,5,0)</f>
        <v>#N/A</v>
      </c>
      <c r="L31" s="82" t="str">
        <f>IFERROR(VLOOKUP($E:$E,Input!$C:$Q,12,0),"")</f>
        <v/>
      </c>
      <c r="M31" s="82" t="str">
        <f>IFERROR(VLOOKUP($E:$E,Input!$C:$Q,14,0),"")</f>
        <v/>
      </c>
      <c r="N31" s="82" t="str">
        <f>IFERROR(VLOOKUP($E:$E,Input!$C:$Q,15,0),"")</f>
        <v/>
      </c>
      <c r="P31" s="43" t="str">
        <f t="shared" si="0"/>
        <v>30,30,**</v>
      </c>
      <c r="Q31" s="43" t="s">
        <v>4896</v>
      </c>
      <c r="R31" s="43">
        <v>6042070338</v>
      </c>
      <c r="T31" s="90" t="s">
        <v>4897</v>
      </c>
      <c r="V31" s="43">
        <v>30</v>
      </c>
    </row>
    <row r="32" spans="1:22" ht="15.75">
      <c r="A32" s="13" t="str">
        <f>IFERROR(VLOOKUP($E:$E,scan!$A:$B,2,0),"**")</f>
        <v>**</v>
      </c>
      <c r="B32" s="13" t="str">
        <f>IFERROR(VLOOKUP($E32,scan!A:C,3,0),"**")</f>
        <v>**</v>
      </c>
      <c r="C32" s="79">
        <v>31</v>
      </c>
      <c r="E32" s="58"/>
      <c r="F32" s="78"/>
      <c r="G32" s="85" t="s">
        <v>4895</v>
      </c>
      <c r="H32" s="61">
        <v>0</v>
      </c>
      <c r="J32" s="43" t="e">
        <f>VLOOKUP(E32,Input!C:J,5,0)</f>
        <v>#N/A</v>
      </c>
      <c r="K32" s="43" t="e">
        <f>VLOOKUP(E32,Input!C:G,5,0)</f>
        <v>#N/A</v>
      </c>
      <c r="L32" s="82" t="str">
        <f>IFERROR(VLOOKUP($E:$E,Input!$C:$Q,12,0),"")</f>
        <v/>
      </c>
      <c r="M32" s="82" t="str">
        <f>IFERROR(VLOOKUP($E:$E,Input!$C:$Q,14,0),"")</f>
        <v/>
      </c>
      <c r="N32" s="82" t="str">
        <f>IFERROR(VLOOKUP($E:$E,Input!$C:$Q,15,0),"")</f>
        <v/>
      </c>
      <c r="P32" s="43" t="str">
        <f t="shared" si="0"/>
        <v>31,31,**</v>
      </c>
      <c r="Q32" s="43" t="s">
        <v>4896</v>
      </c>
      <c r="R32" s="43">
        <v>6042070338</v>
      </c>
      <c r="T32" s="90" t="s">
        <v>4897</v>
      </c>
      <c r="V32" s="43">
        <v>31</v>
      </c>
    </row>
    <row r="33" spans="1:22" ht="15.75">
      <c r="A33" s="13" t="str">
        <f>IFERROR(VLOOKUP($E:$E,scan!$A:$B,2,0),"**")</f>
        <v>**</v>
      </c>
      <c r="B33" s="13" t="str">
        <f>IFERROR(VLOOKUP($E33,scan!A:C,3,0),"**")</f>
        <v>**</v>
      </c>
      <c r="C33" s="79">
        <v>32</v>
      </c>
      <c r="E33" s="58"/>
      <c r="F33" s="78"/>
      <c r="G33" s="85" t="s">
        <v>4895</v>
      </c>
      <c r="H33" s="61">
        <v>0</v>
      </c>
      <c r="J33" s="43" t="e">
        <f>VLOOKUP(E33,Input!C:J,5,0)</f>
        <v>#N/A</v>
      </c>
      <c r="K33" s="43" t="e">
        <f>VLOOKUP(E33,Input!C:G,5,0)</f>
        <v>#N/A</v>
      </c>
      <c r="L33" s="82" t="str">
        <f>IFERROR(VLOOKUP($E:$E,Input!$C:$Q,12,0),"")</f>
        <v/>
      </c>
      <c r="M33" s="82" t="str">
        <f>IFERROR(VLOOKUP($E:$E,Input!$C:$Q,14,0),"")</f>
        <v/>
      </c>
      <c r="N33" s="82" t="str">
        <f>IFERROR(VLOOKUP($E:$E,Input!$C:$Q,15,0),"")</f>
        <v/>
      </c>
      <c r="P33" s="43" t="str">
        <f t="shared" si="0"/>
        <v>32,32,**</v>
      </c>
      <c r="Q33" s="43" t="s">
        <v>4896</v>
      </c>
      <c r="R33" s="43">
        <v>6042070338</v>
      </c>
      <c r="T33" s="90" t="s">
        <v>4897</v>
      </c>
      <c r="V33" s="43">
        <v>32</v>
      </c>
    </row>
    <row r="34" spans="1:22" ht="15.75">
      <c r="A34" s="13" t="str">
        <f>IFERROR(VLOOKUP($E:$E,scan!$A:$B,2,0),"**")</f>
        <v>**</v>
      </c>
      <c r="B34" s="13" t="str">
        <f>IFERROR(VLOOKUP($E34,scan!A:C,3,0),"**")</f>
        <v>**</v>
      </c>
      <c r="C34" s="79">
        <v>33</v>
      </c>
      <c r="E34" s="58"/>
      <c r="F34" s="78"/>
      <c r="G34" s="85" t="s">
        <v>4895</v>
      </c>
      <c r="H34" s="61">
        <v>0</v>
      </c>
      <c r="J34" s="43" t="e">
        <f>VLOOKUP(E34,Input!C:J,5,0)</f>
        <v>#N/A</v>
      </c>
      <c r="K34" s="43" t="e">
        <f>VLOOKUP(E34,Input!C:G,5,0)</f>
        <v>#N/A</v>
      </c>
      <c r="L34" s="82" t="str">
        <f>IFERROR(VLOOKUP($E:$E,Input!$C:$Q,12,0),"")</f>
        <v/>
      </c>
      <c r="M34" s="82" t="str">
        <f>IFERROR(VLOOKUP($E:$E,Input!$C:$Q,14,0),"")</f>
        <v/>
      </c>
      <c r="N34" s="82" t="str">
        <f>IFERROR(VLOOKUP($E:$E,Input!$C:$Q,15,0),"")</f>
        <v/>
      </c>
      <c r="P34" s="43" t="str">
        <f t="shared" si="0"/>
        <v>33,33,**</v>
      </c>
      <c r="Q34" s="43" t="s">
        <v>4896</v>
      </c>
      <c r="R34" s="43">
        <v>6042070338</v>
      </c>
      <c r="T34" s="90" t="s">
        <v>4897</v>
      </c>
      <c r="V34" s="43">
        <v>33</v>
      </c>
    </row>
    <row r="35" spans="1:22" ht="15.75">
      <c r="A35" s="13" t="str">
        <f>IFERROR(VLOOKUP($E:$E,scan!$A:$B,2,0),"**")</f>
        <v>**</v>
      </c>
      <c r="B35" s="13" t="str">
        <f>IFERROR(VLOOKUP($E35,scan!A:C,3,0),"**")</f>
        <v>**</v>
      </c>
      <c r="C35" s="79">
        <v>34</v>
      </c>
      <c r="E35" s="58"/>
      <c r="F35" s="78"/>
      <c r="G35" s="85" t="s">
        <v>4895</v>
      </c>
      <c r="H35" s="61">
        <v>0</v>
      </c>
      <c r="J35" s="43" t="e">
        <f>VLOOKUP(E35,Input!C:J,5,0)</f>
        <v>#N/A</v>
      </c>
      <c r="K35" s="43" t="e">
        <f>VLOOKUP(E35,Input!C:G,5,0)</f>
        <v>#N/A</v>
      </c>
      <c r="L35" s="82" t="str">
        <f>IFERROR(VLOOKUP($E:$E,Input!$C:$Q,12,0),"")</f>
        <v/>
      </c>
      <c r="M35" s="82" t="str">
        <f>IFERROR(VLOOKUP($E:$E,Input!$C:$Q,14,0),"")</f>
        <v/>
      </c>
      <c r="N35" s="82" t="str">
        <f>IFERROR(VLOOKUP($E:$E,Input!$C:$Q,15,0),"")</f>
        <v/>
      </c>
      <c r="P35" s="43" t="str">
        <f t="shared" si="0"/>
        <v>34,34,**</v>
      </c>
      <c r="Q35" s="43" t="s">
        <v>4896</v>
      </c>
      <c r="R35" s="43">
        <v>6042070338</v>
      </c>
      <c r="T35" s="90" t="s">
        <v>4897</v>
      </c>
      <c r="V35" s="43">
        <v>34</v>
      </c>
    </row>
    <row r="36" spans="1:22" ht="15.75">
      <c r="A36" s="13" t="str">
        <f>IFERROR(VLOOKUP($E:$E,scan!$A:$B,2,0),"**")</f>
        <v>**</v>
      </c>
      <c r="B36" s="13" t="str">
        <f>IFERROR(VLOOKUP($E36,scan!A:C,3,0),"**")</f>
        <v>**</v>
      </c>
      <c r="C36" s="79">
        <v>35</v>
      </c>
      <c r="E36" s="58"/>
      <c r="F36" s="78"/>
      <c r="G36" s="85" t="s">
        <v>4895</v>
      </c>
      <c r="H36" s="61">
        <v>0</v>
      </c>
      <c r="J36" s="43" t="e">
        <f>VLOOKUP(E36,Input!C:J,5,0)</f>
        <v>#N/A</v>
      </c>
      <c r="K36" s="43" t="e">
        <f>VLOOKUP(E36,Input!C:G,5,0)</f>
        <v>#N/A</v>
      </c>
      <c r="L36" s="82" t="str">
        <f>IFERROR(VLOOKUP($E:$E,Input!$C:$Q,12,0),"")</f>
        <v/>
      </c>
      <c r="M36" s="82" t="str">
        <f>IFERROR(VLOOKUP($E:$E,Input!$C:$Q,14,0),"")</f>
        <v/>
      </c>
      <c r="N36" s="82" t="str">
        <f>IFERROR(VLOOKUP($E:$E,Input!$C:$Q,15,0),"")</f>
        <v/>
      </c>
      <c r="P36" s="43" t="str">
        <f t="shared" si="0"/>
        <v>35,35,**</v>
      </c>
      <c r="Q36" s="43" t="s">
        <v>4896</v>
      </c>
      <c r="R36" s="43">
        <v>6042070338</v>
      </c>
      <c r="T36" s="90" t="s">
        <v>4897</v>
      </c>
      <c r="V36" s="43">
        <v>35</v>
      </c>
    </row>
    <row r="37" spans="1:22" ht="15.75">
      <c r="A37" s="13" t="str">
        <f>IFERROR(VLOOKUP($E:$E,scan!$A:$B,2,0),"**")</f>
        <v>**</v>
      </c>
      <c r="B37" s="13" t="str">
        <f>IFERROR(VLOOKUP($E37,scan!A:C,3,0),"**")</f>
        <v>**</v>
      </c>
      <c r="C37" s="79">
        <v>36</v>
      </c>
      <c r="E37" s="58"/>
      <c r="F37" s="78"/>
      <c r="G37" s="85" t="s">
        <v>4895</v>
      </c>
      <c r="H37" s="61">
        <v>0</v>
      </c>
      <c r="J37" s="43" t="e">
        <f>VLOOKUP(E37,Input!C:J,5,0)</f>
        <v>#N/A</v>
      </c>
      <c r="K37" s="43" t="e">
        <f>VLOOKUP(E37,Input!C:G,5,0)</f>
        <v>#N/A</v>
      </c>
      <c r="L37" s="82" t="str">
        <f>IFERROR(VLOOKUP($E:$E,Input!$C:$Q,12,0),"")</f>
        <v/>
      </c>
      <c r="M37" s="82" t="str">
        <f>IFERROR(VLOOKUP($E:$E,Input!$C:$Q,14,0),"")</f>
        <v/>
      </c>
      <c r="N37" s="82" t="str">
        <f>IFERROR(VLOOKUP($E:$E,Input!$C:$Q,15,0),"")</f>
        <v/>
      </c>
      <c r="P37" s="43" t="str">
        <f t="shared" si="0"/>
        <v>36,36,**</v>
      </c>
      <c r="Q37" s="43" t="s">
        <v>4896</v>
      </c>
      <c r="R37" s="43">
        <v>6042070338</v>
      </c>
      <c r="T37" s="90" t="s">
        <v>4897</v>
      </c>
      <c r="V37" s="43">
        <v>36</v>
      </c>
    </row>
    <row r="38" spans="1:22" ht="15.75">
      <c r="A38" s="13" t="str">
        <f>IFERROR(VLOOKUP($E:$E,scan!$A:$B,2,0),"**")</f>
        <v>**</v>
      </c>
      <c r="B38" s="13" t="str">
        <f>IFERROR(VLOOKUP($E38,scan!A:C,3,0),"**")</f>
        <v>**</v>
      </c>
      <c r="C38" s="79">
        <v>37</v>
      </c>
      <c r="E38" s="58"/>
      <c r="F38" s="78"/>
      <c r="G38" s="85" t="s">
        <v>4895</v>
      </c>
      <c r="H38" s="61">
        <v>0</v>
      </c>
      <c r="J38" s="43" t="e">
        <f>VLOOKUP(E38,Input!C:J,5,0)</f>
        <v>#N/A</v>
      </c>
      <c r="K38" s="43" t="e">
        <f>VLOOKUP(E38,Input!C:G,5,0)</f>
        <v>#N/A</v>
      </c>
      <c r="L38" s="82" t="str">
        <f>IFERROR(VLOOKUP($E:$E,Input!$C:$Q,12,0),"")</f>
        <v/>
      </c>
      <c r="M38" s="82" t="str">
        <f>IFERROR(VLOOKUP($E:$E,Input!$C:$Q,14,0),"")</f>
        <v/>
      </c>
      <c r="N38" s="82" t="str">
        <f>IFERROR(VLOOKUP($E:$E,Input!$C:$Q,15,0),"")</f>
        <v/>
      </c>
      <c r="P38" s="43" t="str">
        <f t="shared" si="0"/>
        <v>37,37,**</v>
      </c>
      <c r="Q38" s="43" t="s">
        <v>4896</v>
      </c>
      <c r="R38" s="43">
        <v>6042070338</v>
      </c>
      <c r="T38" s="90" t="s">
        <v>4897</v>
      </c>
      <c r="V38" s="43">
        <v>37</v>
      </c>
    </row>
    <row r="39" spans="1:22" ht="15.75">
      <c r="A39" s="13" t="str">
        <f>IFERROR(VLOOKUP($E:$E,scan!$A:$B,2,0),"**")</f>
        <v>**</v>
      </c>
      <c r="B39" s="13" t="str">
        <f>IFERROR(VLOOKUP($E39,scan!A:C,3,0),"**")</f>
        <v>**</v>
      </c>
      <c r="C39" s="79">
        <v>38</v>
      </c>
      <c r="E39" s="58"/>
      <c r="F39" s="78"/>
      <c r="G39" s="85" t="s">
        <v>4895</v>
      </c>
      <c r="H39" s="61">
        <v>0</v>
      </c>
      <c r="J39" s="43" t="e">
        <f>VLOOKUP(E39,Input!C:J,5,0)</f>
        <v>#N/A</v>
      </c>
      <c r="K39" s="43" t="e">
        <f>VLOOKUP(E39,Input!C:G,5,0)</f>
        <v>#N/A</v>
      </c>
      <c r="L39" s="82" t="str">
        <f>IFERROR(VLOOKUP($E:$E,Input!$C:$Q,12,0),"")</f>
        <v/>
      </c>
      <c r="M39" s="82" t="str">
        <f>IFERROR(VLOOKUP($E:$E,Input!$C:$Q,14,0),"")</f>
        <v/>
      </c>
      <c r="N39" s="82" t="str">
        <f>IFERROR(VLOOKUP($E:$E,Input!$C:$Q,15,0),"")</f>
        <v/>
      </c>
      <c r="P39" s="43" t="str">
        <f t="shared" ref="P39:P70" si="1">V39&amp;","&amp;C39&amp;","&amp;B39</f>
        <v>38,38,**</v>
      </c>
      <c r="Q39" s="43" t="s">
        <v>4896</v>
      </c>
      <c r="R39" s="43">
        <v>6042070338</v>
      </c>
      <c r="T39" s="90" t="s">
        <v>4897</v>
      </c>
      <c r="V39" s="43">
        <v>38</v>
      </c>
    </row>
    <row r="40" spans="1:22" ht="15.75">
      <c r="A40" s="13" t="str">
        <f>IFERROR(VLOOKUP($E:$E,scan!$A:$B,2,0),"**")</f>
        <v>**</v>
      </c>
      <c r="B40" s="13" t="str">
        <f>IFERROR(VLOOKUP($E40,scan!A:C,3,0),"**")</f>
        <v>**</v>
      </c>
      <c r="C40" s="79">
        <v>39</v>
      </c>
      <c r="E40" s="58"/>
      <c r="F40" s="78"/>
      <c r="G40" s="85" t="s">
        <v>4895</v>
      </c>
      <c r="H40" s="61">
        <v>0</v>
      </c>
      <c r="J40" s="43" t="e">
        <f>VLOOKUP(E40,Input!C:J,5,0)</f>
        <v>#N/A</v>
      </c>
      <c r="K40" s="43" t="e">
        <f>VLOOKUP(E40,Input!C:G,5,0)</f>
        <v>#N/A</v>
      </c>
      <c r="L40" s="82" t="str">
        <f>IFERROR(VLOOKUP($E:$E,Input!$C:$Q,12,0),"")</f>
        <v/>
      </c>
      <c r="M40" s="82" t="str">
        <f>IFERROR(VLOOKUP($E:$E,Input!$C:$Q,14,0),"")</f>
        <v/>
      </c>
      <c r="N40" s="82" t="str">
        <f>IFERROR(VLOOKUP($E:$E,Input!$C:$Q,15,0),"")</f>
        <v/>
      </c>
      <c r="P40" s="43" t="str">
        <f t="shared" si="1"/>
        <v>39,39,**</v>
      </c>
      <c r="Q40" s="43" t="s">
        <v>4896</v>
      </c>
      <c r="R40" s="43">
        <v>6042070338</v>
      </c>
      <c r="T40" s="90" t="s">
        <v>4897</v>
      </c>
      <c r="V40" s="43">
        <v>39</v>
      </c>
    </row>
    <row r="41" spans="1:22" ht="15.75">
      <c r="A41" s="13" t="str">
        <f>IFERROR(VLOOKUP($E:$E,scan!$A:$B,2,0),"**")</f>
        <v>**</v>
      </c>
      <c r="B41" s="13" t="str">
        <f>IFERROR(VLOOKUP($E41,scan!A:C,3,0),"**")</f>
        <v>**</v>
      </c>
      <c r="C41" s="79">
        <v>40</v>
      </c>
      <c r="E41" s="58"/>
      <c r="F41" s="78"/>
      <c r="G41" s="85" t="s">
        <v>4895</v>
      </c>
      <c r="H41" s="61">
        <v>0</v>
      </c>
      <c r="J41" s="43" t="e">
        <f>VLOOKUP(E41,Input!C:J,5,0)</f>
        <v>#N/A</v>
      </c>
      <c r="K41" s="43" t="e">
        <f>VLOOKUP(E41,Input!C:G,5,0)</f>
        <v>#N/A</v>
      </c>
      <c r="L41" s="82" t="str">
        <f>IFERROR(VLOOKUP($E:$E,Input!$C:$Q,12,0),"")</f>
        <v/>
      </c>
      <c r="M41" s="82" t="str">
        <f>IFERROR(VLOOKUP($E:$E,Input!$C:$Q,14,0),"")</f>
        <v/>
      </c>
      <c r="N41" s="82" t="str">
        <f>IFERROR(VLOOKUP($E:$E,Input!$C:$Q,15,0),"")</f>
        <v/>
      </c>
      <c r="P41" s="43" t="str">
        <f t="shared" si="1"/>
        <v>40,40,**</v>
      </c>
      <c r="Q41" s="43" t="s">
        <v>4896</v>
      </c>
      <c r="R41" s="43">
        <v>6042070338</v>
      </c>
      <c r="T41" s="90" t="s">
        <v>4897</v>
      </c>
      <c r="V41" s="43">
        <v>40</v>
      </c>
    </row>
    <row r="42" spans="1:22" ht="15.75">
      <c r="A42" s="13" t="str">
        <f>IFERROR(VLOOKUP($E:$E,scan!$A:$B,2,0),"**")</f>
        <v>**</v>
      </c>
      <c r="B42" s="13" t="str">
        <f>IFERROR(VLOOKUP($E42,scan!A:C,3,0),"**")</f>
        <v>**</v>
      </c>
      <c r="C42" s="79">
        <v>41</v>
      </c>
      <c r="E42" s="58"/>
      <c r="F42" s="78"/>
      <c r="G42" s="85" t="s">
        <v>4895</v>
      </c>
      <c r="H42" s="61">
        <v>0</v>
      </c>
      <c r="J42" s="43" t="e">
        <f>VLOOKUP(E42,Input!C:J,5,0)</f>
        <v>#N/A</v>
      </c>
      <c r="K42" s="43" t="e">
        <f>VLOOKUP(E42,Input!C:G,5,0)</f>
        <v>#N/A</v>
      </c>
      <c r="L42" s="82" t="str">
        <f>IFERROR(VLOOKUP($E:$E,Input!$C:$Q,12,0),"")</f>
        <v/>
      </c>
      <c r="M42" s="82" t="str">
        <f>IFERROR(VLOOKUP($E:$E,Input!$C:$Q,14,0),"")</f>
        <v/>
      </c>
      <c r="N42" s="82" t="str">
        <f>IFERROR(VLOOKUP($E:$E,Input!$C:$Q,15,0),"")</f>
        <v/>
      </c>
      <c r="P42" s="43" t="str">
        <f t="shared" si="1"/>
        <v>41,41,**</v>
      </c>
      <c r="Q42" s="43" t="s">
        <v>4896</v>
      </c>
      <c r="R42" s="43">
        <v>6042070338</v>
      </c>
      <c r="T42" s="90" t="s">
        <v>4897</v>
      </c>
      <c r="V42" s="43">
        <v>41</v>
      </c>
    </row>
    <row r="43" spans="1:22" ht="15.75">
      <c r="A43" s="13" t="str">
        <f>IFERROR(VLOOKUP($E:$E,scan!$A:$B,2,0),"**")</f>
        <v>**</v>
      </c>
      <c r="B43" s="13" t="str">
        <f>IFERROR(VLOOKUP($E43,scan!A:C,3,0),"**")</f>
        <v>**</v>
      </c>
      <c r="C43" s="79">
        <v>42</v>
      </c>
      <c r="E43" s="58"/>
      <c r="F43" s="78"/>
      <c r="G43" s="85" t="s">
        <v>4895</v>
      </c>
      <c r="H43" s="61">
        <v>0</v>
      </c>
      <c r="J43" s="43" t="e">
        <f>VLOOKUP(E43,Input!C:J,5,0)</f>
        <v>#N/A</v>
      </c>
      <c r="K43" s="43" t="e">
        <f>VLOOKUP(E43,Input!C:G,5,0)</f>
        <v>#N/A</v>
      </c>
      <c r="L43" s="82" t="str">
        <f>IFERROR(VLOOKUP($E:$E,Input!$C:$Q,12,0),"")</f>
        <v/>
      </c>
      <c r="M43" s="82" t="str">
        <f>IFERROR(VLOOKUP($E:$E,Input!$C:$Q,14,0),"")</f>
        <v/>
      </c>
      <c r="N43" s="82" t="str">
        <f>IFERROR(VLOOKUP($E:$E,Input!$C:$Q,15,0),"")</f>
        <v/>
      </c>
      <c r="P43" s="43" t="str">
        <f t="shared" si="1"/>
        <v>42,42,**</v>
      </c>
      <c r="Q43" s="43" t="s">
        <v>4896</v>
      </c>
      <c r="R43" s="43">
        <v>6042070338</v>
      </c>
      <c r="T43" s="90" t="s">
        <v>4897</v>
      </c>
      <c r="V43" s="43">
        <v>42</v>
      </c>
    </row>
    <row r="44" spans="1:22" ht="15.75">
      <c r="A44" s="13" t="str">
        <f>IFERROR(VLOOKUP($E:$E,scan!$A:$B,2,0),"**")</f>
        <v>**</v>
      </c>
      <c r="B44" s="13" t="str">
        <f>IFERROR(VLOOKUP($E44,scan!A:C,3,0),"**")</f>
        <v>**</v>
      </c>
      <c r="C44" s="79">
        <v>43</v>
      </c>
      <c r="E44" s="58"/>
      <c r="F44" s="78"/>
      <c r="G44" s="85" t="s">
        <v>4895</v>
      </c>
      <c r="H44" s="61">
        <v>0</v>
      </c>
      <c r="J44" s="43" t="e">
        <f>VLOOKUP(E44,Input!C:J,5,0)</f>
        <v>#N/A</v>
      </c>
      <c r="K44" s="43" t="e">
        <f>VLOOKUP(E44,Input!C:G,5,0)</f>
        <v>#N/A</v>
      </c>
      <c r="L44" s="82" t="str">
        <f>IFERROR(VLOOKUP($E:$E,Input!$C:$Q,12,0),"")</f>
        <v/>
      </c>
      <c r="M44" s="82" t="str">
        <f>IFERROR(VLOOKUP($E:$E,Input!$C:$Q,14,0),"")</f>
        <v/>
      </c>
      <c r="N44" s="82" t="str">
        <f>IFERROR(VLOOKUP($E:$E,Input!$C:$Q,15,0),"")</f>
        <v/>
      </c>
      <c r="P44" s="43" t="str">
        <f t="shared" si="1"/>
        <v>43,43,**</v>
      </c>
      <c r="Q44" s="43" t="s">
        <v>4896</v>
      </c>
      <c r="R44" s="43">
        <v>6042070338</v>
      </c>
      <c r="T44" s="90" t="s">
        <v>4897</v>
      </c>
      <c r="V44" s="43">
        <v>43</v>
      </c>
    </row>
    <row r="45" spans="1:22" ht="15.75">
      <c r="A45" s="13" t="str">
        <f>IFERROR(VLOOKUP($E:$E,scan!$A:$B,2,0),"**")</f>
        <v>**</v>
      </c>
      <c r="B45" s="13" t="str">
        <f>IFERROR(VLOOKUP($E45,scan!A:C,3,0),"**")</f>
        <v>**</v>
      </c>
      <c r="C45" s="79">
        <v>44</v>
      </c>
      <c r="E45" s="58"/>
      <c r="F45" s="78"/>
      <c r="G45" s="85" t="s">
        <v>4895</v>
      </c>
      <c r="H45" s="61">
        <v>0</v>
      </c>
      <c r="J45" s="43" t="e">
        <f>VLOOKUP(E45,Input!C:J,5,0)</f>
        <v>#N/A</v>
      </c>
      <c r="K45" s="43" t="e">
        <f>VLOOKUP(E45,Input!C:G,5,0)</f>
        <v>#N/A</v>
      </c>
      <c r="L45" s="82" t="str">
        <f>IFERROR(VLOOKUP($E:$E,Input!$C:$Q,12,0),"")</f>
        <v/>
      </c>
      <c r="M45" s="82" t="str">
        <f>IFERROR(VLOOKUP($E:$E,Input!$C:$Q,14,0),"")</f>
        <v/>
      </c>
      <c r="N45" s="82" t="str">
        <f>IFERROR(VLOOKUP($E:$E,Input!$C:$Q,15,0),"")</f>
        <v/>
      </c>
      <c r="P45" s="43" t="str">
        <f t="shared" si="1"/>
        <v>44,44,**</v>
      </c>
      <c r="Q45" s="43" t="s">
        <v>4896</v>
      </c>
      <c r="R45" s="43">
        <v>6042070338</v>
      </c>
      <c r="T45" s="90" t="s">
        <v>4897</v>
      </c>
      <c r="V45" s="43">
        <v>44</v>
      </c>
    </row>
    <row r="46" spans="1:22" ht="15.75">
      <c r="A46" s="13" t="str">
        <f>IFERROR(VLOOKUP($E:$E,scan!$A:$B,2,0),"**")</f>
        <v>**</v>
      </c>
      <c r="B46" s="13" t="str">
        <f>IFERROR(VLOOKUP($E46,scan!A:C,3,0),"**")</f>
        <v>**</v>
      </c>
      <c r="C46" s="79">
        <v>45</v>
      </c>
      <c r="E46" s="58"/>
      <c r="F46" s="78"/>
      <c r="G46" s="85" t="s">
        <v>4895</v>
      </c>
      <c r="H46" s="61">
        <v>0</v>
      </c>
      <c r="J46" s="43" t="e">
        <f>VLOOKUP(E46,Input!C:J,5,0)</f>
        <v>#N/A</v>
      </c>
      <c r="K46" s="43" t="e">
        <f>VLOOKUP(E46,Input!C:G,5,0)</f>
        <v>#N/A</v>
      </c>
      <c r="L46" s="82" t="str">
        <f>IFERROR(VLOOKUP($E:$E,Input!$C:$Q,12,0),"")</f>
        <v/>
      </c>
      <c r="M46" s="82" t="str">
        <f>IFERROR(VLOOKUP($E:$E,Input!$C:$Q,14,0),"")</f>
        <v/>
      </c>
      <c r="N46" s="82" t="str">
        <f>IFERROR(VLOOKUP($E:$E,Input!$C:$Q,15,0),"")</f>
        <v/>
      </c>
      <c r="P46" s="43" t="str">
        <f t="shared" si="1"/>
        <v>45,45,**</v>
      </c>
      <c r="Q46" s="43" t="s">
        <v>4896</v>
      </c>
      <c r="R46" s="43">
        <v>6042070338</v>
      </c>
      <c r="T46" s="90" t="s">
        <v>4897</v>
      </c>
      <c r="V46" s="43">
        <v>45</v>
      </c>
    </row>
    <row r="47" spans="1:22" ht="15.75">
      <c r="A47" s="13" t="str">
        <f>IFERROR(VLOOKUP($E:$E,scan!$A:$B,2,0),"**")</f>
        <v>**</v>
      </c>
      <c r="B47" s="13" t="str">
        <f>IFERROR(VLOOKUP($E47,scan!A:C,3,0),"**")</f>
        <v>**</v>
      </c>
      <c r="C47" s="79">
        <v>46</v>
      </c>
      <c r="E47" s="58"/>
      <c r="F47" s="78"/>
      <c r="G47" s="85" t="s">
        <v>4895</v>
      </c>
      <c r="H47" s="61">
        <v>0</v>
      </c>
      <c r="J47" s="43" t="e">
        <f>VLOOKUP(E47,Input!C:J,5,0)</f>
        <v>#N/A</v>
      </c>
      <c r="K47" s="43" t="e">
        <f>VLOOKUP(E47,Input!C:G,5,0)</f>
        <v>#N/A</v>
      </c>
      <c r="L47" s="82" t="str">
        <f>IFERROR(VLOOKUP($E:$E,Input!$C:$Q,12,0),"")</f>
        <v/>
      </c>
      <c r="M47" s="82" t="str">
        <f>IFERROR(VLOOKUP($E:$E,Input!$C:$Q,14,0),"")</f>
        <v/>
      </c>
      <c r="N47" s="82" t="str">
        <f>IFERROR(VLOOKUP($E:$E,Input!$C:$Q,15,0),"")</f>
        <v/>
      </c>
      <c r="P47" s="43" t="str">
        <f t="shared" si="1"/>
        <v>46,46,**</v>
      </c>
      <c r="Q47" s="43" t="s">
        <v>4896</v>
      </c>
      <c r="R47" s="43">
        <v>6042070338</v>
      </c>
      <c r="T47" s="90" t="s">
        <v>4897</v>
      </c>
      <c r="V47" s="43">
        <v>46</v>
      </c>
    </row>
    <row r="48" spans="1:22" ht="15.75">
      <c r="A48" s="13" t="str">
        <f>IFERROR(VLOOKUP($E:$E,scan!$A:$B,2,0),"**")</f>
        <v>**</v>
      </c>
      <c r="B48" s="13" t="str">
        <f>IFERROR(VLOOKUP($E48,scan!A:C,3,0),"**")</f>
        <v>**</v>
      </c>
      <c r="C48" s="79">
        <v>47</v>
      </c>
      <c r="E48" s="58"/>
      <c r="F48" s="78"/>
      <c r="G48" s="85" t="s">
        <v>4895</v>
      </c>
      <c r="H48" s="61">
        <v>0</v>
      </c>
      <c r="J48" s="43" t="e">
        <f>VLOOKUP(E48,Input!C:J,5,0)</f>
        <v>#N/A</v>
      </c>
      <c r="K48" s="43" t="e">
        <f>VLOOKUP(E48,Input!C:G,5,0)</f>
        <v>#N/A</v>
      </c>
      <c r="L48" s="82" t="str">
        <f>IFERROR(VLOOKUP($E:$E,Input!$C:$Q,12,0),"")</f>
        <v/>
      </c>
      <c r="M48" s="82" t="str">
        <f>IFERROR(VLOOKUP($E:$E,Input!$C:$Q,14,0),"")</f>
        <v/>
      </c>
      <c r="N48" s="82" t="str">
        <f>IFERROR(VLOOKUP($E:$E,Input!$C:$Q,15,0),"")</f>
        <v/>
      </c>
      <c r="P48" s="43" t="str">
        <f t="shared" si="1"/>
        <v>47,47,**</v>
      </c>
      <c r="Q48" s="43" t="s">
        <v>4896</v>
      </c>
      <c r="R48" s="43">
        <v>6042070338</v>
      </c>
      <c r="T48" s="90" t="s">
        <v>4897</v>
      </c>
      <c r="V48" s="43">
        <v>47</v>
      </c>
    </row>
    <row r="49" spans="1:22" ht="15.75">
      <c r="A49" s="13" t="str">
        <f>IFERROR(VLOOKUP($E:$E,scan!$A:$B,2,0),"**")</f>
        <v>**</v>
      </c>
      <c r="B49" s="13" t="str">
        <f>IFERROR(VLOOKUP($E49,scan!A:C,3,0),"**")</f>
        <v>**</v>
      </c>
      <c r="C49" s="79">
        <v>48</v>
      </c>
      <c r="E49" s="58"/>
      <c r="F49" s="78"/>
      <c r="G49" s="85" t="s">
        <v>4895</v>
      </c>
      <c r="H49" s="61">
        <v>0</v>
      </c>
      <c r="J49" s="43" t="e">
        <f>VLOOKUP(E49,Input!C:J,5,0)</f>
        <v>#N/A</v>
      </c>
      <c r="K49" s="43" t="e">
        <f>VLOOKUP(E49,Input!C:G,5,0)</f>
        <v>#N/A</v>
      </c>
      <c r="L49" s="82" t="str">
        <f>IFERROR(VLOOKUP($E:$E,Input!$C:$Q,12,0),"")</f>
        <v/>
      </c>
      <c r="M49" s="82" t="str">
        <f>IFERROR(VLOOKUP($E:$E,Input!$C:$Q,14,0),"")</f>
        <v/>
      </c>
      <c r="N49" s="82" t="str">
        <f>IFERROR(VLOOKUP($E:$E,Input!$C:$Q,15,0),"")</f>
        <v/>
      </c>
      <c r="P49" s="43" t="str">
        <f t="shared" si="1"/>
        <v>48,48,**</v>
      </c>
      <c r="Q49" s="43" t="s">
        <v>4896</v>
      </c>
      <c r="R49" s="43">
        <v>6042070338</v>
      </c>
      <c r="T49" s="90" t="s">
        <v>4897</v>
      </c>
      <c r="V49" s="43">
        <v>48</v>
      </c>
    </row>
    <row r="50" spans="1:22" ht="15.75">
      <c r="A50" s="13" t="str">
        <f>IFERROR(VLOOKUP($E:$E,scan!$A:$B,2,0),"**")</f>
        <v>**</v>
      </c>
      <c r="B50" s="13" t="str">
        <f>IFERROR(VLOOKUP($E50,scan!A:C,3,0),"**")</f>
        <v>**</v>
      </c>
      <c r="C50" s="79">
        <v>49</v>
      </c>
      <c r="E50" s="58"/>
      <c r="F50" s="78"/>
      <c r="G50" s="85" t="s">
        <v>4895</v>
      </c>
      <c r="H50" s="61">
        <v>0</v>
      </c>
      <c r="J50" s="43" t="e">
        <f>VLOOKUP(E50,Input!C:J,5,0)</f>
        <v>#N/A</v>
      </c>
      <c r="K50" s="43" t="e">
        <f>VLOOKUP(E50,Input!C:G,5,0)</f>
        <v>#N/A</v>
      </c>
      <c r="L50" s="82" t="str">
        <f>IFERROR(VLOOKUP($E:$E,Input!$C:$Q,12,0),"")</f>
        <v/>
      </c>
      <c r="M50" s="82" t="str">
        <f>IFERROR(VLOOKUP($E:$E,Input!$C:$Q,14,0),"")</f>
        <v/>
      </c>
      <c r="N50" s="82" t="str">
        <f>IFERROR(VLOOKUP($E:$E,Input!$C:$Q,15,0),"")</f>
        <v/>
      </c>
      <c r="P50" s="43" t="str">
        <f t="shared" si="1"/>
        <v>49,49,**</v>
      </c>
      <c r="Q50" s="43" t="s">
        <v>4896</v>
      </c>
      <c r="R50" s="43">
        <v>6042070338</v>
      </c>
      <c r="T50" s="90" t="s">
        <v>4897</v>
      </c>
      <c r="V50" s="43">
        <v>49</v>
      </c>
    </row>
    <row r="51" spans="1:22" ht="15.75">
      <c r="A51" s="13" t="str">
        <f>IFERROR(VLOOKUP($E:$E,scan!$A:$B,2,0),"**")</f>
        <v>**</v>
      </c>
      <c r="B51" s="13" t="str">
        <f>IFERROR(VLOOKUP($E51,scan!A:C,3,0),"**")</f>
        <v>**</v>
      </c>
      <c r="C51" s="79">
        <v>50</v>
      </c>
      <c r="E51" s="58"/>
      <c r="F51" s="78"/>
      <c r="G51" s="85" t="s">
        <v>4895</v>
      </c>
      <c r="H51" s="61">
        <v>0</v>
      </c>
      <c r="J51" s="43" t="e">
        <f>VLOOKUP(E51,Input!C:J,5,0)</f>
        <v>#N/A</v>
      </c>
      <c r="K51" s="43" t="e">
        <f>VLOOKUP(E51,Input!C:G,5,0)</f>
        <v>#N/A</v>
      </c>
      <c r="L51" s="82" t="str">
        <f>IFERROR(VLOOKUP($E:$E,Input!$C:$Q,12,0),"")</f>
        <v/>
      </c>
      <c r="M51" s="82" t="str">
        <f>IFERROR(VLOOKUP($E:$E,Input!$C:$Q,14,0),"")</f>
        <v/>
      </c>
      <c r="N51" s="82" t="str">
        <f>IFERROR(VLOOKUP($E:$E,Input!$C:$Q,15,0),"")</f>
        <v/>
      </c>
      <c r="P51" s="43" t="str">
        <f t="shared" si="1"/>
        <v>50,50,**</v>
      </c>
      <c r="Q51" s="43" t="s">
        <v>4896</v>
      </c>
      <c r="R51" s="43">
        <v>6042070338</v>
      </c>
      <c r="T51" s="90" t="s">
        <v>4897</v>
      </c>
      <c r="V51" s="43">
        <v>50</v>
      </c>
    </row>
    <row r="52" spans="1:22" ht="15.75">
      <c r="A52" s="13" t="str">
        <f>IFERROR(VLOOKUP($E:$E,scan!$A:$B,2,0),"**")</f>
        <v>**</v>
      </c>
      <c r="B52" s="13" t="str">
        <f>IFERROR(VLOOKUP($E52,scan!A:C,3,0),"**")</f>
        <v>**</v>
      </c>
      <c r="C52" s="79">
        <v>51</v>
      </c>
      <c r="E52" s="58"/>
      <c r="F52" s="78"/>
      <c r="G52" s="85" t="s">
        <v>4895</v>
      </c>
      <c r="H52" s="61">
        <v>0</v>
      </c>
      <c r="J52" s="43" t="e">
        <f>VLOOKUP(E52,Input!C:J,5,0)</f>
        <v>#N/A</v>
      </c>
      <c r="K52" s="43" t="e">
        <f>VLOOKUP(E52,Input!C:G,5,0)</f>
        <v>#N/A</v>
      </c>
      <c r="L52" s="82" t="str">
        <f>IFERROR(VLOOKUP($E:$E,Input!$C:$Q,12,0),"")</f>
        <v/>
      </c>
      <c r="M52" s="82" t="str">
        <f>IFERROR(VLOOKUP($E:$E,Input!$C:$Q,14,0),"")</f>
        <v/>
      </c>
      <c r="N52" s="82" t="str">
        <f>IFERROR(VLOOKUP($E:$E,Input!$C:$Q,15,0),"")</f>
        <v/>
      </c>
      <c r="P52" s="43" t="str">
        <f t="shared" si="1"/>
        <v>51,51,**</v>
      </c>
      <c r="Q52" s="43" t="s">
        <v>4896</v>
      </c>
      <c r="R52" s="43">
        <v>6042070338</v>
      </c>
      <c r="T52" s="90" t="s">
        <v>4897</v>
      </c>
      <c r="V52" s="43">
        <v>51</v>
      </c>
    </row>
    <row r="53" spans="1:22" ht="15.75">
      <c r="A53" s="13" t="str">
        <f>IFERROR(VLOOKUP($E:$E,scan!$A:$B,2,0),"**")</f>
        <v>**</v>
      </c>
      <c r="B53" s="13" t="str">
        <f>IFERROR(VLOOKUP($E53,scan!A:C,3,0),"**")</f>
        <v>**</v>
      </c>
      <c r="C53" s="79">
        <v>52</v>
      </c>
      <c r="E53" s="58"/>
      <c r="F53" s="78"/>
      <c r="G53" s="85" t="s">
        <v>4895</v>
      </c>
      <c r="H53" s="61">
        <v>0</v>
      </c>
      <c r="J53" s="43" t="e">
        <f>VLOOKUP(E53,Input!C:J,5,0)</f>
        <v>#N/A</v>
      </c>
      <c r="K53" s="43" t="e">
        <f>VLOOKUP(E53,Input!C:G,5,0)</f>
        <v>#N/A</v>
      </c>
      <c r="L53" s="82" t="str">
        <f>IFERROR(VLOOKUP($E:$E,Input!$C:$Q,12,0),"")</f>
        <v/>
      </c>
      <c r="M53" s="82" t="str">
        <f>IFERROR(VLOOKUP($E:$E,Input!$C:$Q,14,0),"")</f>
        <v/>
      </c>
      <c r="N53" s="82" t="str">
        <f>IFERROR(VLOOKUP($E:$E,Input!$C:$Q,15,0),"")</f>
        <v/>
      </c>
      <c r="P53" s="43" t="str">
        <f t="shared" si="1"/>
        <v>52,52,**</v>
      </c>
      <c r="Q53" s="43" t="s">
        <v>4896</v>
      </c>
      <c r="R53" s="43">
        <v>6042070338</v>
      </c>
      <c r="T53" s="90" t="s">
        <v>4897</v>
      </c>
      <c r="V53" s="43">
        <v>52</v>
      </c>
    </row>
    <row r="54" spans="1:22" ht="15.75">
      <c r="A54" s="13" t="str">
        <f>IFERROR(VLOOKUP($E:$E,scan!$A:$B,2,0),"**")</f>
        <v>**</v>
      </c>
      <c r="B54" s="13" t="str">
        <f>IFERROR(VLOOKUP($E54,scan!A:C,3,0),"**")</f>
        <v>**</v>
      </c>
      <c r="C54" s="79">
        <v>53</v>
      </c>
      <c r="E54" s="58"/>
      <c r="F54" s="78"/>
      <c r="G54" s="85" t="s">
        <v>4895</v>
      </c>
      <c r="H54" s="61">
        <v>0</v>
      </c>
      <c r="J54" s="43" t="e">
        <f>VLOOKUP(E54,Input!C:J,5,0)</f>
        <v>#N/A</v>
      </c>
      <c r="K54" s="43" t="e">
        <f>VLOOKUP(E54,Input!C:G,5,0)</f>
        <v>#N/A</v>
      </c>
      <c r="L54" s="82" t="str">
        <f>IFERROR(VLOOKUP($E:$E,Input!$C:$Q,12,0),"")</f>
        <v/>
      </c>
      <c r="M54" s="82" t="str">
        <f>IFERROR(VLOOKUP($E:$E,Input!$C:$Q,14,0),"")</f>
        <v/>
      </c>
      <c r="N54" s="82" t="str">
        <f>IFERROR(VLOOKUP($E:$E,Input!$C:$Q,15,0),"")</f>
        <v/>
      </c>
      <c r="P54" s="43" t="str">
        <f t="shared" si="1"/>
        <v>53,53,**</v>
      </c>
      <c r="Q54" s="43" t="s">
        <v>4896</v>
      </c>
      <c r="R54" s="43">
        <v>6042070338</v>
      </c>
      <c r="T54" s="90" t="s">
        <v>4897</v>
      </c>
      <c r="V54" s="43">
        <v>53</v>
      </c>
    </row>
    <row r="55" spans="1:22" ht="15.75">
      <c r="A55" s="13" t="str">
        <f>IFERROR(VLOOKUP($E:$E,scan!$A:$B,2,0),"**")</f>
        <v>**</v>
      </c>
      <c r="B55" s="13" t="str">
        <f>IFERROR(VLOOKUP($E55,scan!A:C,3,0),"**")</f>
        <v>**</v>
      </c>
      <c r="C55" s="79">
        <v>54</v>
      </c>
      <c r="E55" s="58"/>
      <c r="F55" s="78"/>
      <c r="G55" s="85" t="s">
        <v>4895</v>
      </c>
      <c r="H55" s="61">
        <v>0</v>
      </c>
      <c r="J55" s="43" t="e">
        <f>VLOOKUP(E55,Input!C:J,5,0)</f>
        <v>#N/A</v>
      </c>
      <c r="K55" s="43" t="e">
        <f>VLOOKUP(E55,Input!C:G,5,0)</f>
        <v>#N/A</v>
      </c>
      <c r="L55" s="82" t="str">
        <f>IFERROR(VLOOKUP($E:$E,Input!$C:$Q,12,0),"")</f>
        <v/>
      </c>
      <c r="M55" s="82" t="str">
        <f>IFERROR(VLOOKUP($E:$E,Input!$C:$Q,14,0),"")</f>
        <v/>
      </c>
      <c r="N55" s="82" t="str">
        <f>IFERROR(VLOOKUP($E:$E,Input!$C:$Q,15,0),"")</f>
        <v/>
      </c>
      <c r="P55" s="43" t="str">
        <f t="shared" si="1"/>
        <v>54,54,**</v>
      </c>
      <c r="Q55" s="43" t="s">
        <v>4896</v>
      </c>
      <c r="R55" s="43">
        <v>6042070338</v>
      </c>
      <c r="T55" s="90" t="s">
        <v>4897</v>
      </c>
      <c r="V55" s="43">
        <v>54</v>
      </c>
    </row>
    <row r="56" spans="1:22" ht="15.75">
      <c r="A56" s="13" t="str">
        <f>IFERROR(VLOOKUP($E:$E,scan!$A:$B,2,0),"**")</f>
        <v>**</v>
      </c>
      <c r="B56" s="13" t="str">
        <f>IFERROR(VLOOKUP($E56,scan!A:C,3,0),"**")</f>
        <v>**</v>
      </c>
      <c r="C56" s="79">
        <v>55</v>
      </c>
      <c r="E56" s="58"/>
      <c r="F56" s="78"/>
      <c r="G56" s="85" t="s">
        <v>4895</v>
      </c>
      <c r="H56" s="61">
        <v>0</v>
      </c>
      <c r="J56" s="43" t="e">
        <f>VLOOKUP(E56,Input!C:J,5,0)</f>
        <v>#N/A</v>
      </c>
      <c r="K56" s="43" t="e">
        <f>VLOOKUP(E56,Input!C:G,5,0)</f>
        <v>#N/A</v>
      </c>
      <c r="L56" s="82" t="str">
        <f>IFERROR(VLOOKUP($E:$E,Input!$C:$Q,12,0),"")</f>
        <v/>
      </c>
      <c r="M56" s="82" t="str">
        <f>IFERROR(VLOOKUP($E:$E,Input!$C:$Q,14,0),"")</f>
        <v/>
      </c>
      <c r="N56" s="82" t="str">
        <f>IFERROR(VLOOKUP($E:$E,Input!$C:$Q,15,0),"")</f>
        <v/>
      </c>
      <c r="P56" s="43" t="str">
        <f t="shared" si="1"/>
        <v>55,55,**</v>
      </c>
      <c r="Q56" s="43" t="s">
        <v>4896</v>
      </c>
      <c r="R56" s="43">
        <v>6042070338</v>
      </c>
      <c r="T56" s="90" t="s">
        <v>4897</v>
      </c>
      <c r="V56" s="43">
        <v>55</v>
      </c>
    </row>
    <row r="57" spans="1:22" ht="15.75">
      <c r="A57" s="13" t="str">
        <f>IFERROR(VLOOKUP($E:$E,scan!$A:$B,2,0),"**")</f>
        <v>**</v>
      </c>
      <c r="B57" s="13" t="str">
        <f>IFERROR(VLOOKUP($E57,scan!A:C,3,0),"**")</f>
        <v>**</v>
      </c>
      <c r="C57" s="79">
        <v>56</v>
      </c>
      <c r="E57" s="58"/>
      <c r="F57" s="78"/>
      <c r="G57" s="85" t="s">
        <v>4895</v>
      </c>
      <c r="H57" s="61">
        <v>0</v>
      </c>
      <c r="J57" s="43" t="e">
        <f>VLOOKUP(E57,Input!C:J,5,0)</f>
        <v>#N/A</v>
      </c>
      <c r="K57" s="43" t="e">
        <f>VLOOKUP(E57,Input!C:G,5,0)</f>
        <v>#N/A</v>
      </c>
      <c r="L57" s="82" t="str">
        <f>IFERROR(VLOOKUP($E:$E,Input!$C:$Q,12,0),"")</f>
        <v/>
      </c>
      <c r="M57" s="82" t="str">
        <f>IFERROR(VLOOKUP($E:$E,Input!$C:$Q,14,0),"")</f>
        <v/>
      </c>
      <c r="N57" s="82" t="str">
        <f>IFERROR(VLOOKUP($E:$E,Input!$C:$Q,15,0),"")</f>
        <v/>
      </c>
      <c r="P57" s="43" t="str">
        <f t="shared" si="1"/>
        <v>56,56,**</v>
      </c>
      <c r="Q57" s="43" t="s">
        <v>4896</v>
      </c>
      <c r="R57" s="43">
        <v>6042070338</v>
      </c>
      <c r="T57" s="90" t="s">
        <v>4897</v>
      </c>
      <c r="V57" s="43">
        <v>56</v>
      </c>
    </row>
    <row r="58" spans="1:22" ht="15.75">
      <c r="A58" s="13" t="str">
        <f>IFERROR(VLOOKUP($E:$E,scan!$A:$B,2,0),"**")</f>
        <v>**</v>
      </c>
      <c r="B58" s="13" t="str">
        <f>IFERROR(VLOOKUP($E58,scan!A:C,3,0),"**")</f>
        <v>**</v>
      </c>
      <c r="C58" s="79">
        <v>57</v>
      </c>
      <c r="E58" s="58"/>
      <c r="F58" s="78"/>
      <c r="G58" s="85" t="s">
        <v>4895</v>
      </c>
      <c r="H58" s="61">
        <v>0</v>
      </c>
      <c r="J58" s="43" t="e">
        <f>VLOOKUP(E58,Input!C:J,5,0)</f>
        <v>#N/A</v>
      </c>
      <c r="K58" s="43" t="e">
        <f>VLOOKUP(E58,Input!C:G,5,0)</f>
        <v>#N/A</v>
      </c>
      <c r="L58" s="82" t="str">
        <f>IFERROR(VLOOKUP($E:$E,Input!$C:$Q,12,0),"")</f>
        <v/>
      </c>
      <c r="M58" s="82" t="str">
        <f>IFERROR(VLOOKUP($E:$E,Input!$C:$Q,14,0),"")</f>
        <v/>
      </c>
      <c r="N58" s="82" t="str">
        <f>IFERROR(VLOOKUP($E:$E,Input!$C:$Q,15,0),"")</f>
        <v/>
      </c>
      <c r="P58" s="43" t="str">
        <f t="shared" si="1"/>
        <v>57,57,**</v>
      </c>
      <c r="Q58" s="43" t="s">
        <v>4896</v>
      </c>
      <c r="R58" s="43">
        <v>6042070338</v>
      </c>
      <c r="T58" s="90" t="s">
        <v>4897</v>
      </c>
      <c r="V58" s="43">
        <v>57</v>
      </c>
    </row>
    <row r="59" spans="1:22" ht="15.75">
      <c r="A59" s="13" t="str">
        <f>IFERROR(VLOOKUP($E:$E,scan!$A:$B,2,0),"**")</f>
        <v>**</v>
      </c>
      <c r="B59" s="13" t="str">
        <f>IFERROR(VLOOKUP($E59,scan!A:C,3,0),"**")</f>
        <v>**</v>
      </c>
      <c r="C59" s="79">
        <v>58</v>
      </c>
      <c r="E59" s="58"/>
      <c r="F59" s="78"/>
      <c r="G59" s="85" t="s">
        <v>4895</v>
      </c>
      <c r="H59" s="61">
        <v>0</v>
      </c>
      <c r="J59" s="43" t="e">
        <f>VLOOKUP(E59,Input!C:J,5,0)</f>
        <v>#N/A</v>
      </c>
      <c r="K59" s="43" t="e">
        <f>VLOOKUP(E59,Input!C:G,5,0)</f>
        <v>#N/A</v>
      </c>
      <c r="L59" s="82" t="str">
        <f>IFERROR(VLOOKUP($E:$E,Input!$C:$Q,12,0),"")</f>
        <v/>
      </c>
      <c r="M59" s="82" t="str">
        <f>IFERROR(VLOOKUP($E:$E,Input!$C:$Q,14,0),"")</f>
        <v/>
      </c>
      <c r="N59" s="82" t="str">
        <f>IFERROR(VLOOKUP($E:$E,Input!$C:$Q,15,0),"")</f>
        <v/>
      </c>
      <c r="P59" s="43" t="str">
        <f t="shared" si="1"/>
        <v>58,58,**</v>
      </c>
      <c r="Q59" s="43" t="s">
        <v>4896</v>
      </c>
      <c r="R59" s="43">
        <v>6042070338</v>
      </c>
      <c r="T59" s="90" t="s">
        <v>4897</v>
      </c>
      <c r="V59" s="43">
        <v>58</v>
      </c>
    </row>
    <row r="60" spans="1:22" ht="15.75">
      <c r="A60" s="13" t="str">
        <f>IFERROR(VLOOKUP($E:$E,scan!$A:$B,2,0),"**")</f>
        <v>**</v>
      </c>
      <c r="B60" s="13" t="str">
        <f>IFERROR(VLOOKUP($E60,scan!A:C,3,0),"**")</f>
        <v>**</v>
      </c>
      <c r="C60" s="79">
        <v>59</v>
      </c>
      <c r="E60" s="58"/>
      <c r="F60" s="78"/>
      <c r="G60" s="85" t="s">
        <v>4895</v>
      </c>
      <c r="H60" s="61">
        <v>0</v>
      </c>
      <c r="J60" s="43" t="e">
        <f>VLOOKUP(E60,Input!C:J,5,0)</f>
        <v>#N/A</v>
      </c>
      <c r="K60" s="43" t="e">
        <f>VLOOKUP(E60,Input!C:G,5,0)</f>
        <v>#N/A</v>
      </c>
      <c r="L60" s="82" t="str">
        <f>IFERROR(VLOOKUP($E:$E,Input!$C:$Q,12,0),"")</f>
        <v/>
      </c>
      <c r="M60" s="82" t="str">
        <f>IFERROR(VLOOKUP($E:$E,Input!$C:$Q,14,0),"")</f>
        <v/>
      </c>
      <c r="N60" s="82" t="str">
        <f>IFERROR(VLOOKUP($E:$E,Input!$C:$Q,15,0),"")</f>
        <v/>
      </c>
      <c r="P60" s="43" t="str">
        <f t="shared" si="1"/>
        <v>59,59,**</v>
      </c>
      <c r="Q60" s="43" t="s">
        <v>4896</v>
      </c>
      <c r="R60" s="43">
        <v>6042070338</v>
      </c>
      <c r="T60" s="90" t="s">
        <v>4897</v>
      </c>
      <c r="V60" s="43">
        <v>59</v>
      </c>
    </row>
    <row r="61" spans="1:22" ht="15.75">
      <c r="A61" s="13" t="str">
        <f>IFERROR(VLOOKUP($E:$E,scan!$A:$B,2,0),"**")</f>
        <v>**</v>
      </c>
      <c r="B61" s="13" t="str">
        <f>IFERROR(VLOOKUP($E61,scan!A:C,3,0),"**")</f>
        <v>**</v>
      </c>
      <c r="C61" s="79">
        <v>60</v>
      </c>
      <c r="E61" s="58"/>
      <c r="F61" s="78"/>
      <c r="G61" s="85" t="s">
        <v>4895</v>
      </c>
      <c r="H61" s="61">
        <v>0</v>
      </c>
      <c r="J61" s="43" t="e">
        <f>VLOOKUP(E61,Input!C:J,5,0)</f>
        <v>#N/A</v>
      </c>
      <c r="K61" s="43" t="e">
        <f>VLOOKUP(E61,Input!C:G,5,0)</f>
        <v>#N/A</v>
      </c>
      <c r="L61" s="82" t="str">
        <f>IFERROR(VLOOKUP($E:$E,Input!$C:$Q,12,0),"")</f>
        <v/>
      </c>
      <c r="M61" s="82" t="str">
        <f>IFERROR(VLOOKUP($E:$E,Input!$C:$Q,14,0),"")</f>
        <v/>
      </c>
      <c r="N61" s="82" t="str">
        <f>IFERROR(VLOOKUP($E:$E,Input!$C:$Q,15,0),"")</f>
        <v/>
      </c>
      <c r="P61" s="43" t="str">
        <f t="shared" si="1"/>
        <v>60,60,**</v>
      </c>
      <c r="Q61" s="43" t="s">
        <v>4896</v>
      </c>
      <c r="R61" s="43">
        <v>6042070338</v>
      </c>
      <c r="T61" s="90" t="s">
        <v>4897</v>
      </c>
      <c r="V61" s="43">
        <v>60</v>
      </c>
    </row>
    <row r="62" spans="1:22" ht="15.75">
      <c r="A62" s="13" t="str">
        <f>IFERROR(VLOOKUP($E:$E,scan!$A:$B,2,0),"**")</f>
        <v>**</v>
      </c>
      <c r="B62" s="13" t="str">
        <f>IFERROR(VLOOKUP($E62,scan!A:C,3,0),"**")</f>
        <v>**</v>
      </c>
      <c r="C62" s="79">
        <v>61</v>
      </c>
      <c r="E62" s="58"/>
      <c r="F62" s="78"/>
      <c r="G62" s="85" t="s">
        <v>4895</v>
      </c>
      <c r="H62" s="61">
        <v>0</v>
      </c>
      <c r="J62" s="43" t="e">
        <f>VLOOKUP(E62,Input!C:J,5,0)</f>
        <v>#N/A</v>
      </c>
      <c r="K62" s="43" t="e">
        <f>VLOOKUP(E62,Input!C:G,5,0)</f>
        <v>#N/A</v>
      </c>
      <c r="L62" s="82" t="str">
        <f>IFERROR(VLOOKUP($E:$E,Input!$C:$Q,12,0),"")</f>
        <v/>
      </c>
      <c r="M62" s="82" t="str">
        <f>IFERROR(VLOOKUP($E:$E,Input!$C:$Q,14,0),"")</f>
        <v/>
      </c>
      <c r="N62" s="82" t="str">
        <f>IFERROR(VLOOKUP($E:$E,Input!$C:$Q,15,0),"")</f>
        <v/>
      </c>
      <c r="P62" s="43" t="str">
        <f t="shared" si="1"/>
        <v>61,61,**</v>
      </c>
      <c r="Q62" s="43" t="s">
        <v>4896</v>
      </c>
      <c r="R62" s="43">
        <v>6042070338</v>
      </c>
      <c r="T62" s="90" t="s">
        <v>4897</v>
      </c>
      <c r="V62" s="43">
        <v>61</v>
      </c>
    </row>
    <row r="63" spans="1:22" ht="15.75">
      <c r="A63" s="13" t="str">
        <f>IFERROR(VLOOKUP($E:$E,scan!$A:$B,2,0),"**")</f>
        <v>**</v>
      </c>
      <c r="B63" s="13" t="str">
        <f>IFERROR(VLOOKUP($E63,scan!A:C,3,0),"**")</f>
        <v>**</v>
      </c>
      <c r="C63" s="79">
        <v>62</v>
      </c>
      <c r="E63" s="58"/>
      <c r="F63" s="78"/>
      <c r="G63" s="85" t="s">
        <v>4895</v>
      </c>
      <c r="H63" s="61">
        <v>0</v>
      </c>
      <c r="J63" s="43" t="e">
        <f>VLOOKUP(E63,Input!C:J,5,0)</f>
        <v>#N/A</v>
      </c>
      <c r="K63" s="43" t="e">
        <f>VLOOKUP(E63,Input!C:G,5,0)</f>
        <v>#N/A</v>
      </c>
      <c r="L63" s="82" t="str">
        <f>IFERROR(VLOOKUP($E:$E,Input!$C:$Q,12,0),"")</f>
        <v/>
      </c>
      <c r="M63" s="82" t="str">
        <f>IFERROR(VLOOKUP($E:$E,Input!$C:$Q,14,0),"")</f>
        <v/>
      </c>
      <c r="N63" s="82" t="str">
        <f>IFERROR(VLOOKUP($E:$E,Input!$C:$Q,15,0),"")</f>
        <v/>
      </c>
      <c r="P63" s="43" t="str">
        <f t="shared" si="1"/>
        <v>62,62,**</v>
      </c>
      <c r="Q63" s="43" t="s">
        <v>4896</v>
      </c>
      <c r="R63" s="43">
        <v>6042070338</v>
      </c>
      <c r="T63" s="90" t="s">
        <v>4897</v>
      </c>
      <c r="V63" s="43">
        <v>62</v>
      </c>
    </row>
    <row r="64" spans="1:22" ht="15.75">
      <c r="A64" s="13" t="str">
        <f>IFERROR(VLOOKUP($E:$E,scan!$A:$B,2,0),"**")</f>
        <v>**</v>
      </c>
      <c r="B64" s="13" t="str">
        <f>IFERROR(VLOOKUP($E64,scan!A:C,3,0),"**")</f>
        <v>**</v>
      </c>
      <c r="C64" s="79">
        <v>63</v>
      </c>
      <c r="E64" s="58"/>
      <c r="F64" s="78"/>
      <c r="G64" s="85" t="s">
        <v>4895</v>
      </c>
      <c r="H64" s="61">
        <v>0</v>
      </c>
      <c r="J64" s="43" t="e">
        <f>VLOOKUP(E64,Input!C:J,5,0)</f>
        <v>#N/A</v>
      </c>
      <c r="K64" s="43" t="e">
        <f>VLOOKUP(E64,Input!C:G,5,0)</f>
        <v>#N/A</v>
      </c>
      <c r="L64" s="82" t="str">
        <f>IFERROR(VLOOKUP($E:$E,Input!$C:$Q,12,0),"")</f>
        <v/>
      </c>
      <c r="M64" s="82" t="str">
        <f>IFERROR(VLOOKUP($E:$E,Input!$C:$Q,14,0),"")</f>
        <v/>
      </c>
      <c r="N64" s="82" t="str">
        <f>IFERROR(VLOOKUP($E:$E,Input!$C:$Q,15,0),"")</f>
        <v/>
      </c>
      <c r="P64" s="43" t="str">
        <f t="shared" si="1"/>
        <v>63,63,**</v>
      </c>
      <c r="Q64" s="43" t="s">
        <v>4896</v>
      </c>
      <c r="R64" s="43">
        <v>6042070338</v>
      </c>
      <c r="T64" s="90" t="s">
        <v>4897</v>
      </c>
      <c r="V64" s="43">
        <v>63</v>
      </c>
    </row>
    <row r="65" spans="1:22" ht="15.75">
      <c r="A65" s="13" t="str">
        <f>IFERROR(VLOOKUP($E:$E,scan!$A:$B,2,0),"**")</f>
        <v>**</v>
      </c>
      <c r="B65" s="13" t="str">
        <f>IFERROR(VLOOKUP($E65,scan!A:C,3,0),"**")</f>
        <v>**</v>
      </c>
      <c r="C65" s="79">
        <v>64</v>
      </c>
      <c r="E65" s="58"/>
      <c r="F65" s="78"/>
      <c r="G65" s="85" t="s">
        <v>4895</v>
      </c>
      <c r="H65" s="61">
        <v>0</v>
      </c>
      <c r="J65" s="43" t="e">
        <f>VLOOKUP(E65,Input!C:J,5,0)</f>
        <v>#N/A</v>
      </c>
      <c r="K65" s="43" t="e">
        <f>VLOOKUP(E65,Input!C:G,5,0)</f>
        <v>#N/A</v>
      </c>
      <c r="L65" s="82" t="str">
        <f>IFERROR(VLOOKUP($E:$E,Input!$C:$Q,12,0),"")</f>
        <v/>
      </c>
      <c r="M65" s="82" t="str">
        <f>IFERROR(VLOOKUP($E:$E,Input!$C:$Q,14,0),"")</f>
        <v/>
      </c>
      <c r="N65" s="82" t="str">
        <f>IFERROR(VLOOKUP($E:$E,Input!$C:$Q,15,0),"")</f>
        <v/>
      </c>
      <c r="P65" s="43" t="str">
        <f t="shared" si="1"/>
        <v>64,64,**</v>
      </c>
      <c r="Q65" s="43" t="s">
        <v>4896</v>
      </c>
      <c r="R65" s="43">
        <v>6042070338</v>
      </c>
      <c r="T65" s="90" t="s">
        <v>4897</v>
      </c>
      <c r="V65" s="43">
        <v>64</v>
      </c>
    </row>
    <row r="66" spans="1:22" ht="15.75">
      <c r="A66" s="13" t="str">
        <f>IFERROR(VLOOKUP($E:$E,scan!$A:$B,2,0),"**")</f>
        <v>**</v>
      </c>
      <c r="B66" s="13" t="str">
        <f>IFERROR(VLOOKUP($E66,scan!A:C,3,0),"**")</f>
        <v>**</v>
      </c>
      <c r="C66" s="79">
        <v>65</v>
      </c>
      <c r="E66" s="58"/>
      <c r="F66" s="78"/>
      <c r="G66" s="85" t="s">
        <v>4895</v>
      </c>
      <c r="H66" s="61">
        <v>0</v>
      </c>
      <c r="J66" s="43" t="e">
        <f>VLOOKUP(E66,Input!C:J,5,0)</f>
        <v>#N/A</v>
      </c>
      <c r="K66" s="43" t="e">
        <f>VLOOKUP(E66,Input!C:G,5,0)</f>
        <v>#N/A</v>
      </c>
      <c r="L66" s="82" t="str">
        <f>IFERROR(VLOOKUP($E:$E,Input!$C:$Q,12,0),"")</f>
        <v/>
      </c>
      <c r="M66" s="82" t="str">
        <f>IFERROR(VLOOKUP($E:$E,Input!$C:$Q,14,0),"")</f>
        <v/>
      </c>
      <c r="N66" s="82" t="str">
        <f>IFERROR(VLOOKUP($E:$E,Input!$C:$Q,15,0),"")</f>
        <v/>
      </c>
      <c r="P66" s="43" t="str">
        <f t="shared" si="1"/>
        <v>65,65,**</v>
      </c>
      <c r="Q66" s="43" t="s">
        <v>4896</v>
      </c>
      <c r="R66" s="43">
        <v>6042070338</v>
      </c>
      <c r="T66" s="90" t="s">
        <v>4897</v>
      </c>
      <c r="V66" s="43">
        <v>65</v>
      </c>
    </row>
    <row r="67" spans="1:22" ht="15.75">
      <c r="A67" s="13" t="str">
        <f>IFERROR(VLOOKUP($E:$E,scan!$A:$B,2,0),"**")</f>
        <v>**</v>
      </c>
      <c r="B67" s="13" t="str">
        <f>IFERROR(VLOOKUP($E67,scan!A:C,3,0),"**")</f>
        <v>**</v>
      </c>
      <c r="C67" s="79">
        <v>66</v>
      </c>
      <c r="E67" s="58"/>
      <c r="F67" s="78"/>
      <c r="G67" s="85" t="s">
        <v>4895</v>
      </c>
      <c r="H67" s="61">
        <v>0</v>
      </c>
      <c r="J67" s="43" t="e">
        <f>VLOOKUP(E67,Input!C:J,5,0)</f>
        <v>#N/A</v>
      </c>
      <c r="K67" s="43" t="e">
        <f>VLOOKUP(E67,Input!C:G,5,0)</f>
        <v>#N/A</v>
      </c>
      <c r="L67" s="82" t="str">
        <f>IFERROR(VLOOKUP($E:$E,Input!$C:$Q,12,0),"")</f>
        <v/>
      </c>
      <c r="M67" s="82" t="str">
        <f>IFERROR(VLOOKUP($E:$E,Input!$C:$Q,14,0),"")</f>
        <v/>
      </c>
      <c r="N67" s="82" t="str">
        <f>IFERROR(VLOOKUP($E:$E,Input!$C:$Q,15,0),"")</f>
        <v/>
      </c>
      <c r="P67" s="43" t="str">
        <f t="shared" si="1"/>
        <v>66,66,**</v>
      </c>
      <c r="Q67" s="43" t="s">
        <v>4896</v>
      </c>
      <c r="R67" s="43">
        <v>6042070338</v>
      </c>
      <c r="T67" s="90" t="s">
        <v>4897</v>
      </c>
      <c r="V67" s="43">
        <v>66</v>
      </c>
    </row>
    <row r="68" spans="1:22" ht="15.75">
      <c r="A68" s="13" t="str">
        <f>IFERROR(VLOOKUP($E:$E,scan!$A:$B,2,0),"**")</f>
        <v>**</v>
      </c>
      <c r="B68" s="13" t="str">
        <f>IFERROR(VLOOKUP($E68,scan!A:C,3,0),"**")</f>
        <v>**</v>
      </c>
      <c r="C68" s="79">
        <v>67</v>
      </c>
      <c r="E68" s="58"/>
      <c r="F68" s="78"/>
      <c r="G68" s="85" t="s">
        <v>4895</v>
      </c>
      <c r="H68" s="61">
        <v>0</v>
      </c>
      <c r="J68" s="43" t="e">
        <f>VLOOKUP(E68,Input!C:J,5,0)</f>
        <v>#N/A</v>
      </c>
      <c r="K68" s="43" t="e">
        <f>VLOOKUP(E68,Input!C:G,5,0)</f>
        <v>#N/A</v>
      </c>
      <c r="L68" s="82" t="str">
        <f>IFERROR(VLOOKUP($E:$E,Input!$C:$Q,12,0),"")</f>
        <v/>
      </c>
      <c r="M68" s="82" t="str">
        <f>IFERROR(VLOOKUP($E:$E,Input!$C:$Q,14,0),"")</f>
        <v/>
      </c>
      <c r="N68" s="82" t="str">
        <f>IFERROR(VLOOKUP($E:$E,Input!$C:$Q,15,0),"")</f>
        <v/>
      </c>
      <c r="P68" s="43" t="str">
        <f t="shared" si="1"/>
        <v>67,67,**</v>
      </c>
      <c r="Q68" s="43" t="s">
        <v>4896</v>
      </c>
      <c r="R68" s="43">
        <v>6042070338</v>
      </c>
      <c r="T68" s="90" t="s">
        <v>4897</v>
      </c>
      <c r="V68" s="43">
        <v>67</v>
      </c>
    </row>
    <row r="69" spans="1:22" ht="15.75">
      <c r="A69" s="13" t="str">
        <f>IFERROR(VLOOKUP($E:$E,scan!$A:$B,2,0),"**")</f>
        <v>**</v>
      </c>
      <c r="B69" s="13" t="str">
        <f>IFERROR(VLOOKUP($E69,scan!A:C,3,0),"**")</f>
        <v>**</v>
      </c>
      <c r="C69" s="79">
        <v>68</v>
      </c>
      <c r="E69" s="58"/>
      <c r="F69" s="78"/>
      <c r="G69" s="85" t="s">
        <v>4895</v>
      </c>
      <c r="H69" s="61">
        <v>0</v>
      </c>
      <c r="J69" s="43" t="e">
        <f>VLOOKUP(E69,Input!C:J,5,0)</f>
        <v>#N/A</v>
      </c>
      <c r="K69" s="43" t="e">
        <f>VLOOKUP(E69,Input!C:G,5,0)</f>
        <v>#N/A</v>
      </c>
      <c r="L69" s="82" t="str">
        <f>IFERROR(VLOOKUP($E:$E,Input!$C:$Q,12,0),"")</f>
        <v/>
      </c>
      <c r="M69" s="82" t="str">
        <f>IFERROR(VLOOKUP($E:$E,Input!$C:$Q,14,0),"")</f>
        <v/>
      </c>
      <c r="N69" s="82" t="str">
        <f>IFERROR(VLOOKUP($E:$E,Input!$C:$Q,15,0),"")</f>
        <v/>
      </c>
      <c r="P69" s="43" t="str">
        <f t="shared" si="1"/>
        <v>68,68,**</v>
      </c>
      <c r="Q69" s="43" t="s">
        <v>4896</v>
      </c>
      <c r="R69" s="43">
        <v>6042070338</v>
      </c>
      <c r="T69" s="90" t="s">
        <v>4897</v>
      </c>
      <c r="V69" s="43">
        <v>68</v>
      </c>
    </row>
    <row r="70" spans="1:22" ht="15.75">
      <c r="A70" s="13" t="str">
        <f>IFERROR(VLOOKUP($E:$E,scan!$A:$B,2,0),"**")</f>
        <v>**</v>
      </c>
      <c r="B70" s="13" t="str">
        <f>IFERROR(VLOOKUP($E70,scan!A:C,3,0),"**")</f>
        <v>**</v>
      </c>
      <c r="C70" s="79">
        <v>69</v>
      </c>
      <c r="E70" s="58"/>
      <c r="F70" s="78"/>
      <c r="G70" s="85" t="s">
        <v>4895</v>
      </c>
      <c r="H70" s="61">
        <v>0</v>
      </c>
      <c r="J70" s="43" t="e">
        <f>VLOOKUP(E70,Input!C:J,5,0)</f>
        <v>#N/A</v>
      </c>
      <c r="K70" s="43" t="e">
        <f>VLOOKUP(E70,Input!C:G,5,0)</f>
        <v>#N/A</v>
      </c>
      <c r="L70" s="82" t="str">
        <f>IFERROR(VLOOKUP($E:$E,Input!$C:$Q,12,0),"")</f>
        <v/>
      </c>
      <c r="M70" s="82" t="str">
        <f>IFERROR(VLOOKUP($E:$E,Input!$C:$Q,14,0),"")</f>
        <v/>
      </c>
      <c r="N70" s="82" t="str">
        <f>IFERROR(VLOOKUP($E:$E,Input!$C:$Q,15,0),"")</f>
        <v/>
      </c>
      <c r="P70" s="43" t="str">
        <f t="shared" si="1"/>
        <v>69,69,**</v>
      </c>
      <c r="Q70" s="43" t="s">
        <v>4896</v>
      </c>
      <c r="R70" s="43">
        <v>6042070338</v>
      </c>
      <c r="T70" s="90" t="s">
        <v>4897</v>
      </c>
      <c r="V70" s="43">
        <v>69</v>
      </c>
    </row>
    <row r="71" spans="1:22" ht="15.75">
      <c r="A71" s="13" t="str">
        <f>IFERROR(VLOOKUP($E:$E,scan!$A:$B,2,0),"**")</f>
        <v>**</v>
      </c>
      <c r="B71" s="13" t="str">
        <f>IFERROR(VLOOKUP($E71,scan!A:C,3,0),"**")</f>
        <v>**</v>
      </c>
      <c r="C71" s="79">
        <v>70</v>
      </c>
      <c r="E71" s="58"/>
      <c r="F71" s="78"/>
      <c r="G71" s="85" t="s">
        <v>4895</v>
      </c>
      <c r="H71" s="61">
        <v>0</v>
      </c>
      <c r="J71" s="43" t="e">
        <f>VLOOKUP(E71,Input!C:J,5,0)</f>
        <v>#N/A</v>
      </c>
      <c r="K71" s="43" t="e">
        <f>VLOOKUP(E71,Input!C:G,5,0)</f>
        <v>#N/A</v>
      </c>
      <c r="L71" s="82" t="str">
        <f>IFERROR(VLOOKUP($E:$E,Input!$C:$Q,12,0),"")</f>
        <v/>
      </c>
      <c r="M71" s="82" t="str">
        <f>IFERROR(VLOOKUP($E:$E,Input!$C:$Q,14,0),"")</f>
        <v/>
      </c>
      <c r="N71" s="82" t="str">
        <f>IFERROR(VLOOKUP($E:$E,Input!$C:$Q,15,0),"")</f>
        <v/>
      </c>
      <c r="P71" s="43" t="str">
        <f t="shared" ref="P71:P102" si="2">V71&amp;","&amp;C71&amp;","&amp;B71</f>
        <v>70,70,**</v>
      </c>
      <c r="Q71" s="43" t="s">
        <v>4896</v>
      </c>
      <c r="R71" s="43">
        <v>6042070338</v>
      </c>
      <c r="T71" s="90" t="s">
        <v>4897</v>
      </c>
      <c r="V71" s="43">
        <v>70</v>
      </c>
    </row>
    <row r="72" spans="1:22" ht="15.75">
      <c r="A72" s="13" t="str">
        <f>IFERROR(VLOOKUP($E:$E,scan!$A:$B,2,0),"**")</f>
        <v>**</v>
      </c>
      <c r="B72" s="13" t="str">
        <f>IFERROR(VLOOKUP($E72,scan!A:C,3,0),"**")</f>
        <v>**</v>
      </c>
      <c r="C72" s="79">
        <v>71</v>
      </c>
      <c r="E72" s="58"/>
      <c r="F72" s="78"/>
      <c r="G72" s="85" t="s">
        <v>4895</v>
      </c>
      <c r="H72" s="61">
        <v>0</v>
      </c>
      <c r="J72" s="43" t="e">
        <f>VLOOKUP(E72,Input!C:J,5,0)</f>
        <v>#N/A</v>
      </c>
      <c r="K72" s="43" t="e">
        <f>VLOOKUP(E72,Input!C:G,5,0)</f>
        <v>#N/A</v>
      </c>
      <c r="L72" s="82" t="str">
        <f>IFERROR(VLOOKUP($E:$E,Input!$C:$Q,12,0),"")</f>
        <v/>
      </c>
      <c r="M72" s="82" t="str">
        <f>IFERROR(VLOOKUP($E:$E,Input!$C:$Q,14,0),"")</f>
        <v/>
      </c>
      <c r="N72" s="82" t="str">
        <f>IFERROR(VLOOKUP($E:$E,Input!$C:$Q,15,0),"")</f>
        <v/>
      </c>
      <c r="P72" s="43" t="str">
        <f t="shared" si="2"/>
        <v>71,71,**</v>
      </c>
      <c r="Q72" s="43" t="s">
        <v>4896</v>
      </c>
      <c r="R72" s="43">
        <v>6042070338</v>
      </c>
      <c r="T72" s="90" t="s">
        <v>4897</v>
      </c>
      <c r="V72" s="43">
        <v>71</v>
      </c>
    </row>
    <row r="73" spans="1:22" ht="15.75">
      <c r="A73" s="13" t="str">
        <f>IFERROR(VLOOKUP($E:$E,scan!$A:$B,2,0),"**")</f>
        <v>**</v>
      </c>
      <c r="B73" s="13" t="str">
        <f>IFERROR(VLOOKUP($E73,scan!A:C,3,0),"**")</f>
        <v>**</v>
      </c>
      <c r="C73" s="79">
        <v>72</v>
      </c>
      <c r="E73" s="58"/>
      <c r="F73" s="78"/>
      <c r="G73" s="85" t="s">
        <v>4895</v>
      </c>
      <c r="H73" s="61">
        <v>0</v>
      </c>
      <c r="J73" s="43" t="e">
        <f>VLOOKUP(E73,Input!C:J,5,0)</f>
        <v>#N/A</v>
      </c>
      <c r="K73" s="43" t="e">
        <f>VLOOKUP(E73,Input!C:G,5,0)</f>
        <v>#N/A</v>
      </c>
      <c r="L73" s="82" t="str">
        <f>IFERROR(VLOOKUP($E:$E,Input!$C:$Q,12,0),"")</f>
        <v/>
      </c>
      <c r="M73" s="82" t="str">
        <f>IFERROR(VLOOKUP($E:$E,Input!$C:$Q,14,0),"")</f>
        <v/>
      </c>
      <c r="N73" s="82" t="str">
        <f>IFERROR(VLOOKUP($E:$E,Input!$C:$Q,15,0),"")</f>
        <v/>
      </c>
      <c r="P73" s="43" t="str">
        <f t="shared" si="2"/>
        <v>72,72,**</v>
      </c>
      <c r="Q73" s="43" t="s">
        <v>4896</v>
      </c>
      <c r="R73" s="43">
        <v>6042070338</v>
      </c>
      <c r="T73" s="90" t="s">
        <v>4897</v>
      </c>
      <c r="V73" s="43">
        <v>72</v>
      </c>
    </row>
    <row r="74" spans="1:22" ht="15.75">
      <c r="A74" s="13" t="str">
        <f>IFERROR(VLOOKUP($E:$E,scan!$A:$B,2,0),"**")</f>
        <v>**</v>
      </c>
      <c r="B74" s="13" t="str">
        <f>IFERROR(VLOOKUP($E74,scan!A:C,3,0),"**")</f>
        <v>**</v>
      </c>
      <c r="C74" s="79">
        <v>73</v>
      </c>
      <c r="E74" s="58"/>
      <c r="F74" s="78"/>
      <c r="G74" s="85" t="s">
        <v>4895</v>
      </c>
      <c r="H74" s="61">
        <v>0</v>
      </c>
      <c r="J74" s="43" t="e">
        <f>VLOOKUP(E74,Input!C:J,5,0)</f>
        <v>#N/A</v>
      </c>
      <c r="K74" s="43" t="e">
        <f>VLOOKUP(E74,Input!C:G,5,0)</f>
        <v>#N/A</v>
      </c>
      <c r="L74" s="82" t="str">
        <f>IFERROR(VLOOKUP($E:$E,Input!$C:$Q,12,0),"")</f>
        <v/>
      </c>
      <c r="M74" s="82" t="str">
        <f>IFERROR(VLOOKUP($E:$E,Input!$C:$Q,14,0),"")</f>
        <v/>
      </c>
      <c r="N74" s="82" t="str">
        <f>IFERROR(VLOOKUP($E:$E,Input!$C:$Q,15,0),"")</f>
        <v/>
      </c>
      <c r="P74" s="43" t="str">
        <f t="shared" si="2"/>
        <v>73,73,**</v>
      </c>
      <c r="Q74" s="43" t="s">
        <v>4896</v>
      </c>
      <c r="R74" s="43">
        <v>6042070338</v>
      </c>
      <c r="T74" s="90" t="s">
        <v>4897</v>
      </c>
      <c r="V74" s="43">
        <v>73</v>
      </c>
    </row>
    <row r="75" spans="1:22" ht="15.75">
      <c r="A75" s="13" t="str">
        <f>IFERROR(VLOOKUP($E:$E,scan!$A:$B,2,0),"**")</f>
        <v>**</v>
      </c>
      <c r="B75" s="13" t="str">
        <f>IFERROR(VLOOKUP($E75,scan!A:C,3,0),"**")</f>
        <v>**</v>
      </c>
      <c r="C75" s="79">
        <v>74</v>
      </c>
      <c r="E75" s="58"/>
      <c r="F75" s="78"/>
      <c r="G75" s="85" t="s">
        <v>4895</v>
      </c>
      <c r="H75" s="61">
        <v>0</v>
      </c>
      <c r="J75" s="43" t="e">
        <f>VLOOKUP(E75,Input!C:J,5,0)</f>
        <v>#N/A</v>
      </c>
      <c r="K75" s="43" t="e">
        <f>VLOOKUP(E75,Input!C:G,5,0)</f>
        <v>#N/A</v>
      </c>
      <c r="L75" s="82" t="str">
        <f>IFERROR(VLOOKUP($E:$E,Input!$C:$Q,12,0),"")</f>
        <v/>
      </c>
      <c r="M75" s="82" t="str">
        <f>IFERROR(VLOOKUP($E:$E,Input!$C:$Q,14,0),"")</f>
        <v/>
      </c>
      <c r="N75" s="82" t="str">
        <f>IFERROR(VLOOKUP($E:$E,Input!$C:$Q,15,0),"")</f>
        <v/>
      </c>
      <c r="P75" s="43" t="str">
        <f t="shared" si="2"/>
        <v>74,74,**</v>
      </c>
      <c r="Q75" s="43" t="s">
        <v>4896</v>
      </c>
      <c r="R75" s="43">
        <v>6042070338</v>
      </c>
      <c r="T75" s="90" t="s">
        <v>4897</v>
      </c>
      <c r="V75" s="43">
        <v>74</v>
      </c>
    </row>
    <row r="76" spans="1:22" ht="15.75">
      <c r="A76" s="13" t="str">
        <f>IFERROR(VLOOKUP($E:$E,scan!$A:$B,2,0),"**")</f>
        <v>**</v>
      </c>
      <c r="B76" s="13" t="str">
        <f>IFERROR(VLOOKUP($E76,scan!A:C,3,0),"**")</f>
        <v>**</v>
      </c>
      <c r="C76" s="79">
        <v>75</v>
      </c>
      <c r="E76" s="58"/>
      <c r="F76" s="78"/>
      <c r="G76" s="85" t="s">
        <v>4895</v>
      </c>
      <c r="H76" s="61">
        <v>0</v>
      </c>
      <c r="J76" s="43" t="e">
        <f>VLOOKUP(E76,Input!C:J,5,0)</f>
        <v>#N/A</v>
      </c>
      <c r="K76" s="43" t="e">
        <f>VLOOKUP(E76,Input!C:G,5,0)</f>
        <v>#N/A</v>
      </c>
      <c r="L76" s="82" t="str">
        <f>IFERROR(VLOOKUP($E:$E,Input!$C:$Q,12,0),"")</f>
        <v/>
      </c>
      <c r="M76" s="82" t="str">
        <f>IFERROR(VLOOKUP($E:$E,Input!$C:$Q,14,0),"")</f>
        <v/>
      </c>
      <c r="N76" s="82" t="str">
        <f>IFERROR(VLOOKUP($E:$E,Input!$C:$Q,15,0),"")</f>
        <v/>
      </c>
      <c r="P76" s="43" t="str">
        <f t="shared" si="2"/>
        <v>75,75,**</v>
      </c>
      <c r="Q76" s="43" t="s">
        <v>4896</v>
      </c>
      <c r="R76" s="43">
        <v>6042070338</v>
      </c>
      <c r="T76" s="90" t="s">
        <v>4897</v>
      </c>
      <c r="V76" s="43">
        <v>75</v>
      </c>
    </row>
    <row r="77" spans="1:22" ht="15.75">
      <c r="A77" s="13" t="str">
        <f>IFERROR(VLOOKUP($E:$E,scan!$A:$B,2,0),"**")</f>
        <v>**</v>
      </c>
      <c r="B77" s="13" t="str">
        <f>IFERROR(VLOOKUP($E77,scan!A:C,3,0),"**")</f>
        <v>**</v>
      </c>
      <c r="C77" s="79">
        <v>76</v>
      </c>
      <c r="E77" s="58"/>
      <c r="F77" s="78"/>
      <c r="G77" s="85" t="s">
        <v>4895</v>
      </c>
      <c r="H77" s="61">
        <v>0</v>
      </c>
      <c r="J77" s="43" t="e">
        <f>VLOOKUP(E77,Input!C:J,5,0)</f>
        <v>#N/A</v>
      </c>
      <c r="K77" s="43" t="e">
        <f>VLOOKUP(E77,Input!C:G,5,0)</f>
        <v>#N/A</v>
      </c>
      <c r="L77" s="82" t="str">
        <f>IFERROR(VLOOKUP($E:$E,Input!$C:$Q,12,0),"")</f>
        <v/>
      </c>
      <c r="M77" s="82" t="str">
        <f>IFERROR(VLOOKUP($E:$E,Input!$C:$Q,14,0),"")</f>
        <v/>
      </c>
      <c r="N77" s="82" t="str">
        <f>IFERROR(VLOOKUP($E:$E,Input!$C:$Q,15,0),"")</f>
        <v/>
      </c>
      <c r="P77" s="43" t="str">
        <f t="shared" si="2"/>
        <v>76,76,**</v>
      </c>
      <c r="Q77" s="43" t="s">
        <v>4896</v>
      </c>
      <c r="R77" s="43">
        <v>6042070338</v>
      </c>
      <c r="T77" s="90" t="s">
        <v>4897</v>
      </c>
      <c r="V77" s="43">
        <v>76</v>
      </c>
    </row>
    <row r="78" spans="1:22" ht="15.75">
      <c r="A78" s="13" t="str">
        <f>IFERROR(VLOOKUP($E:$E,scan!$A:$B,2,0),"**")</f>
        <v>**</v>
      </c>
      <c r="B78" s="13" t="str">
        <f>IFERROR(VLOOKUP($E78,scan!A:C,3,0),"**")</f>
        <v>**</v>
      </c>
      <c r="C78" s="79">
        <v>77</v>
      </c>
      <c r="E78" s="58"/>
      <c r="F78" s="78"/>
      <c r="G78" s="85" t="s">
        <v>4895</v>
      </c>
      <c r="H78" s="61">
        <v>0</v>
      </c>
      <c r="J78" s="43" t="e">
        <f>VLOOKUP(E78,Input!C:J,5,0)</f>
        <v>#N/A</v>
      </c>
      <c r="K78" s="43" t="e">
        <f>VLOOKUP(E78,Input!C:G,5,0)</f>
        <v>#N/A</v>
      </c>
      <c r="L78" s="82" t="str">
        <f>IFERROR(VLOOKUP($E:$E,Input!$C:$Q,12,0),"")</f>
        <v/>
      </c>
      <c r="M78" s="82" t="str">
        <f>IFERROR(VLOOKUP($E:$E,Input!$C:$Q,14,0),"")</f>
        <v/>
      </c>
      <c r="N78" s="82" t="str">
        <f>IFERROR(VLOOKUP($E:$E,Input!$C:$Q,15,0),"")</f>
        <v/>
      </c>
      <c r="P78" s="43" t="str">
        <f t="shared" si="2"/>
        <v>77,77,**</v>
      </c>
      <c r="Q78" s="43" t="s">
        <v>4896</v>
      </c>
      <c r="R78" s="43">
        <v>6042070338</v>
      </c>
      <c r="T78" s="90" t="s">
        <v>4897</v>
      </c>
      <c r="V78" s="43">
        <v>77</v>
      </c>
    </row>
    <row r="79" spans="1:22" ht="15.75">
      <c r="A79" s="13" t="str">
        <f>IFERROR(VLOOKUP($E:$E,scan!$A:$B,2,0),"**")</f>
        <v>**</v>
      </c>
      <c r="B79" s="13" t="str">
        <f>IFERROR(VLOOKUP($E79,scan!A:C,3,0),"**")</f>
        <v>**</v>
      </c>
      <c r="C79" s="79">
        <v>78</v>
      </c>
      <c r="E79" s="58"/>
      <c r="F79" s="78"/>
      <c r="G79" s="85" t="s">
        <v>4895</v>
      </c>
      <c r="H79" s="61">
        <v>0</v>
      </c>
      <c r="J79" s="43" t="e">
        <f>VLOOKUP(E79,Input!C:J,5,0)</f>
        <v>#N/A</v>
      </c>
      <c r="K79" s="43" t="e">
        <f>VLOOKUP(E79,Input!C:G,5,0)</f>
        <v>#N/A</v>
      </c>
      <c r="L79" s="82" t="str">
        <f>IFERROR(VLOOKUP($E:$E,Input!$C:$Q,12,0),"")</f>
        <v/>
      </c>
      <c r="M79" s="82" t="str">
        <f>IFERROR(VLOOKUP($E:$E,Input!$C:$Q,14,0),"")</f>
        <v/>
      </c>
      <c r="N79" s="82" t="str">
        <f>IFERROR(VLOOKUP($E:$E,Input!$C:$Q,15,0),"")</f>
        <v/>
      </c>
      <c r="P79" s="43" t="str">
        <f t="shared" si="2"/>
        <v>78,78,**</v>
      </c>
      <c r="Q79" s="43" t="s">
        <v>4896</v>
      </c>
      <c r="R79" s="43">
        <v>6042070338</v>
      </c>
      <c r="T79" s="90" t="s">
        <v>4897</v>
      </c>
      <c r="V79" s="43">
        <v>78</v>
      </c>
    </row>
    <row r="80" spans="1:22" ht="15.75">
      <c r="A80" s="13" t="str">
        <f>IFERROR(VLOOKUP($E:$E,scan!$A:$B,2,0),"**")</f>
        <v>**</v>
      </c>
      <c r="B80" s="13" t="str">
        <f>IFERROR(VLOOKUP($E80,scan!A:C,3,0),"**")</f>
        <v>**</v>
      </c>
      <c r="C80" s="79">
        <v>79</v>
      </c>
      <c r="E80" s="58"/>
      <c r="F80" s="78"/>
      <c r="G80" s="85" t="s">
        <v>4895</v>
      </c>
      <c r="H80" s="61">
        <v>0</v>
      </c>
      <c r="J80" s="43" t="e">
        <f>VLOOKUP(E80,Input!C:J,5,0)</f>
        <v>#N/A</v>
      </c>
      <c r="K80" s="43" t="e">
        <f>VLOOKUP(E80,Input!C:G,5,0)</f>
        <v>#N/A</v>
      </c>
      <c r="L80" s="82" t="str">
        <f>IFERROR(VLOOKUP($E:$E,Input!$C:$Q,12,0),"")</f>
        <v/>
      </c>
      <c r="M80" s="82" t="str">
        <f>IFERROR(VLOOKUP($E:$E,Input!$C:$Q,14,0),"")</f>
        <v/>
      </c>
      <c r="N80" s="82" t="str">
        <f>IFERROR(VLOOKUP($E:$E,Input!$C:$Q,15,0),"")</f>
        <v/>
      </c>
      <c r="P80" s="43" t="str">
        <f t="shared" si="2"/>
        <v>79,79,**</v>
      </c>
      <c r="Q80" s="43" t="s">
        <v>4896</v>
      </c>
      <c r="R80" s="43">
        <v>6042070338</v>
      </c>
      <c r="T80" s="90" t="s">
        <v>4897</v>
      </c>
      <c r="V80" s="43">
        <v>79</v>
      </c>
    </row>
    <row r="81" spans="1:22" ht="15.75">
      <c r="A81" s="13" t="str">
        <f>IFERROR(VLOOKUP($E:$E,scan!$A:$B,2,0),"**")</f>
        <v>**</v>
      </c>
      <c r="B81" s="13" t="str">
        <f>IFERROR(VLOOKUP($E81,scan!A:C,3,0),"**")</f>
        <v>**</v>
      </c>
      <c r="C81" s="79">
        <v>80</v>
      </c>
      <c r="E81" s="58"/>
      <c r="F81" s="78"/>
      <c r="G81" s="85" t="s">
        <v>4895</v>
      </c>
      <c r="H81" s="61">
        <v>0</v>
      </c>
      <c r="J81" s="43" t="e">
        <f>VLOOKUP(E81,Input!C:J,5,0)</f>
        <v>#N/A</v>
      </c>
      <c r="K81" s="43" t="e">
        <f>VLOOKUP(E81,Input!C:G,5,0)</f>
        <v>#N/A</v>
      </c>
      <c r="L81" s="82" t="str">
        <f>IFERROR(VLOOKUP($E:$E,Input!$C:$Q,12,0),"")</f>
        <v/>
      </c>
      <c r="M81" s="82" t="str">
        <f>IFERROR(VLOOKUP($E:$E,Input!$C:$Q,14,0),"")</f>
        <v/>
      </c>
      <c r="N81" s="82" t="str">
        <f>IFERROR(VLOOKUP($E:$E,Input!$C:$Q,15,0),"")</f>
        <v/>
      </c>
      <c r="P81" s="43" t="str">
        <f t="shared" si="2"/>
        <v>80,80,**</v>
      </c>
      <c r="Q81" s="43" t="s">
        <v>4896</v>
      </c>
      <c r="R81" s="43">
        <v>6042070338</v>
      </c>
      <c r="T81" s="90" t="s">
        <v>4897</v>
      </c>
      <c r="V81" s="43">
        <v>80</v>
      </c>
    </row>
    <row r="82" spans="1:22" ht="15.75">
      <c r="A82" s="13" t="str">
        <f>IFERROR(VLOOKUP($E:$E,scan!$A:$B,2,0),"**")</f>
        <v>**</v>
      </c>
      <c r="B82" s="13" t="str">
        <f>IFERROR(VLOOKUP($E82,scan!A:C,3,0),"**")</f>
        <v>**</v>
      </c>
      <c r="C82" s="79">
        <v>81</v>
      </c>
      <c r="E82" s="58"/>
      <c r="F82" s="78"/>
      <c r="G82" s="85" t="s">
        <v>4895</v>
      </c>
      <c r="H82" s="61">
        <v>0</v>
      </c>
      <c r="J82" s="43" t="e">
        <f>VLOOKUP(E82,Input!C:J,5,0)</f>
        <v>#N/A</v>
      </c>
      <c r="K82" s="43" t="e">
        <f>VLOOKUP(E82,Input!C:G,5,0)</f>
        <v>#N/A</v>
      </c>
      <c r="L82" s="82" t="str">
        <f>IFERROR(VLOOKUP($E:$E,Input!$C:$Q,12,0),"")</f>
        <v/>
      </c>
      <c r="M82" s="82" t="str">
        <f>IFERROR(VLOOKUP($E:$E,Input!$C:$Q,14,0),"")</f>
        <v/>
      </c>
      <c r="N82" s="82" t="str">
        <f>IFERROR(VLOOKUP($E:$E,Input!$C:$Q,15,0),"")</f>
        <v/>
      </c>
      <c r="P82" s="43" t="str">
        <f t="shared" si="2"/>
        <v>81,81,**</v>
      </c>
      <c r="Q82" s="43" t="s">
        <v>4896</v>
      </c>
      <c r="R82" s="43">
        <v>6042070338</v>
      </c>
      <c r="T82" s="90" t="s">
        <v>4897</v>
      </c>
      <c r="V82" s="43">
        <v>81</v>
      </c>
    </row>
    <row r="83" spans="1:22" ht="15.75">
      <c r="A83" s="13" t="str">
        <f>IFERROR(VLOOKUP($E:$E,scan!$A:$B,2,0),"**")</f>
        <v>**</v>
      </c>
      <c r="B83" s="13" t="str">
        <f>IFERROR(VLOOKUP($E83,scan!A:C,3,0),"**")</f>
        <v>**</v>
      </c>
      <c r="C83" s="79">
        <v>82</v>
      </c>
      <c r="E83" s="58"/>
      <c r="F83" s="78"/>
      <c r="G83" s="85" t="s">
        <v>4895</v>
      </c>
      <c r="H83" s="61">
        <v>0</v>
      </c>
      <c r="J83" s="43" t="e">
        <f>VLOOKUP(E83,Input!C:J,5,0)</f>
        <v>#N/A</v>
      </c>
      <c r="K83" s="43" t="e">
        <f>VLOOKUP(E83,Input!C:G,5,0)</f>
        <v>#N/A</v>
      </c>
      <c r="L83" s="82" t="str">
        <f>IFERROR(VLOOKUP($E:$E,Input!$C:$Q,12,0),"")</f>
        <v/>
      </c>
      <c r="M83" s="82" t="str">
        <f>IFERROR(VLOOKUP($E:$E,Input!$C:$Q,14,0),"")</f>
        <v/>
      </c>
      <c r="N83" s="82" t="str">
        <f>IFERROR(VLOOKUP($E:$E,Input!$C:$Q,15,0),"")</f>
        <v/>
      </c>
      <c r="P83" s="43" t="str">
        <f t="shared" si="2"/>
        <v>82,82,**</v>
      </c>
      <c r="Q83" s="43" t="s">
        <v>4896</v>
      </c>
      <c r="R83" s="43">
        <v>6042070338</v>
      </c>
      <c r="T83" s="90" t="s">
        <v>4897</v>
      </c>
      <c r="V83" s="43">
        <v>82</v>
      </c>
    </row>
    <row r="84" spans="1:22" ht="15.75">
      <c r="A84" s="13" t="str">
        <f>IFERROR(VLOOKUP($E:$E,scan!$A:$B,2,0),"**")</f>
        <v>**</v>
      </c>
      <c r="B84" s="13" t="str">
        <f>IFERROR(VLOOKUP($E84,scan!A:C,3,0),"**")</f>
        <v>**</v>
      </c>
      <c r="C84" s="79">
        <v>83</v>
      </c>
      <c r="E84" s="58"/>
      <c r="F84" s="78"/>
      <c r="G84" s="85" t="s">
        <v>4895</v>
      </c>
      <c r="H84" s="61">
        <v>0</v>
      </c>
      <c r="J84" s="43" t="e">
        <f>VLOOKUP(E84,Input!C:J,5,0)</f>
        <v>#N/A</v>
      </c>
      <c r="K84" s="43" t="e">
        <f>VLOOKUP(E84,Input!C:G,5,0)</f>
        <v>#N/A</v>
      </c>
      <c r="L84" s="82" t="str">
        <f>IFERROR(VLOOKUP($E:$E,Input!$C:$Q,12,0),"")</f>
        <v/>
      </c>
      <c r="M84" s="82" t="str">
        <f>IFERROR(VLOOKUP($E:$E,Input!$C:$Q,14,0),"")</f>
        <v/>
      </c>
      <c r="N84" s="82" t="str">
        <f>IFERROR(VLOOKUP($E:$E,Input!$C:$Q,15,0),"")</f>
        <v/>
      </c>
      <c r="P84" s="43" t="str">
        <f t="shared" si="2"/>
        <v>83,83,**</v>
      </c>
      <c r="Q84" s="43" t="s">
        <v>4896</v>
      </c>
      <c r="R84" s="43">
        <v>6042070338</v>
      </c>
      <c r="T84" s="90" t="s">
        <v>4897</v>
      </c>
      <c r="V84" s="43">
        <v>83</v>
      </c>
    </row>
    <row r="85" spans="1:22" ht="15.75">
      <c r="A85" s="13" t="str">
        <f>IFERROR(VLOOKUP($E:$E,scan!$A:$B,2,0),"**")</f>
        <v>**</v>
      </c>
      <c r="B85" s="13" t="str">
        <f>IFERROR(VLOOKUP($E85,scan!A:C,3,0),"**")</f>
        <v>**</v>
      </c>
      <c r="C85" s="79">
        <v>84</v>
      </c>
      <c r="E85" s="58"/>
      <c r="F85" s="78"/>
      <c r="G85" s="85" t="s">
        <v>4895</v>
      </c>
      <c r="H85" s="61">
        <v>0</v>
      </c>
      <c r="J85" s="43" t="e">
        <f>VLOOKUP(E85,Input!C:J,5,0)</f>
        <v>#N/A</v>
      </c>
      <c r="K85" s="43" t="e">
        <f>VLOOKUP(E85,Input!C:G,5,0)</f>
        <v>#N/A</v>
      </c>
      <c r="L85" s="82" t="str">
        <f>IFERROR(VLOOKUP($E:$E,Input!$C:$Q,12,0),"")</f>
        <v/>
      </c>
      <c r="M85" s="82" t="str">
        <f>IFERROR(VLOOKUP($E:$E,Input!$C:$Q,14,0),"")</f>
        <v/>
      </c>
      <c r="N85" s="82" t="str">
        <f>IFERROR(VLOOKUP($E:$E,Input!$C:$Q,15,0),"")</f>
        <v/>
      </c>
      <c r="P85" s="43" t="str">
        <f t="shared" si="2"/>
        <v>84,84,**</v>
      </c>
      <c r="Q85" s="43" t="s">
        <v>4896</v>
      </c>
      <c r="R85" s="43">
        <v>6042070338</v>
      </c>
      <c r="T85" s="90" t="s">
        <v>4897</v>
      </c>
      <c r="V85" s="43">
        <v>84</v>
      </c>
    </row>
    <row r="86" spans="1:22" ht="15.75">
      <c r="A86" s="13" t="str">
        <f>IFERROR(VLOOKUP($E:$E,scan!$A:$B,2,0),"**")</f>
        <v>**</v>
      </c>
      <c r="B86" s="13" t="str">
        <f>IFERROR(VLOOKUP($E86,scan!A:C,3,0),"**")</f>
        <v>**</v>
      </c>
      <c r="C86" s="79">
        <v>85</v>
      </c>
      <c r="E86" s="58"/>
      <c r="F86" s="78"/>
      <c r="G86" s="85" t="s">
        <v>4895</v>
      </c>
      <c r="H86" s="61">
        <v>0</v>
      </c>
      <c r="J86" s="43" t="e">
        <f>VLOOKUP(E86,Input!C:J,5,0)</f>
        <v>#N/A</v>
      </c>
      <c r="K86" s="43" t="e">
        <f>VLOOKUP(E86,Input!C:G,5,0)</f>
        <v>#N/A</v>
      </c>
      <c r="L86" s="82" t="str">
        <f>IFERROR(VLOOKUP($E:$E,Input!$C:$Q,12,0),"")</f>
        <v/>
      </c>
      <c r="M86" s="82" t="str">
        <f>IFERROR(VLOOKUP($E:$E,Input!$C:$Q,14,0),"")</f>
        <v/>
      </c>
      <c r="N86" s="82" t="str">
        <f>IFERROR(VLOOKUP($E:$E,Input!$C:$Q,15,0),"")</f>
        <v/>
      </c>
      <c r="P86" s="43" t="str">
        <f t="shared" si="2"/>
        <v>85,85,**</v>
      </c>
      <c r="Q86" s="43" t="s">
        <v>4896</v>
      </c>
      <c r="R86" s="43">
        <v>6042070338</v>
      </c>
      <c r="T86" s="90" t="s">
        <v>4897</v>
      </c>
      <c r="V86" s="43">
        <v>85</v>
      </c>
    </row>
    <row r="87" spans="1:22" ht="15.75">
      <c r="A87" s="13" t="str">
        <f>IFERROR(VLOOKUP($E:$E,scan!$A:$B,2,0),"**")</f>
        <v>**</v>
      </c>
      <c r="B87" s="13" t="str">
        <f>IFERROR(VLOOKUP($E87,scan!A:C,3,0),"**")</f>
        <v>**</v>
      </c>
      <c r="C87" s="79">
        <v>86</v>
      </c>
      <c r="E87" s="58"/>
      <c r="F87" s="78"/>
      <c r="G87" s="85" t="s">
        <v>4895</v>
      </c>
      <c r="H87" s="61">
        <v>0</v>
      </c>
      <c r="J87" s="43" t="e">
        <f>VLOOKUP(E87,Input!C:J,5,0)</f>
        <v>#N/A</v>
      </c>
      <c r="K87" s="43" t="e">
        <f>VLOOKUP(E87,Input!C:G,5,0)</f>
        <v>#N/A</v>
      </c>
      <c r="L87" s="82" t="str">
        <f>IFERROR(VLOOKUP($E:$E,Input!$C:$Q,12,0),"")</f>
        <v/>
      </c>
      <c r="M87" s="82" t="str">
        <f>IFERROR(VLOOKUP($E:$E,Input!$C:$Q,14,0),"")</f>
        <v/>
      </c>
      <c r="N87" s="82" t="str">
        <f>IFERROR(VLOOKUP($E:$E,Input!$C:$Q,15,0),"")</f>
        <v/>
      </c>
      <c r="P87" s="43" t="str">
        <f t="shared" si="2"/>
        <v>86,86,**</v>
      </c>
      <c r="Q87" s="43" t="s">
        <v>4896</v>
      </c>
      <c r="R87" s="43">
        <v>6042070338</v>
      </c>
      <c r="T87" s="90" t="s">
        <v>4897</v>
      </c>
      <c r="V87" s="43">
        <v>86</v>
      </c>
    </row>
    <row r="88" spans="1:22" ht="15.75">
      <c r="A88" s="13" t="str">
        <f>IFERROR(VLOOKUP($E:$E,scan!$A:$B,2,0),"**")</f>
        <v>**</v>
      </c>
      <c r="B88" s="13" t="str">
        <f>IFERROR(VLOOKUP($E88,scan!A:C,3,0),"**")</f>
        <v>**</v>
      </c>
      <c r="C88" s="79">
        <v>87</v>
      </c>
      <c r="E88" s="58"/>
      <c r="F88" s="78"/>
      <c r="G88" s="85" t="s">
        <v>4895</v>
      </c>
      <c r="H88" s="61">
        <v>0</v>
      </c>
      <c r="J88" s="43" t="e">
        <f>VLOOKUP(E88,Input!C:J,5,0)</f>
        <v>#N/A</v>
      </c>
      <c r="K88" s="43" t="e">
        <f>VLOOKUP(E88,Input!C:G,5,0)</f>
        <v>#N/A</v>
      </c>
      <c r="L88" s="82" t="str">
        <f>IFERROR(VLOOKUP($E:$E,Input!$C:$Q,12,0),"")</f>
        <v/>
      </c>
      <c r="M88" s="82" t="str">
        <f>IFERROR(VLOOKUP($E:$E,Input!$C:$Q,14,0),"")</f>
        <v/>
      </c>
      <c r="N88" s="82" t="str">
        <f>IFERROR(VLOOKUP($E:$E,Input!$C:$Q,15,0),"")</f>
        <v/>
      </c>
      <c r="P88" s="43" t="str">
        <f t="shared" si="2"/>
        <v>87,87,**</v>
      </c>
      <c r="Q88" s="43" t="s">
        <v>4896</v>
      </c>
      <c r="R88" s="43">
        <v>6042070338</v>
      </c>
      <c r="T88" s="90" t="s">
        <v>4897</v>
      </c>
      <c r="V88" s="43">
        <v>87</v>
      </c>
    </row>
    <row r="89" spans="1:22" ht="15.75">
      <c r="A89" s="13" t="str">
        <f>IFERROR(VLOOKUP($E:$E,scan!$A:$B,2,0),"**")</f>
        <v>**</v>
      </c>
      <c r="B89" s="13" t="str">
        <f>IFERROR(VLOOKUP($E89,scan!A:C,3,0),"**")</f>
        <v>**</v>
      </c>
      <c r="C89" s="79">
        <v>88</v>
      </c>
      <c r="E89" s="58"/>
      <c r="F89" s="78"/>
      <c r="G89" s="85" t="s">
        <v>4895</v>
      </c>
      <c r="H89" s="61">
        <v>0</v>
      </c>
      <c r="J89" s="43" t="e">
        <f>VLOOKUP(E89,Input!C:J,5,0)</f>
        <v>#N/A</v>
      </c>
      <c r="K89" s="43" t="e">
        <f>VLOOKUP(E89,Input!C:G,5,0)</f>
        <v>#N/A</v>
      </c>
      <c r="L89" s="82" t="str">
        <f>IFERROR(VLOOKUP($E:$E,Input!$C:$Q,12,0),"")</f>
        <v/>
      </c>
      <c r="M89" s="82" t="str">
        <f>IFERROR(VLOOKUP($E:$E,Input!$C:$Q,14,0),"")</f>
        <v/>
      </c>
      <c r="N89" s="82" t="str">
        <f>IFERROR(VLOOKUP($E:$E,Input!$C:$Q,15,0),"")</f>
        <v/>
      </c>
      <c r="P89" s="43" t="str">
        <f t="shared" si="2"/>
        <v>88,88,**</v>
      </c>
      <c r="Q89" s="43" t="s">
        <v>4896</v>
      </c>
      <c r="R89" s="43">
        <v>6042070338</v>
      </c>
      <c r="T89" s="90" t="s">
        <v>4897</v>
      </c>
      <c r="V89" s="43">
        <v>88</v>
      </c>
    </row>
    <row r="90" spans="1:22" ht="15.75">
      <c r="A90" s="13" t="str">
        <f>IFERROR(VLOOKUP($E:$E,scan!$A:$B,2,0),"**")</f>
        <v>**</v>
      </c>
      <c r="B90" s="13" t="str">
        <f>IFERROR(VLOOKUP($E90,scan!A:C,3,0),"**")</f>
        <v>**</v>
      </c>
      <c r="C90" s="79">
        <v>89</v>
      </c>
      <c r="E90" s="58"/>
      <c r="F90" s="78"/>
      <c r="G90" s="85" t="s">
        <v>4895</v>
      </c>
      <c r="H90" s="61">
        <v>0</v>
      </c>
      <c r="J90" s="43" t="e">
        <f>VLOOKUP(E90,Input!C:J,5,0)</f>
        <v>#N/A</v>
      </c>
      <c r="K90" s="43" t="e">
        <f>VLOOKUP(E90,Input!C:G,5,0)</f>
        <v>#N/A</v>
      </c>
      <c r="L90" s="82" t="str">
        <f>IFERROR(VLOOKUP($E:$E,Input!$C:$Q,12,0),"")</f>
        <v/>
      </c>
      <c r="M90" s="82" t="str">
        <f>IFERROR(VLOOKUP($E:$E,Input!$C:$Q,14,0),"")</f>
        <v/>
      </c>
      <c r="N90" s="82" t="str">
        <f>IFERROR(VLOOKUP($E:$E,Input!$C:$Q,15,0),"")</f>
        <v/>
      </c>
      <c r="P90" s="43" t="str">
        <f t="shared" si="2"/>
        <v>89,89,**</v>
      </c>
      <c r="Q90" s="43" t="s">
        <v>4896</v>
      </c>
      <c r="R90" s="43">
        <v>6042070338</v>
      </c>
      <c r="T90" s="90" t="s">
        <v>4897</v>
      </c>
      <c r="V90" s="43">
        <v>89</v>
      </c>
    </row>
    <row r="91" spans="1:22" ht="15.75">
      <c r="A91" s="13" t="str">
        <f>IFERROR(VLOOKUP($E:$E,scan!$A:$B,2,0),"**")</f>
        <v>**</v>
      </c>
      <c r="B91" s="13" t="str">
        <f>IFERROR(VLOOKUP($E91,scan!A:C,3,0),"**")</f>
        <v>**</v>
      </c>
      <c r="C91" s="79">
        <v>90</v>
      </c>
      <c r="E91" s="58"/>
      <c r="F91" s="78"/>
      <c r="G91" s="85" t="s">
        <v>4895</v>
      </c>
      <c r="H91" s="61">
        <v>0</v>
      </c>
      <c r="J91" s="43" t="e">
        <f>VLOOKUP(E91,Input!C:J,5,0)</f>
        <v>#N/A</v>
      </c>
      <c r="K91" s="43" t="e">
        <f>VLOOKUP(E91,Input!C:G,5,0)</f>
        <v>#N/A</v>
      </c>
      <c r="L91" s="82" t="str">
        <f>IFERROR(VLOOKUP($E:$E,Input!$C:$Q,12,0),"")</f>
        <v/>
      </c>
      <c r="M91" s="82" t="str">
        <f>IFERROR(VLOOKUP($E:$E,Input!$C:$Q,14,0),"")</f>
        <v/>
      </c>
      <c r="N91" s="82" t="str">
        <f>IFERROR(VLOOKUP($E:$E,Input!$C:$Q,15,0),"")</f>
        <v/>
      </c>
      <c r="P91" s="43" t="str">
        <f t="shared" si="2"/>
        <v>90,90,**</v>
      </c>
      <c r="Q91" s="43" t="s">
        <v>4896</v>
      </c>
      <c r="R91" s="43">
        <v>6042070338</v>
      </c>
      <c r="T91" s="90" t="s">
        <v>4897</v>
      </c>
      <c r="V91" s="43">
        <v>90</v>
      </c>
    </row>
    <row r="92" spans="1:22" ht="15.75">
      <c r="A92" s="13" t="str">
        <f>IFERROR(VLOOKUP($E:$E,scan!$A:$B,2,0),"**")</f>
        <v>**</v>
      </c>
      <c r="B92" s="13" t="str">
        <f>IFERROR(VLOOKUP($E92,scan!A:C,3,0),"**")</f>
        <v>**</v>
      </c>
      <c r="C92" s="79">
        <v>91</v>
      </c>
      <c r="E92" s="58"/>
      <c r="F92" s="78"/>
      <c r="G92" s="85" t="s">
        <v>4895</v>
      </c>
      <c r="H92" s="61">
        <v>0</v>
      </c>
      <c r="J92" s="43" t="e">
        <f>VLOOKUP(E92,Input!C:J,5,0)</f>
        <v>#N/A</v>
      </c>
      <c r="K92" s="43" t="e">
        <f>VLOOKUP(E92,Input!C:G,5,0)</f>
        <v>#N/A</v>
      </c>
      <c r="L92" s="82" t="str">
        <f>IFERROR(VLOOKUP($E:$E,Input!$C:$Q,12,0),"")</f>
        <v/>
      </c>
      <c r="M92" s="82" t="str">
        <f>IFERROR(VLOOKUP($E:$E,Input!$C:$Q,14,0),"")</f>
        <v/>
      </c>
      <c r="N92" s="82" t="str">
        <f>IFERROR(VLOOKUP($E:$E,Input!$C:$Q,15,0),"")</f>
        <v/>
      </c>
      <c r="P92" s="43" t="str">
        <f t="shared" si="2"/>
        <v>91,91,**</v>
      </c>
      <c r="Q92" s="43" t="s">
        <v>4896</v>
      </c>
      <c r="R92" s="43">
        <v>6042070338</v>
      </c>
      <c r="T92" s="90" t="s">
        <v>4897</v>
      </c>
      <c r="V92" s="43">
        <v>91</v>
      </c>
    </row>
    <row r="93" spans="1:22" ht="15.75">
      <c r="A93" s="13" t="str">
        <f>IFERROR(VLOOKUP($E:$E,scan!$A:$B,2,0),"**")</f>
        <v>**</v>
      </c>
      <c r="B93" s="13" t="str">
        <f>IFERROR(VLOOKUP($E93,scan!A:C,3,0),"**")</f>
        <v>**</v>
      </c>
      <c r="C93" s="79">
        <v>92</v>
      </c>
      <c r="E93" s="58"/>
      <c r="F93" s="78"/>
      <c r="G93" s="85" t="s">
        <v>4895</v>
      </c>
      <c r="H93" s="61">
        <v>0</v>
      </c>
      <c r="J93" s="43" t="e">
        <f>VLOOKUP(E93,Input!C:J,5,0)</f>
        <v>#N/A</v>
      </c>
      <c r="K93" s="43" t="e">
        <f>VLOOKUP(E93,Input!C:G,5,0)</f>
        <v>#N/A</v>
      </c>
      <c r="L93" s="82" t="str">
        <f>IFERROR(VLOOKUP($E:$E,Input!$C:$Q,12,0),"")</f>
        <v/>
      </c>
      <c r="M93" s="82" t="str">
        <f>IFERROR(VLOOKUP($E:$E,Input!$C:$Q,14,0),"")</f>
        <v/>
      </c>
      <c r="N93" s="82" t="str">
        <f>IFERROR(VLOOKUP($E:$E,Input!$C:$Q,15,0),"")</f>
        <v/>
      </c>
      <c r="P93" s="43" t="str">
        <f t="shared" si="2"/>
        <v>92,92,**</v>
      </c>
      <c r="Q93" s="43" t="s">
        <v>4896</v>
      </c>
      <c r="R93" s="43">
        <v>6042070338</v>
      </c>
      <c r="T93" s="90" t="s">
        <v>4897</v>
      </c>
      <c r="V93" s="43">
        <v>92</v>
      </c>
    </row>
    <row r="94" spans="1:22" ht="15.75">
      <c r="A94" s="13" t="str">
        <f>IFERROR(VLOOKUP($E:$E,scan!$A:$B,2,0),"**")</f>
        <v>**</v>
      </c>
      <c r="B94" s="13" t="str">
        <f>IFERROR(VLOOKUP($E94,scan!A:C,3,0),"**")</f>
        <v>**</v>
      </c>
      <c r="C94" s="79">
        <v>93</v>
      </c>
      <c r="E94" s="58"/>
      <c r="F94" s="78"/>
      <c r="G94" s="85" t="s">
        <v>4895</v>
      </c>
      <c r="H94" s="61">
        <v>0</v>
      </c>
      <c r="J94" s="43" t="e">
        <f>VLOOKUP(E94,Input!C:J,5,0)</f>
        <v>#N/A</v>
      </c>
      <c r="K94" s="43" t="e">
        <f>VLOOKUP(E94,Input!C:G,5,0)</f>
        <v>#N/A</v>
      </c>
      <c r="L94" s="82" t="str">
        <f>IFERROR(VLOOKUP($E:$E,Input!$C:$Q,12,0),"")</f>
        <v/>
      </c>
      <c r="M94" s="82" t="str">
        <f>IFERROR(VLOOKUP($E:$E,Input!$C:$Q,14,0),"")</f>
        <v/>
      </c>
      <c r="N94" s="82" t="str">
        <f>IFERROR(VLOOKUP($E:$E,Input!$C:$Q,15,0),"")</f>
        <v/>
      </c>
      <c r="P94" s="43" t="str">
        <f t="shared" si="2"/>
        <v>93,93,**</v>
      </c>
      <c r="Q94" s="43" t="s">
        <v>4896</v>
      </c>
      <c r="R94" s="43">
        <v>6042070338</v>
      </c>
      <c r="T94" s="90" t="s">
        <v>4897</v>
      </c>
      <c r="V94" s="43">
        <v>93</v>
      </c>
    </row>
    <row r="95" spans="1:22" ht="15.75">
      <c r="A95" s="13" t="str">
        <f>IFERROR(VLOOKUP($E:$E,scan!$A:$B,2,0),"**")</f>
        <v>**</v>
      </c>
      <c r="B95" s="13" t="str">
        <f>IFERROR(VLOOKUP($E95,scan!A:C,3,0),"**")</f>
        <v>**</v>
      </c>
      <c r="C95" s="79">
        <v>94</v>
      </c>
      <c r="E95" s="58"/>
      <c r="F95" s="78"/>
      <c r="G95" s="85" t="s">
        <v>4895</v>
      </c>
      <c r="H95" s="61">
        <v>0</v>
      </c>
      <c r="J95" s="43" t="e">
        <f>VLOOKUP(E95,Input!C:J,5,0)</f>
        <v>#N/A</v>
      </c>
      <c r="K95" s="43" t="e">
        <f>VLOOKUP(E95,Input!C:G,5,0)</f>
        <v>#N/A</v>
      </c>
      <c r="L95" s="82" t="str">
        <f>IFERROR(VLOOKUP($E:$E,Input!$C:$Q,12,0),"")</f>
        <v/>
      </c>
      <c r="M95" s="82" t="str">
        <f>IFERROR(VLOOKUP($E:$E,Input!$C:$Q,14,0),"")</f>
        <v/>
      </c>
      <c r="N95" s="82" t="str">
        <f>IFERROR(VLOOKUP($E:$E,Input!$C:$Q,15,0),"")</f>
        <v/>
      </c>
      <c r="P95" s="43" t="str">
        <f t="shared" si="2"/>
        <v>94,94,**</v>
      </c>
      <c r="Q95" s="43" t="s">
        <v>4896</v>
      </c>
      <c r="R95" s="43">
        <v>6042070338</v>
      </c>
      <c r="T95" s="90" t="s">
        <v>4897</v>
      </c>
      <c r="V95" s="43">
        <v>94</v>
      </c>
    </row>
    <row r="96" spans="1:22" ht="15.75">
      <c r="A96" s="13" t="str">
        <f>IFERROR(VLOOKUP($E:$E,scan!$A:$B,2,0),"**")</f>
        <v>**</v>
      </c>
      <c r="B96" s="13" t="str">
        <f>IFERROR(VLOOKUP($E96,scan!A:C,3,0),"**")</f>
        <v>**</v>
      </c>
      <c r="C96" s="79">
        <v>95</v>
      </c>
      <c r="E96" s="58"/>
      <c r="F96" s="78"/>
      <c r="G96" s="85" t="s">
        <v>4895</v>
      </c>
      <c r="H96" s="61">
        <v>0</v>
      </c>
      <c r="J96" s="43" t="e">
        <f>VLOOKUP(E96,Input!C:J,5,0)</f>
        <v>#N/A</v>
      </c>
      <c r="K96" s="43" t="e">
        <f>VLOOKUP(E96,Input!C:G,5,0)</f>
        <v>#N/A</v>
      </c>
      <c r="L96" s="82" t="str">
        <f>IFERROR(VLOOKUP($E:$E,Input!$C:$Q,12,0),"")</f>
        <v/>
      </c>
      <c r="M96" s="82" t="str">
        <f>IFERROR(VLOOKUP($E:$E,Input!$C:$Q,14,0),"")</f>
        <v/>
      </c>
      <c r="N96" s="82" t="str">
        <f>IFERROR(VLOOKUP($E:$E,Input!$C:$Q,15,0),"")</f>
        <v/>
      </c>
      <c r="P96" s="43" t="str">
        <f t="shared" si="2"/>
        <v>95,95,**</v>
      </c>
      <c r="Q96" s="43" t="s">
        <v>4896</v>
      </c>
      <c r="R96" s="43">
        <v>6042070338</v>
      </c>
      <c r="T96" s="90" t="s">
        <v>4897</v>
      </c>
      <c r="V96" s="43">
        <v>95</v>
      </c>
    </row>
    <row r="97" spans="1:22" ht="15.75">
      <c r="A97" s="13" t="str">
        <f>IFERROR(VLOOKUP($E:$E,scan!$A:$B,2,0),"**")</f>
        <v>**</v>
      </c>
      <c r="B97" s="13" t="str">
        <f>IFERROR(VLOOKUP($E97,scan!A:C,3,0),"**")</f>
        <v>**</v>
      </c>
      <c r="C97" s="79">
        <v>96</v>
      </c>
      <c r="E97" s="58"/>
      <c r="F97" s="78"/>
      <c r="G97" s="85" t="s">
        <v>4895</v>
      </c>
      <c r="H97" s="61">
        <v>0</v>
      </c>
      <c r="J97" s="43" t="e">
        <f>VLOOKUP(E97,Input!C:J,5,0)</f>
        <v>#N/A</v>
      </c>
      <c r="K97" s="43" t="e">
        <f>VLOOKUP(E97,Input!C:G,5,0)</f>
        <v>#N/A</v>
      </c>
      <c r="L97" s="82" t="str">
        <f>IFERROR(VLOOKUP($E:$E,Input!$C:$Q,12,0),"")</f>
        <v/>
      </c>
      <c r="M97" s="82" t="str">
        <f>IFERROR(VLOOKUP($E:$E,Input!$C:$Q,14,0),"")</f>
        <v/>
      </c>
      <c r="N97" s="82" t="str">
        <f>IFERROR(VLOOKUP($E:$E,Input!$C:$Q,15,0),"")</f>
        <v/>
      </c>
      <c r="P97" s="43" t="str">
        <f t="shared" si="2"/>
        <v>96,96,**</v>
      </c>
      <c r="Q97" s="43" t="s">
        <v>4896</v>
      </c>
      <c r="R97" s="43">
        <v>6042070338</v>
      </c>
      <c r="T97" s="90" t="s">
        <v>4897</v>
      </c>
      <c r="V97" s="43">
        <v>96</v>
      </c>
    </row>
    <row r="98" spans="1:22" ht="15.75">
      <c r="A98" s="13" t="str">
        <f>IFERROR(VLOOKUP($E:$E,scan!$A:$B,2,0),"**")</f>
        <v>**</v>
      </c>
      <c r="B98" s="13" t="str">
        <f>IFERROR(VLOOKUP($E98,scan!A:C,3,0),"**")</f>
        <v>**</v>
      </c>
      <c r="C98" s="79">
        <v>97</v>
      </c>
      <c r="E98" s="58"/>
      <c r="F98" s="78"/>
      <c r="G98" s="85" t="s">
        <v>4895</v>
      </c>
      <c r="H98" s="61">
        <v>0</v>
      </c>
      <c r="J98" s="43" t="e">
        <f>VLOOKUP(E98,Input!C:J,5,0)</f>
        <v>#N/A</v>
      </c>
      <c r="K98" s="43" t="e">
        <f>VLOOKUP(E98,Input!C:G,5,0)</f>
        <v>#N/A</v>
      </c>
      <c r="L98" s="82" t="str">
        <f>IFERROR(VLOOKUP($E:$E,Input!$C:$Q,12,0),"")</f>
        <v/>
      </c>
      <c r="M98" s="82" t="str">
        <f>IFERROR(VLOOKUP($E:$E,Input!$C:$Q,14,0),"")</f>
        <v/>
      </c>
      <c r="N98" s="82" t="str">
        <f>IFERROR(VLOOKUP($E:$E,Input!$C:$Q,15,0),"")</f>
        <v/>
      </c>
      <c r="P98" s="43" t="str">
        <f t="shared" si="2"/>
        <v>97,97,**</v>
      </c>
      <c r="Q98" s="43" t="s">
        <v>4896</v>
      </c>
      <c r="R98" s="43">
        <v>6042070338</v>
      </c>
      <c r="T98" s="90" t="s">
        <v>4897</v>
      </c>
      <c r="V98" s="43">
        <v>97</v>
      </c>
    </row>
    <row r="99" spans="1:22" ht="15.75">
      <c r="A99" s="13" t="str">
        <f>IFERROR(VLOOKUP($E:$E,scan!$A:$B,2,0),"**")</f>
        <v>**</v>
      </c>
      <c r="B99" s="13" t="str">
        <f>IFERROR(VLOOKUP($E99,scan!A:C,3,0),"**")</f>
        <v>**</v>
      </c>
      <c r="C99" s="79">
        <v>98</v>
      </c>
      <c r="E99" s="58"/>
      <c r="F99" s="78"/>
      <c r="G99" s="85" t="s">
        <v>4895</v>
      </c>
      <c r="H99" s="61">
        <v>0</v>
      </c>
      <c r="J99" s="43" t="e">
        <f>VLOOKUP(E99,Input!C:J,5,0)</f>
        <v>#N/A</v>
      </c>
      <c r="K99" s="43" t="e">
        <f>VLOOKUP(E99,Input!C:G,5,0)</f>
        <v>#N/A</v>
      </c>
      <c r="L99" s="82" t="str">
        <f>IFERROR(VLOOKUP($E:$E,Input!$C:$Q,12,0),"")</f>
        <v/>
      </c>
      <c r="M99" s="82" t="str">
        <f>IFERROR(VLOOKUP($E:$E,Input!$C:$Q,14,0),"")</f>
        <v/>
      </c>
      <c r="N99" s="82" t="str">
        <f>IFERROR(VLOOKUP($E:$E,Input!$C:$Q,15,0),"")</f>
        <v/>
      </c>
      <c r="P99" s="43" t="str">
        <f t="shared" si="2"/>
        <v>98,98,**</v>
      </c>
      <c r="Q99" s="43" t="s">
        <v>4896</v>
      </c>
      <c r="R99" s="43">
        <v>6042070338</v>
      </c>
      <c r="T99" s="90" t="s">
        <v>4897</v>
      </c>
      <c r="V99" s="43">
        <v>98</v>
      </c>
    </row>
    <row r="100" spans="1:22" ht="15.75">
      <c r="A100" s="13" t="str">
        <f>IFERROR(VLOOKUP($E:$E,scan!$A:$B,2,0),"**")</f>
        <v>**</v>
      </c>
      <c r="B100" s="13" t="str">
        <f>IFERROR(VLOOKUP($E100,scan!A:C,3,0),"**")</f>
        <v>**</v>
      </c>
      <c r="C100" s="79">
        <v>99</v>
      </c>
      <c r="E100" s="58"/>
      <c r="F100" s="78"/>
      <c r="G100" s="85" t="s">
        <v>4895</v>
      </c>
      <c r="H100" s="61">
        <v>0</v>
      </c>
      <c r="J100" s="43" t="e">
        <f>VLOOKUP(E100,Input!C:J,5,0)</f>
        <v>#N/A</v>
      </c>
      <c r="K100" s="43" t="e">
        <f>VLOOKUP(E100,Input!C:G,5,0)</f>
        <v>#N/A</v>
      </c>
      <c r="L100" s="82" t="str">
        <f>IFERROR(VLOOKUP($E:$E,Input!$C:$Q,12,0),"")</f>
        <v/>
      </c>
      <c r="M100" s="82" t="str">
        <f>IFERROR(VLOOKUP($E:$E,Input!$C:$Q,14,0),"")</f>
        <v/>
      </c>
      <c r="N100" s="82" t="str">
        <f>IFERROR(VLOOKUP($E:$E,Input!$C:$Q,15,0),"")</f>
        <v/>
      </c>
      <c r="P100" s="43" t="str">
        <f t="shared" si="2"/>
        <v>99,99,**</v>
      </c>
      <c r="Q100" s="43" t="s">
        <v>4896</v>
      </c>
      <c r="R100" s="43">
        <v>6042070338</v>
      </c>
      <c r="T100" s="90" t="s">
        <v>4897</v>
      </c>
      <c r="V100" s="43">
        <v>99</v>
      </c>
    </row>
    <row r="101" spans="1:22" ht="15.75">
      <c r="A101" s="13" t="str">
        <f>IFERROR(VLOOKUP($E:$E,scan!$A:$B,2,0),"**")</f>
        <v>**</v>
      </c>
      <c r="B101" s="13" t="str">
        <f>IFERROR(VLOOKUP($E101,scan!A:C,3,0),"**")</f>
        <v>**</v>
      </c>
      <c r="C101" s="79">
        <v>100</v>
      </c>
      <c r="E101" s="58"/>
      <c r="F101" s="78"/>
      <c r="G101" s="85" t="s">
        <v>4895</v>
      </c>
      <c r="H101" s="61">
        <v>0</v>
      </c>
      <c r="J101" s="43" t="e">
        <f>VLOOKUP(E101,Input!C:J,5,0)</f>
        <v>#N/A</v>
      </c>
      <c r="K101" s="43" t="e">
        <f>VLOOKUP(E101,Input!C:G,5,0)</f>
        <v>#N/A</v>
      </c>
      <c r="L101" s="82" t="str">
        <f>IFERROR(VLOOKUP($E:$E,Input!$C:$Q,12,0),"")</f>
        <v/>
      </c>
      <c r="M101" s="82" t="str">
        <f>IFERROR(VLOOKUP($E:$E,Input!$C:$Q,14,0),"")</f>
        <v/>
      </c>
      <c r="N101" s="82" t="str">
        <f>IFERROR(VLOOKUP($E:$E,Input!$C:$Q,15,0),"")</f>
        <v/>
      </c>
      <c r="P101" s="43" t="str">
        <f t="shared" si="2"/>
        <v>100,100,**</v>
      </c>
      <c r="Q101" s="43" t="s">
        <v>4896</v>
      </c>
      <c r="R101" s="43">
        <v>6042070338</v>
      </c>
      <c r="T101" s="90" t="s">
        <v>4897</v>
      </c>
      <c r="V101" s="43">
        <v>100</v>
      </c>
    </row>
    <row r="102" spans="1:22" ht="15.75">
      <c r="A102" s="13" t="str">
        <f>IFERROR(VLOOKUP($E:$E,scan!$A:$B,2,0),"**")</f>
        <v>**</v>
      </c>
      <c r="B102" s="13" t="str">
        <f>IFERROR(VLOOKUP($E102,scan!A:C,3,0),"**")</f>
        <v>**</v>
      </c>
      <c r="C102" s="79">
        <v>101</v>
      </c>
      <c r="E102" s="58"/>
      <c r="F102" s="78"/>
      <c r="G102" s="85" t="s">
        <v>4895</v>
      </c>
      <c r="H102" s="61">
        <v>0</v>
      </c>
      <c r="J102" s="43" t="e">
        <f>VLOOKUP(E102,Input!C:J,5,0)</f>
        <v>#N/A</v>
      </c>
      <c r="K102" s="43" t="e">
        <f>VLOOKUP(E102,Input!C:G,5,0)</f>
        <v>#N/A</v>
      </c>
      <c r="L102" s="82" t="str">
        <f>IFERROR(VLOOKUP($E:$E,Input!$C:$Q,12,0),"")</f>
        <v/>
      </c>
      <c r="M102" s="82" t="str">
        <f>IFERROR(VLOOKUP($E:$E,Input!$C:$Q,14,0),"")</f>
        <v/>
      </c>
      <c r="N102" s="82" t="str">
        <f>IFERROR(VLOOKUP($E:$E,Input!$C:$Q,15,0),"")</f>
        <v/>
      </c>
      <c r="P102" s="43" t="str">
        <f t="shared" si="2"/>
        <v>101,101,**</v>
      </c>
      <c r="Q102" s="43" t="s">
        <v>4896</v>
      </c>
      <c r="R102" s="43">
        <v>6042070338</v>
      </c>
      <c r="T102" s="90" t="s">
        <v>4897</v>
      </c>
      <c r="V102" s="43">
        <v>101</v>
      </c>
    </row>
    <row r="103" spans="1:22" ht="15.75">
      <c r="A103" s="13" t="str">
        <f>IFERROR(VLOOKUP($E:$E,scan!$A:$B,2,0),"**")</f>
        <v>**</v>
      </c>
      <c r="B103" s="13" t="str">
        <f>IFERROR(VLOOKUP($E103,scan!A:C,3,0),"**")</f>
        <v>**</v>
      </c>
      <c r="C103" s="79">
        <v>102</v>
      </c>
      <c r="E103" s="58"/>
      <c r="F103" s="78"/>
      <c r="G103" s="85" t="s">
        <v>4895</v>
      </c>
      <c r="H103" s="61">
        <v>0</v>
      </c>
      <c r="J103" s="43" t="e">
        <f>VLOOKUP(E103,Input!C:J,5,0)</f>
        <v>#N/A</v>
      </c>
      <c r="K103" s="43" t="e">
        <f>VLOOKUP(E103,Input!C:G,5,0)</f>
        <v>#N/A</v>
      </c>
      <c r="L103" s="82" t="str">
        <f>IFERROR(VLOOKUP($E:$E,Input!$C:$Q,12,0),"")</f>
        <v/>
      </c>
      <c r="M103" s="82" t="str">
        <f>IFERROR(VLOOKUP($E:$E,Input!$C:$Q,14,0),"")</f>
        <v/>
      </c>
      <c r="N103" s="82" t="str">
        <f>IFERROR(VLOOKUP($E:$E,Input!$C:$Q,15,0),"")</f>
        <v/>
      </c>
      <c r="P103" s="43" t="str">
        <f t="shared" ref="P103:P134" si="3">V103&amp;","&amp;C103&amp;","&amp;B103</f>
        <v>102,102,**</v>
      </c>
      <c r="Q103" s="43" t="s">
        <v>4896</v>
      </c>
      <c r="R103" s="43">
        <v>6042070338</v>
      </c>
      <c r="T103" s="90" t="s">
        <v>4897</v>
      </c>
      <c r="V103" s="43">
        <v>102</v>
      </c>
    </row>
    <row r="104" spans="1:22" ht="15.75">
      <c r="A104" s="13" t="str">
        <f>IFERROR(VLOOKUP($E:$E,scan!$A:$B,2,0),"**")</f>
        <v>**</v>
      </c>
      <c r="B104" s="13" t="str">
        <f>IFERROR(VLOOKUP($E104,scan!A:C,3,0),"**")</f>
        <v>**</v>
      </c>
      <c r="C104" s="79">
        <v>103</v>
      </c>
      <c r="E104" s="58"/>
      <c r="F104" s="78"/>
      <c r="G104" s="85" t="s">
        <v>4895</v>
      </c>
      <c r="H104" s="61">
        <v>0</v>
      </c>
      <c r="J104" s="43" t="e">
        <f>VLOOKUP(E104,Input!C:J,5,0)</f>
        <v>#N/A</v>
      </c>
      <c r="K104" s="43" t="e">
        <f>VLOOKUP(E104,Input!C:G,5,0)</f>
        <v>#N/A</v>
      </c>
      <c r="L104" s="82" t="str">
        <f>IFERROR(VLOOKUP($E:$E,Input!$C:$Q,12,0),"")</f>
        <v/>
      </c>
      <c r="M104" s="82" t="str">
        <f>IFERROR(VLOOKUP($E:$E,Input!$C:$Q,14,0),"")</f>
        <v/>
      </c>
      <c r="N104" s="82" t="str">
        <f>IFERROR(VLOOKUP($E:$E,Input!$C:$Q,15,0),"")</f>
        <v/>
      </c>
      <c r="P104" s="43" t="str">
        <f t="shared" si="3"/>
        <v>103,103,**</v>
      </c>
      <c r="Q104" s="43" t="s">
        <v>4896</v>
      </c>
      <c r="R104" s="43">
        <v>6042070338</v>
      </c>
      <c r="T104" s="90" t="s">
        <v>4897</v>
      </c>
      <c r="V104" s="43">
        <v>103</v>
      </c>
    </row>
    <row r="105" spans="1:22" ht="15.75">
      <c r="A105" s="13" t="str">
        <f>IFERROR(VLOOKUP($E:$E,scan!$A:$B,2,0),"**")</f>
        <v>**</v>
      </c>
      <c r="B105" s="13" t="str">
        <f>IFERROR(VLOOKUP($E105,scan!A:C,3,0),"**")</f>
        <v>**</v>
      </c>
      <c r="C105" s="79">
        <v>104</v>
      </c>
      <c r="E105" s="58"/>
      <c r="F105" s="78"/>
      <c r="G105" s="85" t="s">
        <v>4895</v>
      </c>
      <c r="H105" s="61">
        <v>0</v>
      </c>
      <c r="J105" s="43" t="e">
        <f>VLOOKUP(E105,Input!C:J,5,0)</f>
        <v>#N/A</v>
      </c>
      <c r="K105" s="43" t="e">
        <f>VLOOKUP(E105,Input!C:G,5,0)</f>
        <v>#N/A</v>
      </c>
      <c r="L105" s="82" t="str">
        <f>IFERROR(VLOOKUP($E:$E,Input!$C:$Q,12,0),"")</f>
        <v/>
      </c>
      <c r="M105" s="82" t="str">
        <f>IFERROR(VLOOKUP($E:$E,Input!$C:$Q,14,0),"")</f>
        <v/>
      </c>
      <c r="N105" s="82" t="str">
        <f>IFERROR(VLOOKUP($E:$E,Input!$C:$Q,15,0),"")</f>
        <v/>
      </c>
      <c r="P105" s="43" t="str">
        <f t="shared" si="3"/>
        <v>104,104,**</v>
      </c>
      <c r="Q105" s="43" t="s">
        <v>4896</v>
      </c>
      <c r="R105" s="43">
        <v>6042070338</v>
      </c>
      <c r="T105" s="90" t="s">
        <v>4897</v>
      </c>
      <c r="V105" s="43">
        <v>104</v>
      </c>
    </row>
    <row r="106" spans="1:22" ht="15.75">
      <c r="A106" s="13" t="str">
        <f>IFERROR(VLOOKUP($E:$E,scan!$A:$B,2,0),"**")</f>
        <v>**</v>
      </c>
      <c r="B106" s="13" t="str">
        <f>IFERROR(VLOOKUP($E106,scan!A:C,3,0),"**")</f>
        <v>**</v>
      </c>
      <c r="C106" s="79">
        <v>105</v>
      </c>
      <c r="E106" s="58"/>
      <c r="F106" s="78"/>
      <c r="G106" s="85" t="s">
        <v>4895</v>
      </c>
      <c r="H106" s="61">
        <v>0</v>
      </c>
      <c r="J106" s="43" t="e">
        <f>VLOOKUP(E106,Input!C:J,5,0)</f>
        <v>#N/A</v>
      </c>
      <c r="K106" s="43" t="e">
        <f>VLOOKUP(E106,Input!C:G,5,0)</f>
        <v>#N/A</v>
      </c>
      <c r="L106" s="82" t="str">
        <f>IFERROR(VLOOKUP($E:$E,Input!$C:$Q,12,0),"")</f>
        <v/>
      </c>
      <c r="M106" s="82" t="str">
        <f>IFERROR(VLOOKUP($E:$E,Input!$C:$Q,14,0),"")</f>
        <v/>
      </c>
      <c r="N106" s="82" t="str">
        <f>IFERROR(VLOOKUP($E:$E,Input!$C:$Q,15,0),"")</f>
        <v/>
      </c>
      <c r="P106" s="43" t="str">
        <f t="shared" si="3"/>
        <v>105,105,**</v>
      </c>
      <c r="Q106" s="43" t="s">
        <v>4896</v>
      </c>
      <c r="R106" s="43">
        <v>6042070338</v>
      </c>
      <c r="T106" s="90" t="s">
        <v>4897</v>
      </c>
      <c r="V106" s="43">
        <v>105</v>
      </c>
    </row>
    <row r="107" spans="1:22" ht="15.75">
      <c r="A107" s="13" t="str">
        <f>IFERROR(VLOOKUP($E:$E,scan!$A:$B,2,0),"**")</f>
        <v>**</v>
      </c>
      <c r="B107" s="13" t="str">
        <f>IFERROR(VLOOKUP($E107,scan!A:C,3,0),"**")</f>
        <v>**</v>
      </c>
      <c r="C107" s="79">
        <v>106</v>
      </c>
      <c r="E107" s="58"/>
      <c r="F107" s="78"/>
      <c r="G107" s="85" t="s">
        <v>4895</v>
      </c>
      <c r="H107" s="61">
        <v>0</v>
      </c>
      <c r="J107" s="43" t="e">
        <f>VLOOKUP(E107,Input!C:J,5,0)</f>
        <v>#N/A</v>
      </c>
      <c r="K107" s="43" t="e">
        <f>VLOOKUP(E107,Input!C:G,5,0)</f>
        <v>#N/A</v>
      </c>
      <c r="L107" s="82" t="str">
        <f>IFERROR(VLOOKUP($E:$E,Input!$C:$Q,12,0),"")</f>
        <v/>
      </c>
      <c r="M107" s="82" t="str">
        <f>IFERROR(VLOOKUP($E:$E,Input!$C:$Q,14,0),"")</f>
        <v/>
      </c>
      <c r="N107" s="82" t="str">
        <f>IFERROR(VLOOKUP($E:$E,Input!$C:$Q,15,0),"")</f>
        <v/>
      </c>
      <c r="P107" s="43" t="str">
        <f t="shared" si="3"/>
        <v>106,106,**</v>
      </c>
      <c r="Q107" s="43" t="s">
        <v>4896</v>
      </c>
      <c r="R107" s="43">
        <v>6042070338</v>
      </c>
      <c r="T107" s="90" t="s">
        <v>4897</v>
      </c>
      <c r="V107" s="43">
        <v>106</v>
      </c>
    </row>
    <row r="108" spans="1:22" ht="15.75">
      <c r="A108" s="13" t="str">
        <f>IFERROR(VLOOKUP($E:$E,scan!$A:$B,2,0),"**")</f>
        <v>**</v>
      </c>
      <c r="B108" s="13" t="str">
        <f>IFERROR(VLOOKUP($E108,scan!A:C,3,0),"**")</f>
        <v>**</v>
      </c>
      <c r="C108" s="79">
        <v>107</v>
      </c>
      <c r="E108" s="58"/>
      <c r="F108" s="78"/>
      <c r="G108" s="85" t="s">
        <v>4895</v>
      </c>
      <c r="H108" s="61">
        <v>0</v>
      </c>
      <c r="J108" s="43" t="e">
        <f>VLOOKUP(E108,Input!C:J,5,0)</f>
        <v>#N/A</v>
      </c>
      <c r="K108" s="43" t="e">
        <f>VLOOKUP(E108,Input!C:G,5,0)</f>
        <v>#N/A</v>
      </c>
      <c r="L108" s="82" t="str">
        <f>IFERROR(VLOOKUP($E:$E,Input!$C:$Q,12,0),"")</f>
        <v/>
      </c>
      <c r="M108" s="82" t="str">
        <f>IFERROR(VLOOKUP($E:$E,Input!$C:$Q,14,0),"")</f>
        <v/>
      </c>
      <c r="N108" s="82" t="str">
        <f>IFERROR(VLOOKUP($E:$E,Input!$C:$Q,15,0),"")</f>
        <v/>
      </c>
      <c r="P108" s="43" t="str">
        <f t="shared" si="3"/>
        <v>107,107,**</v>
      </c>
      <c r="Q108" s="43" t="s">
        <v>4896</v>
      </c>
      <c r="R108" s="43">
        <v>6042070338</v>
      </c>
      <c r="T108" s="90" t="s">
        <v>4897</v>
      </c>
      <c r="V108" s="43">
        <v>107</v>
      </c>
    </row>
    <row r="109" spans="1:22" ht="15.75">
      <c r="A109" s="13" t="str">
        <f>IFERROR(VLOOKUP($E:$E,scan!$A:$B,2,0),"**")</f>
        <v>**</v>
      </c>
      <c r="B109" s="13" t="str">
        <f>IFERROR(VLOOKUP($E109,scan!A:C,3,0),"**")</f>
        <v>**</v>
      </c>
      <c r="C109" s="79">
        <v>108</v>
      </c>
      <c r="E109" s="58"/>
      <c r="F109" s="78"/>
      <c r="G109" s="85" t="s">
        <v>4895</v>
      </c>
      <c r="H109" s="61">
        <v>0</v>
      </c>
      <c r="J109" s="43" t="e">
        <f>VLOOKUP(E109,Input!C:J,5,0)</f>
        <v>#N/A</v>
      </c>
      <c r="K109" s="43" t="e">
        <f>VLOOKUP(E109,Input!C:G,5,0)</f>
        <v>#N/A</v>
      </c>
      <c r="L109" s="82" t="str">
        <f>IFERROR(VLOOKUP($E:$E,Input!$C:$Q,12,0),"")</f>
        <v/>
      </c>
      <c r="M109" s="82" t="str">
        <f>IFERROR(VLOOKUP($E:$E,Input!$C:$Q,14,0),"")</f>
        <v/>
      </c>
      <c r="N109" s="82" t="str">
        <f>IFERROR(VLOOKUP($E:$E,Input!$C:$Q,15,0),"")</f>
        <v/>
      </c>
      <c r="P109" s="43" t="str">
        <f t="shared" si="3"/>
        <v>108,108,**</v>
      </c>
      <c r="Q109" s="43" t="s">
        <v>4896</v>
      </c>
      <c r="R109" s="43">
        <v>6042070338</v>
      </c>
      <c r="T109" s="90" t="s">
        <v>4897</v>
      </c>
      <c r="V109" s="43">
        <v>108</v>
      </c>
    </row>
    <row r="110" spans="1:22" ht="15.75">
      <c r="A110" s="13" t="str">
        <f>IFERROR(VLOOKUP($E:$E,scan!$A:$B,2,0),"**")</f>
        <v>**</v>
      </c>
      <c r="B110" s="13" t="str">
        <f>IFERROR(VLOOKUP($E110,scan!A:C,3,0),"**")</f>
        <v>**</v>
      </c>
      <c r="C110" s="79">
        <v>109</v>
      </c>
      <c r="E110" s="58"/>
      <c r="F110" s="78"/>
      <c r="G110" s="85" t="s">
        <v>4895</v>
      </c>
      <c r="H110" s="61">
        <v>0</v>
      </c>
      <c r="J110" s="43" t="e">
        <f>VLOOKUP(E110,Input!C:J,5,0)</f>
        <v>#N/A</v>
      </c>
      <c r="K110" s="43" t="e">
        <f>VLOOKUP(E110,Input!C:G,5,0)</f>
        <v>#N/A</v>
      </c>
      <c r="L110" s="82" t="str">
        <f>IFERROR(VLOOKUP($E:$E,Input!$C:$Q,12,0),"")</f>
        <v/>
      </c>
      <c r="M110" s="82" t="str">
        <f>IFERROR(VLOOKUP($E:$E,Input!$C:$Q,14,0),"")</f>
        <v/>
      </c>
      <c r="N110" s="82" t="str">
        <f>IFERROR(VLOOKUP($E:$E,Input!$C:$Q,15,0),"")</f>
        <v/>
      </c>
      <c r="P110" s="43" t="str">
        <f t="shared" si="3"/>
        <v>109,109,**</v>
      </c>
      <c r="Q110" s="43" t="s">
        <v>4896</v>
      </c>
      <c r="R110" s="43">
        <v>6042070338</v>
      </c>
      <c r="T110" s="90" t="s">
        <v>4897</v>
      </c>
      <c r="V110" s="43">
        <v>109</v>
      </c>
    </row>
    <row r="111" spans="1:22" ht="15.75">
      <c r="A111" s="13" t="str">
        <f>IFERROR(VLOOKUP($E:$E,scan!$A:$B,2,0),"**")</f>
        <v>**</v>
      </c>
      <c r="B111" s="13" t="str">
        <f>IFERROR(VLOOKUP($E111,scan!A:C,3,0),"**")</f>
        <v>**</v>
      </c>
      <c r="C111" s="79">
        <v>110</v>
      </c>
      <c r="E111" s="58"/>
      <c r="F111" s="78"/>
      <c r="G111" s="85" t="s">
        <v>4895</v>
      </c>
      <c r="H111" s="61">
        <v>0</v>
      </c>
      <c r="J111" s="43" t="e">
        <f>VLOOKUP(E111,Input!C:J,5,0)</f>
        <v>#N/A</v>
      </c>
      <c r="K111" s="43" t="e">
        <f>VLOOKUP(E111,Input!C:G,5,0)</f>
        <v>#N/A</v>
      </c>
      <c r="L111" s="82" t="str">
        <f>IFERROR(VLOOKUP($E:$E,Input!$C:$Q,12,0),"")</f>
        <v/>
      </c>
      <c r="M111" s="82" t="str">
        <f>IFERROR(VLOOKUP($E:$E,Input!$C:$Q,14,0),"")</f>
        <v/>
      </c>
      <c r="N111" s="82" t="str">
        <f>IFERROR(VLOOKUP($E:$E,Input!$C:$Q,15,0),"")</f>
        <v/>
      </c>
      <c r="P111" s="43" t="str">
        <f t="shared" si="3"/>
        <v>110,110,**</v>
      </c>
      <c r="Q111" s="43" t="s">
        <v>4896</v>
      </c>
      <c r="R111" s="43">
        <v>6042070338</v>
      </c>
      <c r="T111" s="90" t="s">
        <v>4897</v>
      </c>
      <c r="V111" s="43">
        <v>110</v>
      </c>
    </row>
    <row r="112" spans="1:22" ht="15.75">
      <c r="A112" s="13" t="str">
        <f>IFERROR(VLOOKUP($E:$E,scan!$A:$B,2,0),"**")</f>
        <v>**</v>
      </c>
      <c r="B112" s="13" t="str">
        <f>IFERROR(VLOOKUP($E112,scan!A:C,3,0),"**")</f>
        <v>**</v>
      </c>
      <c r="C112" s="79">
        <v>111</v>
      </c>
      <c r="E112" s="58"/>
      <c r="F112" s="78"/>
      <c r="G112" s="85" t="s">
        <v>4895</v>
      </c>
      <c r="H112" s="61">
        <v>0</v>
      </c>
      <c r="J112" s="43" t="e">
        <f>VLOOKUP(E112,Input!C:J,5,0)</f>
        <v>#N/A</v>
      </c>
      <c r="K112" s="43" t="e">
        <f>VLOOKUP(E112,Input!C:G,5,0)</f>
        <v>#N/A</v>
      </c>
      <c r="L112" s="82" t="str">
        <f>IFERROR(VLOOKUP($E:$E,Input!$C:$Q,12,0),"")</f>
        <v/>
      </c>
      <c r="M112" s="82" t="str">
        <f>IFERROR(VLOOKUP($E:$E,Input!$C:$Q,14,0),"")</f>
        <v/>
      </c>
      <c r="N112" s="82" t="str">
        <f>IFERROR(VLOOKUP($E:$E,Input!$C:$Q,15,0),"")</f>
        <v/>
      </c>
      <c r="P112" s="43" t="str">
        <f t="shared" si="3"/>
        <v>111,111,**</v>
      </c>
      <c r="Q112" s="43" t="s">
        <v>4896</v>
      </c>
      <c r="R112" s="43">
        <v>6042070338</v>
      </c>
      <c r="T112" s="90" t="s">
        <v>4897</v>
      </c>
      <c r="V112" s="43">
        <v>111</v>
      </c>
    </row>
    <row r="113" spans="1:22" ht="15.75">
      <c r="A113" s="13" t="str">
        <f>IFERROR(VLOOKUP($E:$E,scan!$A:$B,2,0),"**")</f>
        <v>**</v>
      </c>
      <c r="B113" s="13" t="str">
        <f>IFERROR(VLOOKUP($E113,scan!A:C,3,0),"**")</f>
        <v>**</v>
      </c>
      <c r="C113" s="79">
        <v>112</v>
      </c>
      <c r="E113" s="58"/>
      <c r="F113" s="78"/>
      <c r="G113" s="85" t="s">
        <v>4895</v>
      </c>
      <c r="H113" s="61">
        <v>0</v>
      </c>
      <c r="J113" s="43" t="e">
        <f>VLOOKUP(E113,Input!C:J,5,0)</f>
        <v>#N/A</v>
      </c>
      <c r="K113" s="43" t="e">
        <f>VLOOKUP(E113,Input!C:G,5,0)</f>
        <v>#N/A</v>
      </c>
      <c r="L113" s="82" t="str">
        <f>IFERROR(VLOOKUP($E:$E,Input!$C:$Q,12,0),"")</f>
        <v/>
      </c>
      <c r="M113" s="82" t="str">
        <f>IFERROR(VLOOKUP($E:$E,Input!$C:$Q,14,0),"")</f>
        <v/>
      </c>
      <c r="N113" s="82" t="str">
        <f>IFERROR(VLOOKUP($E:$E,Input!$C:$Q,15,0),"")</f>
        <v/>
      </c>
      <c r="P113" s="43" t="str">
        <f t="shared" si="3"/>
        <v>112,112,**</v>
      </c>
      <c r="Q113" s="43" t="s">
        <v>4896</v>
      </c>
      <c r="R113" s="43">
        <v>6042070338</v>
      </c>
      <c r="T113" s="90" t="s">
        <v>4897</v>
      </c>
      <c r="V113" s="43">
        <v>112</v>
      </c>
    </row>
    <row r="114" spans="1:22" ht="15.75">
      <c r="A114" s="13" t="str">
        <f>IFERROR(VLOOKUP($E:$E,scan!$A:$B,2,0),"**")</f>
        <v>**</v>
      </c>
      <c r="B114" s="13" t="str">
        <f>IFERROR(VLOOKUP($E114,scan!A:C,3,0),"**")</f>
        <v>**</v>
      </c>
      <c r="C114" s="79">
        <v>113</v>
      </c>
      <c r="E114" s="58"/>
      <c r="F114" s="78"/>
      <c r="G114" s="85" t="s">
        <v>4895</v>
      </c>
      <c r="H114" s="61">
        <v>0</v>
      </c>
      <c r="J114" s="43" t="e">
        <f>VLOOKUP(E114,Input!C:J,5,0)</f>
        <v>#N/A</v>
      </c>
      <c r="K114" s="43" t="e">
        <f>VLOOKUP(E114,Input!C:G,5,0)</f>
        <v>#N/A</v>
      </c>
      <c r="L114" s="82" t="str">
        <f>IFERROR(VLOOKUP($E:$E,Input!$C:$Q,12,0),"")</f>
        <v/>
      </c>
      <c r="M114" s="82" t="str">
        <f>IFERROR(VLOOKUP($E:$E,Input!$C:$Q,14,0),"")</f>
        <v/>
      </c>
      <c r="N114" s="82" t="str">
        <f>IFERROR(VLOOKUP($E:$E,Input!$C:$Q,15,0),"")</f>
        <v/>
      </c>
      <c r="P114" s="43" t="str">
        <f t="shared" si="3"/>
        <v>113,113,**</v>
      </c>
      <c r="Q114" s="43" t="s">
        <v>4896</v>
      </c>
      <c r="R114" s="43">
        <v>6042070338</v>
      </c>
      <c r="T114" s="90" t="s">
        <v>4897</v>
      </c>
      <c r="V114" s="43">
        <v>113</v>
      </c>
    </row>
    <row r="115" spans="1:22" ht="15.75">
      <c r="A115" s="13" t="str">
        <f>IFERROR(VLOOKUP($E:$E,scan!$A:$B,2,0),"**")</f>
        <v>**</v>
      </c>
      <c r="B115" s="13" t="str">
        <f>IFERROR(VLOOKUP($E115,scan!A:C,3,0),"**")</f>
        <v>**</v>
      </c>
      <c r="C115" s="79">
        <v>114</v>
      </c>
      <c r="E115" s="58"/>
      <c r="F115" s="78"/>
      <c r="G115" s="85" t="s">
        <v>4895</v>
      </c>
      <c r="H115" s="61">
        <v>0</v>
      </c>
      <c r="J115" s="43" t="e">
        <f>VLOOKUP(E115,Input!C:J,5,0)</f>
        <v>#N/A</v>
      </c>
      <c r="K115" s="43" t="e">
        <f>VLOOKUP(E115,Input!C:G,5,0)</f>
        <v>#N/A</v>
      </c>
      <c r="L115" s="82" t="str">
        <f>IFERROR(VLOOKUP($E:$E,Input!$C:$Q,12,0),"")</f>
        <v/>
      </c>
      <c r="M115" s="82" t="str">
        <f>IFERROR(VLOOKUP($E:$E,Input!$C:$Q,14,0),"")</f>
        <v/>
      </c>
      <c r="N115" s="82" t="str">
        <f>IFERROR(VLOOKUP($E:$E,Input!$C:$Q,15,0),"")</f>
        <v/>
      </c>
      <c r="P115" s="43" t="str">
        <f t="shared" si="3"/>
        <v>114,114,**</v>
      </c>
      <c r="Q115" s="43" t="s">
        <v>4896</v>
      </c>
      <c r="R115" s="43">
        <v>6042070338</v>
      </c>
      <c r="T115" s="90" t="s">
        <v>4897</v>
      </c>
      <c r="V115" s="43">
        <v>114</v>
      </c>
    </row>
    <row r="116" spans="1:22" ht="15.75">
      <c r="A116" s="13" t="str">
        <f>IFERROR(VLOOKUP($E:$E,scan!$A:$B,2,0),"**")</f>
        <v>**</v>
      </c>
      <c r="B116" s="13" t="str">
        <f>IFERROR(VLOOKUP($E116,scan!A:C,3,0),"**")</f>
        <v>**</v>
      </c>
      <c r="C116" s="79">
        <v>115</v>
      </c>
      <c r="E116" s="58"/>
      <c r="F116" s="78"/>
      <c r="G116" s="85" t="s">
        <v>4895</v>
      </c>
      <c r="H116" s="61">
        <v>0</v>
      </c>
      <c r="J116" s="43" t="e">
        <f>VLOOKUP(E116,Input!C:J,5,0)</f>
        <v>#N/A</v>
      </c>
      <c r="K116" s="43" t="e">
        <f>VLOOKUP(E116,Input!C:G,5,0)</f>
        <v>#N/A</v>
      </c>
      <c r="L116" s="82" t="str">
        <f>IFERROR(VLOOKUP($E:$E,Input!$C:$Q,12,0),"")</f>
        <v/>
      </c>
      <c r="M116" s="82" t="str">
        <f>IFERROR(VLOOKUP($E:$E,Input!$C:$Q,14,0),"")</f>
        <v/>
      </c>
      <c r="N116" s="82" t="str">
        <f>IFERROR(VLOOKUP($E:$E,Input!$C:$Q,15,0),"")</f>
        <v/>
      </c>
      <c r="P116" s="43" t="str">
        <f t="shared" si="3"/>
        <v>115,115,**</v>
      </c>
      <c r="Q116" s="43" t="s">
        <v>4896</v>
      </c>
      <c r="R116" s="43">
        <v>6042070338</v>
      </c>
      <c r="T116" s="90" t="s">
        <v>4897</v>
      </c>
      <c r="V116" s="43">
        <v>115</v>
      </c>
    </row>
    <row r="117" spans="1:22" ht="15.75">
      <c r="A117" s="13" t="str">
        <f>IFERROR(VLOOKUP($E:$E,scan!$A:$B,2,0),"**")</f>
        <v>**</v>
      </c>
      <c r="B117" s="13" t="str">
        <f>IFERROR(VLOOKUP($E117,scan!A:C,3,0),"**")</f>
        <v>**</v>
      </c>
      <c r="C117" s="79">
        <v>116</v>
      </c>
      <c r="E117" s="58"/>
      <c r="F117" s="78"/>
      <c r="G117" s="85" t="s">
        <v>4895</v>
      </c>
      <c r="H117" s="61">
        <v>0</v>
      </c>
      <c r="J117" s="43" t="e">
        <f>VLOOKUP(E117,Input!C:J,5,0)</f>
        <v>#N/A</v>
      </c>
      <c r="K117" s="43" t="e">
        <f>VLOOKUP(E117,Input!C:G,5,0)</f>
        <v>#N/A</v>
      </c>
      <c r="L117" s="82" t="str">
        <f>IFERROR(VLOOKUP($E:$E,Input!$C:$Q,12,0),"")</f>
        <v/>
      </c>
      <c r="M117" s="82" t="str">
        <f>IFERROR(VLOOKUP($E:$E,Input!$C:$Q,14,0),"")</f>
        <v/>
      </c>
      <c r="N117" s="82" t="str">
        <f>IFERROR(VLOOKUP($E:$E,Input!$C:$Q,15,0),"")</f>
        <v/>
      </c>
      <c r="P117" s="43" t="str">
        <f t="shared" si="3"/>
        <v>116,116,**</v>
      </c>
      <c r="Q117" s="43" t="s">
        <v>4896</v>
      </c>
      <c r="R117" s="43">
        <v>6042070338</v>
      </c>
      <c r="T117" s="90" t="s">
        <v>4897</v>
      </c>
      <c r="V117" s="43">
        <v>116</v>
      </c>
    </row>
    <row r="118" spans="1:22" ht="15.75">
      <c r="A118" s="13" t="str">
        <f>IFERROR(VLOOKUP($E:$E,scan!$A:$B,2,0),"**")</f>
        <v>**</v>
      </c>
      <c r="B118" s="13" t="str">
        <f>IFERROR(VLOOKUP($E118,scan!A:C,3,0),"**")</f>
        <v>**</v>
      </c>
      <c r="C118" s="79">
        <v>117</v>
      </c>
      <c r="E118" s="58"/>
      <c r="F118" s="78"/>
      <c r="G118" s="85" t="s">
        <v>4895</v>
      </c>
      <c r="H118" s="61">
        <v>0</v>
      </c>
      <c r="J118" s="43" t="e">
        <f>VLOOKUP(E118,Input!C:J,5,0)</f>
        <v>#N/A</v>
      </c>
      <c r="K118" s="43" t="e">
        <f>VLOOKUP(E118,Input!C:G,5,0)</f>
        <v>#N/A</v>
      </c>
      <c r="L118" s="82" t="str">
        <f>IFERROR(VLOOKUP($E:$E,Input!$C:$Q,12,0),"")</f>
        <v/>
      </c>
      <c r="M118" s="82" t="str">
        <f>IFERROR(VLOOKUP($E:$E,Input!$C:$Q,14,0),"")</f>
        <v/>
      </c>
      <c r="N118" s="82" t="str">
        <f>IFERROR(VLOOKUP($E:$E,Input!$C:$Q,15,0),"")</f>
        <v/>
      </c>
      <c r="P118" s="43" t="str">
        <f t="shared" si="3"/>
        <v>117,117,**</v>
      </c>
      <c r="Q118" s="43" t="s">
        <v>4896</v>
      </c>
      <c r="R118" s="43">
        <v>6042070338</v>
      </c>
      <c r="T118" s="90" t="s">
        <v>4897</v>
      </c>
      <c r="V118" s="43">
        <v>117</v>
      </c>
    </row>
    <row r="119" spans="1:22" ht="15.75">
      <c r="A119" s="13" t="str">
        <f>IFERROR(VLOOKUP($E:$E,scan!$A:$B,2,0),"**")</f>
        <v>**</v>
      </c>
      <c r="B119" s="13" t="str">
        <f>IFERROR(VLOOKUP($E119,scan!A:C,3,0),"**")</f>
        <v>**</v>
      </c>
      <c r="C119" s="79">
        <v>118</v>
      </c>
      <c r="E119" s="58"/>
      <c r="F119" s="78"/>
      <c r="G119" s="85" t="s">
        <v>4895</v>
      </c>
      <c r="H119" s="61">
        <v>0</v>
      </c>
      <c r="J119" s="43" t="e">
        <f>VLOOKUP(E119,Input!C:J,5,0)</f>
        <v>#N/A</v>
      </c>
      <c r="K119" s="43" t="e">
        <f>VLOOKUP(E119,Input!C:G,5,0)</f>
        <v>#N/A</v>
      </c>
      <c r="L119" s="82" t="str">
        <f>IFERROR(VLOOKUP($E:$E,Input!$C:$Q,12,0),"")</f>
        <v/>
      </c>
      <c r="M119" s="82" t="str">
        <f>IFERROR(VLOOKUP($E:$E,Input!$C:$Q,14,0),"")</f>
        <v/>
      </c>
      <c r="N119" s="82" t="str">
        <f>IFERROR(VLOOKUP($E:$E,Input!$C:$Q,15,0),"")</f>
        <v/>
      </c>
      <c r="P119" s="43" t="str">
        <f t="shared" si="3"/>
        <v>118,118,**</v>
      </c>
      <c r="Q119" s="43" t="s">
        <v>4896</v>
      </c>
      <c r="R119" s="43">
        <v>6042070338</v>
      </c>
      <c r="T119" s="90" t="s">
        <v>4897</v>
      </c>
      <c r="V119" s="43">
        <v>118</v>
      </c>
    </row>
    <row r="120" spans="1:22" ht="15.75">
      <c r="A120" s="13" t="str">
        <f>IFERROR(VLOOKUP($E:$E,scan!$A:$B,2,0),"**")</f>
        <v>**</v>
      </c>
      <c r="B120" s="13" t="str">
        <f>IFERROR(VLOOKUP($E120,scan!A:C,3,0),"**")</f>
        <v>**</v>
      </c>
      <c r="C120" s="79">
        <v>119</v>
      </c>
      <c r="E120" s="58"/>
      <c r="F120" s="78"/>
      <c r="G120" s="85" t="s">
        <v>4895</v>
      </c>
      <c r="H120" s="61">
        <v>0</v>
      </c>
      <c r="J120" s="43" t="e">
        <f>VLOOKUP(E120,Input!C:J,5,0)</f>
        <v>#N/A</v>
      </c>
      <c r="K120" s="43" t="e">
        <f>VLOOKUP(E120,Input!C:G,5,0)</f>
        <v>#N/A</v>
      </c>
      <c r="L120" s="82" t="str">
        <f>IFERROR(VLOOKUP($E:$E,Input!$C:$Q,12,0),"")</f>
        <v/>
      </c>
      <c r="M120" s="82" t="str">
        <f>IFERROR(VLOOKUP($E:$E,Input!$C:$Q,14,0),"")</f>
        <v/>
      </c>
      <c r="N120" s="82" t="str">
        <f>IFERROR(VLOOKUP($E:$E,Input!$C:$Q,15,0),"")</f>
        <v/>
      </c>
      <c r="P120" s="43" t="str">
        <f t="shared" si="3"/>
        <v>119,119,**</v>
      </c>
      <c r="Q120" s="43" t="s">
        <v>4896</v>
      </c>
      <c r="R120" s="43">
        <v>6042070338</v>
      </c>
      <c r="T120" s="90" t="s">
        <v>4897</v>
      </c>
      <c r="V120" s="43">
        <v>119</v>
      </c>
    </row>
    <row r="121" spans="1:22" ht="15.75">
      <c r="A121" s="13" t="str">
        <f>IFERROR(VLOOKUP($E:$E,scan!$A:$B,2,0),"**")</f>
        <v>**</v>
      </c>
      <c r="B121" s="13" t="str">
        <f>IFERROR(VLOOKUP($E121,scan!A:C,3,0),"**")</f>
        <v>**</v>
      </c>
      <c r="C121" s="79">
        <v>120</v>
      </c>
      <c r="E121" s="58"/>
      <c r="F121" s="78"/>
      <c r="G121" s="85" t="s">
        <v>4895</v>
      </c>
      <c r="H121" s="61">
        <v>0</v>
      </c>
      <c r="J121" s="43" t="e">
        <f>VLOOKUP(E121,Input!C:J,5,0)</f>
        <v>#N/A</v>
      </c>
      <c r="K121" s="43" t="e">
        <f>VLOOKUP(E121,Input!C:G,5,0)</f>
        <v>#N/A</v>
      </c>
      <c r="L121" s="82" t="str">
        <f>IFERROR(VLOOKUP($E:$E,Input!$C:$Q,12,0),"")</f>
        <v/>
      </c>
      <c r="M121" s="82" t="str">
        <f>IFERROR(VLOOKUP($E:$E,Input!$C:$Q,14,0),"")</f>
        <v/>
      </c>
      <c r="N121" s="82" t="str">
        <f>IFERROR(VLOOKUP($E:$E,Input!$C:$Q,15,0),"")</f>
        <v/>
      </c>
      <c r="P121" s="43" t="str">
        <f t="shared" si="3"/>
        <v>120,120,**</v>
      </c>
      <c r="Q121" s="43" t="s">
        <v>4896</v>
      </c>
      <c r="R121" s="43">
        <v>6042070338</v>
      </c>
      <c r="T121" s="90" t="s">
        <v>4897</v>
      </c>
      <c r="V121" s="43">
        <v>120</v>
      </c>
    </row>
    <row r="122" spans="1:22" ht="15.75">
      <c r="A122" s="13" t="str">
        <f>IFERROR(VLOOKUP($E:$E,scan!$A:$B,2,0),"**")</f>
        <v>**</v>
      </c>
      <c r="B122" s="13" t="str">
        <f>IFERROR(VLOOKUP($E122,scan!A:C,3,0),"**")</f>
        <v>**</v>
      </c>
      <c r="C122" s="79">
        <v>121</v>
      </c>
      <c r="E122" s="58"/>
      <c r="F122" s="78"/>
      <c r="G122" s="85" t="s">
        <v>4895</v>
      </c>
      <c r="H122" s="61">
        <v>0</v>
      </c>
      <c r="J122" s="43" t="e">
        <f>VLOOKUP(E122,Input!C:J,5,0)</f>
        <v>#N/A</v>
      </c>
      <c r="K122" s="43" t="e">
        <f>VLOOKUP(E122,Input!C:G,5,0)</f>
        <v>#N/A</v>
      </c>
      <c r="L122" s="82" t="str">
        <f>IFERROR(VLOOKUP($E:$E,Input!$C:$Q,12,0),"")</f>
        <v/>
      </c>
      <c r="M122" s="82" t="str">
        <f>IFERROR(VLOOKUP($E:$E,Input!$C:$Q,14,0),"")</f>
        <v/>
      </c>
      <c r="N122" s="82" t="str">
        <f>IFERROR(VLOOKUP($E:$E,Input!$C:$Q,15,0),"")</f>
        <v/>
      </c>
      <c r="P122" s="43" t="str">
        <f t="shared" si="3"/>
        <v>121,121,**</v>
      </c>
      <c r="Q122" s="43" t="s">
        <v>4896</v>
      </c>
      <c r="R122" s="43">
        <v>6042070338</v>
      </c>
      <c r="T122" s="90" t="s">
        <v>4897</v>
      </c>
      <c r="V122" s="43">
        <v>121</v>
      </c>
    </row>
    <row r="123" spans="1:22" ht="15.75">
      <c r="A123" s="13" t="str">
        <f>IFERROR(VLOOKUP($E:$E,scan!$A:$B,2,0),"**")</f>
        <v>**</v>
      </c>
      <c r="B123" s="13" t="str">
        <f>IFERROR(VLOOKUP($E123,scan!A:C,3,0),"**")</f>
        <v>**</v>
      </c>
      <c r="C123" s="79">
        <v>122</v>
      </c>
      <c r="E123" s="58"/>
      <c r="F123" s="78"/>
      <c r="G123" s="85" t="s">
        <v>4895</v>
      </c>
      <c r="H123" s="61">
        <v>0</v>
      </c>
      <c r="J123" s="43" t="e">
        <f>VLOOKUP(E123,Input!C:J,5,0)</f>
        <v>#N/A</v>
      </c>
      <c r="K123" s="43" t="e">
        <f>VLOOKUP(E123,Input!C:G,5,0)</f>
        <v>#N/A</v>
      </c>
      <c r="L123" s="82" t="str">
        <f>IFERROR(VLOOKUP($E:$E,Input!$C:$Q,12,0),"")</f>
        <v/>
      </c>
      <c r="M123" s="82" t="str">
        <f>IFERROR(VLOOKUP($E:$E,Input!$C:$Q,14,0),"")</f>
        <v/>
      </c>
      <c r="N123" s="82" t="str">
        <f>IFERROR(VLOOKUP($E:$E,Input!$C:$Q,15,0),"")</f>
        <v/>
      </c>
      <c r="P123" s="43" t="str">
        <f t="shared" si="3"/>
        <v>122,122,**</v>
      </c>
      <c r="Q123" s="43" t="s">
        <v>4896</v>
      </c>
      <c r="R123" s="43">
        <v>6042070338</v>
      </c>
      <c r="T123" s="90" t="s">
        <v>4897</v>
      </c>
      <c r="V123" s="43">
        <v>122</v>
      </c>
    </row>
    <row r="124" spans="1:22" ht="15.75">
      <c r="A124" s="13" t="str">
        <f>IFERROR(VLOOKUP($E:$E,scan!$A:$B,2,0),"**")</f>
        <v>**</v>
      </c>
      <c r="B124" s="13" t="str">
        <f>IFERROR(VLOOKUP($E124,scan!A:C,3,0),"**")</f>
        <v>**</v>
      </c>
      <c r="C124" s="79">
        <v>123</v>
      </c>
      <c r="E124" s="58"/>
      <c r="F124" s="78"/>
      <c r="G124" s="85" t="s">
        <v>4895</v>
      </c>
      <c r="H124" s="61">
        <v>0</v>
      </c>
      <c r="J124" s="43" t="e">
        <f>VLOOKUP(E124,Input!C:J,5,0)</f>
        <v>#N/A</v>
      </c>
      <c r="K124" s="43" t="e">
        <f>VLOOKUP(E124,Input!C:G,5,0)</f>
        <v>#N/A</v>
      </c>
      <c r="L124" s="82" t="str">
        <f>IFERROR(VLOOKUP($E:$E,Input!$C:$Q,12,0),"")</f>
        <v/>
      </c>
      <c r="M124" s="82" t="str">
        <f>IFERROR(VLOOKUP($E:$E,Input!$C:$Q,14,0),"")</f>
        <v/>
      </c>
      <c r="N124" s="82" t="str">
        <f>IFERROR(VLOOKUP($E:$E,Input!$C:$Q,15,0),"")</f>
        <v/>
      </c>
      <c r="P124" s="43" t="str">
        <f t="shared" si="3"/>
        <v>123,123,**</v>
      </c>
      <c r="Q124" s="43" t="s">
        <v>4896</v>
      </c>
      <c r="R124" s="43">
        <v>6042070338</v>
      </c>
      <c r="T124" s="90" t="s">
        <v>4897</v>
      </c>
      <c r="V124" s="43">
        <v>123</v>
      </c>
    </row>
    <row r="125" spans="1:22" ht="15.75">
      <c r="A125" s="13" t="str">
        <f>IFERROR(VLOOKUP($E:$E,scan!$A:$B,2,0),"**")</f>
        <v>**</v>
      </c>
      <c r="B125" s="13" t="str">
        <f>IFERROR(VLOOKUP($E125,scan!A:C,3,0),"**")</f>
        <v>**</v>
      </c>
      <c r="C125" s="79">
        <v>124</v>
      </c>
      <c r="E125" s="58"/>
      <c r="F125" s="78"/>
      <c r="G125" s="85" t="s">
        <v>4895</v>
      </c>
      <c r="H125" s="61">
        <v>0</v>
      </c>
      <c r="J125" s="43" t="e">
        <f>VLOOKUP(E125,Input!C:J,5,0)</f>
        <v>#N/A</v>
      </c>
      <c r="K125" s="43" t="e">
        <f>VLOOKUP(E125,Input!C:G,5,0)</f>
        <v>#N/A</v>
      </c>
      <c r="L125" s="82" t="str">
        <f>IFERROR(VLOOKUP($E:$E,Input!$C:$Q,12,0),"")</f>
        <v/>
      </c>
      <c r="M125" s="82" t="str">
        <f>IFERROR(VLOOKUP($E:$E,Input!$C:$Q,14,0),"")</f>
        <v/>
      </c>
      <c r="N125" s="82" t="str">
        <f>IFERROR(VLOOKUP($E:$E,Input!$C:$Q,15,0),"")</f>
        <v/>
      </c>
      <c r="P125" s="43" t="str">
        <f t="shared" si="3"/>
        <v>124,124,**</v>
      </c>
      <c r="Q125" s="43" t="s">
        <v>4896</v>
      </c>
      <c r="R125" s="43">
        <v>6042070338</v>
      </c>
      <c r="T125" s="90" t="s">
        <v>4897</v>
      </c>
      <c r="V125" s="43">
        <v>124</v>
      </c>
    </row>
    <row r="126" spans="1:22" ht="15.75">
      <c r="A126" s="13" t="str">
        <f>IFERROR(VLOOKUP($E:$E,scan!$A:$B,2,0),"**")</f>
        <v>**</v>
      </c>
      <c r="B126" s="13" t="str">
        <f>IFERROR(VLOOKUP($E126,scan!A:C,3,0),"**")</f>
        <v>**</v>
      </c>
      <c r="C126" s="79">
        <v>125</v>
      </c>
      <c r="E126" s="58"/>
      <c r="F126" s="78"/>
      <c r="G126" s="85" t="s">
        <v>4895</v>
      </c>
      <c r="H126" s="61">
        <v>0</v>
      </c>
      <c r="J126" s="43" t="e">
        <f>VLOOKUP(E126,Input!C:J,5,0)</f>
        <v>#N/A</v>
      </c>
      <c r="K126" s="43" t="e">
        <f>VLOOKUP(E126,Input!C:G,5,0)</f>
        <v>#N/A</v>
      </c>
      <c r="L126" s="82" t="str">
        <f>IFERROR(VLOOKUP($E:$E,Input!$C:$Q,12,0),"")</f>
        <v/>
      </c>
      <c r="M126" s="82" t="str">
        <f>IFERROR(VLOOKUP($E:$E,Input!$C:$Q,14,0),"")</f>
        <v/>
      </c>
      <c r="N126" s="82" t="str">
        <f>IFERROR(VLOOKUP($E:$E,Input!$C:$Q,15,0),"")</f>
        <v/>
      </c>
      <c r="P126" s="43" t="str">
        <f t="shared" si="3"/>
        <v>125,125,**</v>
      </c>
      <c r="Q126" s="43" t="s">
        <v>4896</v>
      </c>
      <c r="R126" s="43">
        <v>6042070338</v>
      </c>
      <c r="T126" s="90" t="s">
        <v>4897</v>
      </c>
      <c r="V126" s="43">
        <v>125</v>
      </c>
    </row>
    <row r="127" spans="1:22" ht="15.75">
      <c r="A127" s="13" t="str">
        <f>IFERROR(VLOOKUP($E:$E,scan!$A:$B,2,0),"**")</f>
        <v>**</v>
      </c>
      <c r="B127" s="13" t="str">
        <f>IFERROR(VLOOKUP($E127,scan!A:C,3,0),"**")</f>
        <v>**</v>
      </c>
      <c r="C127" s="79">
        <v>126</v>
      </c>
      <c r="E127" s="58"/>
      <c r="F127" s="78"/>
      <c r="G127" s="85" t="s">
        <v>4895</v>
      </c>
      <c r="H127" s="61">
        <v>0</v>
      </c>
      <c r="J127" s="43" t="e">
        <f>VLOOKUP(E127,Input!C:J,5,0)</f>
        <v>#N/A</v>
      </c>
      <c r="K127" s="43" t="e">
        <f>VLOOKUP(E127,Input!C:G,5,0)</f>
        <v>#N/A</v>
      </c>
      <c r="L127" s="82" t="str">
        <f>IFERROR(VLOOKUP($E:$E,Input!$C:$Q,12,0),"")</f>
        <v/>
      </c>
      <c r="M127" s="82" t="str">
        <f>IFERROR(VLOOKUP($E:$E,Input!$C:$Q,14,0),"")</f>
        <v/>
      </c>
      <c r="N127" s="82" t="str">
        <f>IFERROR(VLOOKUP($E:$E,Input!$C:$Q,15,0),"")</f>
        <v/>
      </c>
      <c r="P127" s="43" t="str">
        <f t="shared" si="3"/>
        <v>126,126,**</v>
      </c>
      <c r="Q127" s="43" t="s">
        <v>4896</v>
      </c>
      <c r="R127" s="43">
        <v>6042070338</v>
      </c>
      <c r="T127" s="90" t="s">
        <v>4897</v>
      </c>
      <c r="V127" s="43">
        <v>126</v>
      </c>
    </row>
    <row r="128" spans="1:22" ht="15.75">
      <c r="A128" s="13" t="str">
        <f>IFERROR(VLOOKUP($E:$E,scan!$A:$B,2,0),"**")</f>
        <v>**</v>
      </c>
      <c r="B128" s="13" t="str">
        <f>IFERROR(VLOOKUP($E128,scan!A:C,3,0),"**")</f>
        <v>**</v>
      </c>
      <c r="C128" s="79">
        <v>127</v>
      </c>
      <c r="E128" s="58"/>
      <c r="F128" s="78"/>
      <c r="G128" s="85" t="s">
        <v>4895</v>
      </c>
      <c r="H128" s="61">
        <v>0</v>
      </c>
      <c r="J128" s="43" t="e">
        <f>VLOOKUP(E128,Input!C:J,5,0)</f>
        <v>#N/A</v>
      </c>
      <c r="K128" s="43" t="e">
        <f>VLOOKUP(E128,Input!C:G,5,0)</f>
        <v>#N/A</v>
      </c>
      <c r="L128" s="82" t="str">
        <f>IFERROR(VLOOKUP($E:$E,Input!$C:$Q,12,0),"")</f>
        <v/>
      </c>
      <c r="M128" s="82" t="str">
        <f>IFERROR(VLOOKUP($E:$E,Input!$C:$Q,14,0),"")</f>
        <v/>
      </c>
      <c r="N128" s="82" t="str">
        <f>IFERROR(VLOOKUP($E:$E,Input!$C:$Q,15,0),"")</f>
        <v/>
      </c>
      <c r="P128" s="43" t="str">
        <f t="shared" si="3"/>
        <v>127,127,**</v>
      </c>
      <c r="Q128" s="43" t="s">
        <v>4896</v>
      </c>
      <c r="R128" s="43">
        <v>6042070338</v>
      </c>
      <c r="T128" s="90" t="s">
        <v>4897</v>
      </c>
      <c r="V128" s="43">
        <v>127</v>
      </c>
    </row>
    <row r="129" spans="1:22" ht="15.75">
      <c r="A129" s="13" t="str">
        <f>IFERROR(VLOOKUP($E:$E,scan!$A:$B,2,0),"**")</f>
        <v>**</v>
      </c>
      <c r="B129" s="13" t="str">
        <f>IFERROR(VLOOKUP($E129,scan!A:C,3,0),"**")</f>
        <v>**</v>
      </c>
      <c r="C129" s="79">
        <v>128</v>
      </c>
      <c r="E129" s="58"/>
      <c r="F129" s="78"/>
      <c r="G129" s="85" t="s">
        <v>4895</v>
      </c>
      <c r="H129" s="61">
        <v>0</v>
      </c>
      <c r="J129" s="43" t="e">
        <f>VLOOKUP(E129,Input!C:J,5,0)</f>
        <v>#N/A</v>
      </c>
      <c r="K129" s="43" t="e">
        <f>VLOOKUP(E129,Input!C:G,5,0)</f>
        <v>#N/A</v>
      </c>
      <c r="L129" s="82" t="str">
        <f>IFERROR(VLOOKUP($E:$E,Input!$C:$Q,12,0),"")</f>
        <v/>
      </c>
      <c r="M129" s="82" t="str">
        <f>IFERROR(VLOOKUP($E:$E,Input!$C:$Q,14,0),"")</f>
        <v/>
      </c>
      <c r="N129" s="82" t="str">
        <f>IFERROR(VLOOKUP($E:$E,Input!$C:$Q,15,0),"")</f>
        <v/>
      </c>
      <c r="P129" s="43" t="str">
        <f t="shared" si="3"/>
        <v>128,128,**</v>
      </c>
      <c r="Q129" s="43" t="s">
        <v>4896</v>
      </c>
      <c r="R129" s="43">
        <v>6042070338</v>
      </c>
      <c r="T129" s="90" t="s">
        <v>4897</v>
      </c>
      <c r="V129" s="43">
        <v>128</v>
      </c>
    </row>
    <row r="130" spans="1:22" ht="15.75">
      <c r="A130" s="13" t="str">
        <f>IFERROR(VLOOKUP($E:$E,scan!$A:$B,2,0),"**")</f>
        <v>**</v>
      </c>
      <c r="B130" s="13" t="str">
        <f>IFERROR(VLOOKUP($E130,scan!A:C,3,0),"**")</f>
        <v>**</v>
      </c>
      <c r="C130" s="79">
        <v>129</v>
      </c>
      <c r="E130" s="58"/>
      <c r="F130" s="78"/>
      <c r="G130" s="85" t="s">
        <v>4895</v>
      </c>
      <c r="H130" s="61">
        <v>0</v>
      </c>
      <c r="J130" s="43" t="e">
        <f>VLOOKUP(E130,Input!C:J,5,0)</f>
        <v>#N/A</v>
      </c>
      <c r="K130" s="43" t="e">
        <f>VLOOKUP(E130,Input!C:G,5,0)</f>
        <v>#N/A</v>
      </c>
      <c r="L130" s="82" t="str">
        <f>IFERROR(VLOOKUP($E:$E,Input!$C:$Q,12,0),"")</f>
        <v/>
      </c>
      <c r="M130" s="82" t="str">
        <f>IFERROR(VLOOKUP($E:$E,Input!$C:$Q,14,0),"")</f>
        <v/>
      </c>
      <c r="N130" s="82" t="str">
        <f>IFERROR(VLOOKUP($E:$E,Input!$C:$Q,15,0),"")</f>
        <v/>
      </c>
      <c r="P130" s="43" t="str">
        <f t="shared" si="3"/>
        <v>129,129,**</v>
      </c>
      <c r="Q130" s="43" t="s">
        <v>4896</v>
      </c>
      <c r="R130" s="43">
        <v>6042070338</v>
      </c>
      <c r="T130" s="90" t="s">
        <v>4897</v>
      </c>
      <c r="V130" s="43">
        <v>129</v>
      </c>
    </row>
    <row r="131" spans="1:22" ht="15.75">
      <c r="A131" s="13" t="str">
        <f>IFERROR(VLOOKUP($E:$E,scan!$A:$B,2,0),"**")</f>
        <v>**</v>
      </c>
      <c r="B131" s="13" t="str">
        <f>IFERROR(VLOOKUP($E131,scan!A:C,3,0),"**")</f>
        <v>**</v>
      </c>
      <c r="C131" s="79">
        <v>130</v>
      </c>
      <c r="E131" s="58"/>
      <c r="F131" s="78"/>
      <c r="G131" s="85" t="s">
        <v>4895</v>
      </c>
      <c r="H131" s="61">
        <v>0</v>
      </c>
      <c r="J131" s="43" t="e">
        <f>VLOOKUP(E131,Input!C:J,5,0)</f>
        <v>#N/A</v>
      </c>
      <c r="K131" s="43" t="e">
        <f>VLOOKUP(E131,Input!C:G,5,0)</f>
        <v>#N/A</v>
      </c>
      <c r="L131" s="82" t="str">
        <f>IFERROR(VLOOKUP($E:$E,Input!$C:$Q,12,0),"")</f>
        <v/>
      </c>
      <c r="M131" s="82" t="str">
        <f>IFERROR(VLOOKUP($E:$E,Input!$C:$Q,14,0),"")</f>
        <v/>
      </c>
      <c r="N131" s="82" t="str">
        <f>IFERROR(VLOOKUP($E:$E,Input!$C:$Q,15,0),"")</f>
        <v/>
      </c>
      <c r="P131" s="43" t="str">
        <f t="shared" si="3"/>
        <v>130,130,**</v>
      </c>
      <c r="Q131" s="43" t="s">
        <v>4896</v>
      </c>
      <c r="R131" s="43">
        <v>6042070338</v>
      </c>
      <c r="T131" s="90" t="s">
        <v>4897</v>
      </c>
      <c r="V131" s="43">
        <v>130</v>
      </c>
    </row>
    <row r="132" spans="1:22" ht="15.75">
      <c r="A132" s="13" t="str">
        <f>IFERROR(VLOOKUP($E:$E,scan!$A:$B,2,0),"**")</f>
        <v>**</v>
      </c>
      <c r="B132" s="13" t="str">
        <f>IFERROR(VLOOKUP($E132,scan!A:C,3,0),"**")</f>
        <v>**</v>
      </c>
      <c r="C132" s="79">
        <v>131</v>
      </c>
      <c r="E132" s="58"/>
      <c r="F132" s="78"/>
      <c r="G132" s="85" t="s">
        <v>4895</v>
      </c>
      <c r="H132" s="61">
        <v>0</v>
      </c>
      <c r="J132" s="43" t="e">
        <f>VLOOKUP(E132,Input!C:J,5,0)</f>
        <v>#N/A</v>
      </c>
      <c r="K132" s="43" t="e">
        <f>VLOOKUP(E132,Input!C:G,5,0)</f>
        <v>#N/A</v>
      </c>
      <c r="L132" s="82" t="str">
        <f>IFERROR(VLOOKUP($E:$E,Input!$C:$Q,12,0),"")</f>
        <v/>
      </c>
      <c r="M132" s="82" t="str">
        <f>IFERROR(VLOOKUP($E:$E,Input!$C:$Q,14,0),"")</f>
        <v/>
      </c>
      <c r="N132" s="82" t="str">
        <f>IFERROR(VLOOKUP($E:$E,Input!$C:$Q,15,0),"")</f>
        <v/>
      </c>
      <c r="P132" s="43" t="str">
        <f t="shared" si="3"/>
        <v>131,131,**</v>
      </c>
      <c r="Q132" s="43" t="s">
        <v>4896</v>
      </c>
      <c r="R132" s="43">
        <v>6042070338</v>
      </c>
      <c r="T132" s="90" t="s">
        <v>4897</v>
      </c>
      <c r="V132" s="43">
        <v>131</v>
      </c>
    </row>
    <row r="133" spans="1:22" ht="15.75">
      <c r="A133" s="13" t="str">
        <f>IFERROR(VLOOKUP($E:$E,scan!$A:$B,2,0),"**")</f>
        <v>**</v>
      </c>
      <c r="B133" s="13" t="str">
        <f>IFERROR(VLOOKUP($E133,scan!A:C,3,0),"**")</f>
        <v>**</v>
      </c>
      <c r="C133" s="79">
        <v>132</v>
      </c>
      <c r="E133" s="58"/>
      <c r="F133" s="78"/>
      <c r="G133" s="85" t="s">
        <v>4895</v>
      </c>
      <c r="H133" s="61">
        <v>0</v>
      </c>
      <c r="J133" s="43" t="e">
        <f>VLOOKUP(E133,Input!C:J,5,0)</f>
        <v>#N/A</v>
      </c>
      <c r="K133" s="43" t="e">
        <f>VLOOKUP(E133,Input!C:G,5,0)</f>
        <v>#N/A</v>
      </c>
      <c r="L133" s="82" t="str">
        <f>IFERROR(VLOOKUP($E:$E,Input!$C:$Q,12,0),"")</f>
        <v/>
      </c>
      <c r="M133" s="82" t="str">
        <f>IFERROR(VLOOKUP($E:$E,Input!$C:$Q,14,0),"")</f>
        <v/>
      </c>
      <c r="N133" s="82" t="str">
        <f>IFERROR(VLOOKUP($E:$E,Input!$C:$Q,15,0),"")</f>
        <v/>
      </c>
      <c r="P133" s="43" t="str">
        <f t="shared" si="3"/>
        <v>132,132,**</v>
      </c>
      <c r="Q133" s="43" t="s">
        <v>4896</v>
      </c>
      <c r="R133" s="43">
        <v>6042070338</v>
      </c>
      <c r="T133" s="90" t="s">
        <v>4897</v>
      </c>
      <c r="V133" s="43">
        <v>132</v>
      </c>
    </row>
    <row r="134" spans="1:22" ht="15.75">
      <c r="A134" s="13" t="str">
        <f>IFERROR(VLOOKUP($E:$E,scan!$A:$B,2,0),"**")</f>
        <v>**</v>
      </c>
      <c r="B134" s="13" t="str">
        <f>IFERROR(VLOOKUP($E134,scan!A:C,3,0),"**")</f>
        <v>**</v>
      </c>
      <c r="C134" s="79">
        <v>133</v>
      </c>
      <c r="E134" s="58"/>
      <c r="F134" s="78"/>
      <c r="G134" s="85" t="s">
        <v>4895</v>
      </c>
      <c r="H134" s="61">
        <v>0</v>
      </c>
      <c r="J134" s="43" t="e">
        <f>VLOOKUP(E134,Input!C:J,5,0)</f>
        <v>#N/A</v>
      </c>
      <c r="K134" s="43" t="e">
        <f>VLOOKUP(E134,Input!C:G,5,0)</f>
        <v>#N/A</v>
      </c>
      <c r="L134" s="82" t="str">
        <f>IFERROR(VLOOKUP($E:$E,Input!$C:$Q,12,0),"")</f>
        <v/>
      </c>
      <c r="M134" s="82" t="str">
        <f>IFERROR(VLOOKUP($E:$E,Input!$C:$Q,14,0),"")</f>
        <v/>
      </c>
      <c r="N134" s="82" t="str">
        <f>IFERROR(VLOOKUP($E:$E,Input!$C:$Q,15,0),"")</f>
        <v/>
      </c>
      <c r="P134" s="43" t="str">
        <f t="shared" si="3"/>
        <v>133,133,**</v>
      </c>
      <c r="Q134" s="43" t="s">
        <v>4896</v>
      </c>
      <c r="R134" s="43">
        <v>6042070338</v>
      </c>
      <c r="T134" s="90" t="s">
        <v>4897</v>
      </c>
      <c r="V134" s="43">
        <v>133</v>
      </c>
    </row>
    <row r="135" spans="1:22" ht="15.75">
      <c r="A135" s="13" t="str">
        <f>IFERROR(VLOOKUP($E:$E,scan!$A:$B,2,0),"**")</f>
        <v>**</v>
      </c>
      <c r="B135" s="13" t="str">
        <f>IFERROR(VLOOKUP($E135,scan!A:C,3,0),"**")</f>
        <v>**</v>
      </c>
      <c r="C135" s="79">
        <v>134</v>
      </c>
      <c r="E135" s="58"/>
      <c r="F135" s="78"/>
      <c r="G135" s="85" t="s">
        <v>4895</v>
      </c>
      <c r="H135" s="61">
        <v>0</v>
      </c>
      <c r="J135" s="43" t="e">
        <f>VLOOKUP(E135,Input!C:J,5,0)</f>
        <v>#N/A</v>
      </c>
      <c r="K135" s="43" t="e">
        <f>VLOOKUP(E135,Input!C:G,5,0)</f>
        <v>#N/A</v>
      </c>
      <c r="L135" s="82" t="str">
        <f>IFERROR(VLOOKUP($E:$E,Input!$C:$Q,12,0),"")</f>
        <v/>
      </c>
      <c r="M135" s="82" t="str">
        <f>IFERROR(VLOOKUP($E:$E,Input!$C:$Q,14,0),"")</f>
        <v/>
      </c>
      <c r="N135" s="82" t="str">
        <f>IFERROR(VLOOKUP($E:$E,Input!$C:$Q,15,0),"")</f>
        <v/>
      </c>
      <c r="P135" s="43" t="str">
        <f t="shared" ref="P135:P166" si="4">V135&amp;","&amp;C135&amp;","&amp;B135</f>
        <v>134,134,**</v>
      </c>
      <c r="Q135" s="43" t="s">
        <v>4896</v>
      </c>
      <c r="R135" s="43">
        <v>6042070338</v>
      </c>
      <c r="T135" s="90" t="s">
        <v>4897</v>
      </c>
      <c r="V135" s="43">
        <v>134</v>
      </c>
    </row>
    <row r="136" spans="1:22" ht="15.75">
      <c r="A136" s="13" t="str">
        <f>IFERROR(VLOOKUP($E:$E,scan!$A:$B,2,0),"**")</f>
        <v>**</v>
      </c>
      <c r="B136" s="13" t="str">
        <f>IFERROR(VLOOKUP($E136,scan!A:C,3,0),"**")</f>
        <v>**</v>
      </c>
      <c r="C136" s="79">
        <v>135</v>
      </c>
      <c r="E136" s="58"/>
      <c r="F136" s="78"/>
      <c r="G136" s="85" t="s">
        <v>4895</v>
      </c>
      <c r="H136" s="61">
        <v>0</v>
      </c>
      <c r="J136" s="43" t="e">
        <f>VLOOKUP(E136,Input!C:J,5,0)</f>
        <v>#N/A</v>
      </c>
      <c r="K136" s="43" t="e">
        <f>VLOOKUP(E136,Input!C:G,5,0)</f>
        <v>#N/A</v>
      </c>
      <c r="L136" s="82" t="str">
        <f>IFERROR(VLOOKUP($E:$E,Input!$C:$Q,12,0),"")</f>
        <v/>
      </c>
      <c r="M136" s="82" t="str">
        <f>IFERROR(VLOOKUP($E:$E,Input!$C:$Q,14,0),"")</f>
        <v/>
      </c>
      <c r="N136" s="82" t="str">
        <f>IFERROR(VLOOKUP($E:$E,Input!$C:$Q,15,0),"")</f>
        <v/>
      </c>
      <c r="P136" s="43" t="str">
        <f t="shared" si="4"/>
        <v>135,135,**</v>
      </c>
      <c r="Q136" s="43" t="s">
        <v>4896</v>
      </c>
      <c r="R136" s="43">
        <v>6042070338</v>
      </c>
      <c r="T136" s="90" t="s">
        <v>4897</v>
      </c>
      <c r="V136" s="43">
        <v>135</v>
      </c>
    </row>
    <row r="137" spans="1:22" ht="15.75">
      <c r="A137" s="13" t="str">
        <f>IFERROR(VLOOKUP($E:$E,scan!$A:$B,2,0),"**")</f>
        <v>**</v>
      </c>
      <c r="B137" s="13" t="str">
        <f>IFERROR(VLOOKUP($E137,scan!A:C,3,0),"**")</f>
        <v>**</v>
      </c>
      <c r="C137" s="79">
        <v>136</v>
      </c>
      <c r="E137" s="58"/>
      <c r="F137" s="78"/>
      <c r="G137" s="85" t="s">
        <v>4895</v>
      </c>
      <c r="H137" s="61">
        <v>0</v>
      </c>
      <c r="J137" s="43" t="e">
        <f>VLOOKUP(E137,Input!C:J,5,0)</f>
        <v>#N/A</v>
      </c>
      <c r="K137" s="43" t="e">
        <f>VLOOKUP(E137,Input!C:G,5,0)</f>
        <v>#N/A</v>
      </c>
      <c r="L137" s="82" t="str">
        <f>IFERROR(VLOOKUP($E:$E,Input!$C:$Q,12,0),"")</f>
        <v/>
      </c>
      <c r="M137" s="82" t="str">
        <f>IFERROR(VLOOKUP($E:$E,Input!$C:$Q,14,0),"")</f>
        <v/>
      </c>
      <c r="N137" s="82" t="str">
        <f>IFERROR(VLOOKUP($E:$E,Input!$C:$Q,15,0),"")</f>
        <v/>
      </c>
      <c r="P137" s="43" t="str">
        <f t="shared" si="4"/>
        <v>136,136,**</v>
      </c>
      <c r="Q137" s="43" t="s">
        <v>4896</v>
      </c>
      <c r="R137" s="43">
        <v>6042070338</v>
      </c>
      <c r="T137" s="90" t="s">
        <v>4897</v>
      </c>
      <c r="V137" s="43">
        <v>136</v>
      </c>
    </row>
    <row r="138" spans="1:22" ht="15.75">
      <c r="A138" s="13" t="str">
        <f>IFERROR(VLOOKUP($E:$E,scan!$A:$B,2,0),"**")</f>
        <v>**</v>
      </c>
      <c r="B138" s="13" t="str">
        <f>IFERROR(VLOOKUP($E138,scan!A:C,3,0),"**")</f>
        <v>**</v>
      </c>
      <c r="C138" s="79">
        <v>137</v>
      </c>
      <c r="E138" s="58"/>
      <c r="F138" s="78"/>
      <c r="G138" s="85" t="s">
        <v>4895</v>
      </c>
      <c r="H138" s="61">
        <v>0</v>
      </c>
      <c r="J138" s="43" t="e">
        <f>VLOOKUP(E138,Input!C:J,5,0)</f>
        <v>#N/A</v>
      </c>
      <c r="K138" s="43" t="e">
        <f>VLOOKUP(E138,Input!C:G,5,0)</f>
        <v>#N/A</v>
      </c>
      <c r="L138" s="82" t="str">
        <f>IFERROR(VLOOKUP($E:$E,Input!$C:$Q,12,0),"")</f>
        <v/>
      </c>
      <c r="M138" s="82" t="str">
        <f>IFERROR(VLOOKUP($E:$E,Input!$C:$Q,14,0),"")</f>
        <v/>
      </c>
      <c r="N138" s="82" t="str">
        <f>IFERROR(VLOOKUP($E:$E,Input!$C:$Q,15,0),"")</f>
        <v/>
      </c>
      <c r="P138" s="43" t="str">
        <f t="shared" si="4"/>
        <v>137,137,**</v>
      </c>
      <c r="Q138" s="43" t="s">
        <v>4896</v>
      </c>
      <c r="R138" s="43">
        <v>6042070338</v>
      </c>
      <c r="T138" s="90" t="s">
        <v>4897</v>
      </c>
      <c r="V138" s="43">
        <v>137</v>
      </c>
    </row>
    <row r="139" spans="1:22" ht="15.75">
      <c r="A139" s="13" t="str">
        <f>IFERROR(VLOOKUP($E:$E,scan!$A:$B,2,0),"**")</f>
        <v>**</v>
      </c>
      <c r="B139" s="13" t="str">
        <f>IFERROR(VLOOKUP($E139,scan!A:C,3,0),"**")</f>
        <v>**</v>
      </c>
      <c r="C139" s="79">
        <v>138</v>
      </c>
      <c r="E139" s="58"/>
      <c r="F139" s="78"/>
      <c r="G139" s="85" t="s">
        <v>4895</v>
      </c>
      <c r="H139" s="61">
        <v>0</v>
      </c>
      <c r="J139" s="43" t="e">
        <f>VLOOKUP(E139,Input!C:J,5,0)</f>
        <v>#N/A</v>
      </c>
      <c r="K139" s="43" t="e">
        <f>VLOOKUP(E139,Input!C:G,5,0)</f>
        <v>#N/A</v>
      </c>
      <c r="L139" s="82" t="str">
        <f>IFERROR(VLOOKUP($E:$E,Input!$C:$Q,12,0),"")</f>
        <v/>
      </c>
      <c r="M139" s="82" t="str">
        <f>IFERROR(VLOOKUP($E:$E,Input!$C:$Q,14,0),"")</f>
        <v/>
      </c>
      <c r="N139" s="82" t="str">
        <f>IFERROR(VLOOKUP($E:$E,Input!$C:$Q,15,0),"")</f>
        <v/>
      </c>
      <c r="P139" s="43" t="str">
        <f t="shared" si="4"/>
        <v>138,138,**</v>
      </c>
      <c r="Q139" s="43" t="s">
        <v>4896</v>
      </c>
      <c r="R139" s="43">
        <v>6042070338</v>
      </c>
      <c r="T139" s="90" t="s">
        <v>4897</v>
      </c>
      <c r="V139" s="43">
        <v>138</v>
      </c>
    </row>
    <row r="140" spans="1:22" ht="15.75">
      <c r="A140" s="13" t="str">
        <f>IFERROR(VLOOKUP($E:$E,scan!$A:$B,2,0),"**")</f>
        <v>**</v>
      </c>
      <c r="B140" s="13" t="str">
        <f>IFERROR(VLOOKUP($E140,scan!A:C,3,0),"**")</f>
        <v>**</v>
      </c>
      <c r="C140" s="79">
        <v>139</v>
      </c>
      <c r="E140" s="58"/>
      <c r="F140" s="78"/>
      <c r="G140" s="85" t="s">
        <v>4895</v>
      </c>
      <c r="H140" s="61">
        <v>0</v>
      </c>
      <c r="J140" s="43" t="e">
        <f>VLOOKUP(E140,Input!C:J,5,0)</f>
        <v>#N/A</v>
      </c>
      <c r="K140" s="43" t="e">
        <f>VLOOKUP(E140,Input!C:G,5,0)</f>
        <v>#N/A</v>
      </c>
      <c r="L140" s="82" t="str">
        <f>IFERROR(VLOOKUP($E:$E,Input!$C:$Q,12,0),"")</f>
        <v/>
      </c>
      <c r="M140" s="82" t="str">
        <f>IFERROR(VLOOKUP($E:$E,Input!$C:$Q,14,0),"")</f>
        <v/>
      </c>
      <c r="N140" s="82" t="str">
        <f>IFERROR(VLOOKUP($E:$E,Input!$C:$Q,15,0),"")</f>
        <v/>
      </c>
      <c r="P140" s="43" t="str">
        <f t="shared" si="4"/>
        <v>139,139,**</v>
      </c>
      <c r="Q140" s="43" t="s">
        <v>4896</v>
      </c>
      <c r="R140" s="43">
        <v>6042070338</v>
      </c>
      <c r="T140" s="90" t="s">
        <v>4897</v>
      </c>
      <c r="V140" s="43">
        <v>139</v>
      </c>
    </row>
    <row r="141" spans="1:22" ht="15.75">
      <c r="A141" s="13" t="str">
        <f>IFERROR(VLOOKUP($E:$E,scan!$A:$B,2,0),"**")</f>
        <v>**</v>
      </c>
      <c r="B141" s="13" t="str">
        <f>IFERROR(VLOOKUP($E141,scan!A:C,3,0),"**")</f>
        <v>**</v>
      </c>
      <c r="C141" s="79">
        <v>140</v>
      </c>
      <c r="E141" s="58"/>
      <c r="F141" s="78"/>
      <c r="G141" s="85" t="s">
        <v>4895</v>
      </c>
      <c r="H141" s="61">
        <v>0</v>
      </c>
      <c r="J141" s="43" t="e">
        <f>VLOOKUP(E141,Input!C:J,5,0)</f>
        <v>#N/A</v>
      </c>
      <c r="K141" s="43" t="e">
        <f>VLOOKUP(E141,Input!C:G,5,0)</f>
        <v>#N/A</v>
      </c>
      <c r="L141" s="82" t="str">
        <f>IFERROR(VLOOKUP($E:$E,Input!$C:$Q,12,0),"")</f>
        <v/>
      </c>
      <c r="M141" s="82" t="str">
        <f>IFERROR(VLOOKUP($E:$E,Input!$C:$Q,14,0),"")</f>
        <v/>
      </c>
      <c r="N141" s="82" t="str">
        <f>IFERROR(VLOOKUP($E:$E,Input!$C:$Q,15,0),"")</f>
        <v/>
      </c>
      <c r="P141" s="43" t="str">
        <f t="shared" si="4"/>
        <v>140,140,**</v>
      </c>
      <c r="Q141" s="43" t="s">
        <v>4896</v>
      </c>
      <c r="R141" s="43">
        <v>6042070338</v>
      </c>
      <c r="T141" s="90" t="s">
        <v>4897</v>
      </c>
      <c r="V141" s="43">
        <v>140</v>
      </c>
    </row>
    <row r="142" spans="1:22" ht="15.75">
      <c r="A142" s="13" t="str">
        <f>IFERROR(VLOOKUP($E:$E,scan!$A:$B,2,0),"**")</f>
        <v>**</v>
      </c>
      <c r="B142" s="13" t="str">
        <f>IFERROR(VLOOKUP($E142,scan!A:C,3,0),"**")</f>
        <v>**</v>
      </c>
      <c r="C142" s="79">
        <v>141</v>
      </c>
      <c r="E142" s="58"/>
      <c r="F142" s="78"/>
      <c r="G142" s="85" t="s">
        <v>4895</v>
      </c>
      <c r="H142" s="61">
        <v>0</v>
      </c>
      <c r="J142" s="43" t="e">
        <f>VLOOKUP(E142,Input!C:J,5,0)</f>
        <v>#N/A</v>
      </c>
      <c r="K142" s="43" t="e">
        <f>VLOOKUP(E142,Input!C:G,5,0)</f>
        <v>#N/A</v>
      </c>
      <c r="L142" s="82" t="str">
        <f>IFERROR(VLOOKUP($E:$E,Input!$C:$Q,12,0),"")</f>
        <v/>
      </c>
      <c r="M142" s="82" t="str">
        <f>IFERROR(VLOOKUP($E:$E,Input!$C:$Q,14,0),"")</f>
        <v/>
      </c>
      <c r="N142" s="82" t="str">
        <f>IFERROR(VLOOKUP($E:$E,Input!$C:$Q,15,0),"")</f>
        <v/>
      </c>
      <c r="P142" s="43" t="str">
        <f t="shared" si="4"/>
        <v>141,141,**</v>
      </c>
      <c r="Q142" s="43" t="s">
        <v>4896</v>
      </c>
      <c r="R142" s="43">
        <v>6042070338</v>
      </c>
      <c r="T142" s="90" t="s">
        <v>4897</v>
      </c>
      <c r="V142" s="43">
        <v>141</v>
      </c>
    </row>
    <row r="143" spans="1:22" ht="15.75">
      <c r="A143" s="13" t="str">
        <f>IFERROR(VLOOKUP($E:$E,scan!$A:$B,2,0),"**")</f>
        <v>**</v>
      </c>
      <c r="B143" s="13" t="str">
        <f>IFERROR(VLOOKUP($E143,scan!A:C,3,0),"**")</f>
        <v>**</v>
      </c>
      <c r="C143" s="79">
        <v>142</v>
      </c>
      <c r="E143" s="58"/>
      <c r="F143" s="78"/>
      <c r="G143" s="85" t="s">
        <v>4895</v>
      </c>
      <c r="H143" s="61">
        <v>0</v>
      </c>
      <c r="J143" s="43" t="e">
        <f>VLOOKUP(E143,Input!C:J,5,0)</f>
        <v>#N/A</v>
      </c>
      <c r="K143" s="43" t="e">
        <f>VLOOKUP(E143,Input!C:G,5,0)</f>
        <v>#N/A</v>
      </c>
      <c r="L143" s="82" t="str">
        <f>IFERROR(VLOOKUP($E:$E,Input!$C:$Q,12,0),"")</f>
        <v/>
      </c>
      <c r="M143" s="82" t="str">
        <f>IFERROR(VLOOKUP($E:$E,Input!$C:$Q,14,0),"")</f>
        <v/>
      </c>
      <c r="N143" s="82" t="str">
        <f>IFERROR(VLOOKUP($E:$E,Input!$C:$Q,15,0),"")</f>
        <v/>
      </c>
      <c r="P143" s="43" t="str">
        <f t="shared" si="4"/>
        <v>142,142,**</v>
      </c>
      <c r="Q143" s="43" t="s">
        <v>4896</v>
      </c>
      <c r="R143" s="43">
        <v>6042070338</v>
      </c>
      <c r="T143" s="90" t="s">
        <v>4897</v>
      </c>
      <c r="V143" s="43">
        <v>142</v>
      </c>
    </row>
    <row r="144" spans="1:22" ht="15.75">
      <c r="A144" s="13" t="str">
        <f>IFERROR(VLOOKUP($E:$E,scan!$A:$B,2,0),"**")</f>
        <v>**</v>
      </c>
      <c r="B144" s="13" t="str">
        <f>IFERROR(VLOOKUP($E144,scan!A:C,3,0),"**")</f>
        <v>**</v>
      </c>
      <c r="C144" s="79">
        <v>143</v>
      </c>
      <c r="E144" s="58"/>
      <c r="F144" s="78"/>
      <c r="G144" s="85" t="s">
        <v>4895</v>
      </c>
      <c r="H144" s="61">
        <v>0</v>
      </c>
      <c r="J144" s="43" t="e">
        <f>VLOOKUP(E144,Input!C:J,5,0)</f>
        <v>#N/A</v>
      </c>
      <c r="K144" s="43" t="e">
        <f>VLOOKUP(E144,Input!C:G,5,0)</f>
        <v>#N/A</v>
      </c>
      <c r="L144" s="82" t="str">
        <f>IFERROR(VLOOKUP($E:$E,Input!$C:$Q,12,0),"")</f>
        <v/>
      </c>
      <c r="M144" s="82" t="str">
        <f>IFERROR(VLOOKUP($E:$E,Input!$C:$Q,14,0),"")</f>
        <v/>
      </c>
      <c r="N144" s="82" t="str">
        <f>IFERROR(VLOOKUP($E:$E,Input!$C:$Q,15,0),"")</f>
        <v/>
      </c>
      <c r="P144" s="43" t="str">
        <f t="shared" si="4"/>
        <v>143,143,**</v>
      </c>
      <c r="Q144" s="43" t="s">
        <v>4896</v>
      </c>
      <c r="R144" s="43">
        <v>6042070338</v>
      </c>
      <c r="T144" s="90" t="s">
        <v>4897</v>
      </c>
      <c r="V144" s="43">
        <v>143</v>
      </c>
    </row>
    <row r="145" spans="1:22" ht="15.75">
      <c r="A145" s="13" t="str">
        <f>IFERROR(VLOOKUP($E:$E,scan!$A:$B,2,0),"**")</f>
        <v>**</v>
      </c>
      <c r="B145" s="13" t="str">
        <f>IFERROR(VLOOKUP($E145,scan!A:C,3,0),"**")</f>
        <v>**</v>
      </c>
      <c r="C145" s="79">
        <v>144</v>
      </c>
      <c r="E145" s="58"/>
      <c r="F145" s="78"/>
      <c r="G145" s="85" t="s">
        <v>4895</v>
      </c>
      <c r="H145" s="61">
        <v>0</v>
      </c>
      <c r="J145" s="43" t="e">
        <f>VLOOKUP(E145,Input!C:J,5,0)</f>
        <v>#N/A</v>
      </c>
      <c r="K145" s="43" t="e">
        <f>VLOOKUP(E145,Input!C:G,5,0)</f>
        <v>#N/A</v>
      </c>
      <c r="L145" s="82" t="str">
        <f>IFERROR(VLOOKUP($E:$E,Input!$C:$Q,12,0),"")</f>
        <v/>
      </c>
      <c r="M145" s="82" t="str">
        <f>IFERROR(VLOOKUP($E:$E,Input!$C:$Q,14,0),"")</f>
        <v/>
      </c>
      <c r="N145" s="82" t="str">
        <f>IFERROR(VLOOKUP($E:$E,Input!$C:$Q,15,0),"")</f>
        <v/>
      </c>
      <c r="P145" s="43" t="str">
        <f t="shared" si="4"/>
        <v>144,144,**</v>
      </c>
      <c r="Q145" s="43" t="s">
        <v>4896</v>
      </c>
      <c r="R145" s="43">
        <v>6042070338</v>
      </c>
      <c r="T145" s="90" t="s">
        <v>4897</v>
      </c>
      <c r="V145" s="43">
        <v>144</v>
      </c>
    </row>
    <row r="146" spans="1:22" ht="15.75">
      <c r="A146" s="13" t="str">
        <f>IFERROR(VLOOKUP($E:$E,scan!$A:$B,2,0),"**")</f>
        <v>**</v>
      </c>
      <c r="B146" s="13" t="str">
        <f>IFERROR(VLOOKUP($E146,scan!A:C,3,0),"**")</f>
        <v>**</v>
      </c>
      <c r="C146" s="79">
        <v>145</v>
      </c>
      <c r="E146" s="58"/>
      <c r="F146" s="78"/>
      <c r="G146" s="85" t="s">
        <v>4895</v>
      </c>
      <c r="H146" s="61">
        <v>0</v>
      </c>
      <c r="J146" s="43" t="e">
        <f>VLOOKUP(E146,Input!C:J,5,0)</f>
        <v>#N/A</v>
      </c>
      <c r="K146" s="43" t="e">
        <f>VLOOKUP(E146,Input!C:G,5,0)</f>
        <v>#N/A</v>
      </c>
      <c r="L146" s="82" t="str">
        <f>IFERROR(VLOOKUP($E:$E,Input!$C:$Q,12,0),"")</f>
        <v/>
      </c>
      <c r="M146" s="82" t="str">
        <f>IFERROR(VLOOKUP($E:$E,Input!$C:$Q,14,0),"")</f>
        <v/>
      </c>
      <c r="N146" s="82" t="str">
        <f>IFERROR(VLOOKUP($E:$E,Input!$C:$Q,15,0),"")</f>
        <v/>
      </c>
      <c r="P146" s="43" t="str">
        <f t="shared" si="4"/>
        <v>145,145,**</v>
      </c>
      <c r="Q146" s="43" t="s">
        <v>4896</v>
      </c>
      <c r="R146" s="43">
        <v>6042070338</v>
      </c>
      <c r="T146" s="90" t="s">
        <v>4897</v>
      </c>
      <c r="V146" s="43">
        <v>145</v>
      </c>
    </row>
    <row r="147" spans="1:22" ht="15.75">
      <c r="A147" s="13" t="str">
        <f>IFERROR(VLOOKUP($E:$E,scan!$A:$B,2,0),"**")</f>
        <v>**</v>
      </c>
      <c r="B147" s="13" t="str">
        <f>IFERROR(VLOOKUP($E147,scan!A:C,3,0),"**")</f>
        <v>**</v>
      </c>
      <c r="C147" s="79">
        <v>146</v>
      </c>
      <c r="E147" s="58"/>
      <c r="F147" s="78"/>
      <c r="G147" s="85" t="s">
        <v>4895</v>
      </c>
      <c r="H147" s="61">
        <v>0</v>
      </c>
      <c r="J147" s="43" t="e">
        <f>VLOOKUP(E147,Input!C:J,5,0)</f>
        <v>#N/A</v>
      </c>
      <c r="K147" s="43" t="e">
        <f>VLOOKUP(E147,Input!C:G,5,0)</f>
        <v>#N/A</v>
      </c>
      <c r="L147" s="82" t="str">
        <f>IFERROR(VLOOKUP($E:$E,Input!$C:$Q,12,0),"")</f>
        <v/>
      </c>
      <c r="M147" s="82" t="str">
        <f>IFERROR(VLOOKUP($E:$E,Input!$C:$Q,14,0),"")</f>
        <v/>
      </c>
      <c r="N147" s="82" t="str">
        <f>IFERROR(VLOOKUP($E:$E,Input!$C:$Q,15,0),"")</f>
        <v/>
      </c>
      <c r="P147" s="43" t="str">
        <f t="shared" si="4"/>
        <v>146,146,**</v>
      </c>
      <c r="Q147" s="43" t="s">
        <v>4896</v>
      </c>
      <c r="R147" s="43">
        <v>6042070338</v>
      </c>
      <c r="T147" s="90" t="s">
        <v>4897</v>
      </c>
      <c r="V147" s="43">
        <v>146</v>
      </c>
    </row>
    <row r="148" spans="1:22" ht="15.75">
      <c r="A148" s="13" t="str">
        <f>IFERROR(VLOOKUP($E:$E,scan!$A:$B,2,0),"**")</f>
        <v>**</v>
      </c>
      <c r="B148" s="13" t="str">
        <f>IFERROR(VLOOKUP($E148,scan!A:C,3,0),"**")</f>
        <v>**</v>
      </c>
      <c r="C148" s="79">
        <v>147</v>
      </c>
      <c r="E148" s="58"/>
      <c r="F148" s="78"/>
      <c r="G148" s="85" t="s">
        <v>4895</v>
      </c>
      <c r="H148" s="61">
        <v>0</v>
      </c>
      <c r="J148" s="43" t="e">
        <f>VLOOKUP(E148,Input!C:J,5,0)</f>
        <v>#N/A</v>
      </c>
      <c r="K148" s="43" t="e">
        <f>VLOOKUP(E148,Input!C:G,5,0)</f>
        <v>#N/A</v>
      </c>
      <c r="L148" s="82" t="str">
        <f>IFERROR(VLOOKUP($E:$E,Input!$C:$Q,12,0),"")</f>
        <v/>
      </c>
      <c r="M148" s="82" t="str">
        <f>IFERROR(VLOOKUP($E:$E,Input!$C:$Q,14,0),"")</f>
        <v/>
      </c>
      <c r="N148" s="82" t="str">
        <f>IFERROR(VLOOKUP($E:$E,Input!$C:$Q,15,0),"")</f>
        <v/>
      </c>
      <c r="P148" s="43" t="str">
        <f t="shared" si="4"/>
        <v>147,147,**</v>
      </c>
      <c r="Q148" s="43" t="s">
        <v>4896</v>
      </c>
      <c r="R148" s="43">
        <v>6042070338</v>
      </c>
      <c r="T148" s="90" t="s">
        <v>4897</v>
      </c>
      <c r="V148" s="43">
        <v>147</v>
      </c>
    </row>
    <row r="149" spans="1:22" ht="15.75">
      <c r="A149" s="13" t="str">
        <f>IFERROR(VLOOKUP($E:$E,scan!$A:$B,2,0),"**")</f>
        <v>**</v>
      </c>
      <c r="B149" s="13" t="str">
        <f>IFERROR(VLOOKUP($E149,scan!A:C,3,0),"**")</f>
        <v>**</v>
      </c>
      <c r="C149" s="79">
        <v>148</v>
      </c>
      <c r="E149" s="58"/>
      <c r="F149" s="78"/>
      <c r="G149" s="85" t="s">
        <v>4895</v>
      </c>
      <c r="H149" s="61">
        <v>0</v>
      </c>
      <c r="J149" s="43" t="e">
        <f>VLOOKUP(E149,Input!C:J,5,0)</f>
        <v>#N/A</v>
      </c>
      <c r="K149" s="43" t="e">
        <f>VLOOKUP(E149,Input!C:G,5,0)</f>
        <v>#N/A</v>
      </c>
      <c r="L149" s="82" t="str">
        <f>IFERROR(VLOOKUP($E:$E,Input!$C:$Q,12,0),"")</f>
        <v/>
      </c>
      <c r="M149" s="82" t="str">
        <f>IFERROR(VLOOKUP($E:$E,Input!$C:$Q,14,0),"")</f>
        <v/>
      </c>
      <c r="N149" s="82" t="str">
        <f>IFERROR(VLOOKUP($E:$E,Input!$C:$Q,15,0),"")</f>
        <v/>
      </c>
      <c r="P149" s="43" t="str">
        <f t="shared" si="4"/>
        <v>148,148,**</v>
      </c>
      <c r="Q149" s="43" t="s">
        <v>4896</v>
      </c>
      <c r="R149" s="43">
        <v>6042070338</v>
      </c>
      <c r="T149" s="90" t="s">
        <v>4897</v>
      </c>
      <c r="V149" s="43">
        <v>148</v>
      </c>
    </row>
    <row r="150" spans="1:22" ht="15.75">
      <c r="A150" s="13" t="str">
        <f>IFERROR(VLOOKUP($E:$E,scan!$A:$B,2,0),"**")</f>
        <v>**</v>
      </c>
      <c r="B150" s="13" t="str">
        <f>IFERROR(VLOOKUP($E150,scan!A:C,3,0),"**")</f>
        <v>**</v>
      </c>
      <c r="C150" s="79">
        <v>149</v>
      </c>
      <c r="E150" s="58"/>
      <c r="F150" s="78"/>
      <c r="G150" s="85" t="s">
        <v>4895</v>
      </c>
      <c r="H150" s="61">
        <v>0</v>
      </c>
      <c r="J150" s="43" t="e">
        <f>VLOOKUP(E150,Input!C:J,5,0)</f>
        <v>#N/A</v>
      </c>
      <c r="K150" s="43" t="e">
        <f>VLOOKUP(E150,Input!C:G,5,0)</f>
        <v>#N/A</v>
      </c>
      <c r="L150" s="82" t="str">
        <f>IFERROR(VLOOKUP($E:$E,Input!$C:$Q,12,0),"")</f>
        <v/>
      </c>
      <c r="M150" s="82" t="str">
        <f>IFERROR(VLOOKUP($E:$E,Input!$C:$Q,14,0),"")</f>
        <v/>
      </c>
      <c r="N150" s="82" t="str">
        <f>IFERROR(VLOOKUP($E:$E,Input!$C:$Q,15,0),"")</f>
        <v/>
      </c>
      <c r="P150" s="43" t="str">
        <f t="shared" si="4"/>
        <v>149,149,**</v>
      </c>
      <c r="Q150" s="43" t="s">
        <v>4896</v>
      </c>
      <c r="R150" s="43">
        <v>6042070338</v>
      </c>
      <c r="T150" s="90" t="s">
        <v>4897</v>
      </c>
      <c r="V150" s="43">
        <v>149</v>
      </c>
    </row>
    <row r="151" spans="1:22" ht="15.75">
      <c r="A151" s="13" t="str">
        <f>IFERROR(VLOOKUP($E:$E,scan!$A:$B,2,0),"**")</f>
        <v>**</v>
      </c>
      <c r="B151" s="13" t="str">
        <f>IFERROR(VLOOKUP($E151,scan!A:C,3,0),"**")</f>
        <v>**</v>
      </c>
      <c r="C151" s="79">
        <v>150</v>
      </c>
      <c r="E151" s="58"/>
      <c r="F151" s="78"/>
      <c r="G151" s="85" t="s">
        <v>4895</v>
      </c>
      <c r="H151" s="61">
        <v>0</v>
      </c>
      <c r="J151" s="43" t="e">
        <f>VLOOKUP(E151,Input!C:J,5,0)</f>
        <v>#N/A</v>
      </c>
      <c r="K151" s="43" t="e">
        <f>VLOOKUP(E151,Input!C:G,5,0)</f>
        <v>#N/A</v>
      </c>
      <c r="L151" s="82" t="str">
        <f>IFERROR(VLOOKUP($E:$E,Input!$C:$Q,12,0),"")</f>
        <v/>
      </c>
      <c r="M151" s="82" t="str">
        <f>IFERROR(VLOOKUP($E:$E,Input!$C:$Q,14,0),"")</f>
        <v/>
      </c>
      <c r="N151" s="82" t="str">
        <f>IFERROR(VLOOKUP($E:$E,Input!$C:$Q,15,0),"")</f>
        <v/>
      </c>
      <c r="P151" s="43" t="str">
        <f t="shared" si="4"/>
        <v>150,150,**</v>
      </c>
      <c r="Q151" s="43" t="s">
        <v>4896</v>
      </c>
      <c r="R151" s="43">
        <v>6042070338</v>
      </c>
      <c r="T151" s="90" t="s">
        <v>4897</v>
      </c>
      <c r="V151" s="43">
        <v>150</v>
      </c>
    </row>
    <row r="152" spans="1:22" ht="15.75">
      <c r="A152" s="13" t="str">
        <f>IFERROR(VLOOKUP($E:$E,scan!$A:$B,2,0),"**")</f>
        <v>**</v>
      </c>
      <c r="B152" s="13" t="str">
        <f>IFERROR(VLOOKUP($E152,scan!A:C,3,0),"**")</f>
        <v>**</v>
      </c>
      <c r="C152" s="79">
        <v>151</v>
      </c>
      <c r="E152" s="58"/>
      <c r="F152" s="78"/>
      <c r="G152" s="85" t="s">
        <v>4895</v>
      </c>
      <c r="H152" s="61">
        <v>0</v>
      </c>
      <c r="J152" s="43" t="e">
        <f>VLOOKUP(E152,Input!C:J,5,0)</f>
        <v>#N/A</v>
      </c>
      <c r="K152" s="43" t="e">
        <f>VLOOKUP(E152,Input!C:G,5,0)</f>
        <v>#N/A</v>
      </c>
      <c r="L152" s="82" t="str">
        <f>IFERROR(VLOOKUP($E:$E,Input!$C:$Q,12,0),"")</f>
        <v/>
      </c>
      <c r="M152" s="82" t="str">
        <f>IFERROR(VLOOKUP($E:$E,Input!$C:$Q,14,0),"")</f>
        <v/>
      </c>
      <c r="N152" s="82" t="str">
        <f>IFERROR(VLOOKUP($E:$E,Input!$C:$Q,15,0),"")</f>
        <v/>
      </c>
      <c r="P152" s="43" t="str">
        <f t="shared" si="4"/>
        <v>151,151,**</v>
      </c>
      <c r="Q152" s="43" t="s">
        <v>4896</v>
      </c>
      <c r="R152" s="43">
        <v>6042070338</v>
      </c>
      <c r="T152" s="90" t="s">
        <v>4897</v>
      </c>
      <c r="V152" s="43">
        <v>151</v>
      </c>
    </row>
    <row r="153" spans="1:22" ht="15.75">
      <c r="A153" s="13" t="str">
        <f>IFERROR(VLOOKUP($E:$E,scan!$A:$B,2,0),"**")</f>
        <v>**</v>
      </c>
      <c r="B153" s="13" t="str">
        <f>IFERROR(VLOOKUP($E153,scan!A:C,3,0),"**")</f>
        <v>**</v>
      </c>
      <c r="C153" s="79">
        <v>152</v>
      </c>
      <c r="E153" s="58"/>
      <c r="F153" s="78"/>
      <c r="G153" s="85" t="s">
        <v>4895</v>
      </c>
      <c r="H153" s="61">
        <v>0</v>
      </c>
      <c r="J153" s="43" t="e">
        <f>VLOOKUP(E153,Input!C:J,5,0)</f>
        <v>#N/A</v>
      </c>
      <c r="K153" s="43" t="e">
        <f>VLOOKUP(E153,Input!C:G,5,0)</f>
        <v>#N/A</v>
      </c>
      <c r="L153" s="82" t="str">
        <f>IFERROR(VLOOKUP($E:$E,Input!$C:$Q,12,0),"")</f>
        <v/>
      </c>
      <c r="M153" s="82" t="str">
        <f>IFERROR(VLOOKUP($E:$E,Input!$C:$Q,14,0),"")</f>
        <v/>
      </c>
      <c r="N153" s="82" t="str">
        <f>IFERROR(VLOOKUP($E:$E,Input!$C:$Q,15,0),"")</f>
        <v/>
      </c>
      <c r="P153" s="43" t="str">
        <f t="shared" si="4"/>
        <v>152,152,**</v>
      </c>
      <c r="Q153" s="43" t="s">
        <v>4896</v>
      </c>
      <c r="R153" s="43">
        <v>6042070338</v>
      </c>
      <c r="T153" s="90" t="s">
        <v>4897</v>
      </c>
      <c r="V153" s="43">
        <v>152</v>
      </c>
    </row>
    <row r="154" spans="1:22" ht="15.75">
      <c r="A154" s="13" t="str">
        <f>IFERROR(VLOOKUP($E:$E,scan!$A:$B,2,0),"**")</f>
        <v>**</v>
      </c>
      <c r="B154" s="13" t="str">
        <f>IFERROR(VLOOKUP($E154,scan!A:C,3,0),"**")</f>
        <v>**</v>
      </c>
      <c r="C154" s="79">
        <v>153</v>
      </c>
      <c r="E154" s="58"/>
      <c r="F154" s="78"/>
      <c r="G154" s="85" t="s">
        <v>4895</v>
      </c>
      <c r="H154" s="61">
        <v>0</v>
      </c>
      <c r="J154" s="43" t="e">
        <f>VLOOKUP(E154,Input!C:J,5,0)</f>
        <v>#N/A</v>
      </c>
      <c r="K154" s="43" t="e">
        <f>VLOOKUP(E154,Input!C:G,5,0)</f>
        <v>#N/A</v>
      </c>
      <c r="L154" s="82" t="str">
        <f>IFERROR(VLOOKUP($E:$E,Input!$C:$Q,12,0),"")</f>
        <v/>
      </c>
      <c r="M154" s="82" t="str">
        <f>IFERROR(VLOOKUP($E:$E,Input!$C:$Q,14,0),"")</f>
        <v/>
      </c>
      <c r="N154" s="82" t="str">
        <f>IFERROR(VLOOKUP($E:$E,Input!$C:$Q,15,0),"")</f>
        <v/>
      </c>
      <c r="P154" s="43" t="str">
        <f t="shared" si="4"/>
        <v>153,153,**</v>
      </c>
      <c r="Q154" s="43" t="s">
        <v>4896</v>
      </c>
      <c r="R154" s="43">
        <v>6042070338</v>
      </c>
      <c r="T154" s="90" t="s">
        <v>4897</v>
      </c>
      <c r="V154" s="43">
        <v>153</v>
      </c>
    </row>
    <row r="155" spans="1:22" ht="15.75">
      <c r="A155" s="13" t="str">
        <f>IFERROR(VLOOKUP($E:$E,scan!$A:$B,2,0),"**")</f>
        <v>**</v>
      </c>
      <c r="B155" s="13" t="str">
        <f>IFERROR(VLOOKUP($E155,scan!A:C,3,0),"**")</f>
        <v>**</v>
      </c>
      <c r="C155" s="79">
        <v>154</v>
      </c>
      <c r="E155" s="58"/>
      <c r="F155" s="78"/>
      <c r="G155" s="85" t="s">
        <v>4895</v>
      </c>
      <c r="H155" s="61">
        <v>0</v>
      </c>
      <c r="J155" s="43" t="e">
        <f>VLOOKUP(E155,Input!C:J,5,0)</f>
        <v>#N/A</v>
      </c>
      <c r="K155" s="43" t="e">
        <f>VLOOKUP(E155,Input!C:G,5,0)</f>
        <v>#N/A</v>
      </c>
      <c r="L155" s="82" t="str">
        <f>IFERROR(VLOOKUP($E:$E,Input!$C:$Q,12,0),"")</f>
        <v/>
      </c>
      <c r="M155" s="82" t="str">
        <f>IFERROR(VLOOKUP($E:$E,Input!$C:$Q,14,0),"")</f>
        <v/>
      </c>
      <c r="N155" s="82" t="str">
        <f>IFERROR(VLOOKUP($E:$E,Input!$C:$Q,15,0),"")</f>
        <v/>
      </c>
      <c r="P155" s="43" t="str">
        <f t="shared" si="4"/>
        <v>154,154,**</v>
      </c>
      <c r="Q155" s="43" t="s">
        <v>4896</v>
      </c>
      <c r="R155" s="43">
        <v>6042070338</v>
      </c>
      <c r="T155" s="90" t="s">
        <v>4897</v>
      </c>
      <c r="V155" s="43">
        <v>154</v>
      </c>
    </row>
    <row r="156" spans="1:22" ht="15.75">
      <c r="A156" s="13" t="str">
        <f>IFERROR(VLOOKUP($E:$E,scan!$A:$B,2,0),"**")</f>
        <v>**</v>
      </c>
      <c r="B156" s="13" t="str">
        <f>IFERROR(VLOOKUP($E156,scan!A:C,3,0),"**")</f>
        <v>**</v>
      </c>
      <c r="C156" s="79">
        <v>155</v>
      </c>
      <c r="E156" s="58"/>
      <c r="F156" s="78"/>
      <c r="G156" s="85" t="s">
        <v>4895</v>
      </c>
      <c r="H156" s="61">
        <v>0</v>
      </c>
      <c r="J156" s="43" t="e">
        <f>VLOOKUP(E156,Input!C:J,5,0)</f>
        <v>#N/A</v>
      </c>
      <c r="K156" s="43" t="e">
        <f>VLOOKUP(E156,Input!C:G,5,0)</f>
        <v>#N/A</v>
      </c>
      <c r="L156" s="82" t="str">
        <f>IFERROR(VLOOKUP($E:$E,Input!$C:$Q,12,0),"")</f>
        <v/>
      </c>
      <c r="M156" s="82" t="str">
        <f>IFERROR(VLOOKUP($E:$E,Input!$C:$Q,14,0),"")</f>
        <v/>
      </c>
      <c r="N156" s="82" t="str">
        <f>IFERROR(VLOOKUP($E:$E,Input!$C:$Q,15,0),"")</f>
        <v/>
      </c>
      <c r="P156" s="43" t="str">
        <f t="shared" si="4"/>
        <v>155,155,**</v>
      </c>
      <c r="Q156" s="43" t="s">
        <v>4896</v>
      </c>
      <c r="R156" s="43">
        <v>6042070338</v>
      </c>
      <c r="T156" s="90" t="s">
        <v>4897</v>
      </c>
      <c r="V156" s="43">
        <v>155</v>
      </c>
    </row>
    <row r="157" spans="1:22" ht="15.75">
      <c r="A157" s="13" t="str">
        <f>IFERROR(VLOOKUP($E:$E,scan!$A:$B,2,0),"**")</f>
        <v>**</v>
      </c>
      <c r="B157" s="13" t="str">
        <f>IFERROR(VLOOKUP($E157,scan!A:C,3,0),"**")</f>
        <v>**</v>
      </c>
      <c r="C157" s="79">
        <v>156</v>
      </c>
      <c r="E157" s="58"/>
      <c r="F157" s="78"/>
      <c r="G157" s="85" t="s">
        <v>4895</v>
      </c>
      <c r="H157" s="61">
        <v>0</v>
      </c>
      <c r="J157" s="43" t="e">
        <f>VLOOKUP(E157,Input!C:J,5,0)</f>
        <v>#N/A</v>
      </c>
      <c r="K157" s="43" t="e">
        <f>VLOOKUP(E157,Input!C:G,5,0)</f>
        <v>#N/A</v>
      </c>
      <c r="L157" s="82" t="str">
        <f>IFERROR(VLOOKUP($E:$E,Input!$C:$Q,12,0),"")</f>
        <v/>
      </c>
      <c r="M157" s="82" t="str">
        <f>IFERROR(VLOOKUP($E:$E,Input!$C:$Q,14,0),"")</f>
        <v/>
      </c>
      <c r="N157" s="82" t="str">
        <f>IFERROR(VLOOKUP($E:$E,Input!$C:$Q,15,0),"")</f>
        <v/>
      </c>
      <c r="P157" s="43" t="str">
        <f t="shared" si="4"/>
        <v>156,156,**</v>
      </c>
      <c r="Q157" s="43" t="s">
        <v>4896</v>
      </c>
      <c r="R157" s="43">
        <v>6042070338</v>
      </c>
      <c r="T157" s="90" t="s">
        <v>4897</v>
      </c>
      <c r="V157" s="43">
        <v>156</v>
      </c>
    </row>
    <row r="158" spans="1:22" ht="15.75">
      <c r="A158" s="13" t="str">
        <f>IFERROR(VLOOKUP($E:$E,scan!$A:$B,2,0),"**")</f>
        <v>**</v>
      </c>
      <c r="B158" s="13" t="str">
        <f>IFERROR(VLOOKUP($E158,scan!A:C,3,0),"**")</f>
        <v>**</v>
      </c>
      <c r="C158" s="79">
        <v>157</v>
      </c>
      <c r="E158" s="58"/>
      <c r="F158" s="78"/>
      <c r="G158" s="85" t="s">
        <v>4895</v>
      </c>
      <c r="H158" s="61">
        <v>0</v>
      </c>
      <c r="J158" s="43" t="e">
        <f>VLOOKUP(E158,Input!C:J,5,0)</f>
        <v>#N/A</v>
      </c>
      <c r="K158" s="43" t="e">
        <f>VLOOKUP(E158,Input!C:G,5,0)</f>
        <v>#N/A</v>
      </c>
      <c r="L158" s="82" t="str">
        <f>IFERROR(VLOOKUP($E:$E,Input!$C:$Q,12,0),"")</f>
        <v/>
      </c>
      <c r="M158" s="82" t="str">
        <f>IFERROR(VLOOKUP($E:$E,Input!$C:$Q,14,0),"")</f>
        <v/>
      </c>
      <c r="N158" s="82" t="str">
        <f>IFERROR(VLOOKUP($E:$E,Input!$C:$Q,15,0),"")</f>
        <v/>
      </c>
      <c r="P158" s="43" t="str">
        <f t="shared" si="4"/>
        <v>157,157,**</v>
      </c>
      <c r="Q158" s="43" t="s">
        <v>4896</v>
      </c>
      <c r="R158" s="43">
        <v>6042070338</v>
      </c>
      <c r="T158" s="90" t="s">
        <v>4897</v>
      </c>
      <c r="V158" s="43">
        <v>157</v>
      </c>
    </row>
    <row r="159" spans="1:22" ht="15.75">
      <c r="A159" s="13" t="str">
        <f>IFERROR(VLOOKUP($E:$E,scan!$A:$B,2,0),"**")</f>
        <v>**</v>
      </c>
      <c r="B159" s="13" t="str">
        <f>IFERROR(VLOOKUP($E159,scan!A:C,3,0),"**")</f>
        <v>**</v>
      </c>
      <c r="C159" s="79">
        <v>158</v>
      </c>
      <c r="E159" s="58"/>
      <c r="F159" s="78"/>
      <c r="G159" s="85" t="s">
        <v>4895</v>
      </c>
      <c r="H159" s="61">
        <v>0</v>
      </c>
      <c r="J159" s="43" t="e">
        <f>VLOOKUP(E159,Input!C:J,5,0)</f>
        <v>#N/A</v>
      </c>
      <c r="K159" s="43" t="e">
        <f>VLOOKUP(E159,Input!C:G,5,0)</f>
        <v>#N/A</v>
      </c>
      <c r="L159" s="82" t="str">
        <f>IFERROR(VLOOKUP($E:$E,Input!$C:$Q,12,0),"")</f>
        <v/>
      </c>
      <c r="M159" s="82" t="str">
        <f>IFERROR(VLOOKUP($E:$E,Input!$C:$Q,14,0),"")</f>
        <v/>
      </c>
      <c r="N159" s="82" t="str">
        <f>IFERROR(VLOOKUP($E:$E,Input!$C:$Q,15,0),"")</f>
        <v/>
      </c>
      <c r="P159" s="43" t="str">
        <f t="shared" si="4"/>
        <v>158,158,**</v>
      </c>
      <c r="Q159" s="43" t="s">
        <v>4896</v>
      </c>
      <c r="R159" s="43">
        <v>6042070338</v>
      </c>
      <c r="T159" s="90" t="s">
        <v>4897</v>
      </c>
      <c r="V159" s="43">
        <v>158</v>
      </c>
    </row>
    <row r="160" spans="1:22" ht="15.75">
      <c r="A160" s="13" t="str">
        <f>IFERROR(VLOOKUP($E:$E,scan!$A:$B,2,0),"**")</f>
        <v>**</v>
      </c>
      <c r="B160" s="13" t="str">
        <f>IFERROR(VLOOKUP($E160,scan!A:C,3,0),"**")</f>
        <v>**</v>
      </c>
      <c r="C160" s="79">
        <v>159</v>
      </c>
      <c r="E160" s="58"/>
      <c r="F160" s="78"/>
      <c r="G160" s="85" t="s">
        <v>4895</v>
      </c>
      <c r="H160" s="61">
        <v>0</v>
      </c>
      <c r="J160" s="43" t="e">
        <f>VLOOKUP(E160,Input!C:J,5,0)</f>
        <v>#N/A</v>
      </c>
      <c r="K160" s="43" t="e">
        <f>VLOOKUP(E160,Input!C:G,5,0)</f>
        <v>#N/A</v>
      </c>
      <c r="L160" s="82" t="str">
        <f>IFERROR(VLOOKUP($E:$E,Input!$C:$Q,12,0),"")</f>
        <v/>
      </c>
      <c r="M160" s="82" t="str">
        <f>IFERROR(VLOOKUP($E:$E,Input!$C:$Q,14,0),"")</f>
        <v/>
      </c>
      <c r="N160" s="82" t="str">
        <f>IFERROR(VLOOKUP($E:$E,Input!$C:$Q,15,0),"")</f>
        <v/>
      </c>
      <c r="P160" s="43" t="str">
        <f t="shared" si="4"/>
        <v>159,159,**</v>
      </c>
      <c r="Q160" s="43" t="s">
        <v>4896</v>
      </c>
      <c r="R160" s="43">
        <v>6042070338</v>
      </c>
      <c r="T160" s="90" t="s">
        <v>4897</v>
      </c>
      <c r="V160" s="43">
        <v>159</v>
      </c>
    </row>
    <row r="161" spans="1:22" ht="15.75">
      <c r="A161" s="13" t="str">
        <f>IFERROR(VLOOKUP($E:$E,scan!$A:$B,2,0),"**")</f>
        <v>**</v>
      </c>
      <c r="B161" s="13" t="str">
        <f>IFERROR(VLOOKUP($E161,scan!A:C,3,0),"**")</f>
        <v>**</v>
      </c>
      <c r="C161" s="79">
        <v>160</v>
      </c>
      <c r="E161" s="58"/>
      <c r="F161" s="78"/>
      <c r="G161" s="85" t="s">
        <v>4895</v>
      </c>
      <c r="H161" s="61">
        <v>0</v>
      </c>
      <c r="J161" s="43" t="e">
        <f>VLOOKUP(E161,Input!C:J,5,0)</f>
        <v>#N/A</v>
      </c>
      <c r="K161" s="43" t="e">
        <f>VLOOKUP(E161,Input!C:G,5,0)</f>
        <v>#N/A</v>
      </c>
      <c r="L161" s="82" t="str">
        <f>IFERROR(VLOOKUP($E:$E,Input!$C:$Q,12,0),"")</f>
        <v/>
      </c>
      <c r="M161" s="82" t="str">
        <f>IFERROR(VLOOKUP($E:$E,Input!$C:$Q,14,0),"")</f>
        <v/>
      </c>
      <c r="N161" s="82" t="str">
        <f>IFERROR(VLOOKUP($E:$E,Input!$C:$Q,15,0),"")</f>
        <v/>
      </c>
      <c r="P161" s="43" t="str">
        <f t="shared" si="4"/>
        <v>160,160,**</v>
      </c>
      <c r="Q161" s="43" t="s">
        <v>4896</v>
      </c>
      <c r="R161" s="43">
        <v>6042070338</v>
      </c>
      <c r="T161" s="90" t="s">
        <v>4897</v>
      </c>
      <c r="V161" s="43">
        <v>160</v>
      </c>
    </row>
    <row r="162" spans="1:22" ht="15.75">
      <c r="A162" s="13" t="str">
        <f>IFERROR(VLOOKUP($E:$E,scan!$A:$B,2,0),"**")</f>
        <v>**</v>
      </c>
      <c r="B162" s="13" t="str">
        <f>IFERROR(VLOOKUP($E162,scan!A:C,3,0),"**")</f>
        <v>**</v>
      </c>
      <c r="C162" s="79">
        <v>161</v>
      </c>
      <c r="E162" s="58"/>
      <c r="F162" s="78"/>
      <c r="G162" s="85" t="s">
        <v>4895</v>
      </c>
      <c r="H162" s="61">
        <v>0</v>
      </c>
      <c r="J162" s="43" t="e">
        <f>VLOOKUP(E162,Input!C:J,5,0)</f>
        <v>#N/A</v>
      </c>
      <c r="K162" s="43" t="e">
        <f>VLOOKUP(E162,Input!C:G,5,0)</f>
        <v>#N/A</v>
      </c>
      <c r="L162" s="82" t="str">
        <f>IFERROR(VLOOKUP($E:$E,Input!$C:$Q,12,0),"")</f>
        <v/>
      </c>
      <c r="M162" s="82" t="str">
        <f>IFERROR(VLOOKUP($E:$E,Input!$C:$Q,14,0),"")</f>
        <v/>
      </c>
      <c r="N162" s="82" t="str">
        <f>IFERROR(VLOOKUP($E:$E,Input!$C:$Q,15,0),"")</f>
        <v/>
      </c>
      <c r="P162" s="43" t="str">
        <f t="shared" si="4"/>
        <v>161,161,**</v>
      </c>
      <c r="Q162" s="43" t="s">
        <v>4896</v>
      </c>
      <c r="R162" s="43">
        <v>6042070338</v>
      </c>
      <c r="T162" s="90" t="s">
        <v>4897</v>
      </c>
      <c r="V162" s="43">
        <v>161</v>
      </c>
    </row>
    <row r="163" spans="1:22" ht="15.75">
      <c r="A163" s="13" t="str">
        <f>IFERROR(VLOOKUP($E:$E,scan!$A:$B,2,0),"**")</f>
        <v>**</v>
      </c>
      <c r="B163" s="13" t="str">
        <f>IFERROR(VLOOKUP($E163,scan!A:C,3,0),"**")</f>
        <v>**</v>
      </c>
      <c r="C163" s="79">
        <v>162</v>
      </c>
      <c r="E163" s="58"/>
      <c r="F163" s="78"/>
      <c r="G163" s="85" t="s">
        <v>4895</v>
      </c>
      <c r="H163" s="61">
        <v>0</v>
      </c>
      <c r="J163" s="43" t="e">
        <f>VLOOKUP(E163,Input!C:J,5,0)</f>
        <v>#N/A</v>
      </c>
      <c r="K163" s="43" t="e">
        <f>VLOOKUP(E163,Input!C:G,5,0)</f>
        <v>#N/A</v>
      </c>
      <c r="L163" s="82" t="str">
        <f>IFERROR(VLOOKUP($E:$E,Input!$C:$Q,12,0),"")</f>
        <v/>
      </c>
      <c r="M163" s="82" t="str">
        <f>IFERROR(VLOOKUP($E:$E,Input!$C:$Q,14,0),"")</f>
        <v/>
      </c>
      <c r="N163" s="82" t="str">
        <f>IFERROR(VLOOKUP($E:$E,Input!$C:$Q,15,0),"")</f>
        <v/>
      </c>
      <c r="P163" s="43" t="str">
        <f t="shared" si="4"/>
        <v>162,162,**</v>
      </c>
      <c r="Q163" s="43" t="s">
        <v>4896</v>
      </c>
      <c r="R163" s="43">
        <v>6042070338</v>
      </c>
      <c r="T163" s="90" t="s">
        <v>4897</v>
      </c>
      <c r="V163" s="43">
        <v>162</v>
      </c>
    </row>
    <row r="164" spans="1:22" ht="15.75">
      <c r="A164" s="13" t="str">
        <f>IFERROR(VLOOKUP($E:$E,scan!$A:$B,2,0),"**")</f>
        <v>**</v>
      </c>
      <c r="B164" s="13" t="str">
        <f>IFERROR(VLOOKUP($E164,scan!A:C,3,0),"**")</f>
        <v>**</v>
      </c>
      <c r="C164" s="79">
        <v>163</v>
      </c>
      <c r="E164" s="58"/>
      <c r="F164" s="78"/>
      <c r="G164" s="85" t="s">
        <v>4895</v>
      </c>
      <c r="H164" s="61">
        <v>0</v>
      </c>
      <c r="J164" s="43" t="e">
        <f>VLOOKUP(E164,Input!C:J,5,0)</f>
        <v>#N/A</v>
      </c>
      <c r="K164" s="43" t="e">
        <f>VLOOKUP(E164,Input!C:G,5,0)</f>
        <v>#N/A</v>
      </c>
      <c r="L164" s="82" t="str">
        <f>IFERROR(VLOOKUP($E:$E,Input!$C:$Q,12,0),"")</f>
        <v/>
      </c>
      <c r="M164" s="82" t="str">
        <f>IFERROR(VLOOKUP($E:$E,Input!$C:$Q,14,0),"")</f>
        <v/>
      </c>
      <c r="N164" s="82" t="str">
        <f>IFERROR(VLOOKUP($E:$E,Input!$C:$Q,15,0),"")</f>
        <v/>
      </c>
      <c r="P164" s="43" t="str">
        <f t="shared" si="4"/>
        <v>163,163,**</v>
      </c>
      <c r="Q164" s="43" t="s">
        <v>4896</v>
      </c>
      <c r="R164" s="43">
        <v>6042070338</v>
      </c>
      <c r="T164" s="90" t="s">
        <v>4897</v>
      </c>
      <c r="V164" s="43">
        <v>163</v>
      </c>
    </row>
    <row r="165" spans="1:22" ht="15.75">
      <c r="A165" s="13" t="str">
        <f>IFERROR(VLOOKUP($E:$E,scan!$A:$B,2,0),"**")</f>
        <v>**</v>
      </c>
      <c r="B165" s="13" t="str">
        <f>IFERROR(VLOOKUP($E165,scan!A:C,3,0),"**")</f>
        <v>**</v>
      </c>
      <c r="C165" s="79">
        <v>164</v>
      </c>
      <c r="E165" s="58"/>
      <c r="F165" s="78"/>
      <c r="G165" s="85" t="s">
        <v>4895</v>
      </c>
      <c r="H165" s="61">
        <v>0</v>
      </c>
      <c r="J165" s="43" t="e">
        <f>VLOOKUP(E165,Input!C:J,5,0)</f>
        <v>#N/A</v>
      </c>
      <c r="K165" s="43" t="e">
        <f>VLOOKUP(E165,Input!C:G,5,0)</f>
        <v>#N/A</v>
      </c>
      <c r="L165" s="82" t="str">
        <f>IFERROR(VLOOKUP($E:$E,Input!$C:$Q,12,0),"")</f>
        <v/>
      </c>
      <c r="M165" s="82" t="str">
        <f>IFERROR(VLOOKUP($E:$E,Input!$C:$Q,14,0),"")</f>
        <v/>
      </c>
      <c r="N165" s="82" t="str">
        <f>IFERROR(VLOOKUP($E:$E,Input!$C:$Q,15,0),"")</f>
        <v/>
      </c>
      <c r="P165" s="43" t="str">
        <f t="shared" si="4"/>
        <v>164,164,**</v>
      </c>
      <c r="Q165" s="43" t="s">
        <v>4896</v>
      </c>
      <c r="R165" s="43">
        <v>6042070338</v>
      </c>
      <c r="T165" s="90" t="s">
        <v>4897</v>
      </c>
      <c r="V165" s="43">
        <v>164</v>
      </c>
    </row>
    <row r="166" spans="1:22" ht="15.75">
      <c r="A166" s="13" t="str">
        <f>IFERROR(VLOOKUP($E:$E,scan!$A:$B,2,0),"**")</f>
        <v>**</v>
      </c>
      <c r="B166" s="13" t="str">
        <f>IFERROR(VLOOKUP($E166,scan!A:C,3,0),"**")</f>
        <v>**</v>
      </c>
      <c r="C166" s="79">
        <v>165</v>
      </c>
      <c r="E166" s="58"/>
      <c r="F166" s="78"/>
      <c r="G166" s="85" t="s">
        <v>4895</v>
      </c>
      <c r="H166" s="61">
        <v>0</v>
      </c>
      <c r="J166" s="43" t="e">
        <f>VLOOKUP(E166,Input!C:J,5,0)</f>
        <v>#N/A</v>
      </c>
      <c r="K166" s="43" t="e">
        <f>VLOOKUP(E166,Input!C:G,5,0)</f>
        <v>#N/A</v>
      </c>
      <c r="L166" s="82" t="str">
        <f>IFERROR(VLOOKUP($E:$E,Input!$C:$Q,12,0),"")</f>
        <v/>
      </c>
      <c r="M166" s="82" t="str">
        <f>IFERROR(VLOOKUP($E:$E,Input!$C:$Q,14,0),"")</f>
        <v/>
      </c>
      <c r="N166" s="82" t="str">
        <f>IFERROR(VLOOKUP($E:$E,Input!$C:$Q,15,0),"")</f>
        <v/>
      </c>
      <c r="P166" s="43" t="str">
        <f t="shared" si="4"/>
        <v>165,165,**</v>
      </c>
      <c r="Q166" s="43" t="s">
        <v>4896</v>
      </c>
      <c r="R166" s="43">
        <v>6042070338</v>
      </c>
      <c r="T166" s="90" t="s">
        <v>4897</v>
      </c>
      <c r="V166" s="43">
        <v>165</v>
      </c>
    </row>
    <row r="167" spans="1:22" ht="15.75">
      <c r="A167" s="13" t="str">
        <f>IFERROR(VLOOKUP($E:$E,scan!$A:$B,2,0),"**")</f>
        <v>**</v>
      </c>
      <c r="B167" s="13" t="str">
        <f>IFERROR(VLOOKUP($E167,scan!A:C,3,0),"**")</f>
        <v>**</v>
      </c>
      <c r="C167" s="79">
        <v>166</v>
      </c>
      <c r="E167" s="58"/>
      <c r="F167" s="78"/>
      <c r="G167" s="85" t="s">
        <v>4895</v>
      </c>
      <c r="H167" s="61">
        <v>0</v>
      </c>
      <c r="J167" s="43" t="e">
        <f>VLOOKUP(E167,Input!C:J,5,0)</f>
        <v>#N/A</v>
      </c>
      <c r="K167" s="43" t="e">
        <f>VLOOKUP(E167,Input!C:G,5,0)</f>
        <v>#N/A</v>
      </c>
      <c r="L167" s="82" t="str">
        <f>IFERROR(VLOOKUP($E:$E,Input!$C:$Q,12,0),"")</f>
        <v/>
      </c>
      <c r="M167" s="82" t="str">
        <f>IFERROR(VLOOKUP($E:$E,Input!$C:$Q,14,0),"")</f>
        <v/>
      </c>
      <c r="N167" s="82" t="str">
        <f>IFERROR(VLOOKUP($E:$E,Input!$C:$Q,15,0),"")</f>
        <v/>
      </c>
      <c r="P167" s="43" t="str">
        <f t="shared" ref="P167:P199" si="5">V167&amp;","&amp;C167&amp;","&amp;B167</f>
        <v>166,166,**</v>
      </c>
      <c r="Q167" s="43" t="s">
        <v>4896</v>
      </c>
      <c r="R167" s="43">
        <v>6042070338</v>
      </c>
      <c r="T167" s="90" t="s">
        <v>4897</v>
      </c>
      <c r="V167" s="43">
        <v>166</v>
      </c>
    </row>
    <row r="168" spans="1:22" ht="15.75">
      <c r="A168" s="13" t="str">
        <f>IFERROR(VLOOKUP($E:$E,scan!$A:$B,2,0),"**")</f>
        <v>**</v>
      </c>
      <c r="B168" s="13" t="str">
        <f>IFERROR(VLOOKUP($E168,scan!A:C,3,0),"**")</f>
        <v>**</v>
      </c>
      <c r="C168" s="79">
        <v>167</v>
      </c>
      <c r="E168" s="58"/>
      <c r="F168" s="78"/>
      <c r="G168" s="85" t="s">
        <v>4895</v>
      </c>
      <c r="H168" s="61">
        <v>0</v>
      </c>
      <c r="J168" s="43" t="e">
        <f>VLOOKUP(E168,Input!C:J,5,0)</f>
        <v>#N/A</v>
      </c>
      <c r="K168" s="43" t="e">
        <f>VLOOKUP(E168,Input!C:G,5,0)</f>
        <v>#N/A</v>
      </c>
      <c r="L168" s="82" t="str">
        <f>IFERROR(VLOOKUP($E:$E,Input!$C:$Q,12,0),"")</f>
        <v/>
      </c>
      <c r="M168" s="82" t="str">
        <f>IFERROR(VLOOKUP($E:$E,Input!$C:$Q,14,0),"")</f>
        <v/>
      </c>
      <c r="N168" s="82" t="str">
        <f>IFERROR(VLOOKUP($E:$E,Input!$C:$Q,15,0),"")</f>
        <v/>
      </c>
      <c r="P168" s="43" t="str">
        <f t="shared" si="5"/>
        <v>167,167,**</v>
      </c>
      <c r="Q168" s="43" t="s">
        <v>4896</v>
      </c>
      <c r="R168" s="43">
        <v>6042070338</v>
      </c>
      <c r="T168" s="90" t="s">
        <v>4897</v>
      </c>
      <c r="V168" s="43">
        <v>167</v>
      </c>
    </row>
    <row r="169" spans="1:22" ht="15.75">
      <c r="A169" s="13" t="str">
        <f>IFERROR(VLOOKUP($E:$E,scan!$A:$B,2,0),"**")</f>
        <v>**</v>
      </c>
      <c r="B169" s="13" t="str">
        <f>IFERROR(VLOOKUP($E169,scan!A:C,3,0),"**")</f>
        <v>**</v>
      </c>
      <c r="C169" s="79">
        <v>168</v>
      </c>
      <c r="E169" s="58"/>
      <c r="F169" s="78"/>
      <c r="G169" s="85" t="s">
        <v>4895</v>
      </c>
      <c r="H169" s="61">
        <v>0</v>
      </c>
      <c r="J169" s="43" t="e">
        <f>VLOOKUP(E169,Input!C:J,5,0)</f>
        <v>#N/A</v>
      </c>
      <c r="K169" s="43" t="e">
        <f>VLOOKUP(E169,Input!C:G,5,0)</f>
        <v>#N/A</v>
      </c>
      <c r="L169" s="82" t="str">
        <f>IFERROR(VLOOKUP($E:$E,Input!$C:$Q,12,0),"")</f>
        <v/>
      </c>
      <c r="M169" s="82" t="str">
        <f>IFERROR(VLOOKUP($E:$E,Input!$C:$Q,14,0),"")</f>
        <v/>
      </c>
      <c r="N169" s="82" t="str">
        <f>IFERROR(VLOOKUP($E:$E,Input!$C:$Q,15,0),"")</f>
        <v/>
      </c>
      <c r="P169" s="43" t="str">
        <f t="shared" si="5"/>
        <v>168,168,**</v>
      </c>
      <c r="Q169" s="43" t="s">
        <v>4896</v>
      </c>
      <c r="R169" s="43">
        <v>6042070338</v>
      </c>
      <c r="T169" s="90" t="s">
        <v>4897</v>
      </c>
      <c r="V169" s="43">
        <v>168</v>
      </c>
    </row>
    <row r="170" spans="1:22" ht="15.75">
      <c r="A170" s="13" t="str">
        <f>IFERROR(VLOOKUP($E:$E,scan!$A:$B,2,0),"**")</f>
        <v>**</v>
      </c>
      <c r="B170" s="13" t="str">
        <f>IFERROR(VLOOKUP($E170,scan!A:C,3,0),"**")</f>
        <v>**</v>
      </c>
      <c r="C170" s="79">
        <v>169</v>
      </c>
      <c r="E170" s="58"/>
      <c r="F170" s="78"/>
      <c r="G170" s="85" t="s">
        <v>4895</v>
      </c>
      <c r="H170" s="61">
        <v>0</v>
      </c>
      <c r="J170" s="43" t="e">
        <f>VLOOKUP(E170,Input!C:J,5,0)</f>
        <v>#N/A</v>
      </c>
      <c r="K170" s="43" t="e">
        <f>VLOOKUP(E170,Input!C:G,5,0)</f>
        <v>#N/A</v>
      </c>
      <c r="L170" s="82" t="str">
        <f>IFERROR(VLOOKUP($E:$E,Input!$C:$Q,12,0),"")</f>
        <v/>
      </c>
      <c r="M170" s="82" t="str">
        <f>IFERROR(VLOOKUP($E:$E,Input!$C:$Q,14,0),"")</f>
        <v/>
      </c>
      <c r="N170" s="82" t="str">
        <f>IFERROR(VLOOKUP($E:$E,Input!$C:$Q,15,0),"")</f>
        <v/>
      </c>
      <c r="P170" s="43" t="str">
        <f t="shared" si="5"/>
        <v>169,169,**</v>
      </c>
      <c r="Q170" s="43" t="s">
        <v>4896</v>
      </c>
      <c r="R170" s="43">
        <v>6042070338</v>
      </c>
      <c r="T170" s="90" t="s">
        <v>4897</v>
      </c>
      <c r="V170" s="43">
        <v>169</v>
      </c>
    </row>
    <row r="171" spans="1:22" ht="15.75">
      <c r="A171" s="13" t="str">
        <f>IFERROR(VLOOKUP($E:$E,scan!$A:$B,2,0),"**")</f>
        <v>**</v>
      </c>
      <c r="B171" s="13" t="str">
        <f>IFERROR(VLOOKUP($E171,scan!A:C,3,0),"**")</f>
        <v>**</v>
      </c>
      <c r="C171" s="79">
        <v>170</v>
      </c>
      <c r="E171" s="58"/>
      <c r="F171" s="78"/>
      <c r="G171" s="85" t="s">
        <v>4895</v>
      </c>
      <c r="H171" s="61">
        <v>0</v>
      </c>
      <c r="J171" s="43" t="e">
        <f>VLOOKUP(E171,Input!C:J,5,0)</f>
        <v>#N/A</v>
      </c>
      <c r="K171" s="43" t="e">
        <f>VLOOKUP(E171,Input!C:G,5,0)</f>
        <v>#N/A</v>
      </c>
      <c r="L171" s="82" t="str">
        <f>IFERROR(VLOOKUP($E:$E,Input!$C:$Q,12,0),"")</f>
        <v/>
      </c>
      <c r="M171" s="82" t="str">
        <f>IFERROR(VLOOKUP($E:$E,Input!$C:$Q,14,0),"")</f>
        <v/>
      </c>
      <c r="N171" s="82" t="str">
        <f>IFERROR(VLOOKUP($E:$E,Input!$C:$Q,15,0),"")</f>
        <v/>
      </c>
      <c r="P171" s="43" t="str">
        <f t="shared" si="5"/>
        <v>170,170,**</v>
      </c>
      <c r="Q171" s="43" t="s">
        <v>4896</v>
      </c>
      <c r="R171" s="43">
        <v>6042070338</v>
      </c>
      <c r="T171" s="90" t="s">
        <v>4897</v>
      </c>
      <c r="V171" s="43">
        <v>170</v>
      </c>
    </row>
    <row r="172" spans="1:22" ht="15.75">
      <c r="A172" s="13" t="str">
        <f>IFERROR(VLOOKUP($E:$E,scan!$A:$B,2,0),"**")</f>
        <v>**</v>
      </c>
      <c r="B172" s="13" t="str">
        <f>IFERROR(VLOOKUP($E172,scan!A:C,3,0),"**")</f>
        <v>**</v>
      </c>
      <c r="C172" s="79">
        <v>171</v>
      </c>
      <c r="E172" s="58"/>
      <c r="F172" s="78"/>
      <c r="G172" s="85" t="s">
        <v>4895</v>
      </c>
      <c r="H172" s="61">
        <v>0</v>
      </c>
      <c r="J172" s="43" t="e">
        <f>VLOOKUP(E172,Input!C:J,5,0)</f>
        <v>#N/A</v>
      </c>
      <c r="K172" s="43" t="e">
        <f>VLOOKUP(E172,Input!C:G,5,0)</f>
        <v>#N/A</v>
      </c>
      <c r="L172" s="82" t="str">
        <f>IFERROR(VLOOKUP($E:$E,Input!$C:$Q,12,0),"")</f>
        <v/>
      </c>
      <c r="M172" s="82" t="str">
        <f>IFERROR(VLOOKUP($E:$E,Input!$C:$Q,14,0),"")</f>
        <v/>
      </c>
      <c r="N172" s="82" t="str">
        <f>IFERROR(VLOOKUP($E:$E,Input!$C:$Q,15,0),"")</f>
        <v/>
      </c>
      <c r="P172" s="43" t="str">
        <f t="shared" si="5"/>
        <v>171,171,**</v>
      </c>
      <c r="Q172" s="43" t="s">
        <v>4896</v>
      </c>
      <c r="R172" s="43">
        <v>6042070338</v>
      </c>
      <c r="T172" s="90" t="s">
        <v>4897</v>
      </c>
      <c r="V172" s="43">
        <v>171</v>
      </c>
    </row>
    <row r="173" spans="1:22" ht="15.75">
      <c r="A173" s="13" t="str">
        <f>IFERROR(VLOOKUP($E:$E,scan!$A:$B,2,0),"**")</f>
        <v>**</v>
      </c>
      <c r="B173" s="13" t="str">
        <f>IFERROR(VLOOKUP($E173,scan!A:C,3,0),"**")</f>
        <v>**</v>
      </c>
      <c r="C173" s="79">
        <v>172</v>
      </c>
      <c r="E173" s="58"/>
      <c r="F173" s="78"/>
      <c r="G173" s="85" t="s">
        <v>4895</v>
      </c>
      <c r="H173" s="61">
        <v>0</v>
      </c>
      <c r="J173" s="43" t="e">
        <f>VLOOKUP(E173,Input!C:J,5,0)</f>
        <v>#N/A</v>
      </c>
      <c r="K173" s="43" t="e">
        <f>VLOOKUP(E173,Input!C:G,5,0)</f>
        <v>#N/A</v>
      </c>
      <c r="L173" s="82" t="str">
        <f>IFERROR(VLOOKUP($E:$E,Input!$C:$Q,12,0),"")</f>
        <v/>
      </c>
      <c r="M173" s="82" t="str">
        <f>IFERROR(VLOOKUP($E:$E,Input!$C:$Q,14,0),"")</f>
        <v/>
      </c>
      <c r="N173" s="82" t="str">
        <f>IFERROR(VLOOKUP($E:$E,Input!$C:$Q,15,0),"")</f>
        <v/>
      </c>
      <c r="P173" s="43" t="str">
        <f t="shared" si="5"/>
        <v>172,172,**</v>
      </c>
      <c r="Q173" s="43" t="s">
        <v>4896</v>
      </c>
      <c r="R173" s="43">
        <v>6042070338</v>
      </c>
      <c r="T173" s="90" t="s">
        <v>4897</v>
      </c>
      <c r="V173" s="43">
        <v>172</v>
      </c>
    </row>
    <row r="174" spans="1:22" ht="15.75">
      <c r="A174" s="13" t="str">
        <f>IFERROR(VLOOKUP($E:$E,scan!$A:$B,2,0),"**")</f>
        <v>**</v>
      </c>
      <c r="B174" s="13" t="str">
        <f>IFERROR(VLOOKUP($E174,scan!A:C,3,0),"**")</f>
        <v>**</v>
      </c>
      <c r="C174" s="79">
        <v>173</v>
      </c>
      <c r="E174" s="58"/>
      <c r="F174" s="78"/>
      <c r="G174" s="85" t="s">
        <v>4895</v>
      </c>
      <c r="H174" s="61">
        <v>0</v>
      </c>
      <c r="J174" s="43" t="e">
        <f>VLOOKUP(E174,Input!C:J,5,0)</f>
        <v>#N/A</v>
      </c>
      <c r="K174" s="43" t="e">
        <f>VLOOKUP(E174,Input!C:G,5,0)</f>
        <v>#N/A</v>
      </c>
      <c r="L174" s="82" t="str">
        <f>IFERROR(VLOOKUP($E:$E,Input!$C:$Q,12,0),"")</f>
        <v/>
      </c>
      <c r="M174" s="82" t="str">
        <f>IFERROR(VLOOKUP($E:$E,Input!$C:$Q,14,0),"")</f>
        <v/>
      </c>
      <c r="N174" s="82" t="str">
        <f>IFERROR(VLOOKUP($E:$E,Input!$C:$Q,15,0),"")</f>
        <v/>
      </c>
      <c r="P174" s="43" t="str">
        <f t="shared" si="5"/>
        <v>173,173,**</v>
      </c>
      <c r="Q174" s="43" t="s">
        <v>4896</v>
      </c>
      <c r="R174" s="43">
        <v>6042070338</v>
      </c>
      <c r="T174" s="90" t="s">
        <v>4897</v>
      </c>
      <c r="V174" s="43">
        <v>173</v>
      </c>
    </row>
    <row r="175" spans="1:22" ht="15.75">
      <c r="A175" s="13" t="str">
        <f>IFERROR(VLOOKUP($E:$E,scan!$A:$B,2,0),"**")</f>
        <v>**</v>
      </c>
      <c r="B175" s="13" t="str">
        <f>IFERROR(VLOOKUP($E175,scan!A:C,3,0),"**")</f>
        <v>**</v>
      </c>
      <c r="C175" s="79">
        <v>174</v>
      </c>
      <c r="E175" s="58"/>
      <c r="F175" s="78"/>
      <c r="G175" s="85" t="s">
        <v>4895</v>
      </c>
      <c r="H175" s="61">
        <v>0</v>
      </c>
      <c r="J175" s="43" t="e">
        <f>VLOOKUP(E175,Input!C:J,5,0)</f>
        <v>#N/A</v>
      </c>
      <c r="K175" s="43" t="e">
        <f>VLOOKUP(E175,Input!C:G,5,0)</f>
        <v>#N/A</v>
      </c>
      <c r="L175" s="82" t="str">
        <f>IFERROR(VLOOKUP($E:$E,Input!$C:$Q,12,0),"")</f>
        <v/>
      </c>
      <c r="M175" s="82" t="str">
        <f>IFERROR(VLOOKUP($E:$E,Input!$C:$Q,14,0),"")</f>
        <v/>
      </c>
      <c r="N175" s="82" t="str">
        <f>IFERROR(VLOOKUP($E:$E,Input!$C:$Q,15,0),"")</f>
        <v/>
      </c>
      <c r="P175" s="43" t="str">
        <f t="shared" si="5"/>
        <v>174,174,**</v>
      </c>
      <c r="Q175" s="43" t="s">
        <v>4896</v>
      </c>
      <c r="R175" s="43">
        <v>6042070338</v>
      </c>
      <c r="T175" s="90" t="s">
        <v>4897</v>
      </c>
      <c r="V175" s="43">
        <v>174</v>
      </c>
    </row>
    <row r="176" spans="1:22" ht="15.75">
      <c r="A176" s="13" t="str">
        <f>IFERROR(VLOOKUP($E:$E,scan!$A:$B,2,0),"**")</f>
        <v>**</v>
      </c>
      <c r="B176" s="13" t="str">
        <f>IFERROR(VLOOKUP($E176,scan!A:C,3,0),"**")</f>
        <v>**</v>
      </c>
      <c r="C176" s="79">
        <v>175</v>
      </c>
      <c r="E176" s="58"/>
      <c r="F176" s="78"/>
      <c r="G176" s="85" t="s">
        <v>4895</v>
      </c>
      <c r="H176" s="61">
        <v>0</v>
      </c>
      <c r="J176" s="43" t="e">
        <f>VLOOKUP(E176,Input!C:J,5,0)</f>
        <v>#N/A</v>
      </c>
      <c r="K176" s="43" t="e">
        <f>VLOOKUP(E176,Input!C:G,5,0)</f>
        <v>#N/A</v>
      </c>
      <c r="L176" s="82" t="str">
        <f>IFERROR(VLOOKUP($E:$E,Input!$C:$Q,12,0),"")</f>
        <v/>
      </c>
      <c r="M176" s="82" t="str">
        <f>IFERROR(VLOOKUP($E:$E,Input!$C:$Q,14,0),"")</f>
        <v/>
      </c>
      <c r="N176" s="82" t="str">
        <f>IFERROR(VLOOKUP($E:$E,Input!$C:$Q,15,0),"")</f>
        <v/>
      </c>
      <c r="P176" s="43" t="str">
        <f t="shared" si="5"/>
        <v>175,175,**</v>
      </c>
      <c r="Q176" s="43" t="s">
        <v>4896</v>
      </c>
      <c r="R176" s="43">
        <v>6042070338</v>
      </c>
      <c r="T176" s="90" t="s">
        <v>4897</v>
      </c>
      <c r="V176" s="43">
        <v>175</v>
      </c>
    </row>
    <row r="177" spans="1:22" ht="15.75">
      <c r="A177" s="13" t="str">
        <f>IFERROR(VLOOKUP($E:$E,scan!$A:$B,2,0),"**")</f>
        <v>**</v>
      </c>
      <c r="B177" s="13" t="str">
        <f>IFERROR(VLOOKUP($E177,scan!A:C,3,0),"**")</f>
        <v>**</v>
      </c>
      <c r="C177" s="79">
        <v>176</v>
      </c>
      <c r="E177" s="58"/>
      <c r="F177" s="78"/>
      <c r="G177" s="85" t="s">
        <v>4895</v>
      </c>
      <c r="H177" s="61">
        <v>0</v>
      </c>
      <c r="J177" s="43" t="e">
        <f>VLOOKUP(E177,Input!C:J,5,0)</f>
        <v>#N/A</v>
      </c>
      <c r="K177" s="43" t="e">
        <f>VLOOKUP(E177,Input!C:G,5,0)</f>
        <v>#N/A</v>
      </c>
      <c r="L177" s="82" t="str">
        <f>IFERROR(VLOOKUP($E:$E,Input!$C:$Q,12,0),"")</f>
        <v/>
      </c>
      <c r="M177" s="82" t="str">
        <f>IFERROR(VLOOKUP($E:$E,Input!$C:$Q,14,0),"")</f>
        <v/>
      </c>
      <c r="N177" s="82" t="str">
        <f>IFERROR(VLOOKUP($E:$E,Input!$C:$Q,15,0),"")</f>
        <v/>
      </c>
      <c r="P177" s="43" t="str">
        <f t="shared" si="5"/>
        <v>176,176,**</v>
      </c>
      <c r="Q177" s="43" t="s">
        <v>4896</v>
      </c>
      <c r="R177" s="43">
        <v>6042070338</v>
      </c>
      <c r="T177" s="90" t="s">
        <v>4897</v>
      </c>
      <c r="V177" s="43">
        <v>176</v>
      </c>
    </row>
    <row r="178" spans="1:22" ht="15.75">
      <c r="A178" s="13" t="str">
        <f>IFERROR(VLOOKUP($E:$E,scan!$A:$B,2,0),"**")</f>
        <v>**</v>
      </c>
      <c r="B178" s="13" t="str">
        <f>IFERROR(VLOOKUP($E178,scan!A:C,3,0),"**")</f>
        <v>**</v>
      </c>
      <c r="C178" s="79">
        <v>177</v>
      </c>
      <c r="E178" s="58"/>
      <c r="F178" s="78"/>
      <c r="G178" s="85" t="s">
        <v>4895</v>
      </c>
      <c r="H178" s="61">
        <v>0</v>
      </c>
      <c r="J178" s="43" t="e">
        <f>VLOOKUP(E178,Input!C:J,5,0)</f>
        <v>#N/A</v>
      </c>
      <c r="K178" s="43" t="e">
        <f>VLOOKUP(E178,Input!C:G,5,0)</f>
        <v>#N/A</v>
      </c>
      <c r="L178" s="82" t="str">
        <f>IFERROR(VLOOKUP($E:$E,Input!$C:$Q,12,0),"")</f>
        <v/>
      </c>
      <c r="M178" s="82" t="str">
        <f>IFERROR(VLOOKUP($E:$E,Input!$C:$Q,14,0),"")</f>
        <v/>
      </c>
      <c r="N178" s="82" t="str">
        <f>IFERROR(VLOOKUP($E:$E,Input!$C:$Q,15,0),"")</f>
        <v/>
      </c>
      <c r="P178" s="43" t="str">
        <f t="shared" si="5"/>
        <v>177,177,**</v>
      </c>
      <c r="Q178" s="43" t="s">
        <v>4896</v>
      </c>
      <c r="R178" s="43">
        <v>6042070338</v>
      </c>
      <c r="T178" s="90" t="s">
        <v>4897</v>
      </c>
      <c r="V178" s="43">
        <v>177</v>
      </c>
    </row>
    <row r="179" spans="1:22" ht="15.75">
      <c r="A179" s="13" t="str">
        <f>IFERROR(VLOOKUP($E:$E,scan!$A:$B,2,0),"**")</f>
        <v>**</v>
      </c>
      <c r="B179" s="13" t="str">
        <f>IFERROR(VLOOKUP($E179,scan!A:C,3,0),"**")</f>
        <v>**</v>
      </c>
      <c r="C179" s="79">
        <v>178</v>
      </c>
      <c r="E179" s="58"/>
      <c r="F179" s="78"/>
      <c r="G179" s="85" t="s">
        <v>4895</v>
      </c>
      <c r="H179" s="61">
        <v>0</v>
      </c>
      <c r="J179" s="43" t="e">
        <f>VLOOKUP(E179,Input!C:J,5,0)</f>
        <v>#N/A</v>
      </c>
      <c r="K179" s="43" t="e">
        <f>VLOOKUP(E179,Input!C:G,5,0)</f>
        <v>#N/A</v>
      </c>
      <c r="L179" s="82" t="str">
        <f>IFERROR(VLOOKUP($E:$E,Input!$C:$Q,12,0),"")</f>
        <v/>
      </c>
      <c r="M179" s="82" t="str">
        <f>IFERROR(VLOOKUP($E:$E,Input!$C:$Q,14,0),"")</f>
        <v/>
      </c>
      <c r="N179" s="82" t="str">
        <f>IFERROR(VLOOKUP($E:$E,Input!$C:$Q,15,0),"")</f>
        <v/>
      </c>
      <c r="P179" s="43" t="str">
        <f t="shared" si="5"/>
        <v>178,178,**</v>
      </c>
      <c r="Q179" s="43" t="s">
        <v>4896</v>
      </c>
      <c r="R179" s="43">
        <v>6042070338</v>
      </c>
      <c r="T179" s="90" t="s">
        <v>4897</v>
      </c>
      <c r="V179" s="43">
        <v>178</v>
      </c>
    </row>
    <row r="180" spans="1:22" ht="15.75">
      <c r="A180" s="13" t="str">
        <f>IFERROR(VLOOKUP($E:$E,scan!$A:$B,2,0),"**")</f>
        <v>**</v>
      </c>
      <c r="B180" s="13" t="str">
        <f>IFERROR(VLOOKUP($E180,scan!A:C,3,0),"**")</f>
        <v>**</v>
      </c>
      <c r="C180" s="79">
        <v>179</v>
      </c>
      <c r="E180" s="59"/>
      <c r="F180" s="78"/>
      <c r="G180" s="85" t="s">
        <v>4895</v>
      </c>
      <c r="H180" s="61">
        <v>0</v>
      </c>
      <c r="J180" s="43" t="e">
        <f>VLOOKUP(E180,Input!C:J,5,0)</f>
        <v>#N/A</v>
      </c>
      <c r="K180" s="43" t="e">
        <f>VLOOKUP(E180,Input!C:G,5,0)</f>
        <v>#N/A</v>
      </c>
      <c r="L180" s="82" t="str">
        <f>IFERROR(VLOOKUP($E:$E,Input!$C:$Q,12,0),"")</f>
        <v/>
      </c>
      <c r="M180" s="82" t="str">
        <f>IFERROR(VLOOKUP($E:$E,Input!$C:$Q,14,0),"")</f>
        <v/>
      </c>
      <c r="N180" s="82" t="str">
        <f>IFERROR(VLOOKUP($E:$E,Input!$C:$Q,15,0),"")</f>
        <v/>
      </c>
      <c r="P180" s="43" t="str">
        <f t="shared" si="5"/>
        <v>179,179,**</v>
      </c>
      <c r="Q180" s="43" t="s">
        <v>4896</v>
      </c>
      <c r="R180" s="43">
        <v>6042070338</v>
      </c>
      <c r="T180" s="90" t="s">
        <v>4897</v>
      </c>
      <c r="V180" s="43">
        <v>179</v>
      </c>
    </row>
    <row r="181" spans="1:22" ht="15.75">
      <c r="A181" s="13" t="str">
        <f>IFERROR(VLOOKUP($E:$E,scan!$A:$B,2,0),"**")</f>
        <v>**</v>
      </c>
      <c r="B181" s="13" t="str">
        <f>IFERROR(VLOOKUP($E181,scan!A:C,3,0),"**")</f>
        <v>**</v>
      </c>
      <c r="C181" s="79">
        <v>180</v>
      </c>
      <c r="E181" s="59"/>
      <c r="F181" s="78"/>
      <c r="G181" s="85" t="s">
        <v>4895</v>
      </c>
      <c r="H181" s="61">
        <v>0</v>
      </c>
      <c r="J181" s="43" t="e">
        <f>VLOOKUP(E181,Input!C:J,5,0)</f>
        <v>#N/A</v>
      </c>
      <c r="K181" s="43" t="e">
        <f>VLOOKUP(E181,Input!C:G,5,0)</f>
        <v>#N/A</v>
      </c>
      <c r="L181" s="82" t="str">
        <f>IFERROR(VLOOKUP($E:$E,Input!$C:$Q,12,0),"")</f>
        <v/>
      </c>
      <c r="M181" s="82" t="str">
        <f>IFERROR(VLOOKUP($E:$E,Input!$C:$Q,14,0),"")</f>
        <v/>
      </c>
      <c r="N181" s="82" t="str">
        <f>IFERROR(VLOOKUP($E:$E,Input!$C:$Q,15,0),"")</f>
        <v/>
      </c>
      <c r="P181" s="43" t="str">
        <f t="shared" si="5"/>
        <v>180,180,**</v>
      </c>
      <c r="Q181" s="43" t="s">
        <v>4896</v>
      </c>
      <c r="R181" s="43">
        <v>6042070338</v>
      </c>
      <c r="T181" s="90" t="s">
        <v>4897</v>
      </c>
      <c r="V181" s="43">
        <v>180</v>
      </c>
    </row>
    <row r="182" spans="1:22" ht="15.75">
      <c r="A182" s="13" t="str">
        <f>IFERROR(VLOOKUP($E:$E,scan!$A:$B,2,0),"**")</f>
        <v>**</v>
      </c>
      <c r="B182" s="13" t="str">
        <f>IFERROR(VLOOKUP($E182,scan!A:C,3,0),"**")</f>
        <v>**</v>
      </c>
      <c r="C182" s="79">
        <v>181</v>
      </c>
      <c r="E182" s="59"/>
      <c r="F182" s="78"/>
      <c r="G182" s="85" t="s">
        <v>4895</v>
      </c>
      <c r="H182" s="61">
        <v>0</v>
      </c>
      <c r="J182" s="43" t="e">
        <f>VLOOKUP(E182,Input!C:J,5,0)</f>
        <v>#N/A</v>
      </c>
      <c r="K182" s="43" t="e">
        <f>VLOOKUP(E182,Input!C:G,5,0)</f>
        <v>#N/A</v>
      </c>
      <c r="L182" s="82" t="str">
        <f>IFERROR(VLOOKUP($E:$E,Input!$C:$Q,12,0),"")</f>
        <v/>
      </c>
      <c r="M182" s="82" t="str">
        <f>IFERROR(VLOOKUP($E:$E,Input!$C:$Q,14,0),"")</f>
        <v/>
      </c>
      <c r="N182" s="82" t="str">
        <f>IFERROR(VLOOKUP($E:$E,Input!$C:$Q,15,0),"")</f>
        <v/>
      </c>
      <c r="P182" s="43" t="str">
        <f t="shared" si="5"/>
        <v>181,181,**</v>
      </c>
      <c r="Q182" s="43" t="s">
        <v>4896</v>
      </c>
      <c r="R182" s="43">
        <v>6042070338</v>
      </c>
      <c r="T182" s="90" t="s">
        <v>4897</v>
      </c>
      <c r="V182" s="43">
        <v>181</v>
      </c>
    </row>
    <row r="183" spans="1:22" ht="15.75">
      <c r="A183" s="13" t="str">
        <f>IFERROR(VLOOKUP($E:$E,scan!$A:$B,2,0),"**")</f>
        <v>**</v>
      </c>
      <c r="B183" s="13" t="str">
        <f>IFERROR(VLOOKUP($E183,scan!A:C,3,0),"**")</f>
        <v>**</v>
      </c>
      <c r="C183" s="79">
        <v>182</v>
      </c>
      <c r="E183" s="59"/>
      <c r="F183" s="78"/>
      <c r="G183" s="85" t="s">
        <v>4895</v>
      </c>
      <c r="H183" s="61">
        <v>0</v>
      </c>
      <c r="J183" s="43" t="e">
        <f>VLOOKUP(E183,Input!C:J,5,0)</f>
        <v>#N/A</v>
      </c>
      <c r="K183" s="43" t="e">
        <f>VLOOKUP(E183,Input!C:G,5,0)</f>
        <v>#N/A</v>
      </c>
      <c r="L183" s="82" t="str">
        <f>IFERROR(VLOOKUP($E:$E,Input!$C:$Q,12,0),"")</f>
        <v/>
      </c>
      <c r="M183" s="82" t="str">
        <f>IFERROR(VLOOKUP($E:$E,Input!$C:$Q,14,0),"")</f>
        <v/>
      </c>
      <c r="N183" s="82" t="str">
        <f>IFERROR(VLOOKUP($E:$E,Input!$C:$Q,15,0),"")</f>
        <v/>
      </c>
      <c r="P183" s="43" t="str">
        <f t="shared" si="5"/>
        <v>182,182,**</v>
      </c>
      <c r="Q183" s="43" t="s">
        <v>4896</v>
      </c>
      <c r="R183" s="43">
        <v>6042070338</v>
      </c>
      <c r="T183" s="90" t="s">
        <v>4897</v>
      </c>
      <c r="V183" s="43">
        <v>182</v>
      </c>
    </row>
    <row r="184" spans="1:22" ht="15.75">
      <c r="A184" s="13" t="str">
        <f>IFERROR(VLOOKUP($E:$E,scan!$A:$B,2,0),"**")</f>
        <v>**</v>
      </c>
      <c r="B184" s="13" t="str">
        <f>IFERROR(VLOOKUP($E184,scan!A:C,3,0),"**")</f>
        <v>**</v>
      </c>
      <c r="C184" s="79">
        <v>183</v>
      </c>
      <c r="E184" s="59"/>
      <c r="F184" s="78"/>
      <c r="G184" s="85" t="s">
        <v>4895</v>
      </c>
      <c r="H184" s="61">
        <v>0</v>
      </c>
      <c r="J184" s="43" t="e">
        <f>VLOOKUP(E184,Input!C:J,5,0)</f>
        <v>#N/A</v>
      </c>
      <c r="K184" s="43" t="e">
        <f>VLOOKUP(E184,Input!C:G,5,0)</f>
        <v>#N/A</v>
      </c>
      <c r="L184" s="82" t="str">
        <f>IFERROR(VLOOKUP($E:$E,Input!$C:$Q,12,0),"")</f>
        <v/>
      </c>
      <c r="M184" s="82" t="str">
        <f>IFERROR(VLOOKUP($E:$E,Input!$C:$Q,14,0),"")</f>
        <v/>
      </c>
      <c r="N184" s="82" t="str">
        <f>IFERROR(VLOOKUP($E:$E,Input!$C:$Q,15,0),"")</f>
        <v/>
      </c>
      <c r="P184" s="43" t="str">
        <f t="shared" si="5"/>
        <v>183,183,**</v>
      </c>
      <c r="Q184" s="43" t="s">
        <v>4896</v>
      </c>
      <c r="R184" s="43">
        <v>6042070338</v>
      </c>
      <c r="T184" s="90" t="s">
        <v>4897</v>
      </c>
      <c r="V184" s="43">
        <v>183</v>
      </c>
    </row>
    <row r="185" spans="1:22" ht="15.75">
      <c r="A185" s="13" t="str">
        <f>IFERROR(VLOOKUP($E:$E,scan!$A:$B,2,0),"**")</f>
        <v>**</v>
      </c>
      <c r="B185" s="13" t="str">
        <f>IFERROR(VLOOKUP($E185,scan!A:C,3,0),"**")</f>
        <v>**</v>
      </c>
      <c r="C185" s="79">
        <v>184</v>
      </c>
      <c r="E185" s="58"/>
      <c r="G185" s="85" t="s">
        <v>4895</v>
      </c>
      <c r="H185" s="61">
        <v>0</v>
      </c>
      <c r="J185" s="43" t="e">
        <f>VLOOKUP(E185,Input!C:J,5,0)</f>
        <v>#N/A</v>
      </c>
      <c r="K185" s="43" t="e">
        <f>VLOOKUP(E185,Input!C:G,5,0)</f>
        <v>#N/A</v>
      </c>
      <c r="L185" s="82" t="str">
        <f>IFERROR(VLOOKUP($E:$E,Input!$C:$Q,12,0),"")</f>
        <v/>
      </c>
      <c r="M185" s="82" t="str">
        <f>IFERROR(VLOOKUP($E:$E,Input!$C:$Q,14,0),"")</f>
        <v/>
      </c>
      <c r="N185" s="82" t="str">
        <f>IFERROR(VLOOKUP($E:$E,Input!$C:$Q,15,0),"")</f>
        <v/>
      </c>
      <c r="P185" s="43" t="str">
        <f t="shared" si="5"/>
        <v>184,184,**</v>
      </c>
      <c r="Q185" s="43" t="s">
        <v>4896</v>
      </c>
      <c r="R185" s="43">
        <v>6042070338</v>
      </c>
      <c r="T185" s="90" t="s">
        <v>4897</v>
      </c>
      <c r="V185" s="43">
        <v>184</v>
      </c>
    </row>
    <row r="186" spans="1:22" ht="15.75">
      <c r="A186" s="13" t="str">
        <f>IFERROR(VLOOKUP($E:$E,scan!$A:$B,2,0),"**")</f>
        <v>**</v>
      </c>
      <c r="B186" s="13" t="str">
        <f>IFERROR(VLOOKUP($E186,scan!A:C,3,0),"**")</f>
        <v>**</v>
      </c>
      <c r="C186" s="79">
        <v>185</v>
      </c>
      <c r="E186" s="58"/>
      <c r="G186" s="85" t="s">
        <v>4895</v>
      </c>
      <c r="H186" s="61">
        <v>0</v>
      </c>
      <c r="J186" s="43" t="e">
        <f>VLOOKUP(E186,Input!C:J,5,0)</f>
        <v>#N/A</v>
      </c>
      <c r="K186" s="43" t="e">
        <f>VLOOKUP(E186,Input!C:G,5,0)</f>
        <v>#N/A</v>
      </c>
      <c r="L186" s="82" t="str">
        <f>IFERROR(VLOOKUP($E:$E,Input!$C:$Q,12,0),"")</f>
        <v/>
      </c>
      <c r="M186" s="82" t="str">
        <f>IFERROR(VLOOKUP($E:$E,Input!$C:$Q,14,0),"")</f>
        <v/>
      </c>
      <c r="N186" s="82" t="str">
        <f>IFERROR(VLOOKUP($E:$E,Input!$C:$Q,15,0),"")</f>
        <v/>
      </c>
      <c r="P186" s="43" t="str">
        <f t="shared" si="5"/>
        <v>185,185,**</v>
      </c>
      <c r="Q186" s="43" t="s">
        <v>4896</v>
      </c>
      <c r="R186" s="43">
        <v>6042070338</v>
      </c>
      <c r="T186" s="90" t="s">
        <v>4897</v>
      </c>
      <c r="V186" s="43">
        <v>185</v>
      </c>
    </row>
    <row r="187" spans="1:22" ht="15.75">
      <c r="A187" s="13" t="str">
        <f>IFERROR(VLOOKUP($E:$E,scan!$A:$B,2,0),"**")</f>
        <v>**</v>
      </c>
      <c r="B187" s="13" t="str">
        <f>IFERROR(VLOOKUP($E187,scan!A:C,3,0),"**")</f>
        <v>**</v>
      </c>
      <c r="C187" s="79">
        <v>186</v>
      </c>
      <c r="E187" s="58"/>
      <c r="G187" s="85" t="s">
        <v>4895</v>
      </c>
      <c r="H187" s="61">
        <v>0</v>
      </c>
      <c r="J187" s="43" t="e">
        <f>VLOOKUP(E187,Input!C:J,5,0)</f>
        <v>#N/A</v>
      </c>
      <c r="K187" s="43" t="e">
        <f>VLOOKUP(E187,Input!C:G,5,0)</f>
        <v>#N/A</v>
      </c>
      <c r="L187" s="82" t="str">
        <f>IFERROR(VLOOKUP($E:$E,Input!$C:$Q,12,0),"")</f>
        <v/>
      </c>
      <c r="M187" s="82" t="str">
        <f>IFERROR(VLOOKUP($E:$E,Input!$C:$Q,14,0),"")</f>
        <v/>
      </c>
      <c r="N187" s="82" t="str">
        <f>IFERROR(VLOOKUP($E:$E,Input!$C:$Q,15,0),"")</f>
        <v/>
      </c>
      <c r="P187" s="43" t="str">
        <f t="shared" si="5"/>
        <v>186,186,**</v>
      </c>
      <c r="Q187" s="43" t="s">
        <v>4896</v>
      </c>
      <c r="R187" s="43">
        <v>6042070338</v>
      </c>
      <c r="T187" s="90" t="s">
        <v>4897</v>
      </c>
      <c r="V187" s="43">
        <v>186</v>
      </c>
    </row>
    <row r="188" spans="1:22" ht="15.75">
      <c r="A188" s="13" t="str">
        <f>IFERROR(VLOOKUP($E:$E,scan!$A:$B,2,0),"**")</f>
        <v>**</v>
      </c>
      <c r="B188" s="13" t="str">
        <f>IFERROR(VLOOKUP($E188,scan!A:C,3,0),"**")</f>
        <v>**</v>
      </c>
      <c r="C188" s="79">
        <v>187</v>
      </c>
      <c r="E188" s="58"/>
      <c r="G188" s="85" t="s">
        <v>4895</v>
      </c>
      <c r="H188" s="61">
        <v>0</v>
      </c>
      <c r="J188" s="43" t="e">
        <f>VLOOKUP(E188,Input!C:J,5,0)</f>
        <v>#N/A</v>
      </c>
      <c r="K188" s="43" t="e">
        <f>VLOOKUP(E188,Input!C:G,5,0)</f>
        <v>#N/A</v>
      </c>
      <c r="L188" s="82" t="str">
        <f>IFERROR(VLOOKUP($E:$E,Input!$C:$Q,12,0),"")</f>
        <v/>
      </c>
      <c r="M188" s="82" t="str">
        <f>IFERROR(VLOOKUP($E:$E,Input!$C:$Q,14,0),"")</f>
        <v/>
      </c>
      <c r="N188" s="82" t="str">
        <f>IFERROR(VLOOKUP($E:$E,Input!$C:$Q,15,0),"")</f>
        <v/>
      </c>
      <c r="P188" s="43" t="str">
        <f t="shared" si="5"/>
        <v>187,187,**</v>
      </c>
      <c r="Q188" s="43" t="s">
        <v>4896</v>
      </c>
      <c r="R188" s="43">
        <v>6042070338</v>
      </c>
      <c r="T188" s="90" t="s">
        <v>4897</v>
      </c>
      <c r="V188" s="43">
        <v>187</v>
      </c>
    </row>
    <row r="189" spans="1:22" ht="15.75">
      <c r="A189" s="13" t="str">
        <f>IFERROR(VLOOKUP($E:$E,scan!$A:$B,2,0),"**")</f>
        <v>**</v>
      </c>
      <c r="B189" s="13" t="str">
        <f>IFERROR(VLOOKUP($E189,scan!A:C,3,0),"**")</f>
        <v>**</v>
      </c>
      <c r="C189" s="79">
        <v>188</v>
      </c>
      <c r="E189" s="58"/>
      <c r="G189" s="85" t="s">
        <v>4895</v>
      </c>
      <c r="H189" s="61">
        <v>0</v>
      </c>
      <c r="J189" s="43" t="e">
        <f>VLOOKUP(E189,Input!C:J,5,0)</f>
        <v>#N/A</v>
      </c>
      <c r="K189" s="43" t="e">
        <f>VLOOKUP(E189,Input!C:G,5,0)</f>
        <v>#N/A</v>
      </c>
      <c r="L189" s="82" t="str">
        <f>IFERROR(VLOOKUP($E:$E,Input!$C:$Q,12,0),"")</f>
        <v/>
      </c>
      <c r="M189" s="82" t="str">
        <f>IFERROR(VLOOKUP($E:$E,Input!$C:$Q,14,0),"")</f>
        <v/>
      </c>
      <c r="N189" s="82" t="str">
        <f>IFERROR(VLOOKUP($E:$E,Input!$C:$Q,15,0),"")</f>
        <v/>
      </c>
      <c r="P189" s="43" t="str">
        <f t="shared" si="5"/>
        <v>188,188,**</v>
      </c>
      <c r="Q189" s="43" t="s">
        <v>4896</v>
      </c>
      <c r="R189" s="43">
        <v>6042070338</v>
      </c>
      <c r="T189" s="90" t="s">
        <v>4897</v>
      </c>
      <c r="V189" s="43">
        <v>188</v>
      </c>
    </row>
    <row r="190" spans="1:22" ht="15.75">
      <c r="A190" s="13" t="str">
        <f>IFERROR(VLOOKUP($E:$E,scan!$A:$B,2,0),"**")</f>
        <v>**</v>
      </c>
      <c r="B190" s="13" t="str">
        <f>IFERROR(VLOOKUP($E190,scan!A:C,3,0),"**")</f>
        <v>**</v>
      </c>
      <c r="C190" s="79">
        <v>189</v>
      </c>
      <c r="E190" s="58"/>
      <c r="G190" s="85" t="s">
        <v>4895</v>
      </c>
      <c r="H190" s="61">
        <v>0</v>
      </c>
      <c r="J190" s="43" t="e">
        <f>VLOOKUP(E190,Input!C:J,5,0)</f>
        <v>#N/A</v>
      </c>
      <c r="K190" s="43" t="e">
        <f>VLOOKUP(E190,Input!C:G,5,0)</f>
        <v>#N/A</v>
      </c>
      <c r="L190" s="82" t="str">
        <f>IFERROR(VLOOKUP($E:$E,Input!$C:$Q,12,0),"")</f>
        <v/>
      </c>
      <c r="M190" s="82" t="str">
        <f>IFERROR(VLOOKUP($E:$E,Input!$C:$Q,14,0),"")</f>
        <v/>
      </c>
      <c r="N190" s="82" t="str">
        <f>IFERROR(VLOOKUP($E:$E,Input!$C:$Q,15,0),"")</f>
        <v/>
      </c>
      <c r="P190" s="43" t="str">
        <f t="shared" si="5"/>
        <v>189,189,**</v>
      </c>
      <c r="Q190" s="43" t="s">
        <v>4896</v>
      </c>
      <c r="R190" s="43">
        <v>6042070338</v>
      </c>
      <c r="T190" s="90" t="s">
        <v>4897</v>
      </c>
      <c r="V190" s="43">
        <v>189</v>
      </c>
    </row>
    <row r="191" spans="1:22" ht="15.75">
      <c r="A191" s="13" t="str">
        <f>IFERROR(VLOOKUP($E:$E,scan!$A:$B,2,0),"**")</f>
        <v>**</v>
      </c>
      <c r="B191" s="13" t="str">
        <f>IFERROR(VLOOKUP($E191,scan!A:C,3,0),"**")</f>
        <v>**</v>
      </c>
      <c r="C191" s="79">
        <v>190</v>
      </c>
      <c r="E191" s="58"/>
      <c r="G191" s="85" t="s">
        <v>4895</v>
      </c>
      <c r="H191" s="61">
        <v>0</v>
      </c>
      <c r="J191" s="43" t="e">
        <f>VLOOKUP(E191,Input!C:J,5,0)</f>
        <v>#N/A</v>
      </c>
      <c r="K191" s="43" t="e">
        <f>VLOOKUP(E191,Input!C:G,5,0)</f>
        <v>#N/A</v>
      </c>
      <c r="L191" s="82" t="str">
        <f>IFERROR(VLOOKUP($E:$E,Input!$C:$Q,12,0),"")</f>
        <v/>
      </c>
      <c r="M191" s="82" t="str">
        <f>IFERROR(VLOOKUP($E:$E,Input!$C:$Q,14,0),"")</f>
        <v/>
      </c>
      <c r="N191" s="82" t="str">
        <f>IFERROR(VLOOKUP($E:$E,Input!$C:$Q,15,0),"")</f>
        <v/>
      </c>
      <c r="P191" s="43" t="str">
        <f t="shared" si="5"/>
        <v>190,190,**</v>
      </c>
      <c r="Q191" s="43" t="s">
        <v>4896</v>
      </c>
      <c r="R191" s="43">
        <v>6042070338</v>
      </c>
      <c r="T191" s="90" t="s">
        <v>4897</v>
      </c>
      <c r="V191" s="43">
        <v>190</v>
      </c>
    </row>
    <row r="192" spans="1:22" ht="15.75">
      <c r="A192" s="13" t="str">
        <f>IFERROR(VLOOKUP($E:$E,scan!$A:$B,2,0),"**")</f>
        <v>**</v>
      </c>
      <c r="B192" s="13" t="str">
        <f>IFERROR(VLOOKUP($E192,scan!A:C,3,0),"**")</f>
        <v>**</v>
      </c>
      <c r="C192" s="79">
        <v>191</v>
      </c>
      <c r="E192" s="58"/>
      <c r="G192" s="85" t="s">
        <v>4895</v>
      </c>
      <c r="H192" s="61">
        <v>0</v>
      </c>
      <c r="J192" s="43" t="e">
        <f>VLOOKUP(E192,Input!C:J,5,0)</f>
        <v>#N/A</v>
      </c>
      <c r="K192" s="43" t="e">
        <f>VLOOKUP(E192,Input!C:G,5,0)</f>
        <v>#N/A</v>
      </c>
      <c r="L192" s="82" t="str">
        <f>IFERROR(VLOOKUP($E:$E,Input!$C:$Q,12,0),"")</f>
        <v/>
      </c>
      <c r="M192" s="82" t="str">
        <f>IFERROR(VLOOKUP($E:$E,Input!$C:$Q,14,0),"")</f>
        <v/>
      </c>
      <c r="N192" s="82" t="str">
        <f>IFERROR(VLOOKUP($E:$E,Input!$C:$Q,15,0),"")</f>
        <v/>
      </c>
      <c r="P192" s="43" t="str">
        <f t="shared" si="5"/>
        <v>191,191,**</v>
      </c>
      <c r="Q192" s="43" t="s">
        <v>4896</v>
      </c>
      <c r="R192" s="43">
        <v>6042070338</v>
      </c>
      <c r="T192" s="90" t="s">
        <v>4897</v>
      </c>
      <c r="V192" s="43">
        <v>191</v>
      </c>
    </row>
    <row r="193" spans="1:22" ht="15.75">
      <c r="A193" s="13" t="str">
        <f>IFERROR(VLOOKUP($E:$E,scan!$A:$B,2,0),"**")</f>
        <v>**</v>
      </c>
      <c r="B193" s="13" t="str">
        <f>IFERROR(VLOOKUP($E193,scan!A:C,3,0),"**")</f>
        <v>**</v>
      </c>
      <c r="C193" s="79">
        <v>192</v>
      </c>
      <c r="E193" s="58"/>
      <c r="G193" s="85" t="s">
        <v>4895</v>
      </c>
      <c r="H193" s="61">
        <v>0</v>
      </c>
      <c r="J193" s="43" t="e">
        <f>VLOOKUP(E193,Input!C:J,5,0)</f>
        <v>#N/A</v>
      </c>
      <c r="K193" s="43" t="e">
        <f>VLOOKUP(E193,Input!C:G,5,0)</f>
        <v>#N/A</v>
      </c>
      <c r="L193" s="82" t="str">
        <f>IFERROR(VLOOKUP($E:$E,Input!$C:$Q,12,0),"")</f>
        <v/>
      </c>
      <c r="M193" s="82" t="str">
        <f>IFERROR(VLOOKUP($E:$E,Input!$C:$Q,14,0),"")</f>
        <v/>
      </c>
      <c r="N193" s="82" t="str">
        <f>IFERROR(VLOOKUP($E:$E,Input!$C:$Q,15,0),"")</f>
        <v/>
      </c>
      <c r="P193" s="43" t="str">
        <f t="shared" si="5"/>
        <v>192,192,**</v>
      </c>
      <c r="Q193" s="43" t="s">
        <v>4896</v>
      </c>
      <c r="R193" s="43">
        <v>6042070338</v>
      </c>
      <c r="T193" s="90" t="s">
        <v>4897</v>
      </c>
      <c r="V193" s="43">
        <v>192</v>
      </c>
    </row>
    <row r="194" spans="1:22" ht="15.75">
      <c r="A194" s="13" t="str">
        <f>IFERROR(VLOOKUP($E:$E,scan!$A:$B,2,0),"**")</f>
        <v>**</v>
      </c>
      <c r="B194" s="13" t="str">
        <f>IFERROR(VLOOKUP($E194,scan!A:C,3,0),"**")</f>
        <v>**</v>
      </c>
      <c r="C194" s="79">
        <v>193</v>
      </c>
      <c r="E194" s="58"/>
      <c r="G194" s="85" t="s">
        <v>4895</v>
      </c>
      <c r="H194" s="61">
        <v>0</v>
      </c>
      <c r="J194" s="43" t="e">
        <f>VLOOKUP(E194,Input!C:J,5,0)</f>
        <v>#N/A</v>
      </c>
      <c r="K194" s="43" t="e">
        <f>VLOOKUP(E194,Input!C:G,5,0)</f>
        <v>#N/A</v>
      </c>
      <c r="L194" s="82" t="str">
        <f>IFERROR(VLOOKUP($E:$E,Input!$C:$Q,12,0),"")</f>
        <v/>
      </c>
      <c r="M194" s="82" t="str">
        <f>IFERROR(VLOOKUP($E:$E,Input!$C:$Q,14,0),"")</f>
        <v/>
      </c>
      <c r="N194" s="82" t="str">
        <f>IFERROR(VLOOKUP($E:$E,Input!$C:$Q,15,0),"")</f>
        <v/>
      </c>
      <c r="P194" s="43" t="str">
        <f t="shared" si="5"/>
        <v>193,193,**</v>
      </c>
      <c r="Q194" s="43" t="s">
        <v>4896</v>
      </c>
      <c r="R194" s="43">
        <v>6042070338</v>
      </c>
      <c r="T194" s="90" t="s">
        <v>4897</v>
      </c>
      <c r="V194" s="43">
        <v>193</v>
      </c>
    </row>
    <row r="195" spans="1:22" ht="15.75">
      <c r="A195" s="13" t="str">
        <f>IFERROR(VLOOKUP($E:$E,scan!$A:$B,2,0),"**")</f>
        <v>**</v>
      </c>
      <c r="B195" s="13" t="str">
        <f>IFERROR(VLOOKUP($E195,scan!A:C,3,0),"**")</f>
        <v>**</v>
      </c>
      <c r="C195" s="79">
        <v>194</v>
      </c>
      <c r="E195" s="58"/>
      <c r="G195" s="85" t="s">
        <v>4895</v>
      </c>
      <c r="H195" s="61">
        <v>0</v>
      </c>
      <c r="J195" s="43" t="e">
        <f>VLOOKUP(E195,Input!C:J,5,0)</f>
        <v>#N/A</v>
      </c>
      <c r="K195" s="43" t="e">
        <f>VLOOKUP(E195,Input!C:G,5,0)</f>
        <v>#N/A</v>
      </c>
      <c r="L195" s="82" t="str">
        <f>IFERROR(VLOOKUP($E:$E,Input!$C:$Q,12,0),"")</f>
        <v/>
      </c>
      <c r="M195" s="82" t="str">
        <f>IFERROR(VLOOKUP($E:$E,Input!$C:$Q,14,0),"")</f>
        <v/>
      </c>
      <c r="N195" s="82" t="str">
        <f>IFERROR(VLOOKUP($E:$E,Input!$C:$Q,15,0),"")</f>
        <v/>
      </c>
      <c r="P195" s="43" t="str">
        <f t="shared" si="5"/>
        <v>194,194,**</v>
      </c>
      <c r="Q195" s="43" t="s">
        <v>4896</v>
      </c>
      <c r="R195" s="43">
        <v>6042070338</v>
      </c>
      <c r="T195" s="90" t="s">
        <v>4897</v>
      </c>
      <c r="V195" s="43">
        <v>194</v>
      </c>
    </row>
    <row r="196" spans="1:22" ht="15.75">
      <c r="A196" s="13" t="str">
        <f>IFERROR(VLOOKUP($E:$E,scan!$A:$B,2,0),"**")</f>
        <v>**</v>
      </c>
      <c r="B196" s="13" t="str">
        <f>IFERROR(VLOOKUP($E196,scan!A:C,3,0),"**")</f>
        <v>**</v>
      </c>
      <c r="C196" s="79">
        <v>195</v>
      </c>
      <c r="E196" s="58"/>
      <c r="G196" s="85" t="s">
        <v>4895</v>
      </c>
      <c r="H196" s="61">
        <v>0</v>
      </c>
      <c r="J196" s="43" t="e">
        <f>VLOOKUP(E196,Input!C:J,5,0)</f>
        <v>#N/A</v>
      </c>
      <c r="K196" s="43" t="e">
        <f>VLOOKUP(E196,Input!C:G,5,0)</f>
        <v>#N/A</v>
      </c>
      <c r="L196" s="82" t="str">
        <f>IFERROR(VLOOKUP($E:$E,Input!$C:$Q,12,0),"")</f>
        <v/>
      </c>
      <c r="M196" s="82" t="str">
        <f>IFERROR(VLOOKUP($E:$E,Input!$C:$Q,14,0),"")</f>
        <v/>
      </c>
      <c r="N196" s="82" t="str">
        <f>IFERROR(VLOOKUP($E:$E,Input!$C:$Q,15,0),"")</f>
        <v/>
      </c>
      <c r="P196" s="43" t="str">
        <f t="shared" si="5"/>
        <v>195,195,**</v>
      </c>
      <c r="Q196" s="43" t="s">
        <v>4896</v>
      </c>
      <c r="R196" s="43">
        <v>6042070338</v>
      </c>
      <c r="T196" s="90" t="s">
        <v>4897</v>
      </c>
      <c r="V196" s="43">
        <v>195</v>
      </c>
    </row>
    <row r="197" spans="1:22" ht="15.75">
      <c r="A197" s="13" t="str">
        <f>IFERROR(VLOOKUP($E:$E,scan!$A:$B,2,0),"**")</f>
        <v>**</v>
      </c>
      <c r="B197" s="13" t="str">
        <f>IFERROR(VLOOKUP($E197,scan!A:C,3,0),"**")</f>
        <v>**</v>
      </c>
      <c r="C197" s="79">
        <v>196</v>
      </c>
      <c r="E197" s="58"/>
      <c r="G197" s="85" t="s">
        <v>4895</v>
      </c>
      <c r="H197" s="61">
        <v>0</v>
      </c>
      <c r="J197" s="43" t="e">
        <f>VLOOKUP(E197,Input!C:J,5,0)</f>
        <v>#N/A</v>
      </c>
      <c r="K197" s="43" t="e">
        <f>VLOOKUP(E197,Input!C:G,5,0)</f>
        <v>#N/A</v>
      </c>
      <c r="L197" s="82" t="str">
        <f>IFERROR(VLOOKUP($E:$E,Input!$C:$Q,12,0),"")</f>
        <v/>
      </c>
      <c r="M197" s="82" t="str">
        <f>IFERROR(VLOOKUP($E:$E,Input!$C:$Q,14,0),"")</f>
        <v/>
      </c>
      <c r="N197" s="82" t="str">
        <f>IFERROR(VLOOKUP($E:$E,Input!$C:$Q,15,0),"")</f>
        <v/>
      </c>
      <c r="P197" s="43" t="str">
        <f t="shared" si="5"/>
        <v>196,196,**</v>
      </c>
      <c r="Q197" s="43" t="s">
        <v>4896</v>
      </c>
      <c r="R197" s="43">
        <v>6042070338</v>
      </c>
      <c r="T197" s="90" t="s">
        <v>4897</v>
      </c>
      <c r="V197" s="43">
        <v>196</v>
      </c>
    </row>
    <row r="198" spans="1:22" ht="15.75">
      <c r="A198" s="13" t="str">
        <f>IFERROR(VLOOKUP($E:$E,scan!$A:$B,2,0),"**")</f>
        <v>**</v>
      </c>
      <c r="B198" s="13" t="str">
        <f>IFERROR(VLOOKUP($E198,scan!A:C,3,0),"**")</f>
        <v>**</v>
      </c>
      <c r="C198" s="79">
        <v>197</v>
      </c>
      <c r="E198" s="58"/>
      <c r="G198" s="85" t="s">
        <v>4895</v>
      </c>
      <c r="H198" s="61">
        <v>0</v>
      </c>
      <c r="J198" s="43" t="e">
        <f>VLOOKUP(E198,Input!C:J,5,0)</f>
        <v>#N/A</v>
      </c>
      <c r="K198" s="43" t="e">
        <f>VLOOKUP(E198,Input!C:G,5,0)</f>
        <v>#N/A</v>
      </c>
      <c r="L198" s="82" t="str">
        <f>IFERROR(VLOOKUP($E:$E,Input!$C:$Q,12,0),"")</f>
        <v/>
      </c>
      <c r="M198" s="82" t="str">
        <f>IFERROR(VLOOKUP($E:$E,Input!$C:$Q,14,0),"")</f>
        <v/>
      </c>
      <c r="N198" s="82" t="str">
        <f>IFERROR(VLOOKUP($E:$E,Input!$C:$Q,15,0),"")</f>
        <v/>
      </c>
      <c r="P198" s="43" t="str">
        <f t="shared" si="5"/>
        <v>197,197,**</v>
      </c>
      <c r="Q198" s="43" t="s">
        <v>4896</v>
      </c>
      <c r="R198" s="43">
        <v>6042070338</v>
      </c>
      <c r="T198" s="90" t="s">
        <v>4897</v>
      </c>
      <c r="V198" s="43">
        <v>197</v>
      </c>
    </row>
    <row r="199" spans="1:22" ht="15.75">
      <c r="A199" s="13" t="str">
        <f>IFERROR(VLOOKUP($E:$E,scan!$A:$B,2,0),"**")</f>
        <v>**</v>
      </c>
      <c r="B199" s="13" t="str">
        <f>IFERROR(VLOOKUP($E199,scan!A:C,3,0),"**")</f>
        <v>**</v>
      </c>
      <c r="C199" s="79">
        <v>198</v>
      </c>
      <c r="E199" s="58"/>
      <c r="G199" s="85" t="s">
        <v>4895</v>
      </c>
      <c r="H199" s="61">
        <v>0</v>
      </c>
      <c r="J199" s="43" t="e">
        <f>VLOOKUP(E199,Input!C:J,5,0)</f>
        <v>#N/A</v>
      </c>
      <c r="K199" s="43" t="e">
        <f>VLOOKUP(E199,Input!C:G,5,0)</f>
        <v>#N/A</v>
      </c>
      <c r="L199" s="82" t="str">
        <f>IFERROR(VLOOKUP($E:$E,Input!$C:$Q,12,0),"")</f>
        <v/>
      </c>
      <c r="M199" s="82" t="str">
        <f>IFERROR(VLOOKUP($E:$E,Input!$C:$Q,14,0),"")</f>
        <v/>
      </c>
      <c r="N199" s="82" t="str">
        <f>IFERROR(VLOOKUP($E:$E,Input!$C:$Q,15,0),"")</f>
        <v/>
      </c>
      <c r="P199" s="43" t="str">
        <f t="shared" si="5"/>
        <v>198,198,**</v>
      </c>
      <c r="Q199" s="43" t="s">
        <v>4896</v>
      </c>
      <c r="R199" s="43">
        <v>6042070338</v>
      </c>
      <c r="T199" s="90" t="s">
        <v>4897</v>
      </c>
      <c r="V199" s="43">
        <v>198</v>
      </c>
    </row>
    <row r="200" spans="1:22" ht="15.75">
      <c r="A200" s="13" t="str">
        <f>IFERROR(VLOOKUP($E:$E,scan!$A:$B,2,0),"**")</f>
        <v>**</v>
      </c>
      <c r="B200" s="13" t="str">
        <f>IFERROR(VLOOKUP($E200,scan!A:C,3,0),"**")</f>
        <v>**</v>
      </c>
      <c r="C200" s="79">
        <v>199</v>
      </c>
      <c r="E200" s="58"/>
      <c r="G200" s="85" t="s">
        <v>4895</v>
      </c>
      <c r="H200" s="61">
        <v>0</v>
      </c>
      <c r="J200" s="43" t="e">
        <f>VLOOKUP(E200,Input!C:J,5,0)</f>
        <v>#N/A</v>
      </c>
      <c r="K200" s="43" t="e">
        <f>VLOOKUP(E200,Input!C:G,5,0)</f>
        <v>#N/A</v>
      </c>
      <c r="L200" s="82" t="str">
        <f>IFERROR(VLOOKUP($E:$E,Input!$C:$Q,12,0),"")</f>
        <v/>
      </c>
      <c r="M200" s="82" t="str">
        <f>IFERROR(VLOOKUP($E:$E,Input!$C:$Q,14,0),"")</f>
        <v/>
      </c>
      <c r="N200" s="82" t="str">
        <f>IFERROR(VLOOKUP($E:$E,Input!$C:$Q,15,0),"")</f>
        <v/>
      </c>
      <c r="P200" s="43" t="str">
        <f t="shared" ref="P200:P263" si="6">V200&amp;","&amp;C200&amp;","&amp;B200</f>
        <v>199,199,**</v>
      </c>
      <c r="Q200" s="43" t="s">
        <v>4896</v>
      </c>
      <c r="R200" s="43">
        <v>6042070338</v>
      </c>
      <c r="T200" s="90" t="s">
        <v>4897</v>
      </c>
      <c r="V200" s="43">
        <v>199</v>
      </c>
    </row>
    <row r="201" spans="1:22" ht="15.75">
      <c r="A201" s="13" t="str">
        <f>IFERROR(VLOOKUP($E:$E,scan!$A:$B,2,0),"**")</f>
        <v>**</v>
      </c>
      <c r="B201" s="13" t="str">
        <f>IFERROR(VLOOKUP($E201,scan!A:C,3,0),"**")</f>
        <v>**</v>
      </c>
      <c r="C201" s="79">
        <v>200</v>
      </c>
      <c r="E201" s="58"/>
      <c r="G201" s="85" t="s">
        <v>4895</v>
      </c>
      <c r="H201" s="61">
        <v>0</v>
      </c>
      <c r="J201" s="43" t="e">
        <f>VLOOKUP(E201,Input!C:J,5,0)</f>
        <v>#N/A</v>
      </c>
      <c r="K201" s="43" t="e">
        <f>VLOOKUP(E201,Input!C:G,5,0)</f>
        <v>#N/A</v>
      </c>
      <c r="L201" s="82" t="str">
        <f>IFERROR(VLOOKUP($E:$E,Input!$C:$Q,12,0),"")</f>
        <v/>
      </c>
      <c r="M201" s="82" t="str">
        <f>IFERROR(VLOOKUP($E:$E,Input!$C:$Q,14,0),"")</f>
        <v/>
      </c>
      <c r="N201" s="82" t="str">
        <f>IFERROR(VLOOKUP($E:$E,Input!$C:$Q,15,0),"")</f>
        <v/>
      </c>
      <c r="P201" s="43" t="str">
        <f t="shared" si="6"/>
        <v>200,200,**</v>
      </c>
      <c r="Q201" s="43" t="s">
        <v>4896</v>
      </c>
      <c r="R201" s="43">
        <v>6042070338</v>
      </c>
      <c r="T201" s="90" t="s">
        <v>4897</v>
      </c>
      <c r="V201" s="43">
        <v>200</v>
      </c>
    </row>
    <row r="202" spans="1:22" ht="15.75">
      <c r="A202" s="13" t="str">
        <f>IFERROR(VLOOKUP($E:$E,scan!$A:$B,2,0),"**")</f>
        <v>**</v>
      </c>
      <c r="B202" s="13" t="str">
        <f>IFERROR(VLOOKUP($E202,scan!A:C,3,0),"**")</f>
        <v>**</v>
      </c>
      <c r="C202" s="79">
        <v>201</v>
      </c>
      <c r="E202" s="58"/>
      <c r="G202" s="85" t="s">
        <v>4895</v>
      </c>
      <c r="H202" s="61">
        <v>0</v>
      </c>
      <c r="J202" s="43" t="e">
        <f>VLOOKUP(E202,Input!C:J,5,0)</f>
        <v>#N/A</v>
      </c>
      <c r="K202" s="43" t="e">
        <f>VLOOKUP(E202,Input!C:G,5,0)</f>
        <v>#N/A</v>
      </c>
      <c r="L202" s="82" t="str">
        <f>IFERROR(VLOOKUP($E:$E,Input!$C:$Q,12,0),"")</f>
        <v/>
      </c>
      <c r="M202" s="82" t="str">
        <f>IFERROR(VLOOKUP($E:$E,Input!$C:$Q,14,0),"")</f>
        <v/>
      </c>
      <c r="N202" s="82" t="str">
        <f>IFERROR(VLOOKUP($E:$E,Input!$C:$Q,15,0),"")</f>
        <v/>
      </c>
      <c r="P202" s="43" t="str">
        <f t="shared" si="6"/>
        <v>201,201,**</v>
      </c>
      <c r="Q202" s="43" t="s">
        <v>4896</v>
      </c>
      <c r="R202" s="43">
        <v>6042070338</v>
      </c>
      <c r="T202" s="90" t="s">
        <v>4897</v>
      </c>
      <c r="V202" s="43">
        <v>201</v>
      </c>
    </row>
    <row r="203" spans="1:22" ht="15.75">
      <c r="A203" s="13" t="str">
        <f>IFERROR(VLOOKUP($E:$E,scan!$A:$B,2,0),"**")</f>
        <v>**</v>
      </c>
      <c r="B203" s="13" t="str">
        <f>IFERROR(VLOOKUP($E203,scan!A:C,3,0),"**")</f>
        <v>**</v>
      </c>
      <c r="C203" s="79">
        <v>202</v>
      </c>
      <c r="E203" s="58"/>
      <c r="G203" s="85" t="s">
        <v>4895</v>
      </c>
      <c r="H203" s="61">
        <v>0</v>
      </c>
      <c r="J203" s="43" t="e">
        <f>VLOOKUP(E203,Input!C:J,5,0)</f>
        <v>#N/A</v>
      </c>
      <c r="K203" s="43" t="e">
        <f>VLOOKUP(E203,Input!C:G,5,0)</f>
        <v>#N/A</v>
      </c>
      <c r="L203" s="82" t="str">
        <f>IFERROR(VLOOKUP($E:$E,Input!$C:$Q,12,0),"")</f>
        <v/>
      </c>
      <c r="M203" s="82" t="str">
        <f>IFERROR(VLOOKUP($E:$E,Input!$C:$Q,14,0),"")</f>
        <v/>
      </c>
      <c r="N203" s="82" t="str">
        <f>IFERROR(VLOOKUP($E:$E,Input!$C:$Q,15,0),"")</f>
        <v/>
      </c>
      <c r="P203" s="43" t="str">
        <f t="shared" si="6"/>
        <v>202,202,**</v>
      </c>
      <c r="Q203" s="43" t="s">
        <v>4896</v>
      </c>
      <c r="R203" s="43">
        <v>6042070338</v>
      </c>
      <c r="T203" s="90" t="s">
        <v>4897</v>
      </c>
      <c r="V203" s="43">
        <v>202</v>
      </c>
    </row>
    <row r="204" spans="1:22" ht="15.75">
      <c r="A204" s="13" t="str">
        <f>IFERROR(VLOOKUP($E:$E,scan!$A:$B,2,0),"**")</f>
        <v>**</v>
      </c>
      <c r="B204" s="13" t="str">
        <f>IFERROR(VLOOKUP($E204,scan!A:C,3,0),"**")</f>
        <v>**</v>
      </c>
      <c r="C204" s="79">
        <v>203</v>
      </c>
      <c r="E204" s="58"/>
      <c r="G204" s="85" t="s">
        <v>4895</v>
      </c>
      <c r="H204" s="61">
        <v>0</v>
      </c>
      <c r="J204" s="43" t="e">
        <f>VLOOKUP(E204,Input!C:J,5,0)</f>
        <v>#N/A</v>
      </c>
      <c r="K204" s="43" t="e">
        <f>VLOOKUP(E204,Input!C:G,5,0)</f>
        <v>#N/A</v>
      </c>
      <c r="L204" s="82" t="str">
        <f>IFERROR(VLOOKUP($E:$E,Input!$C:$Q,12,0),"")</f>
        <v/>
      </c>
      <c r="M204" s="82" t="str">
        <f>IFERROR(VLOOKUP($E:$E,Input!$C:$Q,14,0),"")</f>
        <v/>
      </c>
      <c r="N204" s="82" t="str">
        <f>IFERROR(VLOOKUP($E:$E,Input!$C:$Q,15,0),"")</f>
        <v/>
      </c>
      <c r="P204" s="43" t="str">
        <f t="shared" si="6"/>
        <v>203,203,**</v>
      </c>
      <c r="Q204" s="43" t="s">
        <v>4896</v>
      </c>
      <c r="R204" s="43">
        <v>6042070338</v>
      </c>
      <c r="T204" s="90" t="s">
        <v>4897</v>
      </c>
      <c r="V204" s="43">
        <v>203</v>
      </c>
    </row>
    <row r="205" spans="1:22" ht="15.75">
      <c r="A205" s="13" t="str">
        <f>IFERROR(VLOOKUP($E:$E,scan!$A:$B,2,0),"**")</f>
        <v>**</v>
      </c>
      <c r="B205" s="13" t="str">
        <f>IFERROR(VLOOKUP($E205,scan!A:C,3,0),"**")</f>
        <v>**</v>
      </c>
      <c r="C205" s="79">
        <v>204</v>
      </c>
      <c r="E205" s="58"/>
      <c r="G205" s="85" t="s">
        <v>4895</v>
      </c>
      <c r="H205" s="61">
        <v>0</v>
      </c>
      <c r="J205" s="43" t="e">
        <f>VLOOKUP(E205,Input!C:J,5,0)</f>
        <v>#N/A</v>
      </c>
      <c r="K205" s="43" t="e">
        <f>VLOOKUP(E205,Input!C:G,5,0)</f>
        <v>#N/A</v>
      </c>
      <c r="L205" s="82" t="str">
        <f>IFERROR(VLOOKUP($E:$E,Input!$C:$Q,12,0),"")</f>
        <v/>
      </c>
      <c r="M205" s="82" t="str">
        <f>IFERROR(VLOOKUP($E:$E,Input!$C:$Q,14,0),"")</f>
        <v/>
      </c>
      <c r="N205" s="82" t="str">
        <f>IFERROR(VLOOKUP($E:$E,Input!$C:$Q,15,0),"")</f>
        <v/>
      </c>
      <c r="P205" s="43" t="str">
        <f t="shared" si="6"/>
        <v>204,204,**</v>
      </c>
      <c r="Q205" s="43" t="s">
        <v>4896</v>
      </c>
      <c r="R205" s="43">
        <v>6042070338</v>
      </c>
      <c r="T205" s="90" t="s">
        <v>4897</v>
      </c>
      <c r="V205" s="43">
        <v>204</v>
      </c>
    </row>
    <row r="206" spans="1:22" ht="15.75">
      <c r="A206" s="13" t="str">
        <f>IFERROR(VLOOKUP($E:$E,scan!$A:$B,2,0),"**")</f>
        <v>**</v>
      </c>
      <c r="B206" s="13" t="str">
        <f>IFERROR(VLOOKUP($E206,scan!A:C,3,0),"**")</f>
        <v>**</v>
      </c>
      <c r="C206" s="79">
        <v>205</v>
      </c>
      <c r="E206" s="58"/>
      <c r="G206" s="85" t="s">
        <v>4895</v>
      </c>
      <c r="H206" s="61">
        <v>0</v>
      </c>
      <c r="J206" s="43" t="e">
        <f>VLOOKUP(E206,Input!C:J,5,0)</f>
        <v>#N/A</v>
      </c>
      <c r="K206" s="43" t="e">
        <f>VLOOKUP(E206,Input!C:G,5,0)</f>
        <v>#N/A</v>
      </c>
      <c r="L206" s="82" t="str">
        <f>IFERROR(VLOOKUP($E:$E,Input!$C:$Q,12,0),"")</f>
        <v/>
      </c>
      <c r="M206" s="82" t="str">
        <f>IFERROR(VLOOKUP($E:$E,Input!$C:$Q,14,0),"")</f>
        <v/>
      </c>
      <c r="N206" s="82" t="str">
        <f>IFERROR(VLOOKUP($E:$E,Input!$C:$Q,15,0),"")</f>
        <v/>
      </c>
      <c r="P206" s="43" t="str">
        <f t="shared" si="6"/>
        <v>205,205,**</v>
      </c>
      <c r="Q206" s="43" t="s">
        <v>4896</v>
      </c>
      <c r="R206" s="43">
        <v>6042070338</v>
      </c>
      <c r="T206" s="90" t="s">
        <v>4897</v>
      </c>
      <c r="V206" s="43">
        <v>205</v>
      </c>
    </row>
    <row r="207" spans="1:22" ht="15.75">
      <c r="A207" s="13" t="str">
        <f>IFERROR(VLOOKUP($E:$E,scan!$A:$B,2,0),"**")</f>
        <v>**</v>
      </c>
      <c r="B207" s="13" t="str">
        <f>IFERROR(VLOOKUP($E207,scan!A:C,3,0),"**")</f>
        <v>**</v>
      </c>
      <c r="C207" s="79">
        <v>206</v>
      </c>
      <c r="E207" s="58"/>
      <c r="G207" s="85" t="s">
        <v>4895</v>
      </c>
      <c r="H207" s="61">
        <v>0</v>
      </c>
      <c r="J207" s="43" t="e">
        <f>VLOOKUP(E207,Input!C:J,5,0)</f>
        <v>#N/A</v>
      </c>
      <c r="K207" s="43" t="e">
        <f>VLOOKUP(E207,Input!C:G,5,0)</f>
        <v>#N/A</v>
      </c>
      <c r="L207" s="82" t="str">
        <f>IFERROR(VLOOKUP($E:$E,Input!$C:$Q,12,0),"")</f>
        <v/>
      </c>
      <c r="M207" s="82" t="str">
        <f>IFERROR(VLOOKUP($E:$E,Input!$C:$Q,14,0),"")</f>
        <v/>
      </c>
      <c r="N207" s="82" t="str">
        <f>IFERROR(VLOOKUP($E:$E,Input!$C:$Q,15,0),"")</f>
        <v/>
      </c>
      <c r="P207" s="43" t="str">
        <f t="shared" si="6"/>
        <v>206,206,**</v>
      </c>
      <c r="Q207" s="43" t="s">
        <v>4896</v>
      </c>
      <c r="R207" s="43">
        <v>6042070338</v>
      </c>
      <c r="T207" s="90" t="s">
        <v>4897</v>
      </c>
      <c r="V207" s="43">
        <v>206</v>
      </c>
    </row>
    <row r="208" spans="1:22" ht="15.75">
      <c r="A208" s="13" t="str">
        <f>IFERROR(VLOOKUP($E:$E,scan!$A:$B,2,0),"**")</f>
        <v>**</v>
      </c>
      <c r="B208" s="13" t="str">
        <f>IFERROR(VLOOKUP($E208,scan!A:C,3,0),"**")</f>
        <v>**</v>
      </c>
      <c r="C208" s="79">
        <v>207</v>
      </c>
      <c r="E208" s="58"/>
      <c r="G208" s="85" t="s">
        <v>4895</v>
      </c>
      <c r="H208" s="61">
        <v>0</v>
      </c>
      <c r="J208" s="43" t="e">
        <f>VLOOKUP(E208,Input!C:J,5,0)</f>
        <v>#N/A</v>
      </c>
      <c r="K208" s="43" t="e">
        <f>VLOOKUP(E208,Input!C:G,5,0)</f>
        <v>#N/A</v>
      </c>
      <c r="L208" s="82" t="str">
        <f>IFERROR(VLOOKUP($E:$E,Input!$C:$Q,12,0),"")</f>
        <v/>
      </c>
      <c r="M208" s="82" t="str">
        <f>IFERROR(VLOOKUP($E:$E,Input!$C:$Q,14,0),"")</f>
        <v/>
      </c>
      <c r="N208" s="82" t="str">
        <f>IFERROR(VLOOKUP($E:$E,Input!$C:$Q,15,0),"")</f>
        <v/>
      </c>
      <c r="P208" s="43" t="str">
        <f t="shared" si="6"/>
        <v>207,207,**</v>
      </c>
      <c r="Q208" s="43" t="s">
        <v>4896</v>
      </c>
      <c r="R208" s="43">
        <v>6042070338</v>
      </c>
      <c r="T208" s="90" t="s">
        <v>4897</v>
      </c>
      <c r="V208" s="43">
        <v>207</v>
      </c>
    </row>
    <row r="209" spans="1:22" ht="15.75">
      <c r="A209" s="13" t="str">
        <f>IFERROR(VLOOKUP($E:$E,scan!$A:$B,2,0),"**")</f>
        <v>**</v>
      </c>
      <c r="B209" s="13" t="str">
        <f>IFERROR(VLOOKUP($E209,scan!A:C,3,0),"**")</f>
        <v>**</v>
      </c>
      <c r="C209" s="79">
        <v>208</v>
      </c>
      <c r="E209" s="58"/>
      <c r="G209" s="85" t="s">
        <v>4895</v>
      </c>
      <c r="H209" s="61">
        <v>0</v>
      </c>
      <c r="J209" s="43" t="e">
        <f>VLOOKUP(E209,Input!C:J,5,0)</f>
        <v>#N/A</v>
      </c>
      <c r="K209" s="43" t="e">
        <f>VLOOKUP(E209,Input!C:G,5,0)</f>
        <v>#N/A</v>
      </c>
      <c r="L209" s="82" t="str">
        <f>IFERROR(VLOOKUP($E:$E,Input!$C:$Q,12,0),"")</f>
        <v/>
      </c>
      <c r="M209" s="82" t="str">
        <f>IFERROR(VLOOKUP($E:$E,Input!$C:$Q,14,0),"")</f>
        <v/>
      </c>
      <c r="N209" s="82" t="str">
        <f>IFERROR(VLOOKUP($E:$E,Input!$C:$Q,15,0),"")</f>
        <v/>
      </c>
      <c r="P209" s="43" t="str">
        <f t="shared" si="6"/>
        <v>208,208,**</v>
      </c>
      <c r="Q209" s="43" t="s">
        <v>4896</v>
      </c>
      <c r="R209" s="43">
        <v>6042070338</v>
      </c>
      <c r="T209" s="90" t="s">
        <v>4897</v>
      </c>
      <c r="V209" s="43">
        <v>208</v>
      </c>
    </row>
    <row r="210" spans="1:22" ht="15.75">
      <c r="A210" s="13" t="str">
        <f>IFERROR(VLOOKUP($E:$E,scan!$A:$B,2,0),"**")</f>
        <v>**</v>
      </c>
      <c r="B210" s="13" t="str">
        <f>IFERROR(VLOOKUP($E210,scan!A:C,3,0),"**")</f>
        <v>**</v>
      </c>
      <c r="C210" s="79">
        <v>209</v>
      </c>
      <c r="E210" s="58"/>
      <c r="G210" s="85" t="s">
        <v>4895</v>
      </c>
      <c r="H210" s="61">
        <v>0</v>
      </c>
      <c r="J210" s="43" t="e">
        <f>VLOOKUP(E210,Input!C:J,5,0)</f>
        <v>#N/A</v>
      </c>
      <c r="K210" s="43" t="e">
        <f>VLOOKUP(E210,Input!C:G,5,0)</f>
        <v>#N/A</v>
      </c>
      <c r="L210" s="82" t="str">
        <f>IFERROR(VLOOKUP($E:$E,Input!$C:$Q,12,0),"")</f>
        <v/>
      </c>
      <c r="M210" s="82" t="str">
        <f>IFERROR(VLOOKUP($E:$E,Input!$C:$Q,14,0),"")</f>
        <v/>
      </c>
      <c r="N210" s="82" t="str">
        <f>IFERROR(VLOOKUP($E:$E,Input!$C:$Q,15,0),"")</f>
        <v/>
      </c>
      <c r="P210" s="43" t="str">
        <f t="shared" si="6"/>
        <v>209,209,**</v>
      </c>
      <c r="Q210" s="43" t="s">
        <v>4896</v>
      </c>
      <c r="R210" s="43">
        <v>6042070338</v>
      </c>
      <c r="T210" s="90" t="s">
        <v>4897</v>
      </c>
      <c r="V210" s="43">
        <v>209</v>
      </c>
    </row>
    <row r="211" spans="1:22" ht="15.75">
      <c r="A211" s="13" t="str">
        <f>IFERROR(VLOOKUP($E:$E,scan!$A:$B,2,0),"**")</f>
        <v>**</v>
      </c>
      <c r="B211" s="13" t="str">
        <f>IFERROR(VLOOKUP($E211,scan!A:C,3,0),"**")</f>
        <v>**</v>
      </c>
      <c r="C211" s="79">
        <v>210</v>
      </c>
      <c r="E211" s="58"/>
      <c r="G211" s="85" t="s">
        <v>4895</v>
      </c>
      <c r="H211" s="61">
        <v>0</v>
      </c>
      <c r="J211" s="43" t="e">
        <f>VLOOKUP(E211,Input!C:J,5,0)</f>
        <v>#N/A</v>
      </c>
      <c r="K211" s="43" t="e">
        <f>VLOOKUP(E211,Input!C:G,5,0)</f>
        <v>#N/A</v>
      </c>
      <c r="L211" s="82" t="str">
        <f>IFERROR(VLOOKUP($E:$E,Input!$C:$Q,12,0),"")</f>
        <v/>
      </c>
      <c r="M211" s="82" t="str">
        <f>IFERROR(VLOOKUP($E:$E,Input!$C:$Q,14,0),"")</f>
        <v/>
      </c>
      <c r="N211" s="82" t="str">
        <f>IFERROR(VLOOKUP($E:$E,Input!$C:$Q,15,0),"")</f>
        <v/>
      </c>
      <c r="P211" s="43" t="str">
        <f t="shared" si="6"/>
        <v>210,210,**</v>
      </c>
      <c r="Q211" s="43" t="s">
        <v>4896</v>
      </c>
      <c r="R211" s="43">
        <v>6042070338</v>
      </c>
      <c r="T211" s="90" t="s">
        <v>4897</v>
      </c>
      <c r="V211" s="43">
        <v>210</v>
      </c>
    </row>
    <row r="212" spans="1:22" ht="15.75">
      <c r="A212" s="13" t="str">
        <f>IFERROR(VLOOKUP($E:$E,scan!$A:$B,2,0),"**")</f>
        <v>**</v>
      </c>
      <c r="B212" s="13" t="str">
        <f>IFERROR(VLOOKUP($E212,scan!A:C,3,0),"**")</f>
        <v>**</v>
      </c>
      <c r="C212" s="79">
        <v>211</v>
      </c>
      <c r="E212" s="58"/>
      <c r="G212" s="85" t="s">
        <v>4895</v>
      </c>
      <c r="H212" s="61">
        <v>0</v>
      </c>
      <c r="J212" s="43" t="e">
        <f>VLOOKUP(E212,Input!C:J,5,0)</f>
        <v>#N/A</v>
      </c>
      <c r="K212" s="43" t="e">
        <f>VLOOKUP(E212,Input!C:G,5,0)</f>
        <v>#N/A</v>
      </c>
      <c r="L212" s="82" t="str">
        <f>IFERROR(VLOOKUP($E:$E,Input!$C:$Q,12,0),"")</f>
        <v/>
      </c>
      <c r="M212" s="82" t="str">
        <f>IFERROR(VLOOKUP($E:$E,Input!$C:$Q,14,0),"")</f>
        <v/>
      </c>
      <c r="N212" s="82" t="str">
        <f>IFERROR(VLOOKUP($E:$E,Input!$C:$Q,15,0),"")</f>
        <v/>
      </c>
      <c r="P212" s="43" t="str">
        <f t="shared" si="6"/>
        <v>211,211,**</v>
      </c>
      <c r="Q212" s="43" t="s">
        <v>4896</v>
      </c>
      <c r="R212" s="43">
        <v>6042070338</v>
      </c>
      <c r="T212" s="90" t="s">
        <v>4897</v>
      </c>
      <c r="V212" s="43">
        <v>211</v>
      </c>
    </row>
    <row r="213" spans="1:22" ht="15.75">
      <c r="A213" s="13" t="str">
        <f>IFERROR(VLOOKUP($E:$E,scan!$A:$B,2,0),"**")</f>
        <v>**</v>
      </c>
      <c r="B213" s="13" t="str">
        <f>IFERROR(VLOOKUP($E213,scan!A:C,3,0),"**")</f>
        <v>**</v>
      </c>
      <c r="C213" s="79">
        <v>212</v>
      </c>
      <c r="E213" s="58"/>
      <c r="G213" s="85" t="s">
        <v>4895</v>
      </c>
      <c r="H213" s="61">
        <v>0</v>
      </c>
      <c r="J213" s="43" t="e">
        <f>VLOOKUP(E213,Input!C:J,5,0)</f>
        <v>#N/A</v>
      </c>
      <c r="K213" s="43" t="e">
        <f>VLOOKUP(E213,Input!C:G,5,0)</f>
        <v>#N/A</v>
      </c>
      <c r="L213" s="82" t="str">
        <f>IFERROR(VLOOKUP($E:$E,Input!$C:$Q,12,0),"")</f>
        <v/>
      </c>
      <c r="M213" s="82" t="str">
        <f>IFERROR(VLOOKUP($E:$E,Input!$C:$Q,14,0),"")</f>
        <v/>
      </c>
      <c r="N213" s="82" t="str">
        <f>IFERROR(VLOOKUP($E:$E,Input!$C:$Q,15,0),"")</f>
        <v/>
      </c>
      <c r="P213" s="43" t="str">
        <f t="shared" si="6"/>
        <v>212,212,**</v>
      </c>
      <c r="Q213" s="43" t="s">
        <v>4896</v>
      </c>
      <c r="R213" s="43">
        <v>6042070338</v>
      </c>
      <c r="T213" s="90" t="s">
        <v>4897</v>
      </c>
      <c r="V213" s="43">
        <v>212</v>
      </c>
    </row>
    <row r="214" spans="1:22" ht="15.75">
      <c r="A214" s="13" t="str">
        <f>IFERROR(VLOOKUP($E:$E,scan!$A:$B,2,0),"**")</f>
        <v>**</v>
      </c>
      <c r="B214" s="13" t="str">
        <f>IFERROR(VLOOKUP($E214,scan!A:C,3,0),"**")</f>
        <v>**</v>
      </c>
      <c r="C214" s="79">
        <v>213</v>
      </c>
      <c r="E214" s="58"/>
      <c r="G214" s="85" t="s">
        <v>4895</v>
      </c>
      <c r="H214" s="61">
        <v>0</v>
      </c>
      <c r="J214" s="43" t="e">
        <f>VLOOKUP(E214,Input!C:J,5,0)</f>
        <v>#N/A</v>
      </c>
      <c r="K214" s="43" t="e">
        <f>VLOOKUP(E214,Input!C:G,5,0)</f>
        <v>#N/A</v>
      </c>
      <c r="L214" s="82" t="str">
        <f>IFERROR(VLOOKUP($E:$E,Input!$C:$Q,12,0),"")</f>
        <v/>
      </c>
      <c r="M214" s="82" t="str">
        <f>IFERROR(VLOOKUP($E:$E,Input!$C:$Q,14,0),"")</f>
        <v/>
      </c>
      <c r="N214" s="82" t="str">
        <f>IFERROR(VLOOKUP($E:$E,Input!$C:$Q,15,0),"")</f>
        <v/>
      </c>
      <c r="P214" s="43" t="str">
        <f t="shared" si="6"/>
        <v>213,213,**</v>
      </c>
      <c r="Q214" s="43" t="s">
        <v>4896</v>
      </c>
      <c r="R214" s="43">
        <v>6042070338</v>
      </c>
      <c r="T214" s="90" t="s">
        <v>4897</v>
      </c>
      <c r="V214" s="43">
        <v>213</v>
      </c>
    </row>
    <row r="215" spans="1:22" ht="15.75">
      <c r="A215" s="13" t="str">
        <f>IFERROR(VLOOKUP($E:$E,scan!$A:$B,2,0),"**")</f>
        <v>**</v>
      </c>
      <c r="B215" s="13" t="str">
        <f>IFERROR(VLOOKUP($E215,scan!A:C,3,0),"**")</f>
        <v>**</v>
      </c>
      <c r="C215" s="79">
        <v>214</v>
      </c>
      <c r="E215" s="58"/>
      <c r="G215" s="85" t="s">
        <v>4895</v>
      </c>
      <c r="H215" s="61">
        <v>0</v>
      </c>
      <c r="J215" s="43" t="e">
        <f>VLOOKUP(E215,Input!C:J,5,0)</f>
        <v>#N/A</v>
      </c>
      <c r="K215" s="43" t="e">
        <f>VLOOKUP(E215,Input!C:G,5,0)</f>
        <v>#N/A</v>
      </c>
      <c r="L215" s="82" t="str">
        <f>IFERROR(VLOOKUP($E:$E,Input!$C:$Q,12,0),"")</f>
        <v/>
      </c>
      <c r="M215" s="82" t="str">
        <f>IFERROR(VLOOKUP($E:$E,Input!$C:$Q,14,0),"")</f>
        <v/>
      </c>
      <c r="N215" s="82" t="str">
        <f>IFERROR(VLOOKUP($E:$E,Input!$C:$Q,15,0),"")</f>
        <v/>
      </c>
      <c r="P215" s="43" t="str">
        <f t="shared" si="6"/>
        <v>214,214,**</v>
      </c>
      <c r="Q215" s="43" t="s">
        <v>4896</v>
      </c>
      <c r="R215" s="43">
        <v>6042070338</v>
      </c>
      <c r="T215" s="90" t="s">
        <v>4897</v>
      </c>
      <c r="V215" s="43">
        <v>214</v>
      </c>
    </row>
    <row r="216" spans="1:22" ht="15.75">
      <c r="A216" s="13" t="str">
        <f>IFERROR(VLOOKUP($E:$E,scan!$A:$B,2,0),"**")</f>
        <v>**</v>
      </c>
      <c r="B216" s="13" t="str">
        <f>IFERROR(VLOOKUP($E216,scan!A:C,3,0),"**")</f>
        <v>**</v>
      </c>
      <c r="C216" s="79">
        <v>215</v>
      </c>
      <c r="E216" s="58"/>
      <c r="G216" s="85" t="s">
        <v>4895</v>
      </c>
      <c r="H216" s="61">
        <v>0</v>
      </c>
      <c r="J216" s="43" t="e">
        <f>VLOOKUP(E216,Input!C:J,5,0)</f>
        <v>#N/A</v>
      </c>
      <c r="K216" s="43" t="e">
        <f>VLOOKUP(E216,Input!C:G,5,0)</f>
        <v>#N/A</v>
      </c>
      <c r="L216" s="82" t="str">
        <f>IFERROR(VLOOKUP($E:$E,Input!$C:$Q,12,0),"")</f>
        <v/>
      </c>
      <c r="M216" s="82" t="str">
        <f>IFERROR(VLOOKUP($E:$E,Input!$C:$Q,14,0),"")</f>
        <v/>
      </c>
      <c r="N216" s="82" t="str">
        <f>IFERROR(VLOOKUP($E:$E,Input!$C:$Q,15,0),"")</f>
        <v/>
      </c>
      <c r="P216" s="43" t="str">
        <f t="shared" si="6"/>
        <v>215,215,**</v>
      </c>
      <c r="Q216" s="43" t="s">
        <v>4896</v>
      </c>
      <c r="R216" s="43">
        <v>6042070338</v>
      </c>
      <c r="T216" s="90" t="s">
        <v>4897</v>
      </c>
      <c r="V216" s="43">
        <v>215</v>
      </c>
    </row>
    <row r="217" spans="1:22" ht="15.75">
      <c r="A217" s="13" t="str">
        <f>IFERROR(VLOOKUP($E:$E,scan!$A:$B,2,0),"**")</f>
        <v>**</v>
      </c>
      <c r="B217" s="13" t="str">
        <f>IFERROR(VLOOKUP($E217,scan!A:C,3,0),"**")</f>
        <v>**</v>
      </c>
      <c r="C217" s="79">
        <v>216</v>
      </c>
      <c r="E217" s="58"/>
      <c r="G217" s="85" t="s">
        <v>4895</v>
      </c>
      <c r="H217" s="61">
        <v>0</v>
      </c>
      <c r="J217" s="43" t="e">
        <f>VLOOKUP(E217,Input!C:J,5,0)</f>
        <v>#N/A</v>
      </c>
      <c r="K217" s="43" t="e">
        <f>VLOOKUP(E217,Input!C:G,5,0)</f>
        <v>#N/A</v>
      </c>
      <c r="L217" s="82" t="str">
        <f>IFERROR(VLOOKUP($E:$E,Input!$C:$Q,12,0),"")</f>
        <v/>
      </c>
      <c r="M217" s="82" t="str">
        <f>IFERROR(VLOOKUP($E:$E,Input!$C:$Q,14,0),"")</f>
        <v/>
      </c>
      <c r="N217" s="82" t="str">
        <f>IFERROR(VLOOKUP($E:$E,Input!$C:$Q,15,0),"")</f>
        <v/>
      </c>
      <c r="P217" s="43" t="str">
        <f t="shared" si="6"/>
        <v>216,216,**</v>
      </c>
      <c r="Q217" s="43" t="s">
        <v>4896</v>
      </c>
      <c r="R217" s="43">
        <v>6042070338</v>
      </c>
      <c r="T217" s="90" t="s">
        <v>4897</v>
      </c>
      <c r="V217" s="43">
        <v>216</v>
      </c>
    </row>
    <row r="218" spans="1:22" ht="15.75">
      <c r="A218" s="13" t="str">
        <f>IFERROR(VLOOKUP($E:$E,scan!$A:$B,2,0),"**")</f>
        <v>**</v>
      </c>
      <c r="B218" s="13" t="str">
        <f>IFERROR(VLOOKUP($E218,scan!A:C,3,0),"**")</f>
        <v>**</v>
      </c>
      <c r="C218" s="79">
        <v>217</v>
      </c>
      <c r="E218" s="58"/>
      <c r="G218" s="85" t="s">
        <v>4895</v>
      </c>
      <c r="H218" s="61">
        <v>0</v>
      </c>
      <c r="J218" s="43" t="e">
        <f>VLOOKUP(E218,Input!C:J,5,0)</f>
        <v>#N/A</v>
      </c>
      <c r="K218" s="43" t="e">
        <f>VLOOKUP(E218,Input!C:G,5,0)</f>
        <v>#N/A</v>
      </c>
      <c r="L218" s="82" t="str">
        <f>IFERROR(VLOOKUP($E:$E,Input!$C:$Q,12,0),"")</f>
        <v/>
      </c>
      <c r="M218" s="82" t="str">
        <f>IFERROR(VLOOKUP($E:$E,Input!$C:$Q,14,0),"")</f>
        <v/>
      </c>
      <c r="N218" s="82" t="str">
        <f>IFERROR(VLOOKUP($E:$E,Input!$C:$Q,15,0),"")</f>
        <v/>
      </c>
      <c r="P218" s="43" t="str">
        <f t="shared" si="6"/>
        <v>217,217,**</v>
      </c>
      <c r="Q218" s="43" t="s">
        <v>4896</v>
      </c>
      <c r="R218" s="43">
        <v>6042070338</v>
      </c>
      <c r="T218" s="90" t="s">
        <v>4897</v>
      </c>
      <c r="V218" s="43">
        <v>217</v>
      </c>
    </row>
    <row r="219" spans="1:22" ht="15.75">
      <c r="A219" s="13" t="str">
        <f>IFERROR(VLOOKUP($E:$E,scan!$A:$B,2,0),"**")</f>
        <v>**</v>
      </c>
      <c r="B219" s="13" t="str">
        <f>IFERROR(VLOOKUP($E219,scan!A:C,3,0),"**")</f>
        <v>**</v>
      </c>
      <c r="C219" s="79">
        <v>218</v>
      </c>
      <c r="E219" s="58"/>
      <c r="G219" s="85" t="s">
        <v>4895</v>
      </c>
      <c r="H219" s="61">
        <v>0</v>
      </c>
      <c r="J219" s="43" t="e">
        <f>VLOOKUP(E219,Input!C:J,5,0)</f>
        <v>#N/A</v>
      </c>
      <c r="K219" s="43" t="e">
        <f>VLOOKUP(E219,Input!C:G,5,0)</f>
        <v>#N/A</v>
      </c>
      <c r="L219" s="82" t="str">
        <f>IFERROR(VLOOKUP($E:$E,Input!$C:$Q,12,0),"")</f>
        <v/>
      </c>
      <c r="M219" s="82" t="str">
        <f>IFERROR(VLOOKUP($E:$E,Input!$C:$Q,14,0),"")</f>
        <v/>
      </c>
      <c r="N219" s="82" t="str">
        <f>IFERROR(VLOOKUP($E:$E,Input!$C:$Q,15,0),"")</f>
        <v/>
      </c>
      <c r="P219" s="43" t="str">
        <f t="shared" si="6"/>
        <v>218,218,**</v>
      </c>
      <c r="Q219" s="43" t="s">
        <v>4896</v>
      </c>
      <c r="R219" s="43">
        <v>6042070338</v>
      </c>
      <c r="T219" s="90" t="s">
        <v>4897</v>
      </c>
      <c r="V219" s="43">
        <v>218</v>
      </c>
    </row>
    <row r="220" spans="1:22" ht="15.75">
      <c r="A220" s="13" t="str">
        <f>IFERROR(VLOOKUP($E:$E,scan!$A:$B,2,0),"**")</f>
        <v>**</v>
      </c>
      <c r="B220" s="13" t="str">
        <f>IFERROR(VLOOKUP($E220,scan!A:C,3,0),"**")</f>
        <v>**</v>
      </c>
      <c r="C220" s="79">
        <v>219</v>
      </c>
      <c r="E220" s="58"/>
      <c r="G220" s="85" t="s">
        <v>4895</v>
      </c>
      <c r="H220" s="61">
        <v>0</v>
      </c>
      <c r="J220" s="43" t="e">
        <f>VLOOKUP(E220,Input!C:J,5,0)</f>
        <v>#N/A</v>
      </c>
      <c r="K220" s="43" t="e">
        <f>VLOOKUP(E220,Input!C:G,5,0)</f>
        <v>#N/A</v>
      </c>
      <c r="L220" s="82" t="str">
        <f>IFERROR(VLOOKUP($E:$E,Input!$C:$Q,12,0),"")</f>
        <v/>
      </c>
      <c r="M220" s="82" t="str">
        <f>IFERROR(VLOOKUP($E:$E,Input!$C:$Q,14,0),"")</f>
        <v/>
      </c>
      <c r="N220" s="82" t="str">
        <f>IFERROR(VLOOKUP($E:$E,Input!$C:$Q,15,0),"")</f>
        <v/>
      </c>
      <c r="P220" s="43" t="str">
        <f t="shared" si="6"/>
        <v>219,219,**</v>
      </c>
      <c r="Q220" s="43" t="s">
        <v>4896</v>
      </c>
      <c r="R220" s="43">
        <v>6042070338</v>
      </c>
      <c r="T220" s="90" t="s">
        <v>4897</v>
      </c>
      <c r="V220" s="43">
        <v>219</v>
      </c>
    </row>
    <row r="221" spans="1:22" ht="15.75">
      <c r="A221" s="13" t="str">
        <f>IFERROR(VLOOKUP($E:$E,scan!$A:$B,2,0),"**")</f>
        <v>**</v>
      </c>
      <c r="B221" s="13" t="str">
        <f>IFERROR(VLOOKUP($E221,scan!A:C,3,0),"**")</f>
        <v>**</v>
      </c>
      <c r="C221" s="79">
        <v>220</v>
      </c>
      <c r="E221" s="58"/>
      <c r="G221" s="85" t="s">
        <v>4895</v>
      </c>
      <c r="H221" s="61">
        <v>0</v>
      </c>
      <c r="J221" s="43" t="e">
        <f>VLOOKUP(E221,Input!C:J,5,0)</f>
        <v>#N/A</v>
      </c>
      <c r="K221" s="43" t="e">
        <f>VLOOKUP(E221,Input!C:G,5,0)</f>
        <v>#N/A</v>
      </c>
      <c r="L221" s="82" t="str">
        <f>IFERROR(VLOOKUP($E:$E,Input!$C:$Q,12,0),"")</f>
        <v/>
      </c>
      <c r="M221" s="82" t="str">
        <f>IFERROR(VLOOKUP($E:$E,Input!$C:$Q,14,0),"")</f>
        <v/>
      </c>
      <c r="N221" s="82" t="str">
        <f>IFERROR(VLOOKUP($E:$E,Input!$C:$Q,15,0),"")</f>
        <v/>
      </c>
      <c r="P221" s="43" t="str">
        <f t="shared" si="6"/>
        <v>220,220,**</v>
      </c>
      <c r="Q221" s="43" t="s">
        <v>4896</v>
      </c>
      <c r="R221" s="43">
        <v>6042070338</v>
      </c>
      <c r="T221" s="90" t="s">
        <v>4897</v>
      </c>
      <c r="V221" s="43">
        <v>220</v>
      </c>
    </row>
    <row r="222" spans="1:22" ht="15.75">
      <c r="A222" s="13" t="str">
        <f>IFERROR(VLOOKUP($E:$E,scan!$A:$B,2,0),"**")</f>
        <v>**</v>
      </c>
      <c r="B222" s="13" t="str">
        <f>IFERROR(VLOOKUP($E222,scan!A:C,3,0),"**")</f>
        <v>**</v>
      </c>
      <c r="C222" s="79">
        <v>221</v>
      </c>
      <c r="E222" s="58"/>
      <c r="G222" s="85" t="s">
        <v>4895</v>
      </c>
      <c r="H222" s="61">
        <v>0</v>
      </c>
      <c r="J222" s="43" t="e">
        <f>VLOOKUP(E222,Input!C:J,5,0)</f>
        <v>#N/A</v>
      </c>
      <c r="K222" s="43" t="e">
        <f>VLOOKUP(E222,Input!C:G,5,0)</f>
        <v>#N/A</v>
      </c>
      <c r="L222" s="82" t="str">
        <f>IFERROR(VLOOKUP($E:$E,Input!$C:$Q,12,0),"")</f>
        <v/>
      </c>
      <c r="M222" s="82" t="str">
        <f>IFERROR(VLOOKUP($E:$E,Input!$C:$Q,14,0),"")</f>
        <v/>
      </c>
      <c r="N222" s="82" t="str">
        <f>IFERROR(VLOOKUP($E:$E,Input!$C:$Q,15,0),"")</f>
        <v/>
      </c>
      <c r="P222" s="43" t="str">
        <f t="shared" si="6"/>
        <v>221,221,**</v>
      </c>
      <c r="Q222" s="43" t="s">
        <v>4896</v>
      </c>
      <c r="R222" s="43">
        <v>6042070338</v>
      </c>
      <c r="T222" s="90" t="s">
        <v>4897</v>
      </c>
      <c r="V222" s="43">
        <v>221</v>
      </c>
    </row>
    <row r="223" spans="1:22" ht="15.75">
      <c r="A223" s="13" t="str">
        <f>IFERROR(VLOOKUP($E:$E,scan!$A:$B,2,0),"**")</f>
        <v>**</v>
      </c>
      <c r="B223" s="13" t="str">
        <f>IFERROR(VLOOKUP($E223,scan!A:C,3,0),"**")</f>
        <v>**</v>
      </c>
      <c r="C223" s="79">
        <v>222</v>
      </c>
      <c r="E223" s="58"/>
      <c r="G223" s="85" t="s">
        <v>4895</v>
      </c>
      <c r="H223" s="61">
        <v>0</v>
      </c>
      <c r="J223" s="43" t="e">
        <f>VLOOKUP(E223,Input!C:J,5,0)</f>
        <v>#N/A</v>
      </c>
      <c r="K223" s="43" t="e">
        <f>VLOOKUP(E223,Input!C:G,5,0)</f>
        <v>#N/A</v>
      </c>
      <c r="L223" s="82" t="str">
        <f>IFERROR(VLOOKUP($E:$E,Input!$C:$Q,12,0),"")</f>
        <v/>
      </c>
      <c r="M223" s="82" t="str">
        <f>IFERROR(VLOOKUP($E:$E,Input!$C:$Q,14,0),"")</f>
        <v/>
      </c>
      <c r="N223" s="82" t="str">
        <f>IFERROR(VLOOKUP($E:$E,Input!$C:$Q,15,0),"")</f>
        <v/>
      </c>
      <c r="P223" s="43" t="str">
        <f t="shared" si="6"/>
        <v>222,222,**</v>
      </c>
      <c r="Q223" s="43" t="s">
        <v>4896</v>
      </c>
      <c r="R223" s="43">
        <v>6042070338</v>
      </c>
      <c r="T223" s="90" t="s">
        <v>4897</v>
      </c>
      <c r="V223" s="43">
        <v>222</v>
      </c>
    </row>
    <row r="224" spans="1:22" ht="15.75">
      <c r="A224" s="13" t="str">
        <f>IFERROR(VLOOKUP($E:$E,scan!$A:$B,2,0),"**")</f>
        <v>**</v>
      </c>
      <c r="B224" s="13" t="str">
        <f>IFERROR(VLOOKUP($E224,scan!A:C,3,0),"**")</f>
        <v>**</v>
      </c>
      <c r="C224" s="79">
        <v>223</v>
      </c>
      <c r="E224" s="58"/>
      <c r="G224" s="85" t="s">
        <v>4895</v>
      </c>
      <c r="H224" s="61">
        <v>0</v>
      </c>
      <c r="J224" s="43" t="e">
        <f>VLOOKUP(E224,Input!C:J,5,0)</f>
        <v>#N/A</v>
      </c>
      <c r="K224" s="43" t="e">
        <f>VLOOKUP(E224,Input!C:G,5,0)</f>
        <v>#N/A</v>
      </c>
      <c r="L224" s="82" t="str">
        <f>IFERROR(VLOOKUP($E:$E,Input!$C:$Q,12,0),"")</f>
        <v/>
      </c>
      <c r="M224" s="82" t="str">
        <f>IFERROR(VLOOKUP($E:$E,Input!$C:$Q,14,0),"")</f>
        <v/>
      </c>
      <c r="N224" s="82" t="str">
        <f>IFERROR(VLOOKUP($E:$E,Input!$C:$Q,15,0),"")</f>
        <v/>
      </c>
      <c r="P224" s="43" t="str">
        <f t="shared" si="6"/>
        <v>223,223,**</v>
      </c>
      <c r="Q224" s="43" t="s">
        <v>4896</v>
      </c>
      <c r="R224" s="43">
        <v>6042070338</v>
      </c>
      <c r="T224" s="90" t="s">
        <v>4897</v>
      </c>
      <c r="V224" s="43">
        <v>223</v>
      </c>
    </row>
    <row r="225" spans="1:22" ht="15.75">
      <c r="A225" s="13" t="str">
        <f>IFERROR(VLOOKUP($E:$E,scan!$A:$B,2,0),"**")</f>
        <v>**</v>
      </c>
      <c r="B225" s="13" t="str">
        <f>IFERROR(VLOOKUP($E225,scan!A:C,3,0),"**")</f>
        <v>**</v>
      </c>
      <c r="C225" s="79">
        <v>224</v>
      </c>
      <c r="E225" s="58"/>
      <c r="G225" s="85" t="s">
        <v>4895</v>
      </c>
      <c r="H225" s="61">
        <v>0</v>
      </c>
      <c r="J225" s="43" t="e">
        <f>VLOOKUP(E225,Input!C:J,5,0)</f>
        <v>#N/A</v>
      </c>
      <c r="K225" s="43" t="e">
        <f>VLOOKUP(E225,Input!C:G,5,0)</f>
        <v>#N/A</v>
      </c>
      <c r="L225" s="82" t="str">
        <f>IFERROR(VLOOKUP($E:$E,Input!$C:$Q,12,0),"")</f>
        <v/>
      </c>
      <c r="M225" s="82" t="str">
        <f>IFERROR(VLOOKUP($E:$E,Input!$C:$Q,14,0),"")</f>
        <v/>
      </c>
      <c r="N225" s="82" t="str">
        <f>IFERROR(VLOOKUP($E:$E,Input!$C:$Q,15,0),"")</f>
        <v/>
      </c>
      <c r="P225" s="43" t="str">
        <f t="shared" si="6"/>
        <v>224,224,**</v>
      </c>
      <c r="Q225" s="43" t="s">
        <v>4896</v>
      </c>
      <c r="R225" s="43">
        <v>6042070338</v>
      </c>
      <c r="T225" s="90" t="s">
        <v>4897</v>
      </c>
      <c r="V225" s="43">
        <v>224</v>
      </c>
    </row>
    <row r="226" spans="1:22" ht="15.75">
      <c r="A226" s="13" t="str">
        <f>IFERROR(VLOOKUP($E:$E,scan!$A:$B,2,0),"**")</f>
        <v>**</v>
      </c>
      <c r="B226" s="13" t="str">
        <f>IFERROR(VLOOKUP($E226,scan!A:C,3,0),"**")</f>
        <v>**</v>
      </c>
      <c r="C226" s="79">
        <v>225</v>
      </c>
      <c r="E226" s="58"/>
      <c r="G226" s="85" t="s">
        <v>4895</v>
      </c>
      <c r="H226" s="61">
        <v>0</v>
      </c>
      <c r="J226" s="43" t="e">
        <f>VLOOKUP(E226,Input!C:J,5,0)</f>
        <v>#N/A</v>
      </c>
      <c r="K226" s="43" t="e">
        <f>VLOOKUP(E226,Input!C:G,5,0)</f>
        <v>#N/A</v>
      </c>
      <c r="L226" s="82" t="str">
        <f>IFERROR(VLOOKUP($E:$E,Input!$C:$Q,12,0),"")</f>
        <v/>
      </c>
      <c r="M226" s="82" t="str">
        <f>IFERROR(VLOOKUP($E:$E,Input!$C:$Q,14,0),"")</f>
        <v/>
      </c>
      <c r="N226" s="82" t="str">
        <f>IFERROR(VLOOKUP($E:$E,Input!$C:$Q,15,0),"")</f>
        <v/>
      </c>
      <c r="P226" s="43" t="str">
        <f t="shared" si="6"/>
        <v>225,225,**</v>
      </c>
      <c r="Q226" s="43" t="s">
        <v>4896</v>
      </c>
      <c r="R226" s="43">
        <v>6042070338</v>
      </c>
      <c r="T226" s="90" t="s">
        <v>4897</v>
      </c>
      <c r="V226" s="43">
        <v>225</v>
      </c>
    </row>
    <row r="227" spans="1:22" ht="15.75">
      <c r="A227" s="13" t="str">
        <f>IFERROR(VLOOKUP($E:$E,scan!$A:$B,2,0),"**")</f>
        <v>**</v>
      </c>
      <c r="B227" s="13" t="str">
        <f>IFERROR(VLOOKUP($E227,scan!A:C,3,0),"**")</f>
        <v>**</v>
      </c>
      <c r="C227" s="79">
        <v>226</v>
      </c>
      <c r="E227" s="58"/>
      <c r="G227" s="85" t="s">
        <v>4895</v>
      </c>
      <c r="H227" s="61">
        <v>0</v>
      </c>
      <c r="J227" s="43" t="e">
        <f>VLOOKUP(E227,Input!C:J,5,0)</f>
        <v>#N/A</v>
      </c>
      <c r="K227" s="43" t="e">
        <f>VLOOKUP(E227,Input!C:G,5,0)</f>
        <v>#N/A</v>
      </c>
      <c r="L227" s="82" t="str">
        <f>IFERROR(VLOOKUP($E:$E,Input!$C:$Q,12,0),"")</f>
        <v/>
      </c>
      <c r="M227" s="82" t="str">
        <f>IFERROR(VLOOKUP($E:$E,Input!$C:$Q,14,0),"")</f>
        <v/>
      </c>
      <c r="N227" s="82" t="str">
        <f>IFERROR(VLOOKUP($E:$E,Input!$C:$Q,15,0),"")</f>
        <v/>
      </c>
      <c r="P227" s="43" t="str">
        <f t="shared" si="6"/>
        <v>226,226,**</v>
      </c>
      <c r="Q227" s="43" t="s">
        <v>4896</v>
      </c>
      <c r="R227" s="43">
        <v>6042070338</v>
      </c>
      <c r="T227" s="90" t="s">
        <v>4897</v>
      </c>
      <c r="V227" s="43">
        <v>226</v>
      </c>
    </row>
    <row r="228" spans="1:22" ht="15.75">
      <c r="A228" s="13" t="str">
        <f>IFERROR(VLOOKUP($E:$E,scan!$A:$B,2,0),"**")</f>
        <v>**</v>
      </c>
      <c r="B228" s="13" t="str">
        <f>IFERROR(VLOOKUP($E228,scan!A:C,3,0),"**")</f>
        <v>**</v>
      </c>
      <c r="C228" s="79">
        <v>227</v>
      </c>
      <c r="E228" s="58"/>
      <c r="G228" s="85" t="s">
        <v>4895</v>
      </c>
      <c r="H228" s="61">
        <v>0</v>
      </c>
      <c r="J228" s="43" t="e">
        <f>VLOOKUP(E228,Input!C:J,5,0)</f>
        <v>#N/A</v>
      </c>
      <c r="K228" s="43" t="e">
        <f>VLOOKUP(E228,Input!C:G,5,0)</f>
        <v>#N/A</v>
      </c>
      <c r="L228" s="82" t="str">
        <f>IFERROR(VLOOKUP($E:$E,Input!$C:$Q,12,0),"")</f>
        <v/>
      </c>
      <c r="M228" s="82" t="str">
        <f>IFERROR(VLOOKUP($E:$E,Input!$C:$Q,14,0),"")</f>
        <v/>
      </c>
      <c r="N228" s="82" t="str">
        <f>IFERROR(VLOOKUP($E:$E,Input!$C:$Q,15,0),"")</f>
        <v/>
      </c>
      <c r="P228" s="43" t="str">
        <f t="shared" si="6"/>
        <v>227,227,**</v>
      </c>
      <c r="Q228" s="43" t="s">
        <v>4896</v>
      </c>
      <c r="R228" s="43">
        <v>6042070338</v>
      </c>
      <c r="T228" s="90" t="s">
        <v>4897</v>
      </c>
      <c r="V228" s="43">
        <v>227</v>
      </c>
    </row>
    <row r="229" spans="1:22" ht="15.75">
      <c r="A229" s="13" t="str">
        <f>IFERROR(VLOOKUP($E:$E,scan!$A:$B,2,0),"**")</f>
        <v>**</v>
      </c>
      <c r="B229" s="13" t="str">
        <f>IFERROR(VLOOKUP($E229,scan!A:C,3,0),"**")</f>
        <v>**</v>
      </c>
      <c r="C229" s="79">
        <v>228</v>
      </c>
      <c r="E229" s="58"/>
      <c r="G229" s="85" t="s">
        <v>4895</v>
      </c>
      <c r="H229" s="61">
        <v>0</v>
      </c>
      <c r="J229" s="43" t="e">
        <f>VLOOKUP(E229,Input!C:J,5,0)</f>
        <v>#N/A</v>
      </c>
      <c r="K229" s="43" t="e">
        <f>VLOOKUP(E229,Input!C:G,5,0)</f>
        <v>#N/A</v>
      </c>
      <c r="L229" s="82" t="str">
        <f>IFERROR(VLOOKUP($E:$E,Input!$C:$Q,12,0),"")</f>
        <v/>
      </c>
      <c r="M229" s="82" t="str">
        <f>IFERROR(VLOOKUP($E:$E,Input!$C:$Q,14,0),"")</f>
        <v/>
      </c>
      <c r="N229" s="82" t="str">
        <f>IFERROR(VLOOKUP($E:$E,Input!$C:$Q,15,0),"")</f>
        <v/>
      </c>
      <c r="P229" s="43" t="str">
        <f t="shared" si="6"/>
        <v>228,228,**</v>
      </c>
      <c r="Q229" s="43" t="s">
        <v>4896</v>
      </c>
      <c r="R229" s="43">
        <v>6042070338</v>
      </c>
      <c r="T229" s="90" t="s">
        <v>4897</v>
      </c>
      <c r="V229" s="43">
        <v>228</v>
      </c>
    </row>
    <row r="230" spans="1:22" ht="15.75">
      <c r="A230" s="13" t="str">
        <f>IFERROR(VLOOKUP($E:$E,scan!$A:$B,2,0),"**")</f>
        <v>**</v>
      </c>
      <c r="B230" s="13" t="str">
        <f>IFERROR(VLOOKUP($E230,scan!A:C,3,0),"**")</f>
        <v>**</v>
      </c>
      <c r="C230" s="79">
        <v>229</v>
      </c>
      <c r="E230" s="58"/>
      <c r="G230" s="85" t="s">
        <v>4895</v>
      </c>
      <c r="H230" s="61">
        <v>0</v>
      </c>
      <c r="J230" s="43" t="e">
        <f>VLOOKUP(E230,Input!C:J,5,0)</f>
        <v>#N/A</v>
      </c>
      <c r="K230" s="43" t="e">
        <f>VLOOKUP(E230,Input!C:G,5,0)</f>
        <v>#N/A</v>
      </c>
      <c r="L230" s="82" t="str">
        <f>IFERROR(VLOOKUP($E:$E,Input!$C:$Q,12,0),"")</f>
        <v/>
      </c>
      <c r="M230" s="82" t="str">
        <f>IFERROR(VLOOKUP($E:$E,Input!$C:$Q,14,0),"")</f>
        <v/>
      </c>
      <c r="N230" s="82" t="str">
        <f>IFERROR(VLOOKUP($E:$E,Input!$C:$Q,15,0),"")</f>
        <v/>
      </c>
      <c r="P230" s="43" t="str">
        <f t="shared" si="6"/>
        <v>229,229,**</v>
      </c>
      <c r="Q230" s="43" t="s">
        <v>4896</v>
      </c>
      <c r="R230" s="43">
        <v>6042070338</v>
      </c>
      <c r="T230" s="90" t="s">
        <v>4897</v>
      </c>
      <c r="V230" s="43">
        <v>229</v>
      </c>
    </row>
    <row r="231" spans="1:22" ht="15.75">
      <c r="A231" s="13" t="str">
        <f>IFERROR(VLOOKUP($E:$E,scan!$A:$B,2,0),"**")</f>
        <v>**</v>
      </c>
      <c r="B231" s="13" t="str">
        <f>IFERROR(VLOOKUP($E231,scan!A:C,3,0),"**")</f>
        <v>**</v>
      </c>
      <c r="C231" s="79">
        <v>230</v>
      </c>
      <c r="E231" s="58"/>
      <c r="G231" s="85" t="s">
        <v>4895</v>
      </c>
      <c r="H231" s="61">
        <v>0</v>
      </c>
      <c r="J231" s="43" t="e">
        <f>VLOOKUP(E231,Input!C:J,5,0)</f>
        <v>#N/A</v>
      </c>
      <c r="K231" s="43" t="e">
        <f>VLOOKUP(E231,Input!C:G,5,0)</f>
        <v>#N/A</v>
      </c>
      <c r="L231" s="82" t="str">
        <f>IFERROR(VLOOKUP($E:$E,Input!$C:$Q,12,0),"")</f>
        <v/>
      </c>
      <c r="M231" s="82" t="str">
        <f>IFERROR(VLOOKUP($E:$E,Input!$C:$Q,14,0),"")</f>
        <v/>
      </c>
      <c r="N231" s="82" t="str">
        <f>IFERROR(VLOOKUP($E:$E,Input!$C:$Q,15,0),"")</f>
        <v/>
      </c>
      <c r="P231" s="43" t="str">
        <f t="shared" si="6"/>
        <v>230,230,**</v>
      </c>
      <c r="Q231" s="43" t="s">
        <v>4896</v>
      </c>
      <c r="R231" s="43">
        <v>6042070338</v>
      </c>
      <c r="T231" s="90" t="s">
        <v>4897</v>
      </c>
      <c r="V231" s="43">
        <v>230</v>
      </c>
    </row>
    <row r="232" spans="1:22" ht="15.75">
      <c r="A232" s="13" t="str">
        <f>IFERROR(VLOOKUP($E:$E,scan!$A:$B,2,0),"**")</f>
        <v>**</v>
      </c>
      <c r="B232" s="13" t="str">
        <f>IFERROR(VLOOKUP($E232,scan!A:C,3,0),"**")</f>
        <v>**</v>
      </c>
      <c r="C232" s="79">
        <v>231</v>
      </c>
      <c r="E232" s="58"/>
      <c r="G232" s="85" t="s">
        <v>4895</v>
      </c>
      <c r="H232" s="61">
        <v>0</v>
      </c>
      <c r="J232" s="43" t="e">
        <f>VLOOKUP(E232,Input!C:J,5,0)</f>
        <v>#N/A</v>
      </c>
      <c r="K232" s="43" t="e">
        <f>VLOOKUP(E232,Input!C:G,5,0)</f>
        <v>#N/A</v>
      </c>
      <c r="L232" s="82" t="str">
        <f>IFERROR(VLOOKUP($E:$E,Input!$C:$Q,12,0),"")</f>
        <v/>
      </c>
      <c r="M232" s="82" t="str">
        <f>IFERROR(VLOOKUP($E:$E,Input!$C:$Q,14,0),"")</f>
        <v/>
      </c>
      <c r="N232" s="82" t="str">
        <f>IFERROR(VLOOKUP($E:$E,Input!$C:$Q,15,0),"")</f>
        <v/>
      </c>
      <c r="P232" s="43" t="str">
        <f t="shared" si="6"/>
        <v>231,231,**</v>
      </c>
      <c r="Q232" s="43" t="s">
        <v>4896</v>
      </c>
      <c r="R232" s="43">
        <v>6042070338</v>
      </c>
      <c r="T232" s="90" t="s">
        <v>4897</v>
      </c>
      <c r="V232" s="43">
        <v>231</v>
      </c>
    </row>
    <row r="233" spans="1:22" ht="15.75">
      <c r="A233" s="13" t="str">
        <f>IFERROR(VLOOKUP($E:$E,scan!$A:$B,2,0),"**")</f>
        <v>**</v>
      </c>
      <c r="B233" s="13" t="str">
        <f>IFERROR(VLOOKUP($E233,scan!A:C,3,0),"**")</f>
        <v>**</v>
      </c>
      <c r="C233" s="79">
        <v>232</v>
      </c>
      <c r="E233" s="58"/>
      <c r="G233" s="85" t="s">
        <v>4895</v>
      </c>
      <c r="H233" s="61">
        <v>0</v>
      </c>
      <c r="J233" s="43" t="e">
        <f>VLOOKUP(E233,Input!C:J,5,0)</f>
        <v>#N/A</v>
      </c>
      <c r="K233" s="43" t="e">
        <f>VLOOKUP(E233,Input!C:G,5,0)</f>
        <v>#N/A</v>
      </c>
      <c r="L233" s="82" t="str">
        <f>IFERROR(VLOOKUP($E:$E,Input!$C:$Q,12,0),"")</f>
        <v/>
      </c>
      <c r="M233" s="82" t="str">
        <f>IFERROR(VLOOKUP($E:$E,Input!$C:$Q,14,0),"")</f>
        <v/>
      </c>
      <c r="N233" s="82" t="str">
        <f>IFERROR(VLOOKUP($E:$E,Input!$C:$Q,15,0),"")</f>
        <v/>
      </c>
      <c r="P233" s="43" t="str">
        <f t="shared" si="6"/>
        <v>232,232,**</v>
      </c>
      <c r="Q233" s="43" t="s">
        <v>4896</v>
      </c>
      <c r="R233" s="43">
        <v>6042070338</v>
      </c>
      <c r="T233" s="90" t="s">
        <v>4897</v>
      </c>
      <c r="V233" s="43">
        <v>232</v>
      </c>
    </row>
    <row r="234" spans="1:22" ht="15.75">
      <c r="A234" s="13" t="str">
        <f>IFERROR(VLOOKUP($E:$E,scan!$A:$B,2,0),"**")</f>
        <v>**</v>
      </c>
      <c r="B234" s="13" t="str">
        <f>IFERROR(VLOOKUP($E234,scan!A:C,3,0),"**")</f>
        <v>**</v>
      </c>
      <c r="C234" s="79">
        <v>233</v>
      </c>
      <c r="E234" s="58"/>
      <c r="G234" s="85" t="s">
        <v>4895</v>
      </c>
      <c r="H234" s="61">
        <v>0</v>
      </c>
      <c r="J234" s="43" t="e">
        <f>VLOOKUP(E234,Input!C:J,5,0)</f>
        <v>#N/A</v>
      </c>
      <c r="K234" s="43" t="e">
        <f>VLOOKUP(E234,Input!C:G,5,0)</f>
        <v>#N/A</v>
      </c>
      <c r="L234" s="82" t="str">
        <f>IFERROR(VLOOKUP($E:$E,Input!$C:$Q,12,0),"")</f>
        <v/>
      </c>
      <c r="M234" s="82" t="str">
        <f>IFERROR(VLOOKUP($E:$E,Input!$C:$Q,14,0),"")</f>
        <v/>
      </c>
      <c r="N234" s="82" t="str">
        <f>IFERROR(VLOOKUP($E:$E,Input!$C:$Q,15,0),"")</f>
        <v/>
      </c>
      <c r="P234" s="43" t="str">
        <f t="shared" si="6"/>
        <v>233,233,**</v>
      </c>
      <c r="Q234" s="43" t="s">
        <v>4896</v>
      </c>
      <c r="R234" s="43">
        <v>6042070338</v>
      </c>
      <c r="T234" s="90" t="s">
        <v>4897</v>
      </c>
      <c r="V234" s="43">
        <v>233</v>
      </c>
    </row>
    <row r="235" spans="1:22" ht="15.75">
      <c r="A235" s="13" t="str">
        <f>IFERROR(VLOOKUP($E:$E,scan!$A:$B,2,0),"**")</f>
        <v>**</v>
      </c>
      <c r="B235" s="13" t="str">
        <f>IFERROR(VLOOKUP($E235,scan!A:C,3,0),"**")</f>
        <v>**</v>
      </c>
      <c r="C235" s="79">
        <v>234</v>
      </c>
      <c r="E235" s="58"/>
      <c r="G235" s="85" t="s">
        <v>4895</v>
      </c>
      <c r="H235" s="61">
        <v>0</v>
      </c>
      <c r="J235" s="43" t="e">
        <f>VLOOKUP(E235,Input!C:J,5,0)</f>
        <v>#N/A</v>
      </c>
      <c r="K235" s="43" t="e">
        <f>VLOOKUP(E235,Input!C:G,5,0)</f>
        <v>#N/A</v>
      </c>
      <c r="L235" s="82" t="str">
        <f>IFERROR(VLOOKUP($E:$E,Input!$C:$Q,12,0),"")</f>
        <v/>
      </c>
      <c r="M235" s="82" t="str">
        <f>IFERROR(VLOOKUP($E:$E,Input!$C:$Q,14,0),"")</f>
        <v/>
      </c>
      <c r="N235" s="82" t="str">
        <f>IFERROR(VLOOKUP($E:$E,Input!$C:$Q,15,0),"")</f>
        <v/>
      </c>
      <c r="P235" s="43" t="str">
        <f t="shared" si="6"/>
        <v>234,234,**</v>
      </c>
      <c r="Q235" s="43" t="s">
        <v>4896</v>
      </c>
      <c r="R235" s="43">
        <v>6042070338</v>
      </c>
      <c r="T235" s="90" t="s">
        <v>4897</v>
      </c>
      <c r="V235" s="43">
        <v>234</v>
      </c>
    </row>
    <row r="236" spans="1:22" ht="15.75">
      <c r="A236" s="13" t="str">
        <f>IFERROR(VLOOKUP($E:$E,scan!$A:$B,2,0),"**")</f>
        <v>**</v>
      </c>
      <c r="B236" s="13" t="str">
        <f>IFERROR(VLOOKUP($E236,scan!A:C,3,0),"**")</f>
        <v>**</v>
      </c>
      <c r="C236" s="79">
        <v>235</v>
      </c>
      <c r="E236" s="58"/>
      <c r="G236" s="85" t="s">
        <v>4895</v>
      </c>
      <c r="H236" s="61">
        <v>0</v>
      </c>
      <c r="J236" s="43" t="e">
        <f>VLOOKUP(E236,Input!C:J,5,0)</f>
        <v>#N/A</v>
      </c>
      <c r="K236" s="43" t="e">
        <f>VLOOKUP(E236,Input!C:G,5,0)</f>
        <v>#N/A</v>
      </c>
      <c r="L236" s="82" t="str">
        <f>IFERROR(VLOOKUP($E:$E,Input!$C:$Q,12,0),"")</f>
        <v/>
      </c>
      <c r="M236" s="82" t="str">
        <f>IFERROR(VLOOKUP($E:$E,Input!$C:$Q,14,0),"")</f>
        <v/>
      </c>
      <c r="N236" s="82" t="str">
        <f>IFERROR(VLOOKUP($E:$E,Input!$C:$Q,15,0),"")</f>
        <v/>
      </c>
      <c r="P236" s="43" t="str">
        <f t="shared" si="6"/>
        <v>235,235,**</v>
      </c>
      <c r="Q236" s="43" t="s">
        <v>4896</v>
      </c>
      <c r="R236" s="43">
        <v>6042070338</v>
      </c>
      <c r="T236" s="90" t="s">
        <v>4897</v>
      </c>
      <c r="V236" s="43">
        <v>235</v>
      </c>
    </row>
    <row r="237" spans="1:22" ht="15.75">
      <c r="A237" s="13" t="str">
        <f>IFERROR(VLOOKUP($E:$E,scan!$A:$B,2,0),"**")</f>
        <v>**</v>
      </c>
      <c r="B237" s="13" t="str">
        <f>IFERROR(VLOOKUP($E237,scan!A:C,3,0),"**")</f>
        <v>**</v>
      </c>
      <c r="C237" s="79">
        <v>236</v>
      </c>
      <c r="E237" s="58"/>
      <c r="G237" s="85" t="s">
        <v>4895</v>
      </c>
      <c r="H237" s="61">
        <v>0</v>
      </c>
      <c r="J237" s="43" t="e">
        <f>VLOOKUP(E237,Input!C:J,5,0)</f>
        <v>#N/A</v>
      </c>
      <c r="K237" s="43" t="e">
        <f>VLOOKUP(E237,Input!C:G,5,0)</f>
        <v>#N/A</v>
      </c>
      <c r="L237" s="82" t="str">
        <f>IFERROR(VLOOKUP($E:$E,Input!$C:$Q,12,0),"")</f>
        <v/>
      </c>
      <c r="M237" s="82" t="str">
        <f>IFERROR(VLOOKUP($E:$E,Input!$C:$Q,14,0),"")</f>
        <v/>
      </c>
      <c r="N237" s="82" t="str">
        <f>IFERROR(VLOOKUP($E:$E,Input!$C:$Q,15,0),"")</f>
        <v/>
      </c>
      <c r="P237" s="43" t="str">
        <f t="shared" si="6"/>
        <v>236,236,**</v>
      </c>
      <c r="Q237" s="43" t="s">
        <v>4896</v>
      </c>
      <c r="R237" s="43">
        <v>6042070338</v>
      </c>
      <c r="T237" s="90" t="s">
        <v>4897</v>
      </c>
      <c r="V237" s="43">
        <v>236</v>
      </c>
    </row>
    <row r="238" spans="1:22" ht="15.75">
      <c r="A238" s="13" t="str">
        <f>IFERROR(VLOOKUP($E:$E,scan!$A:$B,2,0),"**")</f>
        <v>**</v>
      </c>
      <c r="B238" s="13" t="str">
        <f>IFERROR(VLOOKUP($E238,scan!A:C,3,0),"**")</f>
        <v>**</v>
      </c>
      <c r="C238" s="79">
        <v>237</v>
      </c>
      <c r="E238" s="58"/>
      <c r="G238" s="85" t="s">
        <v>4895</v>
      </c>
      <c r="H238" s="61">
        <v>0</v>
      </c>
      <c r="J238" s="43" t="e">
        <f>VLOOKUP(E238,Input!C:J,5,0)</f>
        <v>#N/A</v>
      </c>
      <c r="K238" s="43" t="e">
        <f>VLOOKUP(E238,Input!C:G,5,0)</f>
        <v>#N/A</v>
      </c>
      <c r="L238" s="82" t="str">
        <f>IFERROR(VLOOKUP($E:$E,Input!$C:$Q,12,0),"")</f>
        <v/>
      </c>
      <c r="M238" s="82" t="str">
        <f>IFERROR(VLOOKUP($E:$E,Input!$C:$Q,14,0),"")</f>
        <v/>
      </c>
      <c r="N238" s="82" t="str">
        <f>IFERROR(VLOOKUP($E:$E,Input!$C:$Q,15,0),"")</f>
        <v/>
      </c>
      <c r="P238" s="43" t="str">
        <f t="shared" si="6"/>
        <v>237,237,**</v>
      </c>
      <c r="Q238" s="43" t="s">
        <v>4896</v>
      </c>
      <c r="R238" s="43">
        <v>6042070338</v>
      </c>
      <c r="T238" s="90" t="s">
        <v>4897</v>
      </c>
      <c r="V238" s="43">
        <v>237</v>
      </c>
    </row>
    <row r="239" spans="1:22" ht="15.75">
      <c r="A239" s="13" t="str">
        <f>IFERROR(VLOOKUP($E:$E,scan!$A:$B,2,0),"**")</f>
        <v>**</v>
      </c>
      <c r="B239" s="13" t="str">
        <f>IFERROR(VLOOKUP($E239,scan!A:C,3,0),"**")</f>
        <v>**</v>
      </c>
      <c r="C239" s="79">
        <v>238</v>
      </c>
      <c r="E239" s="58"/>
      <c r="G239" s="85" t="s">
        <v>4895</v>
      </c>
      <c r="H239" s="61">
        <v>0</v>
      </c>
      <c r="J239" s="43" t="e">
        <f>VLOOKUP(E239,Input!C:J,5,0)</f>
        <v>#N/A</v>
      </c>
      <c r="K239" s="43" t="e">
        <f>VLOOKUP(E239,Input!C:G,5,0)</f>
        <v>#N/A</v>
      </c>
      <c r="L239" s="82" t="str">
        <f>IFERROR(VLOOKUP($E:$E,Input!$C:$Q,12,0),"")</f>
        <v/>
      </c>
      <c r="M239" s="82" t="str">
        <f>IFERROR(VLOOKUP($E:$E,Input!$C:$Q,14,0),"")</f>
        <v/>
      </c>
      <c r="N239" s="82" t="str">
        <f>IFERROR(VLOOKUP($E:$E,Input!$C:$Q,15,0),"")</f>
        <v/>
      </c>
      <c r="P239" s="43" t="str">
        <f t="shared" si="6"/>
        <v>238,238,**</v>
      </c>
      <c r="Q239" s="43" t="s">
        <v>4896</v>
      </c>
      <c r="R239" s="43">
        <v>6042070338</v>
      </c>
      <c r="T239" s="90" t="s">
        <v>4897</v>
      </c>
      <c r="V239" s="43">
        <v>238</v>
      </c>
    </row>
    <row r="240" spans="1:22" ht="15.75">
      <c r="A240" s="13" t="str">
        <f>IFERROR(VLOOKUP($E:$E,scan!$A:$B,2,0),"**")</f>
        <v>**</v>
      </c>
      <c r="B240" s="13" t="str">
        <f>IFERROR(VLOOKUP($E240,scan!A:C,3,0),"**")</f>
        <v>**</v>
      </c>
      <c r="C240" s="79">
        <v>239</v>
      </c>
      <c r="E240" s="58"/>
      <c r="G240" s="85" t="s">
        <v>4895</v>
      </c>
      <c r="H240" s="61">
        <v>0</v>
      </c>
      <c r="J240" s="43" t="e">
        <f>VLOOKUP(E240,Input!C:J,5,0)</f>
        <v>#N/A</v>
      </c>
      <c r="K240" s="43" t="e">
        <f>VLOOKUP(E240,Input!C:G,5,0)</f>
        <v>#N/A</v>
      </c>
      <c r="L240" s="82" t="str">
        <f>IFERROR(VLOOKUP($E:$E,Input!$C:$Q,12,0),"")</f>
        <v/>
      </c>
      <c r="M240" s="82" t="str">
        <f>IFERROR(VLOOKUP($E:$E,Input!$C:$Q,14,0),"")</f>
        <v/>
      </c>
      <c r="N240" s="82" t="str">
        <f>IFERROR(VLOOKUP($E:$E,Input!$C:$Q,15,0),"")</f>
        <v/>
      </c>
      <c r="P240" s="43" t="str">
        <f t="shared" si="6"/>
        <v>239,239,**</v>
      </c>
      <c r="Q240" s="43" t="s">
        <v>4896</v>
      </c>
      <c r="R240" s="43">
        <v>6042070338</v>
      </c>
      <c r="T240" s="90" t="s">
        <v>4897</v>
      </c>
      <c r="V240" s="43">
        <v>239</v>
      </c>
    </row>
    <row r="241" spans="1:22" ht="15.75">
      <c r="A241" s="13" t="str">
        <f>IFERROR(VLOOKUP($E:$E,scan!$A:$B,2,0),"**")</f>
        <v>**</v>
      </c>
      <c r="B241" s="13" t="str">
        <f>IFERROR(VLOOKUP($E241,scan!A:C,3,0),"**")</f>
        <v>**</v>
      </c>
      <c r="C241" s="79">
        <v>240</v>
      </c>
      <c r="E241" s="58"/>
      <c r="G241" s="85" t="s">
        <v>4895</v>
      </c>
      <c r="H241" s="61">
        <v>0</v>
      </c>
      <c r="J241" s="43" t="e">
        <f>VLOOKUP(E241,Input!C:J,5,0)</f>
        <v>#N/A</v>
      </c>
      <c r="K241" s="43" t="e">
        <f>VLOOKUP(E241,Input!C:G,5,0)</f>
        <v>#N/A</v>
      </c>
      <c r="L241" s="82" t="str">
        <f>IFERROR(VLOOKUP($E:$E,Input!$C:$Q,12,0),"")</f>
        <v/>
      </c>
      <c r="M241" s="82" t="str">
        <f>IFERROR(VLOOKUP($E:$E,Input!$C:$Q,14,0),"")</f>
        <v/>
      </c>
      <c r="N241" s="82" t="str">
        <f>IFERROR(VLOOKUP($E:$E,Input!$C:$Q,15,0),"")</f>
        <v/>
      </c>
      <c r="P241" s="43" t="str">
        <f t="shared" si="6"/>
        <v>240,240,**</v>
      </c>
      <c r="Q241" s="43" t="s">
        <v>4896</v>
      </c>
      <c r="R241" s="43">
        <v>6042070338</v>
      </c>
      <c r="T241" s="90" t="s">
        <v>4897</v>
      </c>
      <c r="V241" s="43">
        <v>240</v>
      </c>
    </row>
    <row r="242" spans="1:22" ht="15.75">
      <c r="A242" s="13" t="str">
        <f>IFERROR(VLOOKUP($E:$E,scan!$A:$B,2,0),"**")</f>
        <v>**</v>
      </c>
      <c r="B242" s="13" t="str">
        <f>IFERROR(VLOOKUP($E242,scan!A:C,3,0),"**")</f>
        <v>**</v>
      </c>
      <c r="C242" s="79">
        <v>241</v>
      </c>
      <c r="E242" s="58"/>
      <c r="G242" s="85" t="s">
        <v>4895</v>
      </c>
      <c r="H242" s="61">
        <v>0</v>
      </c>
      <c r="J242" s="43" t="e">
        <f>VLOOKUP(E242,Input!C:J,5,0)</f>
        <v>#N/A</v>
      </c>
      <c r="K242" s="43" t="e">
        <f>VLOOKUP(E242,Input!C:G,5,0)</f>
        <v>#N/A</v>
      </c>
      <c r="L242" s="82" t="str">
        <f>IFERROR(VLOOKUP($E:$E,Input!$C:$Q,12,0),"")</f>
        <v/>
      </c>
      <c r="M242" s="82" t="str">
        <f>IFERROR(VLOOKUP($E:$E,Input!$C:$Q,14,0),"")</f>
        <v/>
      </c>
      <c r="N242" s="82" t="str">
        <f>IFERROR(VLOOKUP($E:$E,Input!$C:$Q,15,0),"")</f>
        <v/>
      </c>
      <c r="P242" s="43" t="str">
        <f t="shared" si="6"/>
        <v>241,241,**</v>
      </c>
      <c r="Q242" s="43" t="s">
        <v>4896</v>
      </c>
      <c r="R242" s="43">
        <v>6042070338</v>
      </c>
      <c r="T242" s="90" t="s">
        <v>4897</v>
      </c>
      <c r="V242" s="43">
        <v>241</v>
      </c>
    </row>
    <row r="243" spans="1:22" ht="15.75">
      <c r="A243" s="13" t="str">
        <f>IFERROR(VLOOKUP($E:$E,scan!$A:$B,2,0),"**")</f>
        <v>**</v>
      </c>
      <c r="B243" s="13" t="str">
        <f>IFERROR(VLOOKUP($E243,scan!A:C,3,0),"**")</f>
        <v>**</v>
      </c>
      <c r="C243" s="79">
        <v>242</v>
      </c>
      <c r="E243" s="58"/>
      <c r="G243" s="85" t="s">
        <v>4895</v>
      </c>
      <c r="H243" s="61">
        <v>0</v>
      </c>
      <c r="J243" s="43" t="e">
        <f>VLOOKUP(E243,Input!C:J,5,0)</f>
        <v>#N/A</v>
      </c>
      <c r="K243" s="43" t="e">
        <f>VLOOKUP(E243,Input!C:G,5,0)</f>
        <v>#N/A</v>
      </c>
      <c r="L243" s="82" t="str">
        <f>IFERROR(VLOOKUP($E:$E,Input!$C:$Q,12,0),"")</f>
        <v/>
      </c>
      <c r="M243" s="82" t="str">
        <f>IFERROR(VLOOKUP($E:$E,Input!$C:$Q,14,0),"")</f>
        <v/>
      </c>
      <c r="N243" s="82" t="str">
        <f>IFERROR(VLOOKUP($E:$E,Input!$C:$Q,15,0),"")</f>
        <v/>
      </c>
      <c r="P243" s="43" t="str">
        <f t="shared" si="6"/>
        <v>242,242,**</v>
      </c>
      <c r="Q243" s="43" t="s">
        <v>4896</v>
      </c>
      <c r="R243" s="43">
        <v>6042070338</v>
      </c>
      <c r="T243" s="90" t="s">
        <v>4897</v>
      </c>
      <c r="V243" s="43">
        <v>242</v>
      </c>
    </row>
    <row r="244" spans="1:22" ht="15.75">
      <c r="A244" s="13" t="str">
        <f>IFERROR(VLOOKUP($E:$E,scan!$A:$B,2,0),"**")</f>
        <v>**</v>
      </c>
      <c r="B244" s="13" t="str">
        <f>IFERROR(VLOOKUP($E244,scan!A:C,3,0),"**")</f>
        <v>**</v>
      </c>
      <c r="C244" s="79">
        <v>243</v>
      </c>
      <c r="E244" s="58"/>
      <c r="G244" s="85" t="s">
        <v>4895</v>
      </c>
      <c r="H244" s="61">
        <v>0</v>
      </c>
      <c r="J244" s="43" t="e">
        <f>VLOOKUP(E244,Input!C:J,5,0)</f>
        <v>#N/A</v>
      </c>
      <c r="K244" s="43" t="e">
        <f>VLOOKUP(E244,Input!C:G,5,0)</f>
        <v>#N/A</v>
      </c>
      <c r="L244" s="82" t="str">
        <f>IFERROR(VLOOKUP($E:$E,Input!$C:$Q,12,0),"")</f>
        <v/>
      </c>
      <c r="M244" s="82" t="str">
        <f>IFERROR(VLOOKUP($E:$E,Input!$C:$Q,14,0),"")</f>
        <v/>
      </c>
      <c r="N244" s="82" t="str">
        <f>IFERROR(VLOOKUP($E:$E,Input!$C:$Q,15,0),"")</f>
        <v/>
      </c>
      <c r="P244" s="43" t="str">
        <f t="shared" si="6"/>
        <v>243,243,**</v>
      </c>
      <c r="Q244" s="43" t="s">
        <v>4896</v>
      </c>
      <c r="R244" s="43">
        <v>6042070338</v>
      </c>
      <c r="T244" s="90" t="s">
        <v>4897</v>
      </c>
      <c r="V244" s="43">
        <v>243</v>
      </c>
    </row>
    <row r="245" spans="1:22" ht="15.75">
      <c r="A245" s="13" t="str">
        <f>IFERROR(VLOOKUP($E:$E,scan!$A:$B,2,0),"**")</f>
        <v>**</v>
      </c>
      <c r="B245" s="13" t="str">
        <f>IFERROR(VLOOKUP($E245,scan!A:C,3,0),"**")</f>
        <v>**</v>
      </c>
      <c r="C245" s="79">
        <v>244</v>
      </c>
      <c r="E245" s="58"/>
      <c r="G245" s="85" t="s">
        <v>4895</v>
      </c>
      <c r="H245" s="61">
        <v>0</v>
      </c>
      <c r="J245" s="43" t="e">
        <f>VLOOKUP(E245,Input!C:J,5,0)</f>
        <v>#N/A</v>
      </c>
      <c r="K245" s="43" t="e">
        <f>VLOOKUP(E245,Input!C:G,5,0)</f>
        <v>#N/A</v>
      </c>
      <c r="L245" s="82" t="str">
        <f>IFERROR(VLOOKUP($E:$E,Input!$C:$Q,12,0),"")</f>
        <v/>
      </c>
      <c r="M245" s="82" t="str">
        <f>IFERROR(VLOOKUP($E:$E,Input!$C:$Q,14,0),"")</f>
        <v/>
      </c>
      <c r="N245" s="82" t="str">
        <f>IFERROR(VLOOKUP($E:$E,Input!$C:$Q,15,0),"")</f>
        <v/>
      </c>
      <c r="P245" s="43" t="str">
        <f t="shared" si="6"/>
        <v>244,244,**</v>
      </c>
      <c r="Q245" s="43" t="s">
        <v>4896</v>
      </c>
      <c r="R245" s="43">
        <v>6042070338</v>
      </c>
      <c r="T245" s="90" t="s">
        <v>4897</v>
      </c>
      <c r="V245" s="43">
        <v>244</v>
      </c>
    </row>
    <row r="246" spans="1:22" ht="15.75">
      <c r="A246" s="13" t="str">
        <f>IFERROR(VLOOKUP($E:$E,scan!$A:$B,2,0),"**")</f>
        <v>**</v>
      </c>
      <c r="B246" s="13" t="str">
        <f>IFERROR(VLOOKUP($E246,scan!A:C,3,0),"**")</f>
        <v>**</v>
      </c>
      <c r="C246" s="79">
        <v>245</v>
      </c>
      <c r="E246" s="58"/>
      <c r="G246" s="85" t="s">
        <v>4895</v>
      </c>
      <c r="H246" s="61">
        <v>0</v>
      </c>
      <c r="J246" s="43" t="e">
        <f>VLOOKUP(E246,Input!C:J,5,0)</f>
        <v>#N/A</v>
      </c>
      <c r="K246" s="43" t="e">
        <f>VLOOKUP(E246,Input!C:G,5,0)</f>
        <v>#N/A</v>
      </c>
      <c r="L246" s="82" t="str">
        <f>IFERROR(VLOOKUP($E:$E,Input!$C:$Q,12,0),"")</f>
        <v/>
      </c>
      <c r="M246" s="82" t="str">
        <f>IFERROR(VLOOKUP($E:$E,Input!$C:$Q,14,0),"")</f>
        <v/>
      </c>
      <c r="N246" s="82" t="str">
        <f>IFERROR(VLOOKUP($E:$E,Input!$C:$Q,15,0),"")</f>
        <v/>
      </c>
      <c r="P246" s="43" t="str">
        <f t="shared" si="6"/>
        <v>245,245,**</v>
      </c>
      <c r="Q246" s="43" t="s">
        <v>4896</v>
      </c>
      <c r="R246" s="43">
        <v>6042070338</v>
      </c>
      <c r="T246" s="90" t="s">
        <v>4897</v>
      </c>
      <c r="V246" s="43">
        <v>245</v>
      </c>
    </row>
    <row r="247" spans="1:22" ht="15.75">
      <c r="A247" s="13" t="str">
        <f>IFERROR(VLOOKUP($E:$E,scan!$A:$B,2,0),"**")</f>
        <v>**</v>
      </c>
      <c r="B247" s="13" t="str">
        <f>IFERROR(VLOOKUP($E247,scan!A:C,3,0),"**")</f>
        <v>**</v>
      </c>
      <c r="C247" s="79">
        <v>246</v>
      </c>
      <c r="E247" s="58"/>
      <c r="G247" s="85" t="s">
        <v>4895</v>
      </c>
      <c r="H247" s="61">
        <v>0</v>
      </c>
      <c r="J247" s="43" t="e">
        <f>VLOOKUP(E247,Input!C:J,5,0)</f>
        <v>#N/A</v>
      </c>
      <c r="K247" s="43" t="e">
        <f>VLOOKUP(E247,Input!C:G,5,0)</f>
        <v>#N/A</v>
      </c>
      <c r="L247" s="82" t="str">
        <f>IFERROR(VLOOKUP($E:$E,Input!$C:$Q,12,0),"")</f>
        <v/>
      </c>
      <c r="M247" s="82" t="str">
        <f>IFERROR(VLOOKUP($E:$E,Input!$C:$Q,14,0),"")</f>
        <v/>
      </c>
      <c r="N247" s="82" t="str">
        <f>IFERROR(VLOOKUP($E:$E,Input!$C:$Q,15,0),"")</f>
        <v/>
      </c>
      <c r="P247" s="43" t="str">
        <f t="shared" si="6"/>
        <v>246,246,**</v>
      </c>
      <c r="Q247" s="43" t="s">
        <v>4896</v>
      </c>
      <c r="R247" s="43">
        <v>6042070338</v>
      </c>
      <c r="T247" s="90" t="s">
        <v>4897</v>
      </c>
      <c r="V247" s="43">
        <v>246</v>
      </c>
    </row>
    <row r="248" spans="1:22" ht="15.75">
      <c r="A248" s="13" t="str">
        <f>IFERROR(VLOOKUP($E:$E,scan!$A:$B,2,0),"**")</f>
        <v>**</v>
      </c>
      <c r="B248" s="13" t="str">
        <f>IFERROR(VLOOKUP($E248,scan!A:C,3,0),"**")</f>
        <v>**</v>
      </c>
      <c r="C248" s="79">
        <v>247</v>
      </c>
      <c r="E248" s="58"/>
      <c r="G248" s="85" t="s">
        <v>4895</v>
      </c>
      <c r="H248" s="61">
        <v>0</v>
      </c>
      <c r="J248" s="43" t="e">
        <f>VLOOKUP(E248,Input!C:J,5,0)</f>
        <v>#N/A</v>
      </c>
      <c r="K248" s="43" t="e">
        <f>VLOOKUP(E248,Input!C:G,5,0)</f>
        <v>#N/A</v>
      </c>
      <c r="L248" s="82" t="str">
        <f>IFERROR(VLOOKUP($E:$E,Input!$C:$Q,12,0),"")</f>
        <v/>
      </c>
      <c r="M248" s="82" t="str">
        <f>IFERROR(VLOOKUP($E:$E,Input!$C:$Q,14,0),"")</f>
        <v/>
      </c>
      <c r="N248" s="82" t="str">
        <f>IFERROR(VLOOKUP($E:$E,Input!$C:$Q,15,0),"")</f>
        <v/>
      </c>
      <c r="P248" s="43" t="str">
        <f t="shared" si="6"/>
        <v>247,247,**</v>
      </c>
      <c r="Q248" s="43" t="s">
        <v>4896</v>
      </c>
      <c r="R248" s="43">
        <v>6042070338</v>
      </c>
      <c r="T248" s="90" t="s">
        <v>4897</v>
      </c>
      <c r="V248" s="43">
        <v>247</v>
      </c>
    </row>
    <row r="249" spans="1:22" ht="15.75">
      <c r="A249" s="13" t="str">
        <f>IFERROR(VLOOKUP($E:$E,scan!$A:$B,2,0),"**")</f>
        <v>**</v>
      </c>
      <c r="B249" s="13" t="str">
        <f>IFERROR(VLOOKUP($E249,scan!A:C,3,0),"**")</f>
        <v>**</v>
      </c>
      <c r="C249" s="79">
        <v>248</v>
      </c>
      <c r="E249" s="58"/>
      <c r="G249" s="85" t="s">
        <v>4895</v>
      </c>
      <c r="H249" s="61">
        <v>0</v>
      </c>
      <c r="J249" s="43" t="e">
        <f>VLOOKUP(E249,Input!C:J,5,0)</f>
        <v>#N/A</v>
      </c>
      <c r="K249" s="43" t="e">
        <f>VLOOKUP(E249,Input!C:G,5,0)</f>
        <v>#N/A</v>
      </c>
      <c r="L249" s="82" t="str">
        <f>IFERROR(VLOOKUP($E:$E,Input!$C:$Q,12,0),"")</f>
        <v/>
      </c>
      <c r="M249" s="82" t="str">
        <f>IFERROR(VLOOKUP($E:$E,Input!$C:$Q,14,0),"")</f>
        <v/>
      </c>
      <c r="N249" s="82" t="str">
        <f>IFERROR(VLOOKUP($E:$E,Input!$C:$Q,15,0),"")</f>
        <v/>
      </c>
      <c r="P249" s="43" t="str">
        <f t="shared" si="6"/>
        <v>248,248,**</v>
      </c>
      <c r="Q249" s="43" t="s">
        <v>4896</v>
      </c>
      <c r="R249" s="43">
        <v>6042070338</v>
      </c>
      <c r="T249" s="90" t="s">
        <v>4897</v>
      </c>
      <c r="V249" s="43">
        <v>248</v>
      </c>
    </row>
    <row r="250" spans="1:22" ht="15.75">
      <c r="A250" s="13" t="str">
        <f>IFERROR(VLOOKUP($E:$E,scan!$A:$B,2,0),"**")</f>
        <v>**</v>
      </c>
      <c r="B250" s="13" t="str">
        <f>IFERROR(VLOOKUP($E250,scan!A:C,3,0),"**")</f>
        <v>**</v>
      </c>
      <c r="C250" s="79">
        <v>249</v>
      </c>
      <c r="E250" s="58"/>
      <c r="G250" s="85" t="s">
        <v>4895</v>
      </c>
      <c r="H250" s="61">
        <v>0</v>
      </c>
      <c r="J250" s="43" t="e">
        <f>VLOOKUP(E250,Input!C:J,5,0)</f>
        <v>#N/A</v>
      </c>
      <c r="K250" s="43" t="e">
        <f>VLOOKUP(E250,Input!C:G,5,0)</f>
        <v>#N/A</v>
      </c>
      <c r="L250" s="82" t="str">
        <f>IFERROR(VLOOKUP($E:$E,Input!$C:$Q,12,0),"")</f>
        <v/>
      </c>
      <c r="M250" s="82" t="str">
        <f>IFERROR(VLOOKUP($E:$E,Input!$C:$Q,14,0),"")</f>
        <v/>
      </c>
      <c r="N250" s="82" t="str">
        <f>IFERROR(VLOOKUP($E:$E,Input!$C:$Q,15,0),"")</f>
        <v/>
      </c>
      <c r="P250" s="43" t="str">
        <f t="shared" si="6"/>
        <v>249,249,**</v>
      </c>
      <c r="Q250" s="43" t="s">
        <v>4896</v>
      </c>
      <c r="R250" s="43">
        <v>6042070338</v>
      </c>
      <c r="T250" s="90" t="s">
        <v>4897</v>
      </c>
      <c r="V250" s="43">
        <v>249</v>
      </c>
    </row>
    <row r="251" spans="1:22" ht="15.75">
      <c r="A251" s="13" t="str">
        <f>IFERROR(VLOOKUP($E:$E,scan!$A:$B,2,0),"**")</f>
        <v>**</v>
      </c>
      <c r="B251" s="13" t="str">
        <f>IFERROR(VLOOKUP($E251,scan!A:C,3,0),"**")</f>
        <v>**</v>
      </c>
      <c r="C251" s="79">
        <v>250</v>
      </c>
      <c r="E251" s="58"/>
      <c r="G251" s="85" t="s">
        <v>4895</v>
      </c>
      <c r="H251" s="61">
        <v>0</v>
      </c>
      <c r="J251" s="43" t="e">
        <f>VLOOKUP(E251,Input!C:J,5,0)</f>
        <v>#N/A</v>
      </c>
      <c r="K251" s="43" t="e">
        <f>VLOOKUP(E251,Input!C:G,5,0)</f>
        <v>#N/A</v>
      </c>
      <c r="L251" s="82" t="str">
        <f>IFERROR(VLOOKUP($E:$E,Input!$C:$Q,12,0),"")</f>
        <v/>
      </c>
      <c r="M251" s="82" t="str">
        <f>IFERROR(VLOOKUP($E:$E,Input!$C:$Q,14,0),"")</f>
        <v/>
      </c>
      <c r="N251" s="82" t="str">
        <f>IFERROR(VLOOKUP($E:$E,Input!$C:$Q,15,0),"")</f>
        <v/>
      </c>
      <c r="P251" s="43" t="str">
        <f t="shared" si="6"/>
        <v>250,250,**</v>
      </c>
      <c r="Q251" s="43" t="s">
        <v>4896</v>
      </c>
      <c r="R251" s="43">
        <v>6042070338</v>
      </c>
      <c r="T251" s="90" t="s">
        <v>4897</v>
      </c>
      <c r="V251" s="43">
        <v>250</v>
      </c>
    </row>
    <row r="252" spans="1:22" ht="15.75">
      <c r="A252" s="13" t="str">
        <f>IFERROR(VLOOKUP($E:$E,scan!$A:$B,2,0),"**")</f>
        <v>**</v>
      </c>
      <c r="B252" s="13" t="str">
        <f>IFERROR(VLOOKUP($E252,scan!A:C,3,0),"**")</f>
        <v>**</v>
      </c>
      <c r="C252" s="79">
        <v>251</v>
      </c>
      <c r="E252" s="58"/>
      <c r="G252" s="85" t="s">
        <v>4895</v>
      </c>
      <c r="H252" s="61">
        <v>0</v>
      </c>
      <c r="J252" s="43" t="e">
        <f>VLOOKUP(E252,Input!C:J,5,0)</f>
        <v>#N/A</v>
      </c>
      <c r="K252" s="43" t="e">
        <f>VLOOKUP(E252,Input!C:G,5,0)</f>
        <v>#N/A</v>
      </c>
      <c r="L252" s="82" t="str">
        <f>IFERROR(VLOOKUP($E:$E,Input!$C:$Q,12,0),"")</f>
        <v/>
      </c>
      <c r="M252" s="82" t="str">
        <f>IFERROR(VLOOKUP($E:$E,Input!$C:$Q,14,0),"")</f>
        <v/>
      </c>
      <c r="N252" s="82" t="str">
        <f>IFERROR(VLOOKUP($E:$E,Input!$C:$Q,15,0),"")</f>
        <v/>
      </c>
      <c r="P252" s="43" t="str">
        <f t="shared" si="6"/>
        <v>251,251,**</v>
      </c>
      <c r="Q252" s="43" t="s">
        <v>4896</v>
      </c>
      <c r="R252" s="43">
        <v>6042070338</v>
      </c>
      <c r="T252" s="90" t="s">
        <v>4897</v>
      </c>
      <c r="V252" s="43">
        <v>251</v>
      </c>
    </row>
    <row r="253" spans="1:22" ht="15.75">
      <c r="A253" s="13" t="str">
        <f>IFERROR(VLOOKUP($E:$E,scan!$A:$B,2,0),"**")</f>
        <v>**</v>
      </c>
      <c r="B253" s="13" t="str">
        <f>IFERROR(VLOOKUP($E253,scan!A:C,3,0),"**")</f>
        <v>**</v>
      </c>
      <c r="C253" s="79">
        <v>252</v>
      </c>
      <c r="E253" s="58"/>
      <c r="G253" s="85" t="s">
        <v>4895</v>
      </c>
      <c r="H253" s="61">
        <v>0</v>
      </c>
      <c r="J253" s="43" t="e">
        <f>VLOOKUP(E253,Input!C:J,5,0)</f>
        <v>#N/A</v>
      </c>
      <c r="K253" s="43" t="e">
        <f>VLOOKUP(E253,Input!C:G,5,0)</f>
        <v>#N/A</v>
      </c>
      <c r="L253" s="82" t="str">
        <f>IFERROR(VLOOKUP($E:$E,Input!$C:$Q,12,0),"")</f>
        <v/>
      </c>
      <c r="M253" s="82" t="str">
        <f>IFERROR(VLOOKUP($E:$E,Input!$C:$Q,14,0),"")</f>
        <v/>
      </c>
      <c r="N253" s="82" t="str">
        <f>IFERROR(VLOOKUP($E:$E,Input!$C:$Q,15,0),"")</f>
        <v/>
      </c>
      <c r="P253" s="43" t="str">
        <f t="shared" si="6"/>
        <v>252,252,**</v>
      </c>
      <c r="Q253" s="43" t="s">
        <v>4896</v>
      </c>
      <c r="R253" s="43">
        <v>6042070338</v>
      </c>
      <c r="T253" s="90" t="s">
        <v>4897</v>
      </c>
      <c r="V253" s="43">
        <v>252</v>
      </c>
    </row>
    <row r="254" spans="1:22" ht="15.75">
      <c r="A254" s="13" t="str">
        <f>IFERROR(VLOOKUP($E:$E,scan!$A:$B,2,0),"**")</f>
        <v>**</v>
      </c>
      <c r="B254" s="13" t="str">
        <f>IFERROR(VLOOKUP($E254,scan!A:C,3,0),"**")</f>
        <v>**</v>
      </c>
      <c r="C254" s="79">
        <v>253</v>
      </c>
      <c r="E254" s="58"/>
      <c r="G254" s="85" t="s">
        <v>4895</v>
      </c>
      <c r="H254" s="61">
        <v>0</v>
      </c>
      <c r="J254" s="43" t="e">
        <f>VLOOKUP(E254,Input!C:J,5,0)</f>
        <v>#N/A</v>
      </c>
      <c r="K254" s="43" t="e">
        <f>VLOOKUP(E254,Input!C:G,5,0)</f>
        <v>#N/A</v>
      </c>
      <c r="L254" s="82" t="str">
        <f>IFERROR(VLOOKUP($E:$E,Input!$C:$Q,12,0),"")</f>
        <v/>
      </c>
      <c r="M254" s="82" t="str">
        <f>IFERROR(VLOOKUP($E:$E,Input!$C:$Q,14,0),"")</f>
        <v/>
      </c>
      <c r="N254" s="82" t="str">
        <f>IFERROR(VLOOKUP($E:$E,Input!$C:$Q,15,0),"")</f>
        <v/>
      </c>
      <c r="P254" s="43" t="str">
        <f t="shared" si="6"/>
        <v>253,253,**</v>
      </c>
      <c r="Q254" s="43" t="s">
        <v>4896</v>
      </c>
      <c r="R254" s="43">
        <v>6042070338</v>
      </c>
      <c r="T254" s="90" t="s">
        <v>4897</v>
      </c>
      <c r="V254" s="43">
        <v>253</v>
      </c>
    </row>
    <row r="255" spans="1:22" ht="15.75">
      <c r="A255" s="13" t="str">
        <f>IFERROR(VLOOKUP($E:$E,scan!$A:$B,2,0),"**")</f>
        <v>**</v>
      </c>
      <c r="B255" s="13" t="str">
        <f>IFERROR(VLOOKUP($E255,scan!A:C,3,0),"**")</f>
        <v>**</v>
      </c>
      <c r="C255" s="79">
        <v>254</v>
      </c>
      <c r="E255" s="58"/>
      <c r="G255" s="85" t="s">
        <v>4895</v>
      </c>
      <c r="H255" s="61">
        <v>0</v>
      </c>
      <c r="J255" s="43" t="e">
        <f>VLOOKUP(E255,Input!C:J,5,0)</f>
        <v>#N/A</v>
      </c>
      <c r="K255" s="43" t="e">
        <f>VLOOKUP(E255,Input!C:G,5,0)</f>
        <v>#N/A</v>
      </c>
      <c r="L255" s="82" t="str">
        <f>IFERROR(VLOOKUP($E:$E,Input!$C:$Q,12,0),"")</f>
        <v/>
      </c>
      <c r="M255" s="82" t="str">
        <f>IFERROR(VLOOKUP($E:$E,Input!$C:$Q,14,0),"")</f>
        <v/>
      </c>
      <c r="N255" s="82" t="str">
        <f>IFERROR(VLOOKUP($E:$E,Input!$C:$Q,15,0),"")</f>
        <v/>
      </c>
      <c r="P255" s="43" t="str">
        <f t="shared" si="6"/>
        <v>254,254,**</v>
      </c>
      <c r="Q255" s="43" t="s">
        <v>4896</v>
      </c>
      <c r="R255" s="43">
        <v>6042070338</v>
      </c>
      <c r="T255" s="90" t="s">
        <v>4897</v>
      </c>
      <c r="V255" s="43">
        <v>254</v>
      </c>
    </row>
    <row r="256" spans="1:22" ht="15.75">
      <c r="A256" s="13" t="str">
        <f>IFERROR(VLOOKUP($E:$E,scan!$A:$B,2,0),"**")</f>
        <v>**</v>
      </c>
      <c r="B256" s="13" t="str">
        <f>IFERROR(VLOOKUP($E256,scan!A:C,3,0),"**")</f>
        <v>**</v>
      </c>
      <c r="C256" s="79">
        <v>255</v>
      </c>
      <c r="E256" s="58"/>
      <c r="G256" s="85" t="s">
        <v>4895</v>
      </c>
      <c r="H256" s="61">
        <v>0</v>
      </c>
      <c r="J256" s="43" t="e">
        <f>VLOOKUP(E256,Input!C:J,5,0)</f>
        <v>#N/A</v>
      </c>
      <c r="K256" s="43" t="e">
        <f>VLOOKUP(E256,Input!C:G,5,0)</f>
        <v>#N/A</v>
      </c>
      <c r="L256" s="82" t="str">
        <f>IFERROR(VLOOKUP($E:$E,Input!$C:$Q,12,0),"")</f>
        <v/>
      </c>
      <c r="M256" s="82" t="str">
        <f>IFERROR(VLOOKUP($E:$E,Input!$C:$Q,14,0),"")</f>
        <v/>
      </c>
      <c r="N256" s="82" t="str">
        <f>IFERROR(VLOOKUP($E:$E,Input!$C:$Q,15,0),"")</f>
        <v/>
      </c>
      <c r="P256" s="43" t="str">
        <f t="shared" si="6"/>
        <v>255,255,**</v>
      </c>
      <c r="Q256" s="43" t="s">
        <v>4896</v>
      </c>
      <c r="R256" s="43">
        <v>6042070338</v>
      </c>
      <c r="T256" s="90" t="s">
        <v>4897</v>
      </c>
      <c r="V256" s="43">
        <v>255</v>
      </c>
    </row>
    <row r="257" spans="1:22" ht="15.75">
      <c r="A257" s="13" t="str">
        <f>IFERROR(VLOOKUP($E:$E,scan!$A:$B,2,0),"**")</f>
        <v>**</v>
      </c>
      <c r="B257" s="13" t="str">
        <f>IFERROR(VLOOKUP($E257,scan!A:C,3,0),"**")</f>
        <v>**</v>
      </c>
      <c r="C257" s="79">
        <v>256</v>
      </c>
      <c r="E257" s="58"/>
      <c r="G257" s="85" t="s">
        <v>4895</v>
      </c>
      <c r="H257" s="61">
        <v>0</v>
      </c>
      <c r="J257" s="43" t="e">
        <f>VLOOKUP(E257,Input!C:J,5,0)</f>
        <v>#N/A</v>
      </c>
      <c r="K257" s="43" t="e">
        <f>VLOOKUP(E257,Input!C:G,5,0)</f>
        <v>#N/A</v>
      </c>
      <c r="L257" s="82" t="str">
        <f>IFERROR(VLOOKUP($E:$E,Input!$C:$Q,12,0),"")</f>
        <v/>
      </c>
      <c r="M257" s="82" t="str">
        <f>IFERROR(VLOOKUP($E:$E,Input!$C:$Q,14,0),"")</f>
        <v/>
      </c>
      <c r="N257" s="82" t="str">
        <f>IFERROR(VLOOKUP($E:$E,Input!$C:$Q,15,0),"")</f>
        <v/>
      </c>
      <c r="P257" s="43" t="str">
        <f t="shared" si="6"/>
        <v>256,256,**</v>
      </c>
      <c r="Q257" s="43" t="s">
        <v>4896</v>
      </c>
      <c r="R257" s="43">
        <v>6042070338</v>
      </c>
      <c r="T257" s="90" t="s">
        <v>4897</v>
      </c>
      <c r="V257" s="43">
        <v>256</v>
      </c>
    </row>
    <row r="258" spans="1:22" ht="15.75">
      <c r="A258" s="13" t="str">
        <f>IFERROR(VLOOKUP($E:$E,scan!$A:$B,2,0),"**")</f>
        <v>**</v>
      </c>
      <c r="B258" s="13" t="str">
        <f>IFERROR(VLOOKUP($E258,scan!A:C,3,0),"**")</f>
        <v>**</v>
      </c>
      <c r="C258" s="79">
        <v>257</v>
      </c>
      <c r="E258" s="58"/>
      <c r="G258" s="85" t="s">
        <v>4895</v>
      </c>
      <c r="H258" s="61">
        <v>0</v>
      </c>
      <c r="J258" s="43" t="e">
        <f>VLOOKUP(E258,Input!C:J,5,0)</f>
        <v>#N/A</v>
      </c>
      <c r="K258" s="43" t="e">
        <f>VLOOKUP(E258,Input!C:G,5,0)</f>
        <v>#N/A</v>
      </c>
      <c r="L258" s="82" t="str">
        <f>IFERROR(VLOOKUP($E:$E,Input!$C:$Q,12,0),"")</f>
        <v/>
      </c>
      <c r="M258" s="82" t="str">
        <f>IFERROR(VLOOKUP($E:$E,Input!$C:$Q,14,0),"")</f>
        <v/>
      </c>
      <c r="N258" s="82" t="str">
        <f>IFERROR(VLOOKUP($E:$E,Input!$C:$Q,15,0),"")</f>
        <v/>
      </c>
      <c r="P258" s="43" t="str">
        <f t="shared" si="6"/>
        <v>257,257,**</v>
      </c>
      <c r="Q258" s="43" t="s">
        <v>4896</v>
      </c>
      <c r="R258" s="43">
        <v>6042070338</v>
      </c>
      <c r="T258" s="90" t="s">
        <v>4897</v>
      </c>
      <c r="V258" s="43">
        <v>257</v>
      </c>
    </row>
    <row r="259" spans="1:22" ht="15.75">
      <c r="A259" s="13" t="str">
        <f>IFERROR(VLOOKUP($E:$E,scan!$A:$B,2,0),"**")</f>
        <v>**</v>
      </c>
      <c r="B259" s="13" t="str">
        <f>IFERROR(VLOOKUP($E259,scan!A:C,3,0),"**")</f>
        <v>**</v>
      </c>
      <c r="C259" s="79">
        <v>258</v>
      </c>
      <c r="E259" s="58"/>
      <c r="G259" s="85" t="s">
        <v>4895</v>
      </c>
      <c r="H259" s="61">
        <v>0</v>
      </c>
      <c r="J259" s="43" t="e">
        <f>VLOOKUP(E259,Input!C:J,5,0)</f>
        <v>#N/A</v>
      </c>
      <c r="K259" s="43" t="e">
        <f>VLOOKUP(E259,Input!C:G,5,0)</f>
        <v>#N/A</v>
      </c>
      <c r="L259" s="82" t="str">
        <f>IFERROR(VLOOKUP($E:$E,Input!$C:$Q,12,0),"")</f>
        <v/>
      </c>
      <c r="M259" s="82" t="str">
        <f>IFERROR(VLOOKUP($E:$E,Input!$C:$Q,14,0),"")</f>
        <v/>
      </c>
      <c r="N259" s="82" t="str">
        <f>IFERROR(VLOOKUP($E:$E,Input!$C:$Q,15,0),"")</f>
        <v/>
      </c>
      <c r="P259" s="43" t="str">
        <f t="shared" si="6"/>
        <v>258,258,**</v>
      </c>
      <c r="Q259" s="43" t="s">
        <v>4896</v>
      </c>
      <c r="R259" s="43">
        <v>6042070338</v>
      </c>
      <c r="T259" s="90" t="s">
        <v>4897</v>
      </c>
      <c r="V259" s="43">
        <v>258</v>
      </c>
    </row>
    <row r="260" spans="1:22" ht="15.75">
      <c r="A260" s="13" t="str">
        <f>IFERROR(VLOOKUP($E:$E,scan!$A:$B,2,0),"**")</f>
        <v>**</v>
      </c>
      <c r="B260" s="13" t="str">
        <f>IFERROR(VLOOKUP($E260,scan!A:C,3,0),"**")</f>
        <v>**</v>
      </c>
      <c r="C260" s="79">
        <v>259</v>
      </c>
      <c r="E260" s="58"/>
      <c r="G260" s="85" t="s">
        <v>4895</v>
      </c>
      <c r="H260" s="61">
        <v>0</v>
      </c>
      <c r="J260" s="43" t="e">
        <f>VLOOKUP(E260,Input!C:J,5,0)</f>
        <v>#N/A</v>
      </c>
      <c r="K260" s="43" t="e">
        <f>VLOOKUP(E260,Input!C:G,5,0)</f>
        <v>#N/A</v>
      </c>
      <c r="L260" s="82" t="str">
        <f>IFERROR(VLOOKUP($E:$E,Input!$C:$Q,12,0),"")</f>
        <v/>
      </c>
      <c r="M260" s="82" t="str">
        <f>IFERROR(VLOOKUP($E:$E,Input!$C:$Q,14,0),"")</f>
        <v/>
      </c>
      <c r="N260" s="82" t="str">
        <f>IFERROR(VLOOKUP($E:$E,Input!$C:$Q,15,0),"")</f>
        <v/>
      </c>
      <c r="P260" s="43" t="str">
        <f t="shared" si="6"/>
        <v>259,259,**</v>
      </c>
      <c r="Q260" s="43" t="s">
        <v>4896</v>
      </c>
      <c r="R260" s="43">
        <v>6042070338</v>
      </c>
      <c r="T260" s="90" t="s">
        <v>4897</v>
      </c>
      <c r="V260" s="43">
        <v>259</v>
      </c>
    </row>
    <row r="261" spans="1:22" ht="15.75">
      <c r="A261" s="13" t="str">
        <f>IFERROR(VLOOKUP($E:$E,scan!$A:$B,2,0),"**")</f>
        <v>**</v>
      </c>
      <c r="B261" s="13" t="str">
        <f>IFERROR(VLOOKUP($E261,scan!A:C,3,0),"**")</f>
        <v>**</v>
      </c>
      <c r="C261" s="79">
        <v>260</v>
      </c>
      <c r="E261" s="58"/>
      <c r="G261" s="85" t="s">
        <v>4895</v>
      </c>
      <c r="H261" s="61">
        <v>0</v>
      </c>
      <c r="J261" s="43" t="e">
        <f>VLOOKUP(E261,Input!C:J,5,0)</f>
        <v>#N/A</v>
      </c>
      <c r="K261" s="43" t="e">
        <f>VLOOKUP(E261,Input!C:G,5,0)</f>
        <v>#N/A</v>
      </c>
      <c r="L261" s="82" t="str">
        <f>IFERROR(VLOOKUP($E:$E,Input!$C:$Q,12,0),"")</f>
        <v/>
      </c>
      <c r="M261" s="82" t="str">
        <f>IFERROR(VLOOKUP($E:$E,Input!$C:$Q,14,0),"")</f>
        <v/>
      </c>
      <c r="N261" s="82" t="str">
        <f>IFERROR(VLOOKUP($E:$E,Input!$C:$Q,15,0),"")</f>
        <v/>
      </c>
      <c r="P261" s="43" t="str">
        <f t="shared" si="6"/>
        <v>260,260,**</v>
      </c>
      <c r="Q261" s="43" t="s">
        <v>4896</v>
      </c>
      <c r="R261" s="43">
        <v>6042070338</v>
      </c>
      <c r="T261" s="90" t="s">
        <v>4897</v>
      </c>
      <c r="V261" s="43">
        <v>260</v>
      </c>
    </row>
    <row r="262" spans="1:22" ht="15.75">
      <c r="A262" s="13" t="str">
        <f>IFERROR(VLOOKUP($E:$E,scan!$A:$B,2,0),"**")</f>
        <v>**</v>
      </c>
      <c r="B262" s="13" t="str">
        <f>IFERROR(VLOOKUP($E262,scan!A:C,3,0),"**")</f>
        <v>**</v>
      </c>
      <c r="C262" s="79">
        <v>261</v>
      </c>
      <c r="E262" s="58"/>
      <c r="G262" s="85" t="s">
        <v>4895</v>
      </c>
      <c r="H262" s="61">
        <v>0</v>
      </c>
      <c r="J262" s="43" t="e">
        <f>VLOOKUP(E262,Input!C:J,5,0)</f>
        <v>#N/A</v>
      </c>
      <c r="K262" s="43" t="e">
        <f>VLOOKUP(E262,Input!C:G,5,0)</f>
        <v>#N/A</v>
      </c>
      <c r="L262" s="82" t="str">
        <f>IFERROR(VLOOKUP($E:$E,Input!$C:$Q,12,0),"")</f>
        <v/>
      </c>
      <c r="M262" s="82" t="str">
        <f>IFERROR(VLOOKUP($E:$E,Input!$C:$Q,14,0),"")</f>
        <v/>
      </c>
      <c r="N262" s="82" t="str">
        <f>IFERROR(VLOOKUP($E:$E,Input!$C:$Q,15,0),"")</f>
        <v/>
      </c>
      <c r="P262" s="43" t="str">
        <f t="shared" si="6"/>
        <v>261,261,**</v>
      </c>
      <c r="Q262" s="43" t="s">
        <v>4896</v>
      </c>
      <c r="R262" s="43">
        <v>6042070338</v>
      </c>
      <c r="T262" s="90" t="s">
        <v>4897</v>
      </c>
      <c r="V262" s="43">
        <v>261</v>
      </c>
    </row>
    <row r="263" spans="1:22" ht="15.75">
      <c r="A263" s="13" t="str">
        <f>IFERROR(VLOOKUP($E:$E,scan!$A:$B,2,0),"**")</f>
        <v>**</v>
      </c>
      <c r="B263" s="13" t="str">
        <f>IFERROR(VLOOKUP($E263,scan!A:C,3,0),"**")</f>
        <v>**</v>
      </c>
      <c r="C263" s="79">
        <v>262</v>
      </c>
      <c r="E263" s="58"/>
      <c r="G263" s="85" t="s">
        <v>4895</v>
      </c>
      <c r="H263" s="61">
        <v>0</v>
      </c>
      <c r="J263" s="43" t="e">
        <f>VLOOKUP(E263,Input!C:J,5,0)</f>
        <v>#N/A</v>
      </c>
      <c r="K263" s="43" t="e">
        <f>VLOOKUP(E263,Input!C:G,5,0)</f>
        <v>#N/A</v>
      </c>
      <c r="L263" s="82" t="str">
        <f>IFERROR(VLOOKUP($E:$E,Input!$C:$Q,12,0),"")</f>
        <v/>
      </c>
      <c r="M263" s="82" t="str">
        <f>IFERROR(VLOOKUP($E:$E,Input!$C:$Q,14,0),"")</f>
        <v/>
      </c>
      <c r="N263" s="82" t="str">
        <f>IFERROR(VLOOKUP($E:$E,Input!$C:$Q,15,0),"")</f>
        <v/>
      </c>
      <c r="P263" s="43" t="str">
        <f t="shared" si="6"/>
        <v>262,262,**</v>
      </c>
      <c r="Q263" s="43" t="s">
        <v>4896</v>
      </c>
      <c r="R263" s="43">
        <v>6042070338</v>
      </c>
      <c r="T263" s="90" t="s">
        <v>4897</v>
      </c>
      <c r="V263" s="43">
        <v>262</v>
      </c>
    </row>
    <row r="264" spans="1:22" ht="15.75">
      <c r="A264" s="13" t="str">
        <f>IFERROR(VLOOKUP($E:$E,scan!$A:$B,2,0),"**")</f>
        <v>**</v>
      </c>
      <c r="B264" s="13" t="str">
        <f>IFERROR(VLOOKUP($E264,scan!A:C,3,0),"**")</f>
        <v>**</v>
      </c>
      <c r="C264" s="79">
        <v>263</v>
      </c>
      <c r="E264" s="58"/>
      <c r="G264" s="85" t="s">
        <v>4895</v>
      </c>
      <c r="H264" s="61">
        <v>0</v>
      </c>
      <c r="J264" s="43" t="e">
        <f>VLOOKUP(E264,Input!C:J,5,0)</f>
        <v>#N/A</v>
      </c>
      <c r="K264" s="43" t="e">
        <f>VLOOKUP(E264,Input!C:G,5,0)</f>
        <v>#N/A</v>
      </c>
      <c r="L264" s="82" t="str">
        <f>IFERROR(VLOOKUP($E:$E,Input!$C:$Q,12,0),"")</f>
        <v/>
      </c>
      <c r="M264" s="82" t="str">
        <f>IFERROR(VLOOKUP($E:$E,Input!$C:$Q,14,0),"")</f>
        <v/>
      </c>
      <c r="N264" s="82" t="str">
        <f>IFERROR(VLOOKUP($E:$E,Input!$C:$Q,15,0),"")</f>
        <v/>
      </c>
      <c r="P264" s="43" t="str">
        <f t="shared" ref="P264:P327" si="7">V264&amp;","&amp;C264&amp;","&amp;B264</f>
        <v>263,263,**</v>
      </c>
      <c r="Q264" s="43" t="s">
        <v>4896</v>
      </c>
      <c r="R264" s="43">
        <v>6042070338</v>
      </c>
      <c r="T264" s="90" t="s">
        <v>4897</v>
      </c>
      <c r="V264" s="43">
        <v>263</v>
      </c>
    </row>
    <row r="265" spans="1:22" ht="15.75">
      <c r="A265" s="13" t="str">
        <f>IFERROR(VLOOKUP($E:$E,scan!$A:$B,2,0),"**")</f>
        <v>**</v>
      </c>
      <c r="B265" s="13" t="str">
        <f>IFERROR(VLOOKUP($E265,scan!A:C,3,0),"**")</f>
        <v>**</v>
      </c>
      <c r="C265" s="79">
        <v>264</v>
      </c>
      <c r="E265" s="58"/>
      <c r="G265" s="85" t="s">
        <v>4895</v>
      </c>
      <c r="H265" s="61">
        <v>0</v>
      </c>
      <c r="J265" s="43" t="e">
        <f>VLOOKUP(E265,Input!C:J,5,0)</f>
        <v>#N/A</v>
      </c>
      <c r="K265" s="43" t="e">
        <f>VLOOKUP(E265,Input!C:G,5,0)</f>
        <v>#N/A</v>
      </c>
      <c r="L265" s="82" t="str">
        <f>IFERROR(VLOOKUP($E:$E,Input!$C:$Q,12,0),"")</f>
        <v/>
      </c>
      <c r="M265" s="82" t="str">
        <f>IFERROR(VLOOKUP($E:$E,Input!$C:$Q,14,0),"")</f>
        <v/>
      </c>
      <c r="N265" s="82" t="str">
        <f>IFERROR(VLOOKUP($E:$E,Input!$C:$Q,15,0),"")</f>
        <v/>
      </c>
      <c r="P265" s="43" t="str">
        <f t="shared" si="7"/>
        <v>264,264,**</v>
      </c>
      <c r="Q265" s="43" t="s">
        <v>4896</v>
      </c>
      <c r="R265" s="43">
        <v>6042070338</v>
      </c>
      <c r="T265" s="90" t="s">
        <v>4897</v>
      </c>
      <c r="V265" s="43">
        <v>264</v>
      </c>
    </row>
    <row r="266" spans="1:22" ht="15.75">
      <c r="A266" s="13" t="str">
        <f>IFERROR(VLOOKUP($E:$E,scan!$A:$B,2,0),"**")</f>
        <v>**</v>
      </c>
      <c r="B266" s="13" t="str">
        <f>IFERROR(VLOOKUP($E266,scan!A:C,3,0),"**")</f>
        <v>**</v>
      </c>
      <c r="C266" s="79">
        <v>265</v>
      </c>
      <c r="E266" s="58"/>
      <c r="G266" s="85" t="s">
        <v>4895</v>
      </c>
      <c r="H266" s="61">
        <v>0</v>
      </c>
      <c r="J266" s="43" t="e">
        <f>VLOOKUP(E266,Input!C:J,5,0)</f>
        <v>#N/A</v>
      </c>
      <c r="K266" s="43" t="e">
        <f>VLOOKUP(E266,Input!C:G,5,0)</f>
        <v>#N/A</v>
      </c>
      <c r="L266" s="82" t="str">
        <f>IFERROR(VLOOKUP($E:$E,Input!$C:$Q,12,0),"")</f>
        <v/>
      </c>
      <c r="M266" s="82" t="str">
        <f>IFERROR(VLOOKUP($E:$E,Input!$C:$Q,14,0),"")</f>
        <v/>
      </c>
      <c r="N266" s="82" t="str">
        <f>IFERROR(VLOOKUP($E:$E,Input!$C:$Q,15,0),"")</f>
        <v/>
      </c>
      <c r="P266" s="43" t="str">
        <f t="shared" si="7"/>
        <v>265,265,**</v>
      </c>
      <c r="Q266" s="43" t="s">
        <v>4896</v>
      </c>
      <c r="R266" s="43">
        <v>6042070338</v>
      </c>
      <c r="T266" s="90" t="s">
        <v>4897</v>
      </c>
      <c r="V266" s="43">
        <v>265</v>
      </c>
    </row>
    <row r="267" spans="1:22" ht="15.75">
      <c r="A267" s="13" t="str">
        <f>IFERROR(VLOOKUP($E:$E,scan!$A:$B,2,0),"**")</f>
        <v>**</v>
      </c>
      <c r="B267" s="13" t="str">
        <f>IFERROR(VLOOKUP($E267,scan!A:C,3,0),"**")</f>
        <v>**</v>
      </c>
      <c r="C267" s="79">
        <v>266</v>
      </c>
      <c r="E267" s="58"/>
      <c r="G267" s="85" t="s">
        <v>4895</v>
      </c>
      <c r="H267" s="61">
        <v>0</v>
      </c>
      <c r="J267" s="43" t="e">
        <f>VLOOKUP(E267,Input!C:J,5,0)</f>
        <v>#N/A</v>
      </c>
      <c r="K267" s="43" t="e">
        <f>VLOOKUP(E267,Input!C:G,5,0)</f>
        <v>#N/A</v>
      </c>
      <c r="L267" s="82" t="str">
        <f>IFERROR(VLOOKUP($E:$E,Input!$C:$Q,12,0),"")</f>
        <v/>
      </c>
      <c r="M267" s="82" t="str">
        <f>IFERROR(VLOOKUP($E:$E,Input!$C:$Q,14,0),"")</f>
        <v/>
      </c>
      <c r="N267" s="82" t="str">
        <f>IFERROR(VLOOKUP($E:$E,Input!$C:$Q,15,0),"")</f>
        <v/>
      </c>
      <c r="P267" s="43" t="str">
        <f t="shared" si="7"/>
        <v>266,266,**</v>
      </c>
      <c r="Q267" s="43" t="s">
        <v>4896</v>
      </c>
      <c r="R267" s="43">
        <v>6042070338</v>
      </c>
      <c r="T267" s="90" t="s">
        <v>4897</v>
      </c>
      <c r="V267" s="43">
        <v>266</v>
      </c>
    </row>
    <row r="268" spans="1:22" ht="15.75">
      <c r="A268" s="13" t="str">
        <f>IFERROR(VLOOKUP($E:$E,scan!$A:$B,2,0),"**")</f>
        <v>**</v>
      </c>
      <c r="B268" s="13" t="str">
        <f>IFERROR(VLOOKUP($E268,scan!A:C,3,0),"**")</f>
        <v>**</v>
      </c>
      <c r="C268" s="79">
        <v>267</v>
      </c>
      <c r="E268" s="58"/>
      <c r="G268" s="85" t="s">
        <v>4895</v>
      </c>
      <c r="H268" s="61">
        <v>0</v>
      </c>
      <c r="J268" s="43" t="e">
        <f>VLOOKUP(E268,Input!C:J,5,0)</f>
        <v>#N/A</v>
      </c>
      <c r="K268" s="43" t="e">
        <f>VLOOKUP(E268,Input!C:G,5,0)</f>
        <v>#N/A</v>
      </c>
      <c r="L268" s="82" t="str">
        <f>IFERROR(VLOOKUP($E:$E,Input!$C:$Q,12,0),"")</f>
        <v/>
      </c>
      <c r="M268" s="82" t="str">
        <f>IFERROR(VLOOKUP($E:$E,Input!$C:$Q,14,0),"")</f>
        <v/>
      </c>
      <c r="N268" s="82" t="str">
        <f>IFERROR(VLOOKUP($E:$E,Input!$C:$Q,15,0),"")</f>
        <v/>
      </c>
      <c r="P268" s="43" t="str">
        <f t="shared" si="7"/>
        <v>267,267,**</v>
      </c>
      <c r="Q268" s="43" t="s">
        <v>4896</v>
      </c>
      <c r="R268" s="43">
        <v>6042070338</v>
      </c>
      <c r="T268" s="90" t="s">
        <v>4897</v>
      </c>
      <c r="V268" s="43">
        <v>267</v>
      </c>
    </row>
    <row r="269" spans="1:22" ht="15.75">
      <c r="A269" s="13" t="str">
        <f>IFERROR(VLOOKUP($E:$E,scan!$A:$B,2,0),"**")</f>
        <v>**</v>
      </c>
      <c r="B269" s="13" t="str">
        <f>IFERROR(VLOOKUP($E269,scan!A:C,3,0),"**")</f>
        <v>**</v>
      </c>
      <c r="C269" s="79">
        <v>268</v>
      </c>
      <c r="E269" s="58"/>
      <c r="G269" s="85" t="s">
        <v>4895</v>
      </c>
      <c r="H269" s="61">
        <v>0</v>
      </c>
      <c r="J269" s="43" t="e">
        <f>VLOOKUP(E269,Input!C:J,5,0)</f>
        <v>#N/A</v>
      </c>
      <c r="K269" s="43" t="e">
        <f>VLOOKUP(E269,Input!C:G,5,0)</f>
        <v>#N/A</v>
      </c>
      <c r="L269" s="82" t="str">
        <f>IFERROR(VLOOKUP($E:$E,Input!$C:$Q,12,0),"")</f>
        <v/>
      </c>
      <c r="M269" s="82" t="str">
        <f>IFERROR(VLOOKUP($E:$E,Input!$C:$Q,14,0),"")</f>
        <v/>
      </c>
      <c r="N269" s="82" t="str">
        <f>IFERROR(VLOOKUP($E:$E,Input!$C:$Q,15,0),"")</f>
        <v/>
      </c>
      <c r="P269" s="43" t="str">
        <f t="shared" si="7"/>
        <v>268,268,**</v>
      </c>
      <c r="Q269" s="43" t="s">
        <v>4896</v>
      </c>
      <c r="R269" s="43">
        <v>6042070338</v>
      </c>
      <c r="T269" s="90" t="s">
        <v>4897</v>
      </c>
      <c r="V269" s="43">
        <v>268</v>
      </c>
    </row>
    <row r="270" spans="1:22" ht="15.75">
      <c r="A270" s="13" t="str">
        <f>IFERROR(VLOOKUP($E:$E,scan!$A:$B,2,0),"**")</f>
        <v>**</v>
      </c>
      <c r="B270" s="13" t="str">
        <f>IFERROR(VLOOKUP($E270,scan!A:C,3,0),"**")</f>
        <v>**</v>
      </c>
      <c r="C270" s="79">
        <v>269</v>
      </c>
      <c r="E270" s="58"/>
      <c r="G270" s="85" t="s">
        <v>4895</v>
      </c>
      <c r="H270" s="61">
        <v>0</v>
      </c>
      <c r="J270" s="43" t="e">
        <f>VLOOKUP(E270,Input!C:J,5,0)</f>
        <v>#N/A</v>
      </c>
      <c r="K270" s="43" t="e">
        <f>VLOOKUP(E270,Input!C:G,5,0)</f>
        <v>#N/A</v>
      </c>
      <c r="L270" s="82" t="str">
        <f>IFERROR(VLOOKUP($E:$E,Input!$C:$Q,12,0),"")</f>
        <v/>
      </c>
      <c r="M270" s="82" t="str">
        <f>IFERROR(VLOOKUP($E:$E,Input!$C:$Q,14,0),"")</f>
        <v/>
      </c>
      <c r="N270" s="82" t="str">
        <f>IFERROR(VLOOKUP($E:$E,Input!$C:$Q,15,0),"")</f>
        <v/>
      </c>
      <c r="P270" s="43" t="str">
        <f t="shared" si="7"/>
        <v>269,269,**</v>
      </c>
      <c r="Q270" s="43" t="s">
        <v>4896</v>
      </c>
      <c r="R270" s="43">
        <v>6042070338</v>
      </c>
      <c r="T270" s="90" t="s">
        <v>4897</v>
      </c>
      <c r="V270" s="43">
        <v>269</v>
      </c>
    </row>
    <row r="271" spans="1:22" ht="15.75">
      <c r="A271" s="13" t="str">
        <f>IFERROR(VLOOKUP($E:$E,scan!$A:$B,2,0),"**")</f>
        <v>**</v>
      </c>
      <c r="B271" s="13" t="str">
        <f>IFERROR(VLOOKUP($E271,scan!A:C,3,0),"**")</f>
        <v>**</v>
      </c>
      <c r="C271" s="79">
        <v>270</v>
      </c>
      <c r="E271" s="58"/>
      <c r="G271" s="85" t="s">
        <v>4895</v>
      </c>
      <c r="H271" s="61">
        <v>0</v>
      </c>
      <c r="J271" s="43" t="e">
        <f>VLOOKUP(E271,Input!C:J,5,0)</f>
        <v>#N/A</v>
      </c>
      <c r="K271" s="43" t="e">
        <f>VLOOKUP(E271,Input!C:G,5,0)</f>
        <v>#N/A</v>
      </c>
      <c r="L271" s="82" t="str">
        <f>IFERROR(VLOOKUP($E:$E,Input!$C:$Q,12,0),"")</f>
        <v/>
      </c>
      <c r="M271" s="82" t="str">
        <f>IFERROR(VLOOKUP($E:$E,Input!$C:$Q,14,0),"")</f>
        <v/>
      </c>
      <c r="N271" s="82" t="str">
        <f>IFERROR(VLOOKUP($E:$E,Input!$C:$Q,15,0),"")</f>
        <v/>
      </c>
      <c r="P271" s="43" t="str">
        <f t="shared" si="7"/>
        <v>270,270,**</v>
      </c>
      <c r="Q271" s="43" t="s">
        <v>4896</v>
      </c>
      <c r="R271" s="43">
        <v>6042070338</v>
      </c>
      <c r="T271" s="90" t="s">
        <v>4897</v>
      </c>
      <c r="V271" s="43">
        <v>270</v>
      </c>
    </row>
    <row r="272" spans="1:22" ht="15.75">
      <c r="A272" s="13" t="str">
        <f>IFERROR(VLOOKUP($E:$E,scan!$A:$B,2,0),"**")</f>
        <v>**</v>
      </c>
      <c r="B272" s="13" t="str">
        <f>IFERROR(VLOOKUP($E272,scan!A:C,3,0),"**")</f>
        <v>**</v>
      </c>
      <c r="C272" s="79">
        <v>271</v>
      </c>
      <c r="E272" s="58"/>
      <c r="G272" s="85" t="s">
        <v>4895</v>
      </c>
      <c r="H272" s="61">
        <v>0</v>
      </c>
      <c r="J272" s="43" t="e">
        <f>VLOOKUP(E272,Input!C:J,5,0)</f>
        <v>#N/A</v>
      </c>
      <c r="K272" s="43" t="e">
        <f>VLOOKUP(E272,Input!C:G,5,0)</f>
        <v>#N/A</v>
      </c>
      <c r="L272" s="82" t="str">
        <f>IFERROR(VLOOKUP($E:$E,Input!$C:$Q,12,0),"")</f>
        <v/>
      </c>
      <c r="M272" s="82" t="str">
        <f>IFERROR(VLOOKUP($E:$E,Input!$C:$Q,14,0),"")</f>
        <v/>
      </c>
      <c r="N272" s="82" t="str">
        <f>IFERROR(VLOOKUP($E:$E,Input!$C:$Q,15,0),"")</f>
        <v/>
      </c>
      <c r="P272" s="43" t="str">
        <f t="shared" si="7"/>
        <v>271,271,**</v>
      </c>
      <c r="Q272" s="43" t="s">
        <v>4896</v>
      </c>
      <c r="R272" s="43">
        <v>6042070338</v>
      </c>
      <c r="T272" s="90" t="s">
        <v>4897</v>
      </c>
      <c r="V272" s="43">
        <v>271</v>
      </c>
    </row>
    <row r="273" spans="1:22" ht="15.75">
      <c r="A273" s="13" t="str">
        <f>IFERROR(VLOOKUP($E:$E,scan!$A:$B,2,0),"**")</f>
        <v>**</v>
      </c>
      <c r="B273" s="13" t="str">
        <f>IFERROR(VLOOKUP($E273,scan!A:C,3,0),"**")</f>
        <v>**</v>
      </c>
      <c r="C273" s="79">
        <v>272</v>
      </c>
      <c r="E273" s="58"/>
      <c r="G273" s="85" t="s">
        <v>4895</v>
      </c>
      <c r="H273" s="61">
        <v>0</v>
      </c>
      <c r="J273" s="43" t="e">
        <f>VLOOKUP(E273,Input!C:J,5,0)</f>
        <v>#N/A</v>
      </c>
      <c r="K273" s="43" t="e">
        <f>VLOOKUP(E273,Input!C:G,5,0)</f>
        <v>#N/A</v>
      </c>
      <c r="L273" s="82" t="str">
        <f>IFERROR(VLOOKUP($E:$E,Input!$C:$Q,12,0),"")</f>
        <v/>
      </c>
      <c r="M273" s="82" t="str">
        <f>IFERROR(VLOOKUP($E:$E,Input!$C:$Q,14,0),"")</f>
        <v/>
      </c>
      <c r="N273" s="82" t="str">
        <f>IFERROR(VLOOKUP($E:$E,Input!$C:$Q,15,0),"")</f>
        <v/>
      </c>
      <c r="P273" s="43" t="str">
        <f t="shared" si="7"/>
        <v>272,272,**</v>
      </c>
      <c r="Q273" s="43" t="s">
        <v>4896</v>
      </c>
      <c r="R273" s="43">
        <v>6042070338</v>
      </c>
      <c r="T273" s="90" t="s">
        <v>4897</v>
      </c>
      <c r="V273" s="43">
        <v>272</v>
      </c>
    </row>
    <row r="274" spans="1:22" ht="15.75">
      <c r="A274" s="13" t="str">
        <f>IFERROR(VLOOKUP($E:$E,scan!$A:$B,2,0),"**")</f>
        <v>**</v>
      </c>
      <c r="B274" s="13" t="str">
        <f>IFERROR(VLOOKUP($E274,scan!A:C,3,0),"**")</f>
        <v>**</v>
      </c>
      <c r="C274" s="79">
        <v>273</v>
      </c>
      <c r="E274" s="58"/>
      <c r="G274" s="85" t="s">
        <v>4895</v>
      </c>
      <c r="H274" s="61">
        <v>0</v>
      </c>
      <c r="J274" s="43" t="e">
        <f>VLOOKUP(E274,Input!C:J,5,0)</f>
        <v>#N/A</v>
      </c>
      <c r="K274" s="43" t="e">
        <f>VLOOKUP(E274,Input!C:G,5,0)</f>
        <v>#N/A</v>
      </c>
      <c r="L274" s="82" t="str">
        <f>IFERROR(VLOOKUP($E:$E,Input!$C:$Q,12,0),"")</f>
        <v/>
      </c>
      <c r="M274" s="82" t="str">
        <f>IFERROR(VLOOKUP($E:$E,Input!$C:$Q,14,0),"")</f>
        <v/>
      </c>
      <c r="N274" s="82" t="str">
        <f>IFERROR(VLOOKUP($E:$E,Input!$C:$Q,15,0),"")</f>
        <v/>
      </c>
      <c r="P274" s="43" t="str">
        <f t="shared" si="7"/>
        <v>273,273,**</v>
      </c>
      <c r="Q274" s="43" t="s">
        <v>4896</v>
      </c>
      <c r="R274" s="43">
        <v>6042070338</v>
      </c>
      <c r="T274" s="90" t="s">
        <v>4897</v>
      </c>
      <c r="V274" s="43">
        <v>273</v>
      </c>
    </row>
    <row r="275" spans="1:22" ht="15.75">
      <c r="A275" s="13" t="str">
        <f>IFERROR(VLOOKUP($E:$E,scan!$A:$B,2,0),"**")</f>
        <v>**</v>
      </c>
      <c r="B275" s="13" t="str">
        <f>IFERROR(VLOOKUP($E275,scan!A:C,3,0),"**")</f>
        <v>**</v>
      </c>
      <c r="C275" s="79">
        <v>274</v>
      </c>
      <c r="E275" s="58"/>
      <c r="G275" s="85" t="s">
        <v>4895</v>
      </c>
      <c r="H275" s="61">
        <v>0</v>
      </c>
      <c r="J275" s="43" t="e">
        <f>VLOOKUP(E275,Input!C:J,5,0)</f>
        <v>#N/A</v>
      </c>
      <c r="K275" s="43" t="e">
        <f>VLOOKUP(E275,Input!C:G,5,0)</f>
        <v>#N/A</v>
      </c>
      <c r="L275" s="82" t="str">
        <f>IFERROR(VLOOKUP($E:$E,Input!$C:$Q,12,0),"")</f>
        <v/>
      </c>
      <c r="M275" s="82" t="str">
        <f>IFERROR(VLOOKUP($E:$E,Input!$C:$Q,14,0),"")</f>
        <v/>
      </c>
      <c r="N275" s="82" t="str">
        <f>IFERROR(VLOOKUP($E:$E,Input!$C:$Q,15,0),"")</f>
        <v/>
      </c>
      <c r="P275" s="43" t="str">
        <f t="shared" si="7"/>
        <v>274,274,**</v>
      </c>
      <c r="Q275" s="43" t="s">
        <v>4896</v>
      </c>
      <c r="R275" s="43">
        <v>6042070338</v>
      </c>
      <c r="T275" s="90" t="s">
        <v>4897</v>
      </c>
      <c r="V275" s="43">
        <v>274</v>
      </c>
    </row>
    <row r="276" spans="1:22" ht="15.75">
      <c r="A276" s="13" t="str">
        <f>IFERROR(VLOOKUP($E:$E,scan!$A:$B,2,0),"**")</f>
        <v>**</v>
      </c>
      <c r="B276" s="13" t="str">
        <f>IFERROR(VLOOKUP($E276,scan!A:C,3,0),"**")</f>
        <v>**</v>
      </c>
      <c r="C276" s="79">
        <v>275</v>
      </c>
      <c r="E276" s="58"/>
      <c r="G276" s="85" t="s">
        <v>4895</v>
      </c>
      <c r="H276" s="61">
        <v>0</v>
      </c>
      <c r="J276" s="43" t="e">
        <f>VLOOKUP(E276,Input!C:J,5,0)</f>
        <v>#N/A</v>
      </c>
      <c r="K276" s="43" t="e">
        <f>VLOOKUP(E276,Input!C:G,5,0)</f>
        <v>#N/A</v>
      </c>
      <c r="L276" s="82" t="str">
        <f>IFERROR(VLOOKUP($E:$E,Input!$C:$Q,12,0),"")</f>
        <v/>
      </c>
      <c r="M276" s="82" t="str">
        <f>IFERROR(VLOOKUP($E:$E,Input!$C:$Q,14,0),"")</f>
        <v/>
      </c>
      <c r="N276" s="82" t="str">
        <f>IFERROR(VLOOKUP($E:$E,Input!$C:$Q,15,0),"")</f>
        <v/>
      </c>
      <c r="P276" s="43" t="str">
        <f t="shared" si="7"/>
        <v>275,275,**</v>
      </c>
      <c r="Q276" s="43" t="s">
        <v>4896</v>
      </c>
      <c r="R276" s="43">
        <v>6042070338</v>
      </c>
      <c r="T276" s="90" t="s">
        <v>4897</v>
      </c>
      <c r="V276" s="43">
        <v>275</v>
      </c>
    </row>
    <row r="277" spans="1:22" ht="15.75">
      <c r="A277" s="13" t="str">
        <f>IFERROR(VLOOKUP($E:$E,scan!$A:$B,2,0),"**")</f>
        <v>**</v>
      </c>
      <c r="B277" s="13" t="str">
        <f>IFERROR(VLOOKUP($E277,scan!A:C,3,0),"**")</f>
        <v>**</v>
      </c>
      <c r="C277" s="79">
        <v>276</v>
      </c>
      <c r="E277" s="58"/>
      <c r="G277" s="85" t="s">
        <v>4895</v>
      </c>
      <c r="H277" s="61">
        <v>0</v>
      </c>
      <c r="J277" s="43" t="e">
        <f>VLOOKUP(E277,Input!C:J,5,0)</f>
        <v>#N/A</v>
      </c>
      <c r="K277" s="43" t="e">
        <f>VLOOKUP(E277,Input!C:G,5,0)</f>
        <v>#N/A</v>
      </c>
      <c r="L277" s="82" t="str">
        <f>IFERROR(VLOOKUP($E:$E,Input!$C:$Q,12,0),"")</f>
        <v/>
      </c>
      <c r="M277" s="82" t="str">
        <f>IFERROR(VLOOKUP($E:$E,Input!$C:$Q,14,0),"")</f>
        <v/>
      </c>
      <c r="N277" s="82" t="str">
        <f>IFERROR(VLOOKUP($E:$E,Input!$C:$Q,15,0),"")</f>
        <v/>
      </c>
      <c r="P277" s="43" t="str">
        <f t="shared" si="7"/>
        <v>276,276,**</v>
      </c>
      <c r="Q277" s="43" t="s">
        <v>4896</v>
      </c>
      <c r="R277" s="43">
        <v>6042070338</v>
      </c>
      <c r="T277" s="90" t="s">
        <v>4897</v>
      </c>
      <c r="V277" s="43">
        <v>276</v>
      </c>
    </row>
    <row r="278" spans="1:22" ht="15.75">
      <c r="A278" s="13" t="str">
        <f>IFERROR(VLOOKUP($E:$E,scan!$A:$B,2,0),"**")</f>
        <v>**</v>
      </c>
      <c r="B278" s="13" t="str">
        <f>IFERROR(VLOOKUP($E278,scan!A:C,3,0),"**")</f>
        <v>**</v>
      </c>
      <c r="C278" s="79">
        <v>277</v>
      </c>
      <c r="E278" s="58"/>
      <c r="G278" s="85" t="s">
        <v>4895</v>
      </c>
      <c r="H278" s="61">
        <v>0</v>
      </c>
      <c r="J278" s="43" t="e">
        <f>VLOOKUP(E278,Input!C:J,5,0)</f>
        <v>#N/A</v>
      </c>
      <c r="K278" s="43" t="e">
        <f>VLOOKUP(E278,Input!C:G,5,0)</f>
        <v>#N/A</v>
      </c>
      <c r="L278" s="82" t="str">
        <f>IFERROR(VLOOKUP($E:$E,Input!$C:$Q,12,0),"")</f>
        <v/>
      </c>
      <c r="M278" s="82" t="str">
        <f>IFERROR(VLOOKUP($E:$E,Input!$C:$Q,14,0),"")</f>
        <v/>
      </c>
      <c r="N278" s="82" t="str">
        <f>IFERROR(VLOOKUP($E:$E,Input!$C:$Q,15,0),"")</f>
        <v/>
      </c>
      <c r="P278" s="43" t="str">
        <f t="shared" si="7"/>
        <v>277,277,**</v>
      </c>
      <c r="Q278" s="43" t="s">
        <v>4896</v>
      </c>
      <c r="R278" s="43">
        <v>6042070338</v>
      </c>
      <c r="T278" s="90" t="s">
        <v>4897</v>
      </c>
      <c r="V278" s="43">
        <v>277</v>
      </c>
    </row>
    <row r="279" spans="1:22" ht="15.75">
      <c r="A279" s="13" t="str">
        <f>IFERROR(VLOOKUP($E:$E,scan!$A:$B,2,0),"**")</f>
        <v>**</v>
      </c>
      <c r="B279" s="13" t="str">
        <f>IFERROR(VLOOKUP($E279,scan!A:C,3,0),"**")</f>
        <v>**</v>
      </c>
      <c r="C279" s="79">
        <v>278</v>
      </c>
      <c r="E279" s="58"/>
      <c r="G279" s="85" t="s">
        <v>4895</v>
      </c>
      <c r="H279" s="61">
        <v>0</v>
      </c>
      <c r="J279" s="43" t="e">
        <f>VLOOKUP(E279,Input!C:J,5,0)</f>
        <v>#N/A</v>
      </c>
      <c r="K279" s="43" t="e">
        <f>VLOOKUP(E279,Input!C:G,5,0)</f>
        <v>#N/A</v>
      </c>
      <c r="L279" s="82" t="str">
        <f>IFERROR(VLOOKUP($E:$E,Input!$C:$Q,12,0),"")</f>
        <v/>
      </c>
      <c r="M279" s="82" t="str">
        <f>IFERROR(VLOOKUP($E:$E,Input!$C:$Q,14,0),"")</f>
        <v/>
      </c>
      <c r="N279" s="82" t="str">
        <f>IFERROR(VLOOKUP($E:$E,Input!$C:$Q,15,0),"")</f>
        <v/>
      </c>
      <c r="P279" s="43" t="str">
        <f t="shared" si="7"/>
        <v>278,278,**</v>
      </c>
      <c r="Q279" s="43" t="s">
        <v>4896</v>
      </c>
      <c r="R279" s="43">
        <v>6042070338</v>
      </c>
      <c r="T279" s="90" t="s">
        <v>4897</v>
      </c>
      <c r="V279" s="43">
        <v>278</v>
      </c>
    </row>
    <row r="280" spans="1:22" ht="15.75">
      <c r="A280" s="13" t="str">
        <f>IFERROR(VLOOKUP($E:$E,scan!$A:$B,2,0),"**")</f>
        <v>**</v>
      </c>
      <c r="B280" s="13" t="str">
        <f>IFERROR(VLOOKUP($E280,scan!A:C,3,0),"**")</f>
        <v>**</v>
      </c>
      <c r="C280" s="79">
        <v>279</v>
      </c>
      <c r="E280" s="58"/>
      <c r="G280" s="85" t="s">
        <v>4895</v>
      </c>
      <c r="H280" s="61">
        <v>0</v>
      </c>
      <c r="J280" s="43" t="e">
        <f>VLOOKUP(E280,Input!C:J,5,0)</f>
        <v>#N/A</v>
      </c>
      <c r="K280" s="43" t="e">
        <f>VLOOKUP(E280,Input!C:G,5,0)</f>
        <v>#N/A</v>
      </c>
      <c r="L280" s="82" t="str">
        <f>IFERROR(VLOOKUP($E:$E,Input!$C:$Q,12,0),"")</f>
        <v/>
      </c>
      <c r="M280" s="82" t="str">
        <f>IFERROR(VLOOKUP($E:$E,Input!$C:$Q,14,0),"")</f>
        <v/>
      </c>
      <c r="N280" s="82" t="str">
        <f>IFERROR(VLOOKUP($E:$E,Input!$C:$Q,15,0),"")</f>
        <v/>
      </c>
      <c r="P280" s="43" t="str">
        <f t="shared" si="7"/>
        <v>279,279,**</v>
      </c>
      <c r="Q280" s="43" t="s">
        <v>4896</v>
      </c>
      <c r="R280" s="43">
        <v>6042070338</v>
      </c>
      <c r="T280" s="90" t="s">
        <v>4897</v>
      </c>
      <c r="V280" s="43">
        <v>279</v>
      </c>
    </row>
    <row r="281" spans="1:22" ht="15.75">
      <c r="A281" s="13" t="str">
        <f>IFERROR(VLOOKUP($E:$E,scan!$A:$B,2,0),"**")</f>
        <v>**</v>
      </c>
      <c r="B281" s="13" t="str">
        <f>IFERROR(VLOOKUP($E281,scan!A:C,3,0),"**")</f>
        <v>**</v>
      </c>
      <c r="C281" s="79">
        <v>280</v>
      </c>
      <c r="E281" s="58"/>
      <c r="G281" s="85" t="s">
        <v>4895</v>
      </c>
      <c r="H281" s="61">
        <v>0</v>
      </c>
      <c r="J281" s="43" t="e">
        <f>VLOOKUP(E281,Input!C:J,5,0)</f>
        <v>#N/A</v>
      </c>
      <c r="K281" s="43" t="e">
        <f>VLOOKUP(E281,Input!C:G,5,0)</f>
        <v>#N/A</v>
      </c>
      <c r="L281" s="82" t="str">
        <f>IFERROR(VLOOKUP($E:$E,Input!$C:$Q,12,0),"")</f>
        <v/>
      </c>
      <c r="M281" s="82" t="str">
        <f>IFERROR(VLOOKUP($E:$E,Input!$C:$Q,14,0),"")</f>
        <v/>
      </c>
      <c r="N281" s="82" t="str">
        <f>IFERROR(VLOOKUP($E:$E,Input!$C:$Q,15,0),"")</f>
        <v/>
      </c>
      <c r="P281" s="43" t="str">
        <f t="shared" si="7"/>
        <v>280,280,**</v>
      </c>
      <c r="Q281" s="43" t="s">
        <v>4896</v>
      </c>
      <c r="R281" s="43">
        <v>6042070338</v>
      </c>
      <c r="T281" s="90" t="s">
        <v>4897</v>
      </c>
      <c r="V281" s="43">
        <v>280</v>
      </c>
    </row>
    <row r="282" spans="1:22" ht="15.75">
      <c r="A282" s="13" t="str">
        <f>IFERROR(VLOOKUP($E:$E,scan!$A:$B,2,0),"**")</f>
        <v>**</v>
      </c>
      <c r="B282" s="13" t="str">
        <f>IFERROR(VLOOKUP($E282,scan!A:C,3,0),"**")</f>
        <v>**</v>
      </c>
      <c r="C282" s="79">
        <v>281</v>
      </c>
      <c r="E282" s="58"/>
      <c r="G282" s="85" t="s">
        <v>4895</v>
      </c>
      <c r="H282" s="61">
        <v>0</v>
      </c>
      <c r="J282" s="43" t="e">
        <f>VLOOKUP(E282,Input!C:J,5,0)</f>
        <v>#N/A</v>
      </c>
      <c r="K282" s="43" t="e">
        <f>VLOOKUP(E282,Input!C:G,5,0)</f>
        <v>#N/A</v>
      </c>
      <c r="L282" s="82" t="str">
        <f>IFERROR(VLOOKUP($E:$E,Input!$C:$Q,12,0),"")</f>
        <v/>
      </c>
      <c r="M282" s="82" t="str">
        <f>IFERROR(VLOOKUP($E:$E,Input!$C:$Q,14,0),"")</f>
        <v/>
      </c>
      <c r="N282" s="82" t="str">
        <f>IFERROR(VLOOKUP($E:$E,Input!$C:$Q,15,0),"")</f>
        <v/>
      </c>
      <c r="P282" s="43" t="str">
        <f t="shared" si="7"/>
        <v>281,281,**</v>
      </c>
      <c r="Q282" s="43" t="s">
        <v>4896</v>
      </c>
      <c r="R282" s="43">
        <v>6042070338</v>
      </c>
      <c r="T282" s="90" t="s">
        <v>4897</v>
      </c>
      <c r="V282" s="43">
        <v>281</v>
      </c>
    </row>
    <row r="283" spans="1:22" ht="15.75">
      <c r="A283" s="13" t="str">
        <f>IFERROR(VLOOKUP($E:$E,scan!$A:$B,2,0),"**")</f>
        <v>**</v>
      </c>
      <c r="B283" s="13" t="str">
        <f>IFERROR(VLOOKUP($E283,scan!A:C,3,0),"**")</f>
        <v>**</v>
      </c>
      <c r="C283" s="79">
        <v>282</v>
      </c>
      <c r="E283" s="58"/>
      <c r="G283" s="85" t="s">
        <v>4895</v>
      </c>
      <c r="H283" s="61">
        <v>0</v>
      </c>
      <c r="J283" s="43" t="e">
        <f>VLOOKUP(E283,Input!C:J,5,0)</f>
        <v>#N/A</v>
      </c>
      <c r="K283" s="43" t="e">
        <f>VLOOKUP(E283,Input!C:G,5,0)</f>
        <v>#N/A</v>
      </c>
      <c r="L283" s="82" t="str">
        <f>IFERROR(VLOOKUP($E:$E,Input!$C:$Q,12,0),"")</f>
        <v/>
      </c>
      <c r="M283" s="82" t="str">
        <f>IFERROR(VLOOKUP($E:$E,Input!$C:$Q,14,0),"")</f>
        <v/>
      </c>
      <c r="N283" s="82" t="str">
        <f>IFERROR(VLOOKUP($E:$E,Input!$C:$Q,15,0),"")</f>
        <v/>
      </c>
      <c r="P283" s="43" t="str">
        <f t="shared" si="7"/>
        <v>282,282,**</v>
      </c>
      <c r="Q283" s="43" t="s">
        <v>4896</v>
      </c>
      <c r="R283" s="43">
        <v>6042070338</v>
      </c>
      <c r="T283" s="90" t="s">
        <v>4897</v>
      </c>
      <c r="V283" s="43">
        <v>282</v>
      </c>
    </row>
    <row r="284" spans="1:22" ht="15.75">
      <c r="A284" s="13" t="str">
        <f>IFERROR(VLOOKUP($E:$E,scan!$A:$B,2,0),"**")</f>
        <v>**</v>
      </c>
      <c r="B284" s="13" t="str">
        <f>IFERROR(VLOOKUP($E284,scan!A:C,3,0),"**")</f>
        <v>**</v>
      </c>
      <c r="C284" s="79">
        <v>283</v>
      </c>
      <c r="E284" s="58"/>
      <c r="G284" s="85" t="s">
        <v>4895</v>
      </c>
      <c r="H284" s="61">
        <v>0</v>
      </c>
      <c r="J284" s="43" t="e">
        <f>VLOOKUP(E284,Input!C:J,5,0)</f>
        <v>#N/A</v>
      </c>
      <c r="K284" s="43" t="e">
        <f>VLOOKUP(E284,Input!C:G,5,0)</f>
        <v>#N/A</v>
      </c>
      <c r="L284" s="82" t="str">
        <f>IFERROR(VLOOKUP($E:$E,Input!$C:$Q,12,0),"")</f>
        <v/>
      </c>
      <c r="M284" s="82" t="str">
        <f>IFERROR(VLOOKUP($E:$E,Input!$C:$Q,14,0),"")</f>
        <v/>
      </c>
      <c r="N284" s="82" t="str">
        <f>IFERROR(VLOOKUP($E:$E,Input!$C:$Q,15,0),"")</f>
        <v/>
      </c>
      <c r="P284" s="43" t="str">
        <f t="shared" si="7"/>
        <v>283,283,**</v>
      </c>
      <c r="Q284" s="43" t="s">
        <v>4896</v>
      </c>
      <c r="R284" s="43">
        <v>6042070338</v>
      </c>
      <c r="T284" s="90" t="s">
        <v>4897</v>
      </c>
      <c r="V284" s="43">
        <v>283</v>
      </c>
    </row>
    <row r="285" spans="1:22" ht="15.75">
      <c r="A285" s="13" t="str">
        <f>IFERROR(VLOOKUP($E:$E,scan!$A:$B,2,0),"**")</f>
        <v>**</v>
      </c>
      <c r="B285" s="13" t="str">
        <f>IFERROR(VLOOKUP($E285,scan!A:C,3,0),"**")</f>
        <v>**</v>
      </c>
      <c r="C285" s="79">
        <v>284</v>
      </c>
      <c r="E285" s="58"/>
      <c r="G285" s="85" t="s">
        <v>4895</v>
      </c>
      <c r="H285" s="61">
        <v>0</v>
      </c>
      <c r="J285" s="43" t="e">
        <f>VLOOKUP(E285,Input!C:J,5,0)</f>
        <v>#N/A</v>
      </c>
      <c r="K285" s="43" t="e">
        <f>VLOOKUP(E285,Input!C:G,5,0)</f>
        <v>#N/A</v>
      </c>
      <c r="L285" s="82" t="str">
        <f>IFERROR(VLOOKUP($E:$E,Input!$C:$Q,12,0),"")</f>
        <v/>
      </c>
      <c r="M285" s="82" t="str">
        <f>IFERROR(VLOOKUP($E:$E,Input!$C:$Q,14,0),"")</f>
        <v/>
      </c>
      <c r="N285" s="82" t="str">
        <f>IFERROR(VLOOKUP($E:$E,Input!$C:$Q,15,0),"")</f>
        <v/>
      </c>
      <c r="P285" s="43" t="str">
        <f t="shared" si="7"/>
        <v>284,284,**</v>
      </c>
      <c r="Q285" s="43" t="s">
        <v>4896</v>
      </c>
      <c r="R285" s="43">
        <v>6042070338</v>
      </c>
      <c r="T285" s="90" t="s">
        <v>4897</v>
      </c>
      <c r="V285" s="43">
        <v>284</v>
      </c>
    </row>
    <row r="286" spans="1:22" ht="15.75">
      <c r="A286" s="13" t="str">
        <f>IFERROR(VLOOKUP($E:$E,scan!$A:$B,2,0),"**")</f>
        <v>**</v>
      </c>
      <c r="B286" s="13" t="str">
        <f>IFERROR(VLOOKUP($E286,scan!A:C,3,0),"**")</f>
        <v>**</v>
      </c>
      <c r="C286" s="79">
        <v>285</v>
      </c>
      <c r="E286" s="58"/>
      <c r="G286" s="85" t="s">
        <v>4895</v>
      </c>
      <c r="H286" s="61">
        <v>0</v>
      </c>
      <c r="J286" s="43" t="e">
        <f>VLOOKUP(E286,Input!C:J,5,0)</f>
        <v>#N/A</v>
      </c>
      <c r="K286" s="43" t="e">
        <f>VLOOKUP(E286,Input!C:G,5,0)</f>
        <v>#N/A</v>
      </c>
      <c r="L286" s="82" t="str">
        <f>IFERROR(VLOOKUP($E:$E,Input!$C:$Q,12,0),"")</f>
        <v/>
      </c>
      <c r="M286" s="82" t="str">
        <f>IFERROR(VLOOKUP($E:$E,Input!$C:$Q,14,0),"")</f>
        <v/>
      </c>
      <c r="N286" s="82" t="str">
        <f>IFERROR(VLOOKUP($E:$E,Input!$C:$Q,15,0),"")</f>
        <v/>
      </c>
      <c r="P286" s="43" t="str">
        <f t="shared" si="7"/>
        <v>285,285,**</v>
      </c>
      <c r="Q286" s="43" t="s">
        <v>4896</v>
      </c>
      <c r="R286" s="43">
        <v>6042070338</v>
      </c>
      <c r="T286" s="90" t="s">
        <v>4897</v>
      </c>
      <c r="V286" s="43">
        <v>285</v>
      </c>
    </row>
    <row r="287" spans="1:22" ht="15.75">
      <c r="A287" s="13" t="str">
        <f>IFERROR(VLOOKUP($E:$E,scan!$A:$B,2,0),"**")</f>
        <v>**</v>
      </c>
      <c r="B287" s="13" t="str">
        <f>IFERROR(VLOOKUP($E287,scan!A:C,3,0),"**")</f>
        <v>**</v>
      </c>
      <c r="C287" s="79">
        <v>286</v>
      </c>
      <c r="E287" s="58"/>
      <c r="G287" s="85" t="s">
        <v>4895</v>
      </c>
      <c r="H287" s="61">
        <v>0</v>
      </c>
      <c r="J287" s="43" t="e">
        <f>VLOOKUP(E287,Input!C:J,5,0)</f>
        <v>#N/A</v>
      </c>
      <c r="K287" s="43" t="e">
        <f>VLOOKUP(E287,Input!C:G,5,0)</f>
        <v>#N/A</v>
      </c>
      <c r="L287" s="82" t="str">
        <f>IFERROR(VLOOKUP($E:$E,Input!$C:$Q,12,0),"")</f>
        <v/>
      </c>
      <c r="M287" s="82" t="str">
        <f>IFERROR(VLOOKUP($E:$E,Input!$C:$Q,14,0),"")</f>
        <v/>
      </c>
      <c r="N287" s="82" t="str">
        <f>IFERROR(VLOOKUP($E:$E,Input!$C:$Q,15,0),"")</f>
        <v/>
      </c>
      <c r="P287" s="43" t="str">
        <f t="shared" si="7"/>
        <v>286,286,**</v>
      </c>
      <c r="Q287" s="43" t="s">
        <v>4896</v>
      </c>
      <c r="R287" s="43">
        <v>6042070338</v>
      </c>
      <c r="T287" s="90" t="s">
        <v>4897</v>
      </c>
      <c r="V287" s="43">
        <v>286</v>
      </c>
    </row>
    <row r="288" spans="1:22" ht="15.75">
      <c r="A288" s="13" t="str">
        <f>IFERROR(VLOOKUP($E:$E,scan!$A:$B,2,0),"**")</f>
        <v>**</v>
      </c>
      <c r="B288" s="13" t="str">
        <f>IFERROR(VLOOKUP($E288,scan!A:C,3,0),"**")</f>
        <v>**</v>
      </c>
      <c r="C288" s="79">
        <v>287</v>
      </c>
      <c r="E288" s="58"/>
      <c r="G288" s="85" t="s">
        <v>4895</v>
      </c>
      <c r="H288" s="61">
        <v>0</v>
      </c>
      <c r="J288" s="43" t="e">
        <f>VLOOKUP(E288,Input!C:J,5,0)</f>
        <v>#N/A</v>
      </c>
      <c r="K288" s="43" t="e">
        <f>VLOOKUP(E288,Input!C:G,5,0)</f>
        <v>#N/A</v>
      </c>
      <c r="L288" s="82" t="str">
        <f>IFERROR(VLOOKUP($E:$E,Input!$C:$Q,12,0),"")</f>
        <v/>
      </c>
      <c r="M288" s="82" t="str">
        <f>IFERROR(VLOOKUP($E:$E,Input!$C:$Q,14,0),"")</f>
        <v/>
      </c>
      <c r="N288" s="82" t="str">
        <f>IFERROR(VLOOKUP($E:$E,Input!$C:$Q,15,0),"")</f>
        <v/>
      </c>
      <c r="P288" s="43" t="str">
        <f t="shared" si="7"/>
        <v>287,287,**</v>
      </c>
      <c r="Q288" s="43" t="s">
        <v>4896</v>
      </c>
      <c r="R288" s="43">
        <v>6042070338</v>
      </c>
      <c r="T288" s="90" t="s">
        <v>4897</v>
      </c>
      <c r="V288" s="43">
        <v>287</v>
      </c>
    </row>
    <row r="289" spans="1:22" ht="15.75">
      <c r="A289" s="13" t="str">
        <f>IFERROR(VLOOKUP($E:$E,scan!$A:$B,2,0),"**")</f>
        <v>**</v>
      </c>
      <c r="B289" s="13" t="str">
        <f>IFERROR(VLOOKUP($E289,scan!A:C,3,0),"**")</f>
        <v>**</v>
      </c>
      <c r="C289" s="79">
        <v>288</v>
      </c>
      <c r="E289" s="58"/>
      <c r="G289" s="85" t="s">
        <v>4895</v>
      </c>
      <c r="H289" s="61">
        <v>0</v>
      </c>
      <c r="J289" s="43" t="e">
        <f>VLOOKUP(E289,Input!C:J,5,0)</f>
        <v>#N/A</v>
      </c>
      <c r="K289" s="43" t="e">
        <f>VLOOKUP(E289,Input!C:G,5,0)</f>
        <v>#N/A</v>
      </c>
      <c r="L289" s="82" t="str">
        <f>IFERROR(VLOOKUP($E:$E,Input!$C:$Q,12,0),"")</f>
        <v/>
      </c>
      <c r="M289" s="82" t="str">
        <f>IFERROR(VLOOKUP($E:$E,Input!$C:$Q,14,0),"")</f>
        <v/>
      </c>
      <c r="N289" s="82" t="str">
        <f>IFERROR(VLOOKUP($E:$E,Input!$C:$Q,15,0),"")</f>
        <v/>
      </c>
      <c r="P289" s="43" t="str">
        <f t="shared" si="7"/>
        <v>288,288,**</v>
      </c>
      <c r="Q289" s="43" t="s">
        <v>4896</v>
      </c>
      <c r="R289" s="43">
        <v>6042070338</v>
      </c>
      <c r="T289" s="90" t="s">
        <v>4897</v>
      </c>
      <c r="V289" s="43">
        <v>288</v>
      </c>
    </row>
    <row r="290" spans="1:22" ht="15.75">
      <c r="A290" s="13" t="str">
        <f>IFERROR(VLOOKUP($E:$E,scan!$A:$B,2,0),"**")</f>
        <v>**</v>
      </c>
      <c r="B290" s="13" t="str">
        <f>IFERROR(VLOOKUP($E290,scan!A:C,3,0),"**")</f>
        <v>**</v>
      </c>
      <c r="C290" s="79">
        <v>289</v>
      </c>
      <c r="E290" s="58"/>
      <c r="G290" s="85" t="s">
        <v>4895</v>
      </c>
      <c r="H290" s="61">
        <v>0</v>
      </c>
      <c r="J290" s="43" t="e">
        <f>VLOOKUP(E290,Input!C:J,5,0)</f>
        <v>#N/A</v>
      </c>
      <c r="K290" s="43" t="e">
        <f>VLOOKUP(E290,Input!C:G,5,0)</f>
        <v>#N/A</v>
      </c>
      <c r="L290" s="82" t="str">
        <f>IFERROR(VLOOKUP($E:$E,Input!$C:$Q,12,0),"")</f>
        <v/>
      </c>
      <c r="M290" s="82" t="str">
        <f>IFERROR(VLOOKUP($E:$E,Input!$C:$Q,14,0),"")</f>
        <v/>
      </c>
      <c r="N290" s="82" t="str">
        <f>IFERROR(VLOOKUP($E:$E,Input!$C:$Q,15,0),"")</f>
        <v/>
      </c>
      <c r="P290" s="43" t="str">
        <f t="shared" si="7"/>
        <v>289,289,**</v>
      </c>
      <c r="Q290" s="43" t="s">
        <v>4896</v>
      </c>
      <c r="R290" s="43">
        <v>6042070338</v>
      </c>
      <c r="T290" s="90" t="s">
        <v>4897</v>
      </c>
      <c r="V290" s="43">
        <v>289</v>
      </c>
    </row>
    <row r="291" spans="1:22" ht="15.75">
      <c r="A291" s="13" t="str">
        <f>IFERROR(VLOOKUP($E:$E,scan!$A:$B,2,0),"**")</f>
        <v>**</v>
      </c>
      <c r="B291" s="13" t="str">
        <f>IFERROR(VLOOKUP($E291,scan!A:C,3,0),"**")</f>
        <v>**</v>
      </c>
      <c r="C291" s="79">
        <v>290</v>
      </c>
      <c r="E291" s="58"/>
      <c r="G291" s="85" t="s">
        <v>4895</v>
      </c>
      <c r="H291" s="61">
        <v>0</v>
      </c>
      <c r="J291" s="43" t="e">
        <f>VLOOKUP(E291,Input!C:J,5,0)</f>
        <v>#N/A</v>
      </c>
      <c r="K291" s="43" t="e">
        <f>VLOOKUP(E291,Input!C:G,5,0)</f>
        <v>#N/A</v>
      </c>
      <c r="L291" s="82" t="str">
        <f>IFERROR(VLOOKUP($E:$E,Input!$C:$Q,12,0),"")</f>
        <v/>
      </c>
      <c r="M291" s="82" t="str">
        <f>IFERROR(VLOOKUP($E:$E,Input!$C:$Q,14,0),"")</f>
        <v/>
      </c>
      <c r="N291" s="82" t="str">
        <f>IFERROR(VLOOKUP($E:$E,Input!$C:$Q,15,0),"")</f>
        <v/>
      </c>
      <c r="P291" s="43" t="str">
        <f t="shared" si="7"/>
        <v>290,290,**</v>
      </c>
      <c r="Q291" s="43" t="s">
        <v>4896</v>
      </c>
      <c r="R291" s="43">
        <v>6042070338</v>
      </c>
      <c r="T291" s="90" t="s">
        <v>4897</v>
      </c>
      <c r="V291" s="43">
        <v>290</v>
      </c>
    </row>
    <row r="292" spans="1:22" ht="15.75">
      <c r="A292" s="13" t="str">
        <f>IFERROR(VLOOKUP($E:$E,scan!$A:$B,2,0),"**")</f>
        <v>**</v>
      </c>
      <c r="B292" s="13" t="str">
        <f>IFERROR(VLOOKUP($E292,scan!A:C,3,0),"**")</f>
        <v>**</v>
      </c>
      <c r="C292" s="79">
        <v>291</v>
      </c>
      <c r="E292" s="58"/>
      <c r="G292" s="85" t="s">
        <v>4895</v>
      </c>
      <c r="H292" s="61">
        <v>0</v>
      </c>
      <c r="J292" s="43" t="e">
        <f>VLOOKUP(E292,Input!C:J,5,0)</f>
        <v>#N/A</v>
      </c>
      <c r="K292" s="43" t="e">
        <f>VLOOKUP(E292,Input!C:G,5,0)</f>
        <v>#N/A</v>
      </c>
      <c r="L292" s="82" t="str">
        <f>IFERROR(VLOOKUP($E:$E,Input!$C:$Q,12,0),"")</f>
        <v/>
      </c>
      <c r="M292" s="82" t="str">
        <f>IFERROR(VLOOKUP($E:$E,Input!$C:$Q,14,0),"")</f>
        <v/>
      </c>
      <c r="N292" s="82" t="str">
        <f>IFERROR(VLOOKUP($E:$E,Input!$C:$Q,15,0),"")</f>
        <v/>
      </c>
      <c r="P292" s="43" t="str">
        <f t="shared" si="7"/>
        <v>291,291,**</v>
      </c>
      <c r="Q292" s="43" t="s">
        <v>4896</v>
      </c>
      <c r="R292" s="43">
        <v>6042070338</v>
      </c>
      <c r="T292" s="90" t="s">
        <v>4897</v>
      </c>
      <c r="V292" s="43">
        <v>291</v>
      </c>
    </row>
    <row r="293" spans="1:22" ht="15.75">
      <c r="A293" s="13" t="str">
        <f>IFERROR(VLOOKUP($E:$E,scan!$A:$B,2,0),"**")</f>
        <v>**</v>
      </c>
      <c r="B293" s="13" t="str">
        <f>IFERROR(VLOOKUP($E293,scan!A:C,3,0),"**")</f>
        <v>**</v>
      </c>
      <c r="C293" s="79">
        <v>292</v>
      </c>
      <c r="E293" s="58"/>
      <c r="G293" s="85" t="s">
        <v>4895</v>
      </c>
      <c r="H293" s="61">
        <v>0</v>
      </c>
      <c r="J293" s="43" t="e">
        <f>VLOOKUP(E293,Input!C:J,5,0)</f>
        <v>#N/A</v>
      </c>
      <c r="K293" s="43" t="e">
        <f>VLOOKUP(E293,Input!C:G,5,0)</f>
        <v>#N/A</v>
      </c>
      <c r="L293" s="82" t="str">
        <f>IFERROR(VLOOKUP($E:$E,Input!$C:$Q,12,0),"")</f>
        <v/>
      </c>
      <c r="M293" s="82" t="str">
        <f>IFERROR(VLOOKUP($E:$E,Input!$C:$Q,14,0),"")</f>
        <v/>
      </c>
      <c r="N293" s="82" t="str">
        <f>IFERROR(VLOOKUP($E:$E,Input!$C:$Q,15,0),"")</f>
        <v/>
      </c>
      <c r="P293" s="43" t="str">
        <f t="shared" si="7"/>
        <v>292,292,**</v>
      </c>
      <c r="Q293" s="43" t="s">
        <v>4896</v>
      </c>
      <c r="R293" s="43">
        <v>6042070338</v>
      </c>
      <c r="T293" s="90" t="s">
        <v>4897</v>
      </c>
      <c r="V293" s="43">
        <v>292</v>
      </c>
    </row>
    <row r="294" spans="1:22" ht="15.75">
      <c r="A294" s="13" t="str">
        <f>IFERROR(VLOOKUP($E:$E,scan!$A:$B,2,0),"**")</f>
        <v>**</v>
      </c>
      <c r="B294" s="13" t="str">
        <f>IFERROR(VLOOKUP($E294,scan!A:C,3,0),"**")</f>
        <v>**</v>
      </c>
      <c r="C294" s="79">
        <v>293</v>
      </c>
      <c r="E294" s="58"/>
      <c r="G294" s="85" t="s">
        <v>4895</v>
      </c>
      <c r="H294" s="61">
        <v>0</v>
      </c>
      <c r="J294" s="43" t="e">
        <f>VLOOKUP(E294,Input!C:J,5,0)</f>
        <v>#N/A</v>
      </c>
      <c r="K294" s="43" t="e">
        <f>VLOOKUP(E294,Input!C:G,5,0)</f>
        <v>#N/A</v>
      </c>
      <c r="L294" s="82" t="str">
        <f>IFERROR(VLOOKUP($E:$E,Input!$C:$Q,12,0),"")</f>
        <v/>
      </c>
      <c r="M294" s="82" t="str">
        <f>IFERROR(VLOOKUP($E:$E,Input!$C:$Q,14,0),"")</f>
        <v/>
      </c>
      <c r="N294" s="82" t="str">
        <f>IFERROR(VLOOKUP($E:$E,Input!$C:$Q,15,0),"")</f>
        <v/>
      </c>
      <c r="P294" s="43" t="str">
        <f t="shared" si="7"/>
        <v>293,293,**</v>
      </c>
      <c r="Q294" s="43" t="s">
        <v>4896</v>
      </c>
      <c r="R294" s="43">
        <v>6042070338</v>
      </c>
      <c r="T294" s="90" t="s">
        <v>4897</v>
      </c>
      <c r="V294" s="43">
        <v>293</v>
      </c>
    </row>
    <row r="295" spans="1:22" ht="15.75">
      <c r="A295" s="13" t="str">
        <f>IFERROR(VLOOKUP($E:$E,scan!$A:$B,2,0),"**")</f>
        <v>**</v>
      </c>
      <c r="B295" s="13" t="str">
        <f>IFERROR(VLOOKUP($E295,scan!A:C,3,0),"**")</f>
        <v>**</v>
      </c>
      <c r="C295" s="79">
        <v>294</v>
      </c>
      <c r="E295" s="58"/>
      <c r="G295" s="85" t="s">
        <v>4895</v>
      </c>
      <c r="H295" s="61">
        <v>0</v>
      </c>
      <c r="J295" s="43" t="e">
        <f>VLOOKUP(E295,Input!C:J,5,0)</f>
        <v>#N/A</v>
      </c>
      <c r="K295" s="43" t="e">
        <f>VLOOKUP(E295,Input!C:G,5,0)</f>
        <v>#N/A</v>
      </c>
      <c r="L295" s="82" t="str">
        <f>IFERROR(VLOOKUP($E:$E,Input!$C:$Q,12,0),"")</f>
        <v/>
      </c>
      <c r="M295" s="82" t="str">
        <f>IFERROR(VLOOKUP($E:$E,Input!$C:$Q,14,0),"")</f>
        <v/>
      </c>
      <c r="N295" s="82" t="str">
        <f>IFERROR(VLOOKUP($E:$E,Input!$C:$Q,15,0),"")</f>
        <v/>
      </c>
      <c r="P295" s="43" t="str">
        <f t="shared" si="7"/>
        <v>294,294,**</v>
      </c>
      <c r="Q295" s="43" t="s">
        <v>4896</v>
      </c>
      <c r="R295" s="43">
        <v>6042070338</v>
      </c>
      <c r="T295" s="90" t="s">
        <v>4897</v>
      </c>
      <c r="V295" s="43">
        <v>294</v>
      </c>
    </row>
    <row r="296" spans="1:22" ht="15.75">
      <c r="A296" s="13" t="str">
        <f>IFERROR(VLOOKUP($E:$E,scan!$A:$B,2,0),"**")</f>
        <v>**</v>
      </c>
      <c r="B296" s="13" t="str">
        <f>IFERROR(VLOOKUP($E296,scan!A:C,3,0),"**")</f>
        <v>**</v>
      </c>
      <c r="C296" s="79">
        <v>295</v>
      </c>
      <c r="E296" s="58"/>
      <c r="G296" s="85" t="s">
        <v>4895</v>
      </c>
      <c r="H296" s="61">
        <v>0</v>
      </c>
      <c r="J296" s="43" t="e">
        <f>VLOOKUP(E296,Input!C:J,5,0)</f>
        <v>#N/A</v>
      </c>
      <c r="K296" s="43" t="e">
        <f>VLOOKUP(E296,Input!C:G,5,0)</f>
        <v>#N/A</v>
      </c>
      <c r="L296" s="82" t="str">
        <f>IFERROR(VLOOKUP($E:$E,Input!$C:$Q,12,0),"")</f>
        <v/>
      </c>
      <c r="M296" s="82" t="str">
        <f>IFERROR(VLOOKUP($E:$E,Input!$C:$Q,14,0),"")</f>
        <v/>
      </c>
      <c r="N296" s="82" t="str">
        <f>IFERROR(VLOOKUP($E:$E,Input!$C:$Q,15,0),"")</f>
        <v/>
      </c>
      <c r="P296" s="43" t="str">
        <f t="shared" si="7"/>
        <v>295,295,**</v>
      </c>
      <c r="Q296" s="43" t="s">
        <v>4896</v>
      </c>
      <c r="R296" s="43">
        <v>6042070338</v>
      </c>
      <c r="T296" s="90" t="s">
        <v>4897</v>
      </c>
      <c r="V296" s="43">
        <v>295</v>
      </c>
    </row>
    <row r="297" spans="1:22" ht="15.75">
      <c r="A297" s="13" t="str">
        <f>IFERROR(VLOOKUP($E:$E,scan!$A:$B,2,0),"**")</f>
        <v>**</v>
      </c>
      <c r="B297" s="13" t="str">
        <f>IFERROR(VLOOKUP($E297,scan!A:C,3,0),"**")</f>
        <v>**</v>
      </c>
      <c r="C297" s="79">
        <v>296</v>
      </c>
      <c r="E297" s="58"/>
      <c r="G297" s="85" t="s">
        <v>4895</v>
      </c>
      <c r="H297" s="61">
        <v>0</v>
      </c>
      <c r="J297" s="43" t="e">
        <f>VLOOKUP(E297,Input!C:J,5,0)</f>
        <v>#N/A</v>
      </c>
      <c r="K297" s="43" t="e">
        <f>VLOOKUP(E297,Input!C:G,5,0)</f>
        <v>#N/A</v>
      </c>
      <c r="L297" s="82" t="str">
        <f>IFERROR(VLOOKUP($E:$E,Input!$C:$Q,12,0),"")</f>
        <v/>
      </c>
      <c r="M297" s="82" t="str">
        <f>IFERROR(VLOOKUP($E:$E,Input!$C:$Q,14,0),"")</f>
        <v/>
      </c>
      <c r="N297" s="82" t="str">
        <f>IFERROR(VLOOKUP($E:$E,Input!$C:$Q,15,0),"")</f>
        <v/>
      </c>
      <c r="P297" s="43" t="str">
        <f t="shared" si="7"/>
        <v>296,296,**</v>
      </c>
      <c r="Q297" s="43" t="s">
        <v>4896</v>
      </c>
      <c r="R297" s="43">
        <v>6042070338</v>
      </c>
      <c r="T297" s="90" t="s">
        <v>4897</v>
      </c>
      <c r="V297" s="43">
        <v>296</v>
      </c>
    </row>
    <row r="298" spans="1:22" ht="15.75">
      <c r="A298" s="13" t="str">
        <f>IFERROR(VLOOKUP($E:$E,scan!$A:$B,2,0),"**")</f>
        <v>**</v>
      </c>
      <c r="B298" s="13" t="str">
        <f>IFERROR(VLOOKUP($E298,scan!A:C,3,0),"**")</f>
        <v>**</v>
      </c>
      <c r="C298" s="79">
        <v>297</v>
      </c>
      <c r="E298" s="58"/>
      <c r="G298" s="85" t="s">
        <v>4895</v>
      </c>
      <c r="H298" s="61">
        <v>0</v>
      </c>
      <c r="J298" s="43" t="e">
        <f>VLOOKUP(E298,Input!C:J,5,0)</f>
        <v>#N/A</v>
      </c>
      <c r="K298" s="43" t="e">
        <f>VLOOKUP(E298,Input!C:G,5,0)</f>
        <v>#N/A</v>
      </c>
      <c r="L298" s="82" t="str">
        <f>IFERROR(VLOOKUP($E:$E,Input!$C:$Q,12,0),"")</f>
        <v/>
      </c>
      <c r="M298" s="82" t="str">
        <f>IFERROR(VLOOKUP($E:$E,Input!$C:$Q,14,0),"")</f>
        <v/>
      </c>
      <c r="N298" s="82" t="str">
        <f>IFERROR(VLOOKUP($E:$E,Input!$C:$Q,15,0),"")</f>
        <v/>
      </c>
      <c r="P298" s="43" t="str">
        <f t="shared" si="7"/>
        <v>297,297,**</v>
      </c>
      <c r="Q298" s="43" t="s">
        <v>4896</v>
      </c>
      <c r="R298" s="43">
        <v>6042070338</v>
      </c>
      <c r="T298" s="90" t="s">
        <v>4897</v>
      </c>
      <c r="V298" s="43">
        <v>297</v>
      </c>
    </row>
    <row r="299" spans="1:22" ht="15.75">
      <c r="A299" s="13" t="str">
        <f>IFERROR(VLOOKUP($E:$E,scan!$A:$B,2,0),"**")</f>
        <v>**</v>
      </c>
      <c r="B299" s="13" t="str">
        <f>IFERROR(VLOOKUP($E299,scan!A:C,3,0),"**")</f>
        <v>**</v>
      </c>
      <c r="C299" s="79">
        <v>298</v>
      </c>
      <c r="E299" s="58"/>
      <c r="G299" s="85" t="s">
        <v>4895</v>
      </c>
      <c r="H299" s="61">
        <v>0</v>
      </c>
      <c r="J299" s="43" t="e">
        <f>VLOOKUP(E299,Input!C:J,5,0)</f>
        <v>#N/A</v>
      </c>
      <c r="K299" s="43" t="e">
        <f>VLOOKUP(E299,Input!C:G,5,0)</f>
        <v>#N/A</v>
      </c>
      <c r="L299" s="82" t="str">
        <f>IFERROR(VLOOKUP($E:$E,Input!$C:$Q,12,0),"")</f>
        <v/>
      </c>
      <c r="M299" s="82" t="str">
        <f>IFERROR(VLOOKUP($E:$E,Input!$C:$Q,14,0),"")</f>
        <v/>
      </c>
      <c r="N299" s="82" t="str">
        <f>IFERROR(VLOOKUP($E:$E,Input!$C:$Q,15,0),"")</f>
        <v/>
      </c>
      <c r="P299" s="43" t="str">
        <f t="shared" si="7"/>
        <v>298,298,**</v>
      </c>
      <c r="Q299" s="43" t="s">
        <v>4896</v>
      </c>
      <c r="R299" s="43">
        <v>6042070338</v>
      </c>
      <c r="T299" s="90" t="s">
        <v>4897</v>
      </c>
      <c r="V299" s="43">
        <v>298</v>
      </c>
    </row>
    <row r="300" spans="1:22" ht="15.75">
      <c r="A300" s="13" t="str">
        <f>IFERROR(VLOOKUP($E:$E,scan!$A:$B,2,0),"**")</f>
        <v>**</v>
      </c>
      <c r="B300" s="13" t="str">
        <f>IFERROR(VLOOKUP($E300,scan!A:C,3,0),"**")</f>
        <v>**</v>
      </c>
      <c r="C300" s="79">
        <v>299</v>
      </c>
      <c r="E300" s="58"/>
      <c r="G300" s="85" t="s">
        <v>4895</v>
      </c>
      <c r="H300" s="61">
        <v>0</v>
      </c>
      <c r="J300" s="43" t="e">
        <f>VLOOKUP(E300,Input!C:J,5,0)</f>
        <v>#N/A</v>
      </c>
      <c r="K300" s="43" t="e">
        <f>VLOOKUP(E300,Input!C:G,5,0)</f>
        <v>#N/A</v>
      </c>
      <c r="L300" s="82" t="str">
        <f>IFERROR(VLOOKUP($E:$E,Input!$C:$Q,12,0),"")</f>
        <v/>
      </c>
      <c r="M300" s="82" t="str">
        <f>IFERROR(VLOOKUP($E:$E,Input!$C:$Q,14,0),"")</f>
        <v/>
      </c>
      <c r="N300" s="82" t="str">
        <f>IFERROR(VLOOKUP($E:$E,Input!$C:$Q,15,0),"")</f>
        <v/>
      </c>
      <c r="P300" s="43" t="str">
        <f t="shared" si="7"/>
        <v>299,299,**</v>
      </c>
      <c r="Q300" s="43" t="s">
        <v>4896</v>
      </c>
      <c r="R300" s="43">
        <v>6042070338</v>
      </c>
      <c r="T300" s="90" t="s">
        <v>4897</v>
      </c>
      <c r="V300" s="43">
        <v>299</v>
      </c>
    </row>
    <row r="301" spans="1:22" ht="15.75">
      <c r="A301" s="13" t="str">
        <f>IFERROR(VLOOKUP($E:$E,scan!$A:$B,2,0),"**")</f>
        <v>**</v>
      </c>
      <c r="B301" s="13" t="str">
        <f>IFERROR(VLOOKUP($E301,scan!A:C,3,0),"**")</f>
        <v>**</v>
      </c>
      <c r="C301" s="79">
        <v>300</v>
      </c>
      <c r="E301" s="58"/>
      <c r="G301" s="85" t="s">
        <v>4895</v>
      </c>
      <c r="H301" s="61">
        <v>0</v>
      </c>
      <c r="J301" s="43" t="e">
        <f>VLOOKUP(E301,Input!C:J,5,0)</f>
        <v>#N/A</v>
      </c>
      <c r="K301" s="43" t="e">
        <f>VLOOKUP(E301,Input!C:G,5,0)</f>
        <v>#N/A</v>
      </c>
      <c r="L301" s="82" t="str">
        <f>IFERROR(VLOOKUP($E:$E,Input!$C:$Q,12,0),"")</f>
        <v/>
      </c>
      <c r="M301" s="82" t="str">
        <f>IFERROR(VLOOKUP($E:$E,Input!$C:$Q,14,0),"")</f>
        <v/>
      </c>
      <c r="N301" s="82" t="str">
        <f>IFERROR(VLOOKUP($E:$E,Input!$C:$Q,15,0),"")</f>
        <v/>
      </c>
      <c r="P301" s="43" t="str">
        <f t="shared" si="7"/>
        <v>300,300,**</v>
      </c>
      <c r="Q301" s="43" t="s">
        <v>4896</v>
      </c>
      <c r="R301" s="43">
        <v>6042070338</v>
      </c>
      <c r="T301" s="90" t="s">
        <v>4897</v>
      </c>
      <c r="V301" s="43">
        <v>300</v>
      </c>
    </row>
    <row r="302" spans="1:22" ht="15.75">
      <c r="A302" s="13" t="str">
        <f>IFERROR(VLOOKUP($E:$E,scan!$A:$B,2,0),"**")</f>
        <v>**</v>
      </c>
      <c r="B302" s="13" t="str">
        <f>IFERROR(VLOOKUP($E302,scan!A:C,3,0),"**")</f>
        <v>**</v>
      </c>
      <c r="C302" s="79">
        <v>301</v>
      </c>
      <c r="E302" s="58"/>
      <c r="G302" s="85" t="s">
        <v>4895</v>
      </c>
      <c r="H302" s="61">
        <v>0</v>
      </c>
      <c r="J302" s="43" t="e">
        <f>VLOOKUP(E302,Input!C:J,5,0)</f>
        <v>#N/A</v>
      </c>
      <c r="K302" s="43" t="e">
        <f>VLOOKUP(E302,Input!C:G,5,0)</f>
        <v>#N/A</v>
      </c>
      <c r="L302" s="82" t="str">
        <f>IFERROR(VLOOKUP($E:$E,Input!$C:$Q,12,0),"")</f>
        <v/>
      </c>
      <c r="M302" s="82" t="str">
        <f>IFERROR(VLOOKUP($E:$E,Input!$C:$Q,14,0),"")</f>
        <v/>
      </c>
      <c r="N302" s="82" t="str">
        <f>IFERROR(VLOOKUP($E:$E,Input!$C:$Q,15,0),"")</f>
        <v/>
      </c>
      <c r="P302" s="43" t="str">
        <f t="shared" si="7"/>
        <v>301,301,**</v>
      </c>
      <c r="Q302" s="43" t="s">
        <v>4896</v>
      </c>
      <c r="R302" s="43">
        <v>6042070338</v>
      </c>
      <c r="T302" s="90" t="s">
        <v>4897</v>
      </c>
      <c r="V302" s="43">
        <v>301</v>
      </c>
    </row>
    <row r="303" spans="1:22" ht="15.75">
      <c r="A303" s="13" t="str">
        <f>IFERROR(VLOOKUP($E:$E,scan!$A:$B,2,0),"**")</f>
        <v>**</v>
      </c>
      <c r="B303" s="13" t="str">
        <f>IFERROR(VLOOKUP($E303,scan!A:C,3,0),"**")</f>
        <v>**</v>
      </c>
      <c r="C303" s="79">
        <v>302</v>
      </c>
      <c r="E303" s="58"/>
      <c r="G303" s="85" t="s">
        <v>4895</v>
      </c>
      <c r="H303" s="61">
        <v>0</v>
      </c>
      <c r="J303" s="43" t="e">
        <f>VLOOKUP(E303,Input!C:J,5,0)</f>
        <v>#N/A</v>
      </c>
      <c r="K303" s="43" t="e">
        <f>VLOOKUP(E303,Input!C:G,5,0)</f>
        <v>#N/A</v>
      </c>
      <c r="L303" s="82" t="str">
        <f>IFERROR(VLOOKUP($E:$E,Input!$C:$Q,12,0),"")</f>
        <v/>
      </c>
      <c r="M303" s="82" t="str">
        <f>IFERROR(VLOOKUP($E:$E,Input!$C:$Q,14,0),"")</f>
        <v/>
      </c>
      <c r="N303" s="82" t="str">
        <f>IFERROR(VLOOKUP($E:$E,Input!$C:$Q,15,0),"")</f>
        <v/>
      </c>
      <c r="P303" s="43" t="str">
        <f t="shared" si="7"/>
        <v>302,302,**</v>
      </c>
      <c r="Q303" s="43" t="s">
        <v>4896</v>
      </c>
      <c r="R303" s="43">
        <v>6042070338</v>
      </c>
      <c r="T303" s="90" t="s">
        <v>4897</v>
      </c>
      <c r="V303" s="43">
        <v>302</v>
      </c>
    </row>
    <row r="304" spans="1:22" ht="15.75">
      <c r="A304" s="13" t="str">
        <f>IFERROR(VLOOKUP($E:$E,scan!$A:$B,2,0),"**")</f>
        <v>**</v>
      </c>
      <c r="B304" s="13" t="str">
        <f>IFERROR(VLOOKUP($E304,scan!A:C,3,0),"**")</f>
        <v>**</v>
      </c>
      <c r="C304" s="79">
        <v>303</v>
      </c>
      <c r="E304" s="58"/>
      <c r="G304" s="85" t="s">
        <v>4895</v>
      </c>
      <c r="H304" s="61">
        <v>0</v>
      </c>
      <c r="J304" s="43" t="e">
        <f>VLOOKUP(E304,Input!C:J,5,0)</f>
        <v>#N/A</v>
      </c>
      <c r="K304" s="43" t="e">
        <f>VLOOKUP(E304,Input!C:G,5,0)</f>
        <v>#N/A</v>
      </c>
      <c r="L304" s="82" t="str">
        <f>IFERROR(VLOOKUP($E:$E,Input!$C:$Q,12,0),"")</f>
        <v/>
      </c>
      <c r="M304" s="82" t="str">
        <f>IFERROR(VLOOKUP($E:$E,Input!$C:$Q,14,0),"")</f>
        <v/>
      </c>
      <c r="N304" s="82" t="str">
        <f>IFERROR(VLOOKUP($E:$E,Input!$C:$Q,15,0),"")</f>
        <v/>
      </c>
      <c r="P304" s="43" t="str">
        <f t="shared" si="7"/>
        <v>303,303,**</v>
      </c>
      <c r="Q304" s="43" t="s">
        <v>4896</v>
      </c>
      <c r="R304" s="43">
        <v>6042070338</v>
      </c>
      <c r="T304" s="90" t="s">
        <v>4897</v>
      </c>
      <c r="V304" s="43">
        <v>303</v>
      </c>
    </row>
    <row r="305" spans="1:22" ht="15.75">
      <c r="A305" s="13" t="str">
        <f>IFERROR(VLOOKUP($E:$E,scan!$A:$B,2,0),"**")</f>
        <v>**</v>
      </c>
      <c r="B305" s="13" t="str">
        <f>IFERROR(VLOOKUP($E305,scan!A:C,3,0),"**")</f>
        <v>**</v>
      </c>
      <c r="C305" s="79">
        <v>304</v>
      </c>
      <c r="E305" s="58"/>
      <c r="G305" s="85" t="s">
        <v>4895</v>
      </c>
      <c r="H305" s="61">
        <v>0</v>
      </c>
      <c r="J305" s="43" t="e">
        <f>VLOOKUP(E305,Input!C:J,5,0)</f>
        <v>#N/A</v>
      </c>
      <c r="K305" s="43" t="e">
        <f>VLOOKUP(E305,Input!C:G,5,0)</f>
        <v>#N/A</v>
      </c>
      <c r="L305" s="82" t="str">
        <f>IFERROR(VLOOKUP($E:$E,Input!$C:$Q,12,0),"")</f>
        <v/>
      </c>
      <c r="M305" s="82" t="str">
        <f>IFERROR(VLOOKUP($E:$E,Input!$C:$Q,14,0),"")</f>
        <v/>
      </c>
      <c r="N305" s="82" t="str">
        <f>IFERROR(VLOOKUP($E:$E,Input!$C:$Q,15,0),"")</f>
        <v/>
      </c>
      <c r="P305" s="43" t="str">
        <f t="shared" si="7"/>
        <v>304,304,**</v>
      </c>
      <c r="Q305" s="43" t="s">
        <v>4896</v>
      </c>
      <c r="R305" s="43">
        <v>6042070338</v>
      </c>
      <c r="T305" s="90" t="s">
        <v>4897</v>
      </c>
      <c r="V305" s="43">
        <v>304</v>
      </c>
    </row>
    <row r="306" spans="1:22" ht="15.75">
      <c r="A306" s="13" t="str">
        <f>IFERROR(VLOOKUP($E:$E,scan!$A:$B,2,0),"**")</f>
        <v>**</v>
      </c>
      <c r="B306" s="13" t="str">
        <f>IFERROR(VLOOKUP($E306,scan!A:C,3,0),"**")</f>
        <v>**</v>
      </c>
      <c r="C306" s="79">
        <v>305</v>
      </c>
      <c r="E306" s="58"/>
      <c r="G306" s="85" t="s">
        <v>4895</v>
      </c>
      <c r="H306" s="61">
        <v>0</v>
      </c>
      <c r="J306" s="43" t="e">
        <f>VLOOKUP(E306,Input!C:J,5,0)</f>
        <v>#N/A</v>
      </c>
      <c r="K306" s="43" t="e">
        <f>VLOOKUP(E306,Input!C:G,5,0)</f>
        <v>#N/A</v>
      </c>
      <c r="L306" s="82" t="str">
        <f>IFERROR(VLOOKUP($E:$E,Input!$C:$Q,12,0),"")</f>
        <v/>
      </c>
      <c r="M306" s="82" t="str">
        <f>IFERROR(VLOOKUP($E:$E,Input!$C:$Q,14,0),"")</f>
        <v/>
      </c>
      <c r="N306" s="82" t="str">
        <f>IFERROR(VLOOKUP($E:$E,Input!$C:$Q,15,0),"")</f>
        <v/>
      </c>
      <c r="P306" s="43" t="str">
        <f t="shared" si="7"/>
        <v>305,305,**</v>
      </c>
      <c r="Q306" s="43" t="s">
        <v>4896</v>
      </c>
      <c r="R306" s="43">
        <v>6042070338</v>
      </c>
      <c r="T306" s="90" t="s">
        <v>4897</v>
      </c>
      <c r="V306" s="43">
        <v>305</v>
      </c>
    </row>
    <row r="307" spans="1:22" ht="15.75">
      <c r="A307" s="13" t="str">
        <f>IFERROR(VLOOKUP($E:$E,scan!$A:$B,2,0),"**")</f>
        <v>**</v>
      </c>
      <c r="B307" s="13" t="str">
        <f>IFERROR(VLOOKUP($E307,scan!A:C,3,0),"**")</f>
        <v>**</v>
      </c>
      <c r="C307" s="79">
        <v>306</v>
      </c>
      <c r="E307" s="58"/>
      <c r="G307" s="85" t="s">
        <v>4895</v>
      </c>
      <c r="H307" s="61">
        <v>0</v>
      </c>
      <c r="J307" s="43" t="e">
        <f>VLOOKUP(E307,Input!C:J,5,0)</f>
        <v>#N/A</v>
      </c>
      <c r="K307" s="43" t="e">
        <f>VLOOKUP(E307,Input!C:G,5,0)</f>
        <v>#N/A</v>
      </c>
      <c r="L307" s="82" t="str">
        <f>IFERROR(VLOOKUP($E:$E,Input!$C:$Q,12,0),"")</f>
        <v/>
      </c>
      <c r="M307" s="82" t="str">
        <f>IFERROR(VLOOKUP($E:$E,Input!$C:$Q,14,0),"")</f>
        <v/>
      </c>
      <c r="N307" s="82" t="str">
        <f>IFERROR(VLOOKUP($E:$E,Input!$C:$Q,15,0),"")</f>
        <v/>
      </c>
      <c r="P307" s="43" t="str">
        <f t="shared" si="7"/>
        <v>306,306,**</v>
      </c>
      <c r="Q307" s="43" t="s">
        <v>4896</v>
      </c>
      <c r="R307" s="43">
        <v>6042070338</v>
      </c>
      <c r="T307" s="90" t="s">
        <v>4897</v>
      </c>
      <c r="V307" s="43">
        <v>306</v>
      </c>
    </row>
    <row r="308" spans="1:22" ht="15.75">
      <c r="A308" s="13" t="str">
        <f>IFERROR(VLOOKUP($E:$E,scan!$A:$B,2,0),"**")</f>
        <v>**</v>
      </c>
      <c r="B308" s="13" t="str">
        <f>IFERROR(VLOOKUP($E308,scan!A:C,3,0),"**")</f>
        <v>**</v>
      </c>
      <c r="C308" s="79">
        <v>307</v>
      </c>
      <c r="E308" s="58"/>
      <c r="G308" s="85" t="s">
        <v>4895</v>
      </c>
      <c r="H308" s="61">
        <v>0</v>
      </c>
      <c r="J308" s="43" t="e">
        <f>VLOOKUP(E308,Input!C:J,5,0)</f>
        <v>#N/A</v>
      </c>
      <c r="K308" s="43" t="e">
        <f>VLOOKUP(E308,Input!C:G,5,0)</f>
        <v>#N/A</v>
      </c>
      <c r="L308" s="82" t="str">
        <f>IFERROR(VLOOKUP($E:$E,Input!$C:$Q,12,0),"")</f>
        <v/>
      </c>
      <c r="M308" s="82" t="str">
        <f>IFERROR(VLOOKUP($E:$E,Input!$C:$Q,14,0),"")</f>
        <v/>
      </c>
      <c r="N308" s="82" t="str">
        <f>IFERROR(VLOOKUP($E:$E,Input!$C:$Q,15,0),"")</f>
        <v/>
      </c>
      <c r="P308" s="43" t="str">
        <f t="shared" si="7"/>
        <v>307,307,**</v>
      </c>
      <c r="Q308" s="43" t="s">
        <v>4896</v>
      </c>
      <c r="R308" s="43">
        <v>6042070338</v>
      </c>
      <c r="T308" s="90" t="s">
        <v>4897</v>
      </c>
      <c r="V308" s="43">
        <v>307</v>
      </c>
    </row>
    <row r="309" spans="1:22" ht="15.75">
      <c r="A309" s="13" t="str">
        <f>IFERROR(VLOOKUP($E:$E,scan!$A:$B,2,0),"**")</f>
        <v>**</v>
      </c>
      <c r="B309" s="13" t="str">
        <f>IFERROR(VLOOKUP($E309,scan!A:C,3,0),"**")</f>
        <v>**</v>
      </c>
      <c r="C309" s="79">
        <v>308</v>
      </c>
      <c r="E309" s="58"/>
      <c r="G309" s="85" t="s">
        <v>4895</v>
      </c>
      <c r="H309" s="61">
        <v>0</v>
      </c>
      <c r="J309" s="43" t="e">
        <f>VLOOKUP(E309,Input!C:J,5,0)</f>
        <v>#N/A</v>
      </c>
      <c r="K309" s="43" t="e">
        <f>VLOOKUP(E309,Input!C:G,5,0)</f>
        <v>#N/A</v>
      </c>
      <c r="L309" s="82" t="str">
        <f>IFERROR(VLOOKUP($E:$E,Input!$C:$Q,12,0),"")</f>
        <v/>
      </c>
      <c r="M309" s="82" t="str">
        <f>IFERROR(VLOOKUP($E:$E,Input!$C:$Q,14,0),"")</f>
        <v/>
      </c>
      <c r="N309" s="82" t="str">
        <f>IFERROR(VLOOKUP($E:$E,Input!$C:$Q,15,0),"")</f>
        <v/>
      </c>
      <c r="P309" s="43" t="str">
        <f t="shared" si="7"/>
        <v>308,308,**</v>
      </c>
      <c r="Q309" s="43" t="s">
        <v>4896</v>
      </c>
      <c r="R309" s="43">
        <v>6042070338</v>
      </c>
      <c r="T309" s="90" t="s">
        <v>4897</v>
      </c>
      <c r="V309" s="43">
        <v>308</v>
      </c>
    </row>
    <row r="310" spans="1:22" ht="15.75">
      <c r="A310" s="13" t="str">
        <f>IFERROR(VLOOKUP($E:$E,scan!$A:$B,2,0),"**")</f>
        <v>**</v>
      </c>
      <c r="B310" s="13" t="str">
        <f>IFERROR(VLOOKUP($E310,scan!A:C,3,0),"**")</f>
        <v>**</v>
      </c>
      <c r="C310" s="79">
        <v>309</v>
      </c>
      <c r="E310" s="58"/>
      <c r="G310" s="85" t="s">
        <v>4895</v>
      </c>
      <c r="H310" s="61">
        <v>0</v>
      </c>
      <c r="J310" s="43" t="e">
        <f>VLOOKUP(E310,Input!C:J,5,0)</f>
        <v>#N/A</v>
      </c>
      <c r="K310" s="43" t="e">
        <f>VLOOKUP(E310,Input!C:G,5,0)</f>
        <v>#N/A</v>
      </c>
      <c r="L310" s="82" t="str">
        <f>IFERROR(VLOOKUP($E:$E,Input!$C:$Q,12,0),"")</f>
        <v/>
      </c>
      <c r="M310" s="82" t="str">
        <f>IFERROR(VLOOKUP($E:$E,Input!$C:$Q,14,0),"")</f>
        <v/>
      </c>
      <c r="N310" s="82" t="str">
        <f>IFERROR(VLOOKUP($E:$E,Input!$C:$Q,15,0),"")</f>
        <v/>
      </c>
      <c r="P310" s="43" t="str">
        <f t="shared" si="7"/>
        <v>309,309,**</v>
      </c>
      <c r="Q310" s="43" t="s">
        <v>4896</v>
      </c>
      <c r="R310" s="43">
        <v>6042070338</v>
      </c>
      <c r="T310" s="90" t="s">
        <v>4897</v>
      </c>
      <c r="V310" s="43">
        <v>309</v>
      </c>
    </row>
    <row r="311" spans="1:22" ht="15.75">
      <c r="A311" s="13" t="str">
        <f>IFERROR(VLOOKUP($E:$E,scan!$A:$B,2,0),"**")</f>
        <v>**</v>
      </c>
      <c r="B311" s="13" t="str">
        <f>IFERROR(VLOOKUP($E311,scan!A:C,3,0),"**")</f>
        <v>**</v>
      </c>
      <c r="C311" s="79">
        <v>310</v>
      </c>
      <c r="E311" s="58"/>
      <c r="G311" s="85" t="s">
        <v>4895</v>
      </c>
      <c r="H311" s="61">
        <v>0</v>
      </c>
      <c r="J311" s="43" t="e">
        <f>VLOOKUP(E311,Input!C:J,5,0)</f>
        <v>#N/A</v>
      </c>
      <c r="K311" s="43" t="e">
        <f>VLOOKUP(E311,Input!C:G,5,0)</f>
        <v>#N/A</v>
      </c>
      <c r="L311" s="82" t="str">
        <f>IFERROR(VLOOKUP($E:$E,Input!$C:$Q,12,0),"")</f>
        <v/>
      </c>
      <c r="M311" s="82" t="str">
        <f>IFERROR(VLOOKUP($E:$E,Input!$C:$Q,14,0),"")</f>
        <v/>
      </c>
      <c r="N311" s="82" t="str">
        <f>IFERROR(VLOOKUP($E:$E,Input!$C:$Q,15,0),"")</f>
        <v/>
      </c>
      <c r="P311" s="43" t="str">
        <f t="shared" si="7"/>
        <v>310,310,**</v>
      </c>
      <c r="Q311" s="43" t="s">
        <v>4896</v>
      </c>
      <c r="R311" s="43">
        <v>6042070338</v>
      </c>
      <c r="T311" s="90" t="s">
        <v>4897</v>
      </c>
      <c r="V311" s="43">
        <v>310</v>
      </c>
    </row>
    <row r="312" spans="1:22" ht="15.75">
      <c r="A312" s="13" t="str">
        <f>IFERROR(VLOOKUP($E:$E,scan!$A:$B,2,0),"**")</f>
        <v>**</v>
      </c>
      <c r="B312" s="13" t="str">
        <f>IFERROR(VLOOKUP($E312,scan!A:C,3,0),"**")</f>
        <v>**</v>
      </c>
      <c r="C312" s="79">
        <v>311</v>
      </c>
      <c r="E312" s="58"/>
      <c r="G312" s="85" t="s">
        <v>4895</v>
      </c>
      <c r="H312" s="61">
        <v>0</v>
      </c>
      <c r="J312" s="43" t="e">
        <f>VLOOKUP(E312,Input!C:J,5,0)</f>
        <v>#N/A</v>
      </c>
      <c r="K312" s="43" t="e">
        <f>VLOOKUP(E312,Input!C:G,5,0)</f>
        <v>#N/A</v>
      </c>
      <c r="L312" s="82" t="str">
        <f>IFERROR(VLOOKUP($E:$E,Input!$C:$Q,12,0),"")</f>
        <v/>
      </c>
      <c r="M312" s="82" t="str">
        <f>IFERROR(VLOOKUP($E:$E,Input!$C:$Q,14,0),"")</f>
        <v/>
      </c>
      <c r="N312" s="82" t="str">
        <f>IFERROR(VLOOKUP($E:$E,Input!$C:$Q,15,0),"")</f>
        <v/>
      </c>
      <c r="P312" s="43" t="str">
        <f t="shared" si="7"/>
        <v>311,311,**</v>
      </c>
      <c r="Q312" s="43" t="s">
        <v>4896</v>
      </c>
      <c r="R312" s="43">
        <v>6042070338</v>
      </c>
      <c r="T312" s="90" t="s">
        <v>4897</v>
      </c>
      <c r="V312" s="43">
        <v>311</v>
      </c>
    </row>
    <row r="313" spans="1:22" ht="15.75">
      <c r="A313" s="13" t="str">
        <f>IFERROR(VLOOKUP($E:$E,scan!$A:$B,2,0),"**")</f>
        <v>**</v>
      </c>
      <c r="B313" s="13" t="str">
        <f>IFERROR(VLOOKUP($E313,scan!A:C,3,0),"**")</f>
        <v>**</v>
      </c>
      <c r="C313" s="79">
        <v>312</v>
      </c>
      <c r="E313" s="58"/>
      <c r="G313" s="85" t="s">
        <v>4895</v>
      </c>
      <c r="H313" s="61">
        <v>0</v>
      </c>
      <c r="J313" s="43" t="e">
        <f>VLOOKUP(E313,Input!C:J,5,0)</f>
        <v>#N/A</v>
      </c>
      <c r="K313" s="43" t="e">
        <f>VLOOKUP(E313,Input!C:G,5,0)</f>
        <v>#N/A</v>
      </c>
      <c r="L313" s="82" t="str">
        <f>IFERROR(VLOOKUP($E:$E,Input!$C:$Q,12,0),"")</f>
        <v/>
      </c>
      <c r="M313" s="82" t="str">
        <f>IFERROR(VLOOKUP($E:$E,Input!$C:$Q,14,0),"")</f>
        <v/>
      </c>
      <c r="N313" s="82" t="str">
        <f>IFERROR(VLOOKUP($E:$E,Input!$C:$Q,15,0),"")</f>
        <v/>
      </c>
      <c r="P313" s="43" t="str">
        <f t="shared" si="7"/>
        <v>312,312,**</v>
      </c>
      <c r="Q313" s="43" t="s">
        <v>4896</v>
      </c>
      <c r="R313" s="43">
        <v>6042070338</v>
      </c>
      <c r="T313" s="90" t="s">
        <v>4897</v>
      </c>
      <c r="V313" s="43">
        <v>312</v>
      </c>
    </row>
    <row r="314" spans="1:22" ht="15.75">
      <c r="A314" s="13" t="str">
        <f>IFERROR(VLOOKUP($E:$E,scan!$A:$B,2,0),"**")</f>
        <v>**</v>
      </c>
      <c r="B314" s="13" t="str">
        <f>IFERROR(VLOOKUP($E314,scan!A:C,3,0),"**")</f>
        <v>**</v>
      </c>
      <c r="C314" s="79">
        <v>313</v>
      </c>
      <c r="E314" s="58"/>
      <c r="G314" s="85" t="s">
        <v>4895</v>
      </c>
      <c r="H314" s="61">
        <v>0</v>
      </c>
      <c r="J314" s="43" t="e">
        <f>VLOOKUP(E314,Input!C:J,5,0)</f>
        <v>#N/A</v>
      </c>
      <c r="K314" s="43" t="e">
        <f>VLOOKUP(E314,Input!C:G,5,0)</f>
        <v>#N/A</v>
      </c>
      <c r="L314" s="82" t="str">
        <f>IFERROR(VLOOKUP($E:$E,Input!$C:$Q,12,0),"")</f>
        <v/>
      </c>
      <c r="M314" s="82" t="str">
        <f>IFERROR(VLOOKUP($E:$E,Input!$C:$Q,14,0),"")</f>
        <v/>
      </c>
      <c r="N314" s="82" t="str">
        <f>IFERROR(VLOOKUP($E:$E,Input!$C:$Q,15,0),"")</f>
        <v/>
      </c>
      <c r="P314" s="43" t="str">
        <f t="shared" si="7"/>
        <v>313,313,**</v>
      </c>
      <c r="Q314" s="43" t="s">
        <v>4896</v>
      </c>
      <c r="R314" s="43">
        <v>6042070338</v>
      </c>
      <c r="T314" s="90" t="s">
        <v>4897</v>
      </c>
      <c r="V314" s="43">
        <v>313</v>
      </c>
    </row>
    <row r="315" spans="1:22" ht="15.75">
      <c r="A315" s="13" t="str">
        <f>IFERROR(VLOOKUP($E:$E,scan!$A:$B,2,0),"**")</f>
        <v>**</v>
      </c>
      <c r="B315" s="13" t="str">
        <f>IFERROR(VLOOKUP($E315,scan!A:C,3,0),"**")</f>
        <v>**</v>
      </c>
      <c r="C315" s="79">
        <v>314</v>
      </c>
      <c r="E315" s="58"/>
      <c r="G315" s="85" t="s">
        <v>4895</v>
      </c>
      <c r="H315" s="61">
        <v>0</v>
      </c>
      <c r="J315" s="43" t="e">
        <f>VLOOKUP(E315,Input!C:J,5,0)</f>
        <v>#N/A</v>
      </c>
      <c r="K315" s="43" t="e">
        <f>VLOOKUP(E315,Input!C:G,5,0)</f>
        <v>#N/A</v>
      </c>
      <c r="L315" s="82" t="str">
        <f>IFERROR(VLOOKUP($E:$E,Input!$C:$Q,12,0),"")</f>
        <v/>
      </c>
      <c r="M315" s="82" t="str">
        <f>IFERROR(VLOOKUP($E:$E,Input!$C:$Q,14,0),"")</f>
        <v/>
      </c>
      <c r="N315" s="82" t="str">
        <f>IFERROR(VLOOKUP($E:$E,Input!$C:$Q,15,0),"")</f>
        <v/>
      </c>
      <c r="P315" s="43" t="str">
        <f t="shared" si="7"/>
        <v>314,314,**</v>
      </c>
      <c r="Q315" s="43" t="s">
        <v>4896</v>
      </c>
      <c r="R315" s="43">
        <v>6042070338</v>
      </c>
      <c r="T315" s="90" t="s">
        <v>4897</v>
      </c>
      <c r="V315" s="43">
        <v>314</v>
      </c>
    </row>
    <row r="316" spans="1:22" ht="15.75">
      <c r="A316" s="13" t="str">
        <f>IFERROR(VLOOKUP($E:$E,scan!$A:$B,2,0),"**")</f>
        <v>**</v>
      </c>
      <c r="B316" s="13" t="str">
        <f>IFERROR(VLOOKUP($E316,scan!A:C,3,0),"**")</f>
        <v>**</v>
      </c>
      <c r="C316" s="79">
        <v>315</v>
      </c>
      <c r="E316" s="58"/>
      <c r="G316" s="85" t="s">
        <v>4895</v>
      </c>
      <c r="H316" s="61">
        <v>0</v>
      </c>
      <c r="J316" s="43" t="e">
        <f>VLOOKUP(E316,Input!C:J,5,0)</f>
        <v>#N/A</v>
      </c>
      <c r="K316" s="43" t="e">
        <f>VLOOKUP(E316,Input!C:G,5,0)</f>
        <v>#N/A</v>
      </c>
      <c r="L316" s="82" t="str">
        <f>IFERROR(VLOOKUP($E:$E,Input!$C:$Q,12,0),"")</f>
        <v/>
      </c>
      <c r="M316" s="82" t="str">
        <f>IFERROR(VLOOKUP($E:$E,Input!$C:$Q,14,0),"")</f>
        <v/>
      </c>
      <c r="N316" s="82" t="str">
        <f>IFERROR(VLOOKUP($E:$E,Input!$C:$Q,15,0),"")</f>
        <v/>
      </c>
      <c r="P316" s="43" t="str">
        <f t="shared" si="7"/>
        <v>315,315,**</v>
      </c>
      <c r="Q316" s="43" t="s">
        <v>4896</v>
      </c>
      <c r="R316" s="43">
        <v>6042070338</v>
      </c>
      <c r="T316" s="90" t="s">
        <v>4897</v>
      </c>
      <c r="V316" s="43">
        <v>315</v>
      </c>
    </row>
    <row r="317" spans="1:22" ht="15.75">
      <c r="A317" s="13" t="str">
        <f>IFERROR(VLOOKUP($E:$E,scan!$A:$B,2,0),"**")</f>
        <v>**</v>
      </c>
      <c r="B317" s="13" t="str">
        <f>IFERROR(VLOOKUP($E317,scan!A:C,3,0),"**")</f>
        <v>**</v>
      </c>
      <c r="C317" s="79">
        <v>316</v>
      </c>
      <c r="E317" s="58"/>
      <c r="G317" s="85" t="s">
        <v>4895</v>
      </c>
      <c r="H317" s="61">
        <v>0</v>
      </c>
      <c r="J317" s="43" t="e">
        <f>VLOOKUP(E317,Input!C:J,5,0)</f>
        <v>#N/A</v>
      </c>
      <c r="K317" s="43" t="e">
        <f>VLOOKUP(E317,Input!C:G,5,0)</f>
        <v>#N/A</v>
      </c>
      <c r="L317" s="82" t="str">
        <f>IFERROR(VLOOKUP($E:$E,Input!$C:$Q,12,0),"")</f>
        <v/>
      </c>
      <c r="M317" s="82" t="str">
        <f>IFERROR(VLOOKUP($E:$E,Input!$C:$Q,14,0),"")</f>
        <v/>
      </c>
      <c r="N317" s="82" t="str">
        <f>IFERROR(VLOOKUP($E:$E,Input!$C:$Q,15,0),"")</f>
        <v/>
      </c>
      <c r="P317" s="43" t="str">
        <f t="shared" si="7"/>
        <v>316,316,**</v>
      </c>
      <c r="Q317" s="43" t="s">
        <v>4896</v>
      </c>
      <c r="R317" s="43">
        <v>6042070338</v>
      </c>
      <c r="T317" s="90" t="s">
        <v>4897</v>
      </c>
      <c r="V317" s="43">
        <v>316</v>
      </c>
    </row>
    <row r="318" spans="1:22" ht="15.75">
      <c r="A318" s="13" t="str">
        <f>IFERROR(VLOOKUP($E:$E,scan!$A:$B,2,0),"**")</f>
        <v>**</v>
      </c>
      <c r="B318" s="13" t="str">
        <f>IFERROR(VLOOKUP($E318,scan!A:C,3,0),"**")</f>
        <v>**</v>
      </c>
      <c r="C318" s="79">
        <v>317</v>
      </c>
      <c r="E318" s="58"/>
      <c r="G318" s="85" t="s">
        <v>4895</v>
      </c>
      <c r="H318" s="61">
        <v>0</v>
      </c>
      <c r="J318" s="43" t="e">
        <f>VLOOKUP(E318,Input!C:J,5,0)</f>
        <v>#N/A</v>
      </c>
      <c r="K318" s="43" t="e">
        <f>VLOOKUP(E318,Input!C:G,5,0)</f>
        <v>#N/A</v>
      </c>
      <c r="L318" s="82" t="str">
        <f>IFERROR(VLOOKUP($E:$E,Input!$C:$Q,12,0),"")</f>
        <v/>
      </c>
      <c r="M318" s="82" t="str">
        <f>IFERROR(VLOOKUP($E:$E,Input!$C:$Q,14,0),"")</f>
        <v/>
      </c>
      <c r="N318" s="82" t="str">
        <f>IFERROR(VLOOKUP($E:$E,Input!$C:$Q,15,0),"")</f>
        <v/>
      </c>
      <c r="P318" s="43" t="str">
        <f t="shared" si="7"/>
        <v>317,317,**</v>
      </c>
      <c r="Q318" s="43" t="s">
        <v>4896</v>
      </c>
      <c r="R318" s="43">
        <v>6042070338</v>
      </c>
      <c r="T318" s="90" t="s">
        <v>4897</v>
      </c>
      <c r="V318" s="43">
        <v>317</v>
      </c>
    </row>
    <row r="319" spans="1:22" ht="15.75">
      <c r="A319" s="13" t="str">
        <f>IFERROR(VLOOKUP($E:$E,scan!$A:$B,2,0),"**")</f>
        <v>**</v>
      </c>
      <c r="B319" s="13" t="str">
        <f>IFERROR(VLOOKUP($E319,scan!A:C,3,0),"**")</f>
        <v>**</v>
      </c>
      <c r="C319" s="79">
        <v>318</v>
      </c>
      <c r="E319" s="58"/>
      <c r="G319" s="85" t="s">
        <v>4895</v>
      </c>
      <c r="H319" s="61">
        <v>0</v>
      </c>
      <c r="J319" s="43" t="e">
        <f>VLOOKUP(E319,Input!C:J,5,0)</f>
        <v>#N/A</v>
      </c>
      <c r="K319" s="43" t="e">
        <f>VLOOKUP(E319,Input!C:G,5,0)</f>
        <v>#N/A</v>
      </c>
      <c r="L319" s="82" t="str">
        <f>IFERROR(VLOOKUP($E:$E,Input!$C:$Q,12,0),"")</f>
        <v/>
      </c>
      <c r="M319" s="82" t="str">
        <f>IFERROR(VLOOKUP($E:$E,Input!$C:$Q,14,0),"")</f>
        <v/>
      </c>
      <c r="N319" s="82" t="str">
        <f>IFERROR(VLOOKUP($E:$E,Input!$C:$Q,15,0),"")</f>
        <v/>
      </c>
      <c r="P319" s="43" t="str">
        <f t="shared" si="7"/>
        <v>318,318,**</v>
      </c>
      <c r="Q319" s="43" t="s">
        <v>4896</v>
      </c>
      <c r="R319" s="43">
        <v>6042070338</v>
      </c>
      <c r="T319" s="90" t="s">
        <v>4897</v>
      </c>
      <c r="V319" s="43">
        <v>318</v>
      </c>
    </row>
    <row r="320" spans="1:22" ht="15.75">
      <c r="A320" s="13" t="str">
        <f>IFERROR(VLOOKUP($E:$E,scan!$A:$B,2,0),"**")</f>
        <v>**</v>
      </c>
      <c r="B320" s="13" t="str">
        <f>IFERROR(VLOOKUP($E320,scan!A:C,3,0),"**")</f>
        <v>**</v>
      </c>
      <c r="C320" s="79">
        <v>319</v>
      </c>
      <c r="E320" s="58"/>
      <c r="G320" s="85" t="s">
        <v>4895</v>
      </c>
      <c r="H320" s="61">
        <v>0</v>
      </c>
      <c r="J320" s="43" t="e">
        <f>VLOOKUP(E320,Input!C:J,5,0)</f>
        <v>#N/A</v>
      </c>
      <c r="K320" s="43" t="e">
        <f>VLOOKUP(E320,Input!C:G,5,0)</f>
        <v>#N/A</v>
      </c>
      <c r="L320" s="82" t="str">
        <f>IFERROR(VLOOKUP($E:$E,Input!$C:$Q,12,0),"")</f>
        <v/>
      </c>
      <c r="M320" s="82" t="str">
        <f>IFERROR(VLOOKUP($E:$E,Input!$C:$Q,14,0),"")</f>
        <v/>
      </c>
      <c r="N320" s="82" t="str">
        <f>IFERROR(VLOOKUP($E:$E,Input!$C:$Q,15,0),"")</f>
        <v/>
      </c>
      <c r="P320" s="43" t="str">
        <f t="shared" si="7"/>
        <v>319,319,**</v>
      </c>
      <c r="Q320" s="43" t="s">
        <v>4896</v>
      </c>
      <c r="R320" s="43">
        <v>6042070338</v>
      </c>
      <c r="T320" s="90" t="s">
        <v>4897</v>
      </c>
      <c r="V320" s="43">
        <v>319</v>
      </c>
    </row>
    <row r="321" spans="1:22" ht="15.75">
      <c r="A321" s="13" t="str">
        <f>IFERROR(VLOOKUP($E:$E,scan!$A:$B,2,0),"**")</f>
        <v>**</v>
      </c>
      <c r="B321" s="13" t="str">
        <f>IFERROR(VLOOKUP($E321,scan!A:C,3,0),"**")</f>
        <v>**</v>
      </c>
      <c r="C321" s="79">
        <v>320</v>
      </c>
      <c r="E321" s="58"/>
      <c r="G321" s="85" t="s">
        <v>4895</v>
      </c>
      <c r="H321" s="61">
        <v>0</v>
      </c>
      <c r="J321" s="43" t="e">
        <f>VLOOKUP(E321,Input!C:J,5,0)</f>
        <v>#N/A</v>
      </c>
      <c r="K321" s="43" t="e">
        <f>VLOOKUP(E321,Input!C:G,5,0)</f>
        <v>#N/A</v>
      </c>
      <c r="L321" s="82" t="str">
        <f>IFERROR(VLOOKUP($E:$E,Input!$C:$Q,12,0),"")</f>
        <v/>
      </c>
      <c r="M321" s="82" t="str">
        <f>IFERROR(VLOOKUP($E:$E,Input!$C:$Q,14,0),"")</f>
        <v/>
      </c>
      <c r="N321" s="82" t="str">
        <f>IFERROR(VLOOKUP($E:$E,Input!$C:$Q,15,0),"")</f>
        <v/>
      </c>
      <c r="P321" s="43" t="str">
        <f t="shared" si="7"/>
        <v>320,320,**</v>
      </c>
      <c r="Q321" s="43" t="s">
        <v>4896</v>
      </c>
      <c r="R321" s="43">
        <v>6042070338</v>
      </c>
      <c r="T321" s="90" t="s">
        <v>4897</v>
      </c>
      <c r="V321" s="43">
        <v>320</v>
      </c>
    </row>
    <row r="322" spans="1:22" ht="15.75">
      <c r="A322" s="13" t="str">
        <f>IFERROR(VLOOKUP($E:$E,scan!$A:$B,2,0),"**")</f>
        <v>**</v>
      </c>
      <c r="B322" s="13" t="str">
        <f>IFERROR(VLOOKUP($E322,scan!A:C,3,0),"**")</f>
        <v>**</v>
      </c>
      <c r="C322" s="79">
        <v>321</v>
      </c>
      <c r="E322" s="58"/>
      <c r="G322" s="85" t="s">
        <v>4895</v>
      </c>
      <c r="H322" s="61">
        <v>0</v>
      </c>
      <c r="J322" s="43" t="e">
        <f>VLOOKUP(E322,Input!C:J,5,0)</f>
        <v>#N/A</v>
      </c>
      <c r="K322" s="43" t="e">
        <f>VLOOKUP(E322,Input!C:G,5,0)</f>
        <v>#N/A</v>
      </c>
      <c r="L322" s="82" t="str">
        <f>IFERROR(VLOOKUP($E:$E,Input!$C:$Q,12,0),"")</f>
        <v/>
      </c>
      <c r="M322" s="82" t="str">
        <f>IFERROR(VLOOKUP($E:$E,Input!$C:$Q,14,0),"")</f>
        <v/>
      </c>
      <c r="N322" s="82" t="str">
        <f>IFERROR(VLOOKUP($E:$E,Input!$C:$Q,15,0),"")</f>
        <v/>
      </c>
      <c r="P322" s="43" t="str">
        <f t="shared" si="7"/>
        <v>321,321,**</v>
      </c>
      <c r="Q322" s="43" t="s">
        <v>4896</v>
      </c>
      <c r="R322" s="43">
        <v>6042070338</v>
      </c>
      <c r="T322" s="90" t="s">
        <v>4897</v>
      </c>
      <c r="V322" s="43">
        <v>321</v>
      </c>
    </row>
    <row r="323" spans="1:22" ht="15.75">
      <c r="A323" s="13" t="str">
        <f>IFERROR(VLOOKUP($E:$E,scan!$A:$B,2,0),"**")</f>
        <v>**</v>
      </c>
      <c r="B323" s="13" t="str">
        <f>IFERROR(VLOOKUP($E323,scan!A:C,3,0),"**")</f>
        <v>**</v>
      </c>
      <c r="C323" s="79">
        <v>322</v>
      </c>
      <c r="E323" s="58"/>
      <c r="G323" s="85" t="s">
        <v>4895</v>
      </c>
      <c r="H323" s="61">
        <v>0</v>
      </c>
      <c r="J323" s="43" t="e">
        <f>VLOOKUP(E323,Input!C:J,5,0)</f>
        <v>#N/A</v>
      </c>
      <c r="K323" s="43" t="e">
        <f>VLOOKUP(E323,Input!C:G,5,0)</f>
        <v>#N/A</v>
      </c>
      <c r="L323" s="82" t="str">
        <f>IFERROR(VLOOKUP($E:$E,Input!$C:$Q,12,0),"")</f>
        <v/>
      </c>
      <c r="M323" s="82" t="str">
        <f>IFERROR(VLOOKUP($E:$E,Input!$C:$Q,14,0),"")</f>
        <v/>
      </c>
      <c r="N323" s="82" t="str">
        <f>IFERROR(VLOOKUP($E:$E,Input!$C:$Q,15,0),"")</f>
        <v/>
      </c>
      <c r="P323" s="43" t="str">
        <f t="shared" si="7"/>
        <v>322,322,**</v>
      </c>
      <c r="Q323" s="43" t="s">
        <v>4896</v>
      </c>
      <c r="R323" s="43">
        <v>6042070338</v>
      </c>
      <c r="T323" s="90" t="s">
        <v>4897</v>
      </c>
      <c r="V323" s="43">
        <v>322</v>
      </c>
    </row>
    <row r="324" spans="1:22" ht="15.75">
      <c r="A324" s="13" t="str">
        <f>IFERROR(VLOOKUP($E:$E,scan!$A:$B,2,0),"**")</f>
        <v>**</v>
      </c>
      <c r="B324" s="13" t="str">
        <f>IFERROR(VLOOKUP($E324,scan!A:C,3,0),"**")</f>
        <v>**</v>
      </c>
      <c r="C324" s="79">
        <v>323</v>
      </c>
      <c r="E324" s="58"/>
      <c r="G324" s="85" t="s">
        <v>4895</v>
      </c>
      <c r="H324" s="61">
        <v>0</v>
      </c>
      <c r="J324" s="43" t="e">
        <f>VLOOKUP(E324,Input!C:J,5,0)</f>
        <v>#N/A</v>
      </c>
      <c r="K324" s="43" t="e">
        <f>VLOOKUP(E324,Input!C:G,5,0)</f>
        <v>#N/A</v>
      </c>
      <c r="L324" s="82" t="str">
        <f>IFERROR(VLOOKUP($E:$E,Input!$C:$Q,12,0),"")</f>
        <v/>
      </c>
      <c r="M324" s="82" t="str">
        <f>IFERROR(VLOOKUP($E:$E,Input!$C:$Q,14,0),"")</f>
        <v/>
      </c>
      <c r="N324" s="82" t="str">
        <f>IFERROR(VLOOKUP($E:$E,Input!$C:$Q,15,0),"")</f>
        <v/>
      </c>
      <c r="P324" s="43" t="str">
        <f t="shared" si="7"/>
        <v>323,323,**</v>
      </c>
      <c r="Q324" s="43" t="s">
        <v>4896</v>
      </c>
      <c r="R324" s="43">
        <v>6042070338</v>
      </c>
      <c r="T324" s="90" t="s">
        <v>4897</v>
      </c>
      <c r="V324" s="43">
        <v>323</v>
      </c>
    </row>
    <row r="325" spans="1:22" ht="15.75">
      <c r="A325" s="13" t="str">
        <f>IFERROR(VLOOKUP($E:$E,scan!$A:$B,2,0),"**")</f>
        <v>**</v>
      </c>
      <c r="B325" s="13" t="str">
        <f>IFERROR(VLOOKUP($E325,scan!A:C,3,0),"**")</f>
        <v>**</v>
      </c>
      <c r="C325" s="79">
        <v>324</v>
      </c>
      <c r="E325" s="58"/>
      <c r="G325" s="85" t="s">
        <v>4895</v>
      </c>
      <c r="H325" s="61">
        <v>0</v>
      </c>
      <c r="J325" s="43" t="e">
        <f>VLOOKUP(E325,Input!C:J,5,0)</f>
        <v>#N/A</v>
      </c>
      <c r="K325" s="43" t="e">
        <f>VLOOKUP(E325,Input!C:G,5,0)</f>
        <v>#N/A</v>
      </c>
      <c r="L325" s="82" t="str">
        <f>IFERROR(VLOOKUP($E:$E,Input!$C:$Q,12,0),"")</f>
        <v/>
      </c>
      <c r="M325" s="82" t="str">
        <f>IFERROR(VLOOKUP($E:$E,Input!$C:$Q,14,0),"")</f>
        <v/>
      </c>
      <c r="N325" s="82" t="str">
        <f>IFERROR(VLOOKUP($E:$E,Input!$C:$Q,15,0),"")</f>
        <v/>
      </c>
      <c r="P325" s="43" t="str">
        <f t="shared" si="7"/>
        <v>324,324,**</v>
      </c>
      <c r="Q325" s="43" t="s">
        <v>4896</v>
      </c>
      <c r="R325" s="43">
        <v>6042070338</v>
      </c>
      <c r="T325" s="90" t="s">
        <v>4897</v>
      </c>
      <c r="V325" s="43">
        <v>324</v>
      </c>
    </row>
    <row r="326" spans="1:22" ht="15.75">
      <c r="A326" s="13" t="str">
        <f>IFERROR(VLOOKUP($E:$E,scan!$A:$B,2,0),"**")</f>
        <v>**</v>
      </c>
      <c r="B326" s="13" t="str">
        <f>IFERROR(VLOOKUP($E326,scan!A:C,3,0),"**")</f>
        <v>**</v>
      </c>
      <c r="C326" s="79">
        <v>325</v>
      </c>
      <c r="E326" s="58"/>
      <c r="G326" s="85" t="s">
        <v>4895</v>
      </c>
      <c r="H326" s="61">
        <v>0</v>
      </c>
      <c r="J326" s="43" t="e">
        <f>VLOOKUP(E326,Input!C:J,5,0)</f>
        <v>#N/A</v>
      </c>
      <c r="K326" s="43" t="e">
        <f>VLOOKUP(E326,Input!C:G,5,0)</f>
        <v>#N/A</v>
      </c>
      <c r="L326" s="82" t="str">
        <f>IFERROR(VLOOKUP($E:$E,Input!$C:$Q,12,0),"")</f>
        <v/>
      </c>
      <c r="M326" s="82" t="str">
        <f>IFERROR(VLOOKUP($E:$E,Input!$C:$Q,14,0),"")</f>
        <v/>
      </c>
      <c r="N326" s="82" t="str">
        <f>IFERROR(VLOOKUP($E:$E,Input!$C:$Q,15,0),"")</f>
        <v/>
      </c>
      <c r="P326" s="43" t="str">
        <f t="shared" si="7"/>
        <v>325,325,**</v>
      </c>
      <c r="Q326" s="43" t="s">
        <v>4896</v>
      </c>
      <c r="R326" s="43">
        <v>6042070338</v>
      </c>
      <c r="T326" s="90" t="s">
        <v>4897</v>
      </c>
      <c r="V326" s="43">
        <v>325</v>
      </c>
    </row>
    <row r="327" spans="1:22" ht="15.75">
      <c r="A327" s="13" t="str">
        <f>IFERROR(VLOOKUP($E:$E,scan!$A:$B,2,0),"**")</f>
        <v>**</v>
      </c>
      <c r="B327" s="13" t="str">
        <f>IFERROR(VLOOKUP($E327,scan!A:C,3,0),"**")</f>
        <v>**</v>
      </c>
      <c r="C327" s="79">
        <v>326</v>
      </c>
      <c r="E327" s="58"/>
      <c r="G327" s="85" t="s">
        <v>4895</v>
      </c>
      <c r="H327" s="61">
        <v>0</v>
      </c>
      <c r="J327" s="43" t="e">
        <f>VLOOKUP(E327,Input!C:J,5,0)</f>
        <v>#N/A</v>
      </c>
      <c r="K327" s="43" t="e">
        <f>VLOOKUP(E327,Input!C:G,5,0)</f>
        <v>#N/A</v>
      </c>
      <c r="L327" s="82" t="str">
        <f>IFERROR(VLOOKUP($E:$E,Input!$C:$Q,12,0),"")</f>
        <v/>
      </c>
      <c r="M327" s="82" t="str">
        <f>IFERROR(VLOOKUP($E:$E,Input!$C:$Q,14,0),"")</f>
        <v/>
      </c>
      <c r="N327" s="82" t="str">
        <f>IFERROR(VLOOKUP($E:$E,Input!$C:$Q,15,0),"")</f>
        <v/>
      </c>
      <c r="P327" s="43" t="str">
        <f t="shared" si="7"/>
        <v>326,326,**</v>
      </c>
      <c r="Q327" s="43" t="s">
        <v>4896</v>
      </c>
      <c r="R327" s="43">
        <v>6042070338</v>
      </c>
      <c r="T327" s="90" t="s">
        <v>4897</v>
      </c>
      <c r="V327" s="43">
        <v>326</v>
      </c>
    </row>
    <row r="328" spans="1:22" ht="15.75">
      <c r="A328" s="13" t="str">
        <f>IFERROR(VLOOKUP($E:$E,scan!$A:$B,2,0),"**")</f>
        <v>**</v>
      </c>
      <c r="B328" s="13" t="str">
        <f>IFERROR(VLOOKUP($E328,scan!A:C,3,0),"**")</f>
        <v>**</v>
      </c>
      <c r="C328" s="79">
        <v>327</v>
      </c>
      <c r="E328" s="58"/>
      <c r="G328" s="85" t="s">
        <v>4895</v>
      </c>
      <c r="H328" s="61">
        <v>0</v>
      </c>
      <c r="J328" s="43" t="e">
        <f>VLOOKUP(E328,Input!C:J,5,0)</f>
        <v>#N/A</v>
      </c>
      <c r="K328" s="43" t="e">
        <f>VLOOKUP(E328,Input!C:G,5,0)</f>
        <v>#N/A</v>
      </c>
      <c r="L328" s="82" t="str">
        <f>IFERROR(VLOOKUP($E:$E,Input!$C:$Q,12,0),"")</f>
        <v/>
      </c>
      <c r="M328" s="82" t="str">
        <f>IFERROR(VLOOKUP($E:$E,Input!$C:$Q,14,0),"")</f>
        <v/>
      </c>
      <c r="N328" s="82" t="str">
        <f>IFERROR(VLOOKUP($E:$E,Input!$C:$Q,15,0),"")</f>
        <v/>
      </c>
      <c r="P328" s="43" t="str">
        <f t="shared" ref="P328:P391" si="8">V328&amp;","&amp;C328&amp;","&amp;B328</f>
        <v>327,327,**</v>
      </c>
      <c r="Q328" s="43" t="s">
        <v>4896</v>
      </c>
      <c r="R328" s="43">
        <v>6042070338</v>
      </c>
      <c r="T328" s="90" t="s">
        <v>4897</v>
      </c>
      <c r="V328" s="43">
        <v>327</v>
      </c>
    </row>
    <row r="329" spans="1:22" ht="15.75">
      <c r="A329" s="13" t="str">
        <f>IFERROR(VLOOKUP($E:$E,scan!$A:$B,2,0),"**")</f>
        <v>**</v>
      </c>
      <c r="B329" s="13" t="str">
        <f>IFERROR(VLOOKUP($E329,scan!A:C,3,0),"**")</f>
        <v>**</v>
      </c>
      <c r="C329" s="79">
        <v>328</v>
      </c>
      <c r="E329" s="58"/>
      <c r="G329" s="85" t="s">
        <v>4895</v>
      </c>
      <c r="H329" s="61">
        <v>0</v>
      </c>
      <c r="J329" s="43" t="e">
        <f>VLOOKUP(E329,Input!C:J,5,0)</f>
        <v>#N/A</v>
      </c>
      <c r="K329" s="43" t="e">
        <f>VLOOKUP(E329,Input!C:G,5,0)</f>
        <v>#N/A</v>
      </c>
      <c r="L329" s="82" t="str">
        <f>IFERROR(VLOOKUP($E:$E,Input!$C:$Q,12,0),"")</f>
        <v/>
      </c>
      <c r="M329" s="82" t="str">
        <f>IFERROR(VLOOKUP($E:$E,Input!$C:$Q,14,0),"")</f>
        <v/>
      </c>
      <c r="N329" s="82" t="str">
        <f>IFERROR(VLOOKUP($E:$E,Input!$C:$Q,15,0),"")</f>
        <v/>
      </c>
      <c r="P329" s="43" t="str">
        <f t="shared" si="8"/>
        <v>328,328,**</v>
      </c>
      <c r="Q329" s="43" t="s">
        <v>4896</v>
      </c>
      <c r="R329" s="43">
        <v>6042070338</v>
      </c>
      <c r="T329" s="90" t="s">
        <v>4897</v>
      </c>
      <c r="V329" s="43">
        <v>328</v>
      </c>
    </row>
    <row r="330" spans="1:22" ht="15.75">
      <c r="A330" s="13" t="str">
        <f>IFERROR(VLOOKUP($E:$E,scan!$A:$B,2,0),"**")</f>
        <v>**</v>
      </c>
      <c r="B330" s="13" t="str">
        <f>IFERROR(VLOOKUP($E330,scan!A:C,3,0),"**")</f>
        <v>**</v>
      </c>
      <c r="C330" s="79">
        <v>329</v>
      </c>
      <c r="E330" s="58"/>
      <c r="G330" s="85" t="s">
        <v>4895</v>
      </c>
      <c r="H330" s="61">
        <v>0</v>
      </c>
      <c r="J330" s="43" t="e">
        <f>VLOOKUP(E330,Input!C:J,5,0)</f>
        <v>#N/A</v>
      </c>
      <c r="K330" s="43" t="e">
        <f>VLOOKUP(E330,Input!C:G,5,0)</f>
        <v>#N/A</v>
      </c>
      <c r="L330" s="82" t="str">
        <f>IFERROR(VLOOKUP($E:$E,Input!$C:$Q,12,0),"")</f>
        <v/>
      </c>
      <c r="M330" s="82" t="str">
        <f>IFERROR(VLOOKUP($E:$E,Input!$C:$Q,14,0),"")</f>
        <v/>
      </c>
      <c r="N330" s="82" t="str">
        <f>IFERROR(VLOOKUP($E:$E,Input!$C:$Q,15,0),"")</f>
        <v/>
      </c>
      <c r="P330" s="43" t="str">
        <f t="shared" si="8"/>
        <v>329,329,**</v>
      </c>
      <c r="Q330" s="43" t="s">
        <v>4896</v>
      </c>
      <c r="R330" s="43">
        <v>6042070338</v>
      </c>
      <c r="T330" s="90" t="s">
        <v>4897</v>
      </c>
      <c r="V330" s="43">
        <v>329</v>
      </c>
    </row>
    <row r="331" spans="1:22" ht="15.75">
      <c r="A331" s="13" t="str">
        <f>IFERROR(VLOOKUP($E:$E,scan!$A:$B,2,0),"**")</f>
        <v>**</v>
      </c>
      <c r="B331" s="13" t="str">
        <f>IFERROR(VLOOKUP($E331,scan!A:C,3,0),"**")</f>
        <v>**</v>
      </c>
      <c r="C331" s="79">
        <v>330</v>
      </c>
      <c r="E331" s="58"/>
      <c r="G331" s="85" t="s">
        <v>4895</v>
      </c>
      <c r="H331" s="61">
        <v>0</v>
      </c>
      <c r="J331" s="43" t="e">
        <f>VLOOKUP(E331,Input!C:J,5,0)</f>
        <v>#N/A</v>
      </c>
      <c r="K331" s="43" t="e">
        <f>VLOOKUP(E331,Input!C:G,5,0)</f>
        <v>#N/A</v>
      </c>
      <c r="L331" s="82" t="str">
        <f>IFERROR(VLOOKUP($E:$E,Input!$C:$Q,12,0),"")</f>
        <v/>
      </c>
      <c r="M331" s="82" t="str">
        <f>IFERROR(VLOOKUP($E:$E,Input!$C:$Q,14,0),"")</f>
        <v/>
      </c>
      <c r="N331" s="82" t="str">
        <f>IFERROR(VLOOKUP($E:$E,Input!$C:$Q,15,0),"")</f>
        <v/>
      </c>
      <c r="P331" s="43" t="str">
        <f t="shared" si="8"/>
        <v>330,330,**</v>
      </c>
      <c r="Q331" s="43" t="s">
        <v>4896</v>
      </c>
      <c r="R331" s="43">
        <v>6042070338</v>
      </c>
      <c r="T331" s="90" t="s">
        <v>4897</v>
      </c>
      <c r="V331" s="43">
        <v>330</v>
      </c>
    </row>
    <row r="332" spans="1:22" ht="15.75">
      <c r="A332" s="13" t="str">
        <f>IFERROR(VLOOKUP($E:$E,scan!$A:$B,2,0),"**")</f>
        <v>**</v>
      </c>
      <c r="B332" s="13" t="str">
        <f>IFERROR(VLOOKUP($E332,scan!A:C,3,0),"**")</f>
        <v>**</v>
      </c>
      <c r="C332" s="79">
        <v>331</v>
      </c>
      <c r="E332" s="58"/>
      <c r="G332" s="85" t="s">
        <v>4895</v>
      </c>
      <c r="H332" s="61">
        <v>0</v>
      </c>
      <c r="J332" s="43" t="e">
        <f>VLOOKUP(E332,Input!C:J,5,0)</f>
        <v>#N/A</v>
      </c>
      <c r="K332" s="43" t="e">
        <f>VLOOKUP(E332,Input!C:G,5,0)</f>
        <v>#N/A</v>
      </c>
      <c r="L332" s="82" t="str">
        <f>IFERROR(VLOOKUP($E:$E,Input!$C:$Q,12,0),"")</f>
        <v/>
      </c>
      <c r="M332" s="82" t="str">
        <f>IFERROR(VLOOKUP($E:$E,Input!$C:$Q,14,0),"")</f>
        <v/>
      </c>
      <c r="N332" s="82" t="str">
        <f>IFERROR(VLOOKUP($E:$E,Input!$C:$Q,15,0),"")</f>
        <v/>
      </c>
      <c r="P332" s="43" t="str">
        <f t="shared" si="8"/>
        <v>331,331,**</v>
      </c>
      <c r="Q332" s="43" t="s">
        <v>4896</v>
      </c>
      <c r="R332" s="43">
        <v>6042070338</v>
      </c>
      <c r="T332" s="90" t="s">
        <v>4897</v>
      </c>
      <c r="V332" s="43">
        <v>331</v>
      </c>
    </row>
    <row r="333" spans="1:22" ht="15.75">
      <c r="A333" s="13" t="str">
        <f>IFERROR(VLOOKUP($E:$E,scan!$A:$B,2,0),"**")</f>
        <v>**</v>
      </c>
      <c r="B333" s="13" t="str">
        <f>IFERROR(VLOOKUP($E333,scan!A:C,3,0),"**")</f>
        <v>**</v>
      </c>
      <c r="C333" s="79">
        <v>332</v>
      </c>
      <c r="E333" s="58"/>
      <c r="G333" s="85" t="s">
        <v>4895</v>
      </c>
      <c r="H333" s="61">
        <v>0</v>
      </c>
      <c r="J333" s="43" t="e">
        <f>VLOOKUP(E333,Input!C:J,5,0)</f>
        <v>#N/A</v>
      </c>
      <c r="K333" s="43" t="e">
        <f>VLOOKUP(E333,Input!C:G,5,0)</f>
        <v>#N/A</v>
      </c>
      <c r="L333" s="82" t="str">
        <f>IFERROR(VLOOKUP($E:$E,Input!$C:$Q,12,0),"")</f>
        <v/>
      </c>
      <c r="M333" s="82" t="str">
        <f>IFERROR(VLOOKUP($E:$E,Input!$C:$Q,14,0),"")</f>
        <v/>
      </c>
      <c r="N333" s="82" t="str">
        <f>IFERROR(VLOOKUP($E:$E,Input!$C:$Q,15,0),"")</f>
        <v/>
      </c>
      <c r="P333" s="43" t="str">
        <f t="shared" si="8"/>
        <v>332,332,**</v>
      </c>
      <c r="Q333" s="43" t="s">
        <v>4896</v>
      </c>
      <c r="R333" s="43">
        <v>6042070338</v>
      </c>
      <c r="T333" s="90" t="s">
        <v>4897</v>
      </c>
      <c r="V333" s="43">
        <v>332</v>
      </c>
    </row>
    <row r="334" spans="1:22" ht="15.75">
      <c r="A334" s="13" t="str">
        <f>IFERROR(VLOOKUP($E:$E,scan!$A:$B,2,0),"**")</f>
        <v>**</v>
      </c>
      <c r="B334" s="13" t="str">
        <f>IFERROR(VLOOKUP($E334,scan!A:C,3,0),"**")</f>
        <v>**</v>
      </c>
      <c r="C334" s="79">
        <v>333</v>
      </c>
      <c r="E334" s="58"/>
      <c r="G334" s="85" t="s">
        <v>4895</v>
      </c>
      <c r="H334" s="61">
        <v>0</v>
      </c>
      <c r="J334" s="43" t="e">
        <f>VLOOKUP(E334,Input!C:J,5,0)</f>
        <v>#N/A</v>
      </c>
      <c r="K334" s="43" t="e">
        <f>VLOOKUP(E334,Input!C:G,5,0)</f>
        <v>#N/A</v>
      </c>
      <c r="L334" s="82" t="str">
        <f>IFERROR(VLOOKUP($E:$E,Input!$C:$Q,12,0),"")</f>
        <v/>
      </c>
      <c r="M334" s="82" t="str">
        <f>IFERROR(VLOOKUP($E:$E,Input!$C:$Q,14,0),"")</f>
        <v/>
      </c>
      <c r="N334" s="82" t="str">
        <f>IFERROR(VLOOKUP($E:$E,Input!$C:$Q,15,0),"")</f>
        <v/>
      </c>
      <c r="P334" s="43" t="str">
        <f t="shared" si="8"/>
        <v>333,333,**</v>
      </c>
      <c r="Q334" s="43" t="s">
        <v>4896</v>
      </c>
      <c r="R334" s="43">
        <v>6042070338</v>
      </c>
      <c r="T334" s="90" t="s">
        <v>4897</v>
      </c>
      <c r="V334" s="43">
        <v>333</v>
      </c>
    </row>
    <row r="335" spans="1:22" ht="15.75">
      <c r="A335" s="13" t="str">
        <f>IFERROR(VLOOKUP($E:$E,scan!$A:$B,2,0),"**")</f>
        <v>**</v>
      </c>
      <c r="B335" s="13" t="str">
        <f>IFERROR(VLOOKUP($E335,scan!A:C,3,0),"**")</f>
        <v>**</v>
      </c>
      <c r="C335" s="79">
        <v>334</v>
      </c>
      <c r="E335" s="58"/>
      <c r="G335" s="85" t="s">
        <v>4895</v>
      </c>
      <c r="H335" s="61">
        <v>0</v>
      </c>
      <c r="J335" s="43" t="e">
        <f>VLOOKUP(E335,Input!C:J,5,0)</f>
        <v>#N/A</v>
      </c>
      <c r="K335" s="43" t="e">
        <f>VLOOKUP(E335,Input!C:G,5,0)</f>
        <v>#N/A</v>
      </c>
      <c r="L335" s="82" t="str">
        <f>IFERROR(VLOOKUP($E:$E,Input!$C:$Q,12,0),"")</f>
        <v/>
      </c>
      <c r="M335" s="82" t="str">
        <f>IFERROR(VLOOKUP($E:$E,Input!$C:$Q,14,0),"")</f>
        <v/>
      </c>
      <c r="N335" s="82" t="str">
        <f>IFERROR(VLOOKUP($E:$E,Input!$C:$Q,15,0),"")</f>
        <v/>
      </c>
      <c r="P335" s="43" t="str">
        <f t="shared" si="8"/>
        <v>334,334,**</v>
      </c>
      <c r="Q335" s="43" t="s">
        <v>4896</v>
      </c>
      <c r="R335" s="43">
        <v>6042070338</v>
      </c>
      <c r="T335" s="90" t="s">
        <v>4897</v>
      </c>
      <c r="V335" s="43">
        <v>334</v>
      </c>
    </row>
    <row r="336" spans="1:22" ht="15.75">
      <c r="A336" s="13" t="str">
        <f>IFERROR(VLOOKUP($E:$E,scan!$A:$B,2,0),"**")</f>
        <v>**</v>
      </c>
      <c r="B336" s="13" t="str">
        <f>IFERROR(VLOOKUP($E336,scan!A:C,3,0),"**")</f>
        <v>**</v>
      </c>
      <c r="C336" s="79">
        <v>335</v>
      </c>
      <c r="E336" s="58"/>
      <c r="G336" s="85" t="s">
        <v>4895</v>
      </c>
      <c r="H336" s="61">
        <v>0</v>
      </c>
      <c r="J336" s="43" t="e">
        <f>VLOOKUP(E336,Input!C:J,5,0)</f>
        <v>#N/A</v>
      </c>
      <c r="K336" s="43" t="e">
        <f>VLOOKUP(E336,Input!C:G,5,0)</f>
        <v>#N/A</v>
      </c>
      <c r="L336" s="82" t="str">
        <f>IFERROR(VLOOKUP($E:$E,Input!$C:$Q,12,0),"")</f>
        <v/>
      </c>
      <c r="M336" s="82" t="str">
        <f>IFERROR(VLOOKUP($E:$E,Input!$C:$Q,14,0),"")</f>
        <v/>
      </c>
      <c r="N336" s="82" t="str">
        <f>IFERROR(VLOOKUP($E:$E,Input!$C:$Q,15,0),"")</f>
        <v/>
      </c>
      <c r="P336" s="43" t="str">
        <f t="shared" si="8"/>
        <v>335,335,**</v>
      </c>
      <c r="Q336" s="43" t="s">
        <v>4896</v>
      </c>
      <c r="R336" s="43">
        <v>6042070338</v>
      </c>
      <c r="T336" s="90" t="s">
        <v>4897</v>
      </c>
      <c r="V336" s="43">
        <v>335</v>
      </c>
    </row>
    <row r="337" spans="1:22" ht="15.75">
      <c r="A337" s="13" t="str">
        <f>IFERROR(VLOOKUP($E:$E,scan!$A:$B,2,0),"**")</f>
        <v>**</v>
      </c>
      <c r="B337" s="13" t="str">
        <f>IFERROR(VLOOKUP($E337,scan!A:C,3,0),"**")</f>
        <v>**</v>
      </c>
      <c r="C337" s="79">
        <v>336</v>
      </c>
      <c r="E337" s="58"/>
      <c r="G337" s="85" t="s">
        <v>4895</v>
      </c>
      <c r="H337" s="61">
        <v>0</v>
      </c>
      <c r="J337" s="43" t="e">
        <f>VLOOKUP(E337,Input!C:J,5,0)</f>
        <v>#N/A</v>
      </c>
      <c r="K337" s="43" t="e">
        <f>VLOOKUP(E337,Input!C:G,5,0)</f>
        <v>#N/A</v>
      </c>
      <c r="L337" s="82" t="str">
        <f>IFERROR(VLOOKUP($E:$E,Input!$C:$Q,12,0),"")</f>
        <v/>
      </c>
      <c r="M337" s="82" t="str">
        <f>IFERROR(VLOOKUP($E:$E,Input!$C:$Q,14,0),"")</f>
        <v/>
      </c>
      <c r="N337" s="82" t="str">
        <f>IFERROR(VLOOKUP($E:$E,Input!$C:$Q,15,0),"")</f>
        <v/>
      </c>
      <c r="P337" s="43" t="str">
        <f t="shared" si="8"/>
        <v>336,336,**</v>
      </c>
      <c r="Q337" s="43" t="s">
        <v>4896</v>
      </c>
      <c r="R337" s="43">
        <v>6042070338</v>
      </c>
      <c r="T337" s="90" t="s">
        <v>4897</v>
      </c>
      <c r="V337" s="43">
        <v>336</v>
      </c>
    </row>
    <row r="338" spans="1:22" ht="15.75">
      <c r="A338" s="13" t="str">
        <f>IFERROR(VLOOKUP($E:$E,scan!$A:$B,2,0),"**")</f>
        <v>**</v>
      </c>
      <c r="B338" s="13" t="str">
        <f>IFERROR(VLOOKUP($E338,scan!A:C,3,0),"**")</f>
        <v>**</v>
      </c>
      <c r="C338" s="79">
        <v>337</v>
      </c>
      <c r="E338" s="58"/>
      <c r="G338" s="85" t="s">
        <v>4895</v>
      </c>
      <c r="H338" s="61">
        <v>0</v>
      </c>
      <c r="J338" s="43" t="e">
        <f>VLOOKUP(E338,Input!C:J,5,0)</f>
        <v>#N/A</v>
      </c>
      <c r="K338" s="43" t="e">
        <f>VLOOKUP(E338,Input!C:G,5,0)</f>
        <v>#N/A</v>
      </c>
      <c r="L338" s="82" t="str">
        <f>IFERROR(VLOOKUP($E:$E,Input!$C:$Q,12,0),"")</f>
        <v/>
      </c>
      <c r="M338" s="82" t="str">
        <f>IFERROR(VLOOKUP($E:$E,Input!$C:$Q,14,0),"")</f>
        <v/>
      </c>
      <c r="N338" s="82" t="str">
        <f>IFERROR(VLOOKUP($E:$E,Input!$C:$Q,15,0),"")</f>
        <v/>
      </c>
      <c r="P338" s="43" t="str">
        <f t="shared" si="8"/>
        <v>337,337,**</v>
      </c>
      <c r="Q338" s="43" t="s">
        <v>4896</v>
      </c>
      <c r="R338" s="43">
        <v>6042070338</v>
      </c>
      <c r="T338" s="90" t="s">
        <v>4897</v>
      </c>
      <c r="V338" s="43">
        <v>337</v>
      </c>
    </row>
    <row r="339" spans="1:22" ht="15.75">
      <c r="A339" s="13" t="str">
        <f>IFERROR(VLOOKUP($E:$E,scan!$A:$B,2,0),"**")</f>
        <v>**</v>
      </c>
      <c r="B339" s="13" t="str">
        <f>IFERROR(VLOOKUP($E339,scan!A:C,3,0),"**")</f>
        <v>**</v>
      </c>
      <c r="C339" s="79">
        <v>338</v>
      </c>
      <c r="E339" s="58"/>
      <c r="G339" s="85" t="s">
        <v>4895</v>
      </c>
      <c r="H339" s="61">
        <v>0</v>
      </c>
      <c r="J339" s="43" t="e">
        <f>VLOOKUP(E339,Input!C:J,5,0)</f>
        <v>#N/A</v>
      </c>
      <c r="K339" s="43" t="e">
        <f>VLOOKUP(E339,Input!C:G,5,0)</f>
        <v>#N/A</v>
      </c>
      <c r="L339" s="82" t="str">
        <f>IFERROR(VLOOKUP($E:$E,Input!$C:$Q,12,0),"")</f>
        <v/>
      </c>
      <c r="M339" s="82" t="str">
        <f>IFERROR(VLOOKUP($E:$E,Input!$C:$Q,14,0),"")</f>
        <v/>
      </c>
      <c r="N339" s="82" t="str">
        <f>IFERROR(VLOOKUP($E:$E,Input!$C:$Q,15,0),"")</f>
        <v/>
      </c>
      <c r="P339" s="43" t="str">
        <f t="shared" si="8"/>
        <v>338,338,**</v>
      </c>
      <c r="Q339" s="43" t="s">
        <v>4896</v>
      </c>
      <c r="R339" s="43">
        <v>6042070338</v>
      </c>
      <c r="T339" s="90" t="s">
        <v>4897</v>
      </c>
      <c r="V339" s="43">
        <v>338</v>
      </c>
    </row>
    <row r="340" spans="1:22" ht="15.75">
      <c r="A340" s="13" t="str">
        <f>IFERROR(VLOOKUP($E:$E,scan!$A:$B,2,0),"**")</f>
        <v>**</v>
      </c>
      <c r="B340" s="13" t="str">
        <f>IFERROR(VLOOKUP($E340,scan!A:C,3,0),"**")</f>
        <v>**</v>
      </c>
      <c r="C340" s="79">
        <v>339</v>
      </c>
      <c r="E340" s="58"/>
      <c r="G340" s="85" t="s">
        <v>4895</v>
      </c>
      <c r="H340" s="61">
        <v>0</v>
      </c>
      <c r="J340" s="43" t="e">
        <f>VLOOKUP(E340,Input!C:J,5,0)</f>
        <v>#N/A</v>
      </c>
      <c r="K340" s="43" t="e">
        <f>VLOOKUP(E340,Input!C:G,5,0)</f>
        <v>#N/A</v>
      </c>
      <c r="L340" s="82" t="str">
        <f>IFERROR(VLOOKUP($E:$E,Input!$C:$Q,12,0),"")</f>
        <v/>
      </c>
      <c r="M340" s="82" t="str">
        <f>IFERROR(VLOOKUP($E:$E,Input!$C:$Q,14,0),"")</f>
        <v/>
      </c>
      <c r="N340" s="82" t="str">
        <f>IFERROR(VLOOKUP($E:$E,Input!$C:$Q,15,0),"")</f>
        <v/>
      </c>
      <c r="P340" s="43" t="str">
        <f t="shared" si="8"/>
        <v>339,339,**</v>
      </c>
      <c r="Q340" s="43" t="s">
        <v>4896</v>
      </c>
      <c r="R340" s="43">
        <v>6042070338</v>
      </c>
      <c r="T340" s="90" t="s">
        <v>4897</v>
      </c>
      <c r="V340" s="43">
        <v>339</v>
      </c>
    </row>
    <row r="341" spans="1:22" ht="15.75">
      <c r="A341" s="13" t="str">
        <f>IFERROR(VLOOKUP($E:$E,scan!$A:$B,2,0),"**")</f>
        <v>**</v>
      </c>
      <c r="B341" s="13" t="str">
        <f>IFERROR(VLOOKUP($E341,scan!A:C,3,0),"**")</f>
        <v>**</v>
      </c>
      <c r="C341" s="79">
        <v>340</v>
      </c>
      <c r="E341" s="58"/>
      <c r="G341" s="85" t="s">
        <v>4895</v>
      </c>
      <c r="H341" s="61">
        <v>0</v>
      </c>
      <c r="J341" s="43" t="e">
        <f>VLOOKUP(E341,Input!C:J,5,0)</f>
        <v>#N/A</v>
      </c>
      <c r="K341" s="43" t="e">
        <f>VLOOKUP(E341,Input!C:G,5,0)</f>
        <v>#N/A</v>
      </c>
      <c r="L341" s="82" t="str">
        <f>IFERROR(VLOOKUP($E:$E,Input!$C:$Q,12,0),"")</f>
        <v/>
      </c>
      <c r="M341" s="82" t="str">
        <f>IFERROR(VLOOKUP($E:$E,Input!$C:$Q,14,0),"")</f>
        <v/>
      </c>
      <c r="N341" s="82" t="str">
        <f>IFERROR(VLOOKUP($E:$E,Input!$C:$Q,15,0),"")</f>
        <v/>
      </c>
      <c r="P341" s="43" t="str">
        <f t="shared" si="8"/>
        <v>340,340,**</v>
      </c>
      <c r="Q341" s="43" t="s">
        <v>4896</v>
      </c>
      <c r="R341" s="43">
        <v>6042070338</v>
      </c>
      <c r="T341" s="90" t="s">
        <v>4897</v>
      </c>
      <c r="V341" s="43">
        <v>340</v>
      </c>
    </row>
    <row r="342" spans="1:22" ht="15.75">
      <c r="A342" s="13" t="str">
        <f>IFERROR(VLOOKUP($E:$E,scan!$A:$B,2,0),"**")</f>
        <v>**</v>
      </c>
      <c r="B342" s="13" t="str">
        <f>IFERROR(VLOOKUP($E342,scan!A:C,3,0),"**")</f>
        <v>**</v>
      </c>
      <c r="C342" s="79">
        <v>341</v>
      </c>
      <c r="E342" s="58"/>
      <c r="G342" s="85" t="s">
        <v>4895</v>
      </c>
      <c r="H342" s="61">
        <v>0</v>
      </c>
      <c r="J342" s="43" t="e">
        <f>VLOOKUP(E342,Input!C:J,5,0)</f>
        <v>#N/A</v>
      </c>
      <c r="K342" s="43" t="e">
        <f>VLOOKUP(E342,Input!C:G,5,0)</f>
        <v>#N/A</v>
      </c>
      <c r="L342" s="82" t="str">
        <f>IFERROR(VLOOKUP($E:$E,Input!$C:$Q,12,0),"")</f>
        <v/>
      </c>
      <c r="M342" s="82" t="str">
        <f>IFERROR(VLOOKUP($E:$E,Input!$C:$Q,14,0),"")</f>
        <v/>
      </c>
      <c r="N342" s="82" t="str">
        <f>IFERROR(VLOOKUP($E:$E,Input!$C:$Q,15,0),"")</f>
        <v/>
      </c>
      <c r="P342" s="43" t="str">
        <f t="shared" si="8"/>
        <v>341,341,**</v>
      </c>
      <c r="Q342" s="43" t="s">
        <v>4896</v>
      </c>
      <c r="R342" s="43">
        <v>6042070338</v>
      </c>
      <c r="T342" s="90" t="s">
        <v>4897</v>
      </c>
      <c r="V342" s="43">
        <v>341</v>
      </c>
    </row>
    <row r="343" spans="1:22" ht="15.75">
      <c r="A343" s="13" t="str">
        <f>IFERROR(VLOOKUP($E:$E,scan!$A:$B,2,0),"**")</f>
        <v>**</v>
      </c>
      <c r="B343" s="13" t="str">
        <f>IFERROR(VLOOKUP($E343,scan!A:C,3,0),"**")</f>
        <v>**</v>
      </c>
      <c r="C343" s="79">
        <v>342</v>
      </c>
      <c r="E343" s="58"/>
      <c r="G343" s="85" t="s">
        <v>4895</v>
      </c>
      <c r="H343" s="61">
        <v>0</v>
      </c>
      <c r="J343" s="43" t="e">
        <f>VLOOKUP(E343,Input!C:J,5,0)</f>
        <v>#N/A</v>
      </c>
      <c r="K343" s="43" t="e">
        <f>VLOOKUP(E343,Input!C:G,5,0)</f>
        <v>#N/A</v>
      </c>
      <c r="L343" s="82" t="str">
        <f>IFERROR(VLOOKUP($E:$E,Input!$C:$Q,12,0),"")</f>
        <v/>
      </c>
      <c r="M343" s="82" t="str">
        <f>IFERROR(VLOOKUP($E:$E,Input!$C:$Q,14,0),"")</f>
        <v/>
      </c>
      <c r="N343" s="82" t="str">
        <f>IFERROR(VLOOKUP($E:$E,Input!$C:$Q,15,0),"")</f>
        <v/>
      </c>
      <c r="P343" s="43" t="str">
        <f t="shared" si="8"/>
        <v>342,342,**</v>
      </c>
      <c r="Q343" s="43" t="s">
        <v>4896</v>
      </c>
      <c r="R343" s="43">
        <v>6042070338</v>
      </c>
      <c r="T343" s="90" t="s">
        <v>4897</v>
      </c>
      <c r="V343" s="43">
        <v>342</v>
      </c>
    </row>
    <row r="344" spans="1:22" ht="15.75">
      <c r="A344" s="13" t="str">
        <f>IFERROR(VLOOKUP($E:$E,scan!$A:$B,2,0),"**")</f>
        <v>**</v>
      </c>
      <c r="B344" s="13" t="str">
        <f>IFERROR(VLOOKUP($E344,scan!A:C,3,0),"**")</f>
        <v>**</v>
      </c>
      <c r="C344" s="79">
        <v>343</v>
      </c>
      <c r="E344" s="58"/>
      <c r="G344" s="85" t="s">
        <v>4895</v>
      </c>
      <c r="H344" s="61">
        <v>0</v>
      </c>
      <c r="J344" s="43" t="e">
        <f>VLOOKUP(E344,Input!C:J,5,0)</f>
        <v>#N/A</v>
      </c>
      <c r="K344" s="43" t="e">
        <f>VLOOKUP(E344,Input!C:G,5,0)</f>
        <v>#N/A</v>
      </c>
      <c r="L344" s="82" t="str">
        <f>IFERROR(VLOOKUP($E:$E,Input!$C:$Q,12,0),"")</f>
        <v/>
      </c>
      <c r="M344" s="82" t="str">
        <f>IFERROR(VLOOKUP($E:$E,Input!$C:$Q,14,0),"")</f>
        <v/>
      </c>
      <c r="N344" s="82" t="str">
        <f>IFERROR(VLOOKUP($E:$E,Input!$C:$Q,15,0),"")</f>
        <v/>
      </c>
      <c r="P344" s="43" t="str">
        <f t="shared" si="8"/>
        <v>343,343,**</v>
      </c>
      <c r="Q344" s="43" t="s">
        <v>4896</v>
      </c>
      <c r="R344" s="43">
        <v>6042070338</v>
      </c>
      <c r="T344" s="90" t="s">
        <v>4897</v>
      </c>
      <c r="V344" s="43">
        <v>343</v>
      </c>
    </row>
    <row r="345" spans="1:22" ht="15.75">
      <c r="A345" s="13" t="str">
        <f>IFERROR(VLOOKUP($E:$E,scan!$A:$B,2,0),"**")</f>
        <v>**</v>
      </c>
      <c r="B345" s="13" t="str">
        <f>IFERROR(VLOOKUP($E345,scan!A:C,3,0),"**")</f>
        <v>**</v>
      </c>
      <c r="C345" s="79">
        <v>344</v>
      </c>
      <c r="E345" s="58"/>
      <c r="G345" s="85" t="s">
        <v>4895</v>
      </c>
      <c r="H345" s="61">
        <v>0</v>
      </c>
      <c r="J345" s="43" t="e">
        <f>VLOOKUP(E345,Input!C:J,5,0)</f>
        <v>#N/A</v>
      </c>
      <c r="K345" s="43" t="e">
        <f>VLOOKUP(E345,Input!C:G,5,0)</f>
        <v>#N/A</v>
      </c>
      <c r="L345" s="82" t="str">
        <f>IFERROR(VLOOKUP($E:$E,Input!$C:$Q,12,0),"")</f>
        <v/>
      </c>
      <c r="M345" s="82" t="str">
        <f>IFERROR(VLOOKUP($E:$E,Input!$C:$Q,14,0),"")</f>
        <v/>
      </c>
      <c r="N345" s="82" t="str">
        <f>IFERROR(VLOOKUP($E:$E,Input!$C:$Q,15,0),"")</f>
        <v/>
      </c>
      <c r="P345" s="43" t="str">
        <f t="shared" si="8"/>
        <v>344,344,**</v>
      </c>
      <c r="Q345" s="43" t="s">
        <v>4896</v>
      </c>
      <c r="R345" s="43">
        <v>6042070338</v>
      </c>
      <c r="T345" s="90" t="s">
        <v>4897</v>
      </c>
      <c r="V345" s="43">
        <v>344</v>
      </c>
    </row>
    <row r="346" spans="1:22" ht="15.75">
      <c r="A346" s="13" t="str">
        <f>IFERROR(VLOOKUP($E:$E,scan!$A:$B,2,0),"**")</f>
        <v>**</v>
      </c>
      <c r="B346" s="13" t="str">
        <f>IFERROR(VLOOKUP($E346,scan!A:C,3,0),"**")</f>
        <v>**</v>
      </c>
      <c r="C346" s="79">
        <v>345</v>
      </c>
      <c r="E346" s="58"/>
      <c r="G346" s="85" t="s">
        <v>4895</v>
      </c>
      <c r="H346" s="61">
        <v>0</v>
      </c>
      <c r="J346" s="43" t="e">
        <f>VLOOKUP(E346,Input!C:J,5,0)</f>
        <v>#N/A</v>
      </c>
      <c r="K346" s="43" t="e">
        <f>VLOOKUP(E346,Input!C:G,5,0)</f>
        <v>#N/A</v>
      </c>
      <c r="L346" s="82" t="str">
        <f>IFERROR(VLOOKUP($E:$E,Input!$C:$Q,12,0),"")</f>
        <v/>
      </c>
      <c r="M346" s="82" t="str">
        <f>IFERROR(VLOOKUP($E:$E,Input!$C:$Q,14,0),"")</f>
        <v/>
      </c>
      <c r="N346" s="82" t="str">
        <f>IFERROR(VLOOKUP($E:$E,Input!$C:$Q,15,0),"")</f>
        <v/>
      </c>
      <c r="P346" s="43" t="str">
        <f t="shared" si="8"/>
        <v>345,345,**</v>
      </c>
      <c r="Q346" s="43" t="s">
        <v>4896</v>
      </c>
      <c r="R346" s="43">
        <v>6042070338</v>
      </c>
      <c r="T346" s="90" t="s">
        <v>4897</v>
      </c>
      <c r="V346" s="43">
        <v>345</v>
      </c>
    </row>
    <row r="347" spans="1:22" ht="15.75">
      <c r="A347" s="13" t="str">
        <f>IFERROR(VLOOKUP($E:$E,scan!$A:$B,2,0),"**")</f>
        <v>**</v>
      </c>
      <c r="B347" s="13" t="str">
        <f>IFERROR(VLOOKUP($E347,scan!A:C,3,0),"**")</f>
        <v>**</v>
      </c>
      <c r="C347" s="79">
        <v>346</v>
      </c>
      <c r="E347" s="58"/>
      <c r="G347" s="85" t="s">
        <v>4895</v>
      </c>
      <c r="H347" s="61">
        <v>0</v>
      </c>
      <c r="J347" s="43" t="e">
        <f>VLOOKUP(E347,Input!C:J,5,0)</f>
        <v>#N/A</v>
      </c>
      <c r="K347" s="43" t="e">
        <f>VLOOKUP(E347,Input!C:G,5,0)</f>
        <v>#N/A</v>
      </c>
      <c r="L347" s="82" t="str">
        <f>IFERROR(VLOOKUP($E:$E,Input!$C:$Q,12,0),"")</f>
        <v/>
      </c>
      <c r="M347" s="82" t="str">
        <f>IFERROR(VLOOKUP($E:$E,Input!$C:$Q,14,0),"")</f>
        <v/>
      </c>
      <c r="N347" s="82" t="str">
        <f>IFERROR(VLOOKUP($E:$E,Input!$C:$Q,15,0),"")</f>
        <v/>
      </c>
      <c r="P347" s="43" t="str">
        <f t="shared" si="8"/>
        <v>346,346,**</v>
      </c>
      <c r="Q347" s="43" t="s">
        <v>4896</v>
      </c>
      <c r="R347" s="43">
        <v>6042070338</v>
      </c>
      <c r="T347" s="90" t="s">
        <v>4897</v>
      </c>
      <c r="V347" s="43">
        <v>346</v>
      </c>
    </row>
    <row r="348" spans="1:22" ht="15.75">
      <c r="A348" s="13" t="str">
        <f>IFERROR(VLOOKUP($E:$E,scan!$A:$B,2,0),"**")</f>
        <v>**</v>
      </c>
      <c r="B348" s="13" t="str">
        <f>IFERROR(VLOOKUP($E348,scan!A:C,3,0),"**")</f>
        <v>**</v>
      </c>
      <c r="C348" s="79">
        <v>347</v>
      </c>
      <c r="E348" s="58"/>
      <c r="G348" s="85" t="s">
        <v>4895</v>
      </c>
      <c r="H348" s="61">
        <v>0</v>
      </c>
      <c r="J348" s="43" t="e">
        <f>VLOOKUP(E348,Input!C:J,5,0)</f>
        <v>#N/A</v>
      </c>
      <c r="K348" s="43" t="e">
        <f>VLOOKUP(E348,Input!C:G,5,0)</f>
        <v>#N/A</v>
      </c>
      <c r="L348" s="82" t="str">
        <f>IFERROR(VLOOKUP($E:$E,Input!$C:$Q,12,0),"")</f>
        <v/>
      </c>
      <c r="M348" s="82" t="str">
        <f>IFERROR(VLOOKUP($E:$E,Input!$C:$Q,14,0),"")</f>
        <v/>
      </c>
      <c r="N348" s="82" t="str">
        <f>IFERROR(VLOOKUP($E:$E,Input!$C:$Q,15,0),"")</f>
        <v/>
      </c>
      <c r="P348" s="43" t="str">
        <f t="shared" si="8"/>
        <v>347,347,**</v>
      </c>
      <c r="Q348" s="43" t="s">
        <v>4896</v>
      </c>
      <c r="R348" s="43">
        <v>6042070338</v>
      </c>
      <c r="T348" s="90" t="s">
        <v>4897</v>
      </c>
      <c r="V348" s="43">
        <v>347</v>
      </c>
    </row>
    <row r="349" spans="1:22" ht="15.75">
      <c r="A349" s="13" t="str">
        <f>IFERROR(VLOOKUP($E:$E,scan!$A:$B,2,0),"**")</f>
        <v>**</v>
      </c>
      <c r="B349" s="13" t="str">
        <f>IFERROR(VLOOKUP($E349,scan!A:C,3,0),"**")</f>
        <v>**</v>
      </c>
      <c r="C349" s="79">
        <v>348</v>
      </c>
      <c r="E349" s="58"/>
      <c r="G349" s="85" t="s">
        <v>4895</v>
      </c>
      <c r="H349" s="61">
        <v>0</v>
      </c>
      <c r="J349" s="43" t="e">
        <f>VLOOKUP(E349,Input!C:J,5,0)</f>
        <v>#N/A</v>
      </c>
      <c r="K349" s="43" t="e">
        <f>VLOOKUP(E349,Input!C:G,5,0)</f>
        <v>#N/A</v>
      </c>
      <c r="L349" s="82" t="str">
        <f>IFERROR(VLOOKUP($E:$E,Input!$C:$Q,12,0),"")</f>
        <v/>
      </c>
      <c r="M349" s="82" t="str">
        <f>IFERROR(VLOOKUP($E:$E,Input!$C:$Q,14,0),"")</f>
        <v/>
      </c>
      <c r="N349" s="82" t="str">
        <f>IFERROR(VLOOKUP($E:$E,Input!$C:$Q,15,0),"")</f>
        <v/>
      </c>
      <c r="P349" s="43" t="str">
        <f t="shared" si="8"/>
        <v>348,348,**</v>
      </c>
      <c r="Q349" s="43" t="s">
        <v>4896</v>
      </c>
      <c r="R349" s="43">
        <v>6042070338</v>
      </c>
      <c r="T349" s="90" t="s">
        <v>4897</v>
      </c>
      <c r="V349" s="43">
        <v>348</v>
      </c>
    </row>
    <row r="350" spans="1:22" ht="15.75">
      <c r="A350" s="13" t="str">
        <f>IFERROR(VLOOKUP($E:$E,scan!$A:$B,2,0),"**")</f>
        <v>**</v>
      </c>
      <c r="B350" s="13" t="str">
        <f>IFERROR(VLOOKUP($E350,scan!A:C,3,0),"**")</f>
        <v>**</v>
      </c>
      <c r="C350" s="79">
        <v>349</v>
      </c>
      <c r="E350" s="58"/>
      <c r="G350" s="85" t="s">
        <v>4895</v>
      </c>
      <c r="H350" s="61">
        <v>0</v>
      </c>
      <c r="J350" s="43" t="e">
        <f>VLOOKUP(E350,Input!C:J,5,0)</f>
        <v>#N/A</v>
      </c>
      <c r="K350" s="43" t="e">
        <f>VLOOKUP(E350,Input!C:G,5,0)</f>
        <v>#N/A</v>
      </c>
      <c r="L350" s="82" t="str">
        <f>IFERROR(VLOOKUP($E:$E,Input!$C:$Q,12,0),"")</f>
        <v/>
      </c>
      <c r="M350" s="82" t="str">
        <f>IFERROR(VLOOKUP($E:$E,Input!$C:$Q,14,0),"")</f>
        <v/>
      </c>
      <c r="N350" s="82" t="str">
        <f>IFERROR(VLOOKUP($E:$E,Input!$C:$Q,15,0),"")</f>
        <v/>
      </c>
      <c r="P350" s="43" t="str">
        <f t="shared" si="8"/>
        <v>349,349,**</v>
      </c>
      <c r="Q350" s="43" t="s">
        <v>4896</v>
      </c>
      <c r="R350" s="43">
        <v>6042070338</v>
      </c>
      <c r="T350" s="90" t="s">
        <v>4897</v>
      </c>
      <c r="V350" s="43">
        <v>349</v>
      </c>
    </row>
    <row r="351" spans="1:22" ht="15.75">
      <c r="A351" s="13" t="str">
        <f>IFERROR(VLOOKUP($E:$E,scan!$A:$B,2,0),"**")</f>
        <v>**</v>
      </c>
      <c r="B351" s="13" t="str">
        <f>IFERROR(VLOOKUP($E351,scan!A:C,3,0),"**")</f>
        <v>**</v>
      </c>
      <c r="C351" s="79">
        <v>350</v>
      </c>
      <c r="E351" s="58"/>
      <c r="G351" s="85" t="s">
        <v>4895</v>
      </c>
      <c r="H351" s="61">
        <v>0</v>
      </c>
      <c r="J351" s="43" t="e">
        <f>VLOOKUP(E351,Input!C:J,5,0)</f>
        <v>#N/A</v>
      </c>
      <c r="K351" s="43" t="e">
        <f>VLOOKUP(E351,Input!C:G,5,0)</f>
        <v>#N/A</v>
      </c>
      <c r="L351" s="82" t="str">
        <f>IFERROR(VLOOKUP($E:$E,Input!$C:$Q,12,0),"")</f>
        <v/>
      </c>
      <c r="M351" s="82" t="str">
        <f>IFERROR(VLOOKUP($E:$E,Input!$C:$Q,14,0),"")</f>
        <v/>
      </c>
      <c r="N351" s="82" t="str">
        <f>IFERROR(VLOOKUP($E:$E,Input!$C:$Q,15,0),"")</f>
        <v/>
      </c>
      <c r="P351" s="43" t="str">
        <f t="shared" si="8"/>
        <v>350,350,**</v>
      </c>
      <c r="Q351" s="43" t="s">
        <v>4896</v>
      </c>
      <c r="R351" s="43">
        <v>6042070338</v>
      </c>
      <c r="T351" s="90" t="s">
        <v>4897</v>
      </c>
      <c r="V351" s="43">
        <v>350</v>
      </c>
    </row>
    <row r="352" spans="1:22" ht="15.75">
      <c r="A352" s="13" t="str">
        <f>IFERROR(VLOOKUP($E:$E,scan!$A:$B,2,0),"**")</f>
        <v>**</v>
      </c>
      <c r="B352" s="13" t="str">
        <f>IFERROR(VLOOKUP($E352,scan!A:C,3,0),"**")</f>
        <v>**</v>
      </c>
      <c r="C352" s="79">
        <v>351</v>
      </c>
      <c r="E352" s="58"/>
      <c r="G352" s="85" t="s">
        <v>4895</v>
      </c>
      <c r="H352" s="61">
        <v>0</v>
      </c>
      <c r="J352" s="43" t="e">
        <f>VLOOKUP(E352,Input!C:J,5,0)</f>
        <v>#N/A</v>
      </c>
      <c r="K352" s="43" t="e">
        <f>VLOOKUP(E352,Input!C:G,5,0)</f>
        <v>#N/A</v>
      </c>
      <c r="L352" s="82" t="str">
        <f>IFERROR(VLOOKUP($E:$E,Input!$C:$Q,12,0),"")</f>
        <v/>
      </c>
      <c r="M352" s="82" t="str">
        <f>IFERROR(VLOOKUP($E:$E,Input!$C:$Q,14,0),"")</f>
        <v/>
      </c>
      <c r="N352" s="82" t="str">
        <f>IFERROR(VLOOKUP($E:$E,Input!$C:$Q,15,0),"")</f>
        <v/>
      </c>
      <c r="P352" s="43" t="str">
        <f t="shared" si="8"/>
        <v>351,351,**</v>
      </c>
      <c r="Q352" s="43" t="s">
        <v>4896</v>
      </c>
      <c r="R352" s="43">
        <v>6042070338</v>
      </c>
      <c r="T352" s="90" t="s">
        <v>4897</v>
      </c>
      <c r="V352" s="43">
        <v>351</v>
      </c>
    </row>
    <row r="353" spans="1:22" ht="15.75">
      <c r="A353" s="13" t="str">
        <f>IFERROR(VLOOKUP($E:$E,scan!$A:$B,2,0),"**")</f>
        <v>**</v>
      </c>
      <c r="B353" s="13" t="str">
        <f>IFERROR(VLOOKUP($E353,scan!A:C,3,0),"**")</f>
        <v>**</v>
      </c>
      <c r="C353" s="79">
        <v>352</v>
      </c>
      <c r="E353" s="58"/>
      <c r="G353" s="85" t="s">
        <v>4895</v>
      </c>
      <c r="H353" s="61">
        <v>0</v>
      </c>
      <c r="J353" s="43" t="e">
        <f>VLOOKUP(E353,Input!C:J,5,0)</f>
        <v>#N/A</v>
      </c>
      <c r="K353" s="43" t="e">
        <f>VLOOKUP(E353,Input!C:G,5,0)</f>
        <v>#N/A</v>
      </c>
      <c r="L353" s="82" t="str">
        <f>IFERROR(VLOOKUP($E:$E,Input!$C:$Q,12,0),"")</f>
        <v/>
      </c>
      <c r="M353" s="82" t="str">
        <f>IFERROR(VLOOKUP($E:$E,Input!$C:$Q,14,0),"")</f>
        <v/>
      </c>
      <c r="N353" s="82" t="str">
        <f>IFERROR(VLOOKUP($E:$E,Input!$C:$Q,15,0),"")</f>
        <v/>
      </c>
      <c r="P353" s="43" t="str">
        <f t="shared" si="8"/>
        <v>352,352,**</v>
      </c>
      <c r="Q353" s="43" t="s">
        <v>4896</v>
      </c>
      <c r="R353" s="43">
        <v>6042070338</v>
      </c>
      <c r="T353" s="90" t="s">
        <v>4897</v>
      </c>
      <c r="V353" s="43">
        <v>352</v>
      </c>
    </row>
    <row r="354" spans="1:22" ht="15.75">
      <c r="A354" s="13" t="str">
        <f>IFERROR(VLOOKUP($E:$E,scan!$A:$B,2,0),"**")</f>
        <v>**</v>
      </c>
      <c r="B354" s="13" t="str">
        <f>IFERROR(VLOOKUP($E354,scan!A:C,3,0),"**")</f>
        <v>**</v>
      </c>
      <c r="C354" s="79">
        <v>353</v>
      </c>
      <c r="E354" s="58"/>
      <c r="G354" s="85" t="s">
        <v>4895</v>
      </c>
      <c r="H354" s="61">
        <v>0</v>
      </c>
      <c r="J354" s="43" t="e">
        <f>VLOOKUP(E354,Input!C:J,5,0)</f>
        <v>#N/A</v>
      </c>
      <c r="K354" s="43" t="e">
        <f>VLOOKUP(E354,Input!C:G,5,0)</f>
        <v>#N/A</v>
      </c>
      <c r="L354" s="82" t="str">
        <f>IFERROR(VLOOKUP($E:$E,Input!$C:$Q,12,0),"")</f>
        <v/>
      </c>
      <c r="M354" s="82" t="str">
        <f>IFERROR(VLOOKUP($E:$E,Input!$C:$Q,14,0),"")</f>
        <v/>
      </c>
      <c r="N354" s="82" t="str">
        <f>IFERROR(VLOOKUP($E:$E,Input!$C:$Q,15,0),"")</f>
        <v/>
      </c>
      <c r="P354" s="43" t="str">
        <f t="shared" si="8"/>
        <v>353,353,**</v>
      </c>
      <c r="Q354" s="43" t="s">
        <v>4896</v>
      </c>
      <c r="R354" s="43">
        <v>6042070338</v>
      </c>
      <c r="T354" s="90" t="s">
        <v>4897</v>
      </c>
      <c r="V354" s="43">
        <v>353</v>
      </c>
    </row>
    <row r="355" spans="1:22" ht="15.75">
      <c r="A355" s="13" t="str">
        <f>IFERROR(VLOOKUP($E:$E,scan!$A:$B,2,0),"**")</f>
        <v>**</v>
      </c>
      <c r="B355" s="13" t="str">
        <f>IFERROR(VLOOKUP($E355,scan!A:C,3,0),"**")</f>
        <v>**</v>
      </c>
      <c r="C355" s="79">
        <v>354</v>
      </c>
      <c r="E355" s="58"/>
      <c r="G355" s="85" t="s">
        <v>4895</v>
      </c>
      <c r="H355" s="61">
        <v>0</v>
      </c>
      <c r="J355" s="43" t="e">
        <f>VLOOKUP(E355,Input!C:J,5,0)</f>
        <v>#N/A</v>
      </c>
      <c r="K355" s="43" t="e">
        <f>VLOOKUP(E355,Input!C:G,5,0)</f>
        <v>#N/A</v>
      </c>
      <c r="L355" s="82" t="str">
        <f>IFERROR(VLOOKUP($E:$E,Input!$C:$Q,12,0),"")</f>
        <v/>
      </c>
      <c r="M355" s="82" t="str">
        <f>IFERROR(VLOOKUP($E:$E,Input!$C:$Q,14,0),"")</f>
        <v/>
      </c>
      <c r="N355" s="82" t="str">
        <f>IFERROR(VLOOKUP($E:$E,Input!$C:$Q,15,0),"")</f>
        <v/>
      </c>
      <c r="P355" s="43" t="str">
        <f t="shared" si="8"/>
        <v>354,354,**</v>
      </c>
      <c r="Q355" s="43" t="s">
        <v>4896</v>
      </c>
      <c r="R355" s="43">
        <v>6042070338</v>
      </c>
      <c r="T355" s="90" t="s">
        <v>4897</v>
      </c>
      <c r="V355" s="43">
        <v>354</v>
      </c>
    </row>
    <row r="356" spans="1:22" ht="15.75">
      <c r="A356" s="13" t="str">
        <f>IFERROR(VLOOKUP($E:$E,scan!$A:$B,2,0),"**")</f>
        <v>**</v>
      </c>
      <c r="B356" s="13" t="str">
        <f>IFERROR(VLOOKUP($E356,scan!A:C,3,0),"**")</f>
        <v>**</v>
      </c>
      <c r="C356" s="79">
        <v>355</v>
      </c>
      <c r="E356" s="58"/>
      <c r="G356" s="85" t="s">
        <v>4895</v>
      </c>
      <c r="H356" s="61">
        <v>0</v>
      </c>
      <c r="J356" s="43" t="e">
        <f>VLOOKUP(E356,Input!C:J,5,0)</f>
        <v>#N/A</v>
      </c>
      <c r="K356" s="43" t="e">
        <f>VLOOKUP(E356,Input!C:G,5,0)</f>
        <v>#N/A</v>
      </c>
      <c r="L356" s="82" t="str">
        <f>IFERROR(VLOOKUP($E:$E,Input!$C:$Q,12,0),"")</f>
        <v/>
      </c>
      <c r="M356" s="82" t="str">
        <f>IFERROR(VLOOKUP($E:$E,Input!$C:$Q,14,0),"")</f>
        <v/>
      </c>
      <c r="N356" s="82" t="str">
        <f>IFERROR(VLOOKUP($E:$E,Input!$C:$Q,15,0),"")</f>
        <v/>
      </c>
      <c r="P356" s="43" t="str">
        <f t="shared" si="8"/>
        <v>355,355,**</v>
      </c>
      <c r="Q356" s="43" t="s">
        <v>4896</v>
      </c>
      <c r="R356" s="43">
        <v>6042070338</v>
      </c>
      <c r="T356" s="90" t="s">
        <v>4897</v>
      </c>
      <c r="V356" s="43">
        <v>355</v>
      </c>
    </row>
    <row r="357" spans="1:22" ht="15.75">
      <c r="A357" s="13" t="str">
        <f>IFERROR(VLOOKUP($E:$E,scan!$A:$B,2,0),"**")</f>
        <v>**</v>
      </c>
      <c r="B357" s="13" t="str">
        <f>IFERROR(VLOOKUP($E357,scan!A:C,3,0),"**")</f>
        <v>**</v>
      </c>
      <c r="C357" s="79">
        <v>356</v>
      </c>
      <c r="E357" s="58"/>
      <c r="G357" s="85" t="s">
        <v>4895</v>
      </c>
      <c r="H357" s="61">
        <v>0</v>
      </c>
      <c r="J357" s="43" t="e">
        <f>VLOOKUP(E357,Input!C:J,5,0)</f>
        <v>#N/A</v>
      </c>
      <c r="K357" s="43" t="e">
        <f>VLOOKUP(E357,Input!C:G,5,0)</f>
        <v>#N/A</v>
      </c>
      <c r="L357" s="82" t="str">
        <f>IFERROR(VLOOKUP($E:$E,Input!$C:$Q,12,0),"")</f>
        <v/>
      </c>
      <c r="M357" s="82" t="str">
        <f>IFERROR(VLOOKUP($E:$E,Input!$C:$Q,14,0),"")</f>
        <v/>
      </c>
      <c r="N357" s="82" t="str">
        <f>IFERROR(VLOOKUP($E:$E,Input!$C:$Q,15,0),"")</f>
        <v/>
      </c>
      <c r="P357" s="43" t="str">
        <f t="shared" si="8"/>
        <v>356,356,**</v>
      </c>
      <c r="Q357" s="43" t="s">
        <v>4896</v>
      </c>
      <c r="R357" s="43">
        <v>6042070338</v>
      </c>
      <c r="T357" s="90" t="s">
        <v>4897</v>
      </c>
      <c r="V357" s="43">
        <v>356</v>
      </c>
    </row>
    <row r="358" spans="1:22" ht="15.75">
      <c r="A358" s="13" t="str">
        <f>IFERROR(VLOOKUP($E:$E,scan!$A:$B,2,0),"**")</f>
        <v>**</v>
      </c>
      <c r="B358" s="13" t="str">
        <f>IFERROR(VLOOKUP($E358,scan!A:C,3,0),"**")</f>
        <v>**</v>
      </c>
      <c r="C358" s="79">
        <v>357</v>
      </c>
      <c r="E358" s="58"/>
      <c r="G358" s="85" t="s">
        <v>4895</v>
      </c>
      <c r="H358" s="61">
        <v>0</v>
      </c>
      <c r="J358" s="43" t="e">
        <f>VLOOKUP(E358,Input!C:J,5,0)</f>
        <v>#N/A</v>
      </c>
      <c r="K358" s="43" t="e">
        <f>VLOOKUP(E358,Input!C:G,5,0)</f>
        <v>#N/A</v>
      </c>
      <c r="L358" s="82" t="str">
        <f>IFERROR(VLOOKUP($E:$E,Input!$C:$Q,12,0),"")</f>
        <v/>
      </c>
      <c r="M358" s="82" t="str">
        <f>IFERROR(VLOOKUP($E:$E,Input!$C:$Q,14,0),"")</f>
        <v/>
      </c>
      <c r="N358" s="82" t="str">
        <f>IFERROR(VLOOKUP($E:$E,Input!$C:$Q,15,0),"")</f>
        <v/>
      </c>
      <c r="P358" s="43" t="str">
        <f t="shared" si="8"/>
        <v>357,357,**</v>
      </c>
      <c r="Q358" s="43" t="s">
        <v>4896</v>
      </c>
      <c r="R358" s="43">
        <v>6042070338</v>
      </c>
      <c r="T358" s="90" t="s">
        <v>4897</v>
      </c>
      <c r="V358" s="43">
        <v>357</v>
      </c>
    </row>
    <row r="359" spans="1:22" ht="15.75">
      <c r="A359" s="13" t="str">
        <f>IFERROR(VLOOKUP($E:$E,scan!$A:$B,2,0),"**")</f>
        <v>**</v>
      </c>
      <c r="B359" s="13" t="str">
        <f>IFERROR(VLOOKUP($E359,scan!A:C,3,0),"**")</f>
        <v>**</v>
      </c>
      <c r="C359" s="79">
        <v>358</v>
      </c>
      <c r="E359" s="58"/>
      <c r="G359" s="85" t="s">
        <v>4895</v>
      </c>
      <c r="H359" s="61">
        <v>0</v>
      </c>
      <c r="J359" s="43" t="e">
        <f>VLOOKUP(E359,Input!C:J,5,0)</f>
        <v>#N/A</v>
      </c>
      <c r="K359" s="43" t="e">
        <f>VLOOKUP(E359,Input!C:G,5,0)</f>
        <v>#N/A</v>
      </c>
      <c r="L359" s="82" t="str">
        <f>IFERROR(VLOOKUP($E:$E,Input!$C:$Q,12,0),"")</f>
        <v/>
      </c>
      <c r="M359" s="82" t="str">
        <f>IFERROR(VLOOKUP($E:$E,Input!$C:$Q,14,0),"")</f>
        <v/>
      </c>
      <c r="N359" s="82" t="str">
        <f>IFERROR(VLOOKUP($E:$E,Input!$C:$Q,15,0),"")</f>
        <v/>
      </c>
      <c r="P359" s="43" t="str">
        <f t="shared" si="8"/>
        <v>358,358,**</v>
      </c>
      <c r="Q359" s="43" t="s">
        <v>4896</v>
      </c>
      <c r="R359" s="43">
        <v>6042070338</v>
      </c>
      <c r="T359" s="90" t="s">
        <v>4897</v>
      </c>
      <c r="V359" s="43">
        <v>358</v>
      </c>
    </row>
    <row r="360" spans="1:22" ht="15.75">
      <c r="A360" s="13" t="str">
        <f>IFERROR(VLOOKUP($E:$E,scan!$A:$B,2,0),"**")</f>
        <v>**</v>
      </c>
      <c r="B360" s="13" t="str">
        <f>IFERROR(VLOOKUP($E360,scan!A:C,3,0),"**")</f>
        <v>**</v>
      </c>
      <c r="C360" s="79">
        <v>359</v>
      </c>
      <c r="E360" s="58"/>
      <c r="G360" s="85" t="s">
        <v>4895</v>
      </c>
      <c r="H360" s="61">
        <v>0</v>
      </c>
      <c r="J360" s="43" t="e">
        <f>VLOOKUP(E360,Input!C:J,5,0)</f>
        <v>#N/A</v>
      </c>
      <c r="K360" s="43" t="e">
        <f>VLOOKUP(E360,Input!C:G,5,0)</f>
        <v>#N/A</v>
      </c>
      <c r="L360" s="82" t="str">
        <f>IFERROR(VLOOKUP($E:$E,Input!$C:$Q,12,0),"")</f>
        <v/>
      </c>
      <c r="M360" s="82" t="str">
        <f>IFERROR(VLOOKUP($E:$E,Input!$C:$Q,14,0),"")</f>
        <v/>
      </c>
      <c r="N360" s="82" t="str">
        <f>IFERROR(VLOOKUP($E:$E,Input!$C:$Q,15,0),"")</f>
        <v/>
      </c>
      <c r="P360" s="43" t="str">
        <f t="shared" si="8"/>
        <v>359,359,**</v>
      </c>
      <c r="Q360" s="43" t="s">
        <v>4896</v>
      </c>
      <c r="R360" s="43">
        <v>6042070338</v>
      </c>
      <c r="T360" s="90" t="s">
        <v>4897</v>
      </c>
      <c r="V360" s="43">
        <v>359</v>
      </c>
    </row>
    <row r="361" spans="1:22" ht="15.75">
      <c r="A361" s="13" t="str">
        <f>IFERROR(VLOOKUP($E:$E,scan!$A:$B,2,0),"**")</f>
        <v>**</v>
      </c>
      <c r="B361" s="13" t="str">
        <f>IFERROR(VLOOKUP($E361,scan!A:C,3,0),"**")</f>
        <v>**</v>
      </c>
      <c r="C361" s="79">
        <v>360</v>
      </c>
      <c r="E361" s="58"/>
      <c r="G361" s="85" t="s">
        <v>4895</v>
      </c>
      <c r="H361" s="61">
        <v>0</v>
      </c>
      <c r="J361" s="43" t="e">
        <f>VLOOKUP(E361,Input!C:J,5,0)</f>
        <v>#N/A</v>
      </c>
      <c r="K361" s="43" t="e">
        <f>VLOOKUP(E361,Input!C:G,5,0)</f>
        <v>#N/A</v>
      </c>
      <c r="L361" s="82" t="str">
        <f>IFERROR(VLOOKUP($E:$E,Input!$C:$Q,12,0),"")</f>
        <v/>
      </c>
      <c r="M361" s="82" t="str">
        <f>IFERROR(VLOOKUP($E:$E,Input!$C:$Q,14,0),"")</f>
        <v/>
      </c>
      <c r="N361" s="82" t="str">
        <f>IFERROR(VLOOKUP($E:$E,Input!$C:$Q,15,0),"")</f>
        <v/>
      </c>
      <c r="P361" s="43" t="str">
        <f t="shared" si="8"/>
        <v>360,360,**</v>
      </c>
      <c r="Q361" s="43" t="s">
        <v>4896</v>
      </c>
      <c r="R361" s="43">
        <v>6042070338</v>
      </c>
      <c r="T361" s="90" t="s">
        <v>4897</v>
      </c>
      <c r="V361" s="43">
        <v>360</v>
      </c>
    </row>
    <row r="362" spans="1:22" ht="15.75">
      <c r="A362" s="13" t="str">
        <f>IFERROR(VLOOKUP($E:$E,scan!$A:$B,2,0),"**")</f>
        <v>**</v>
      </c>
      <c r="B362" s="13" t="str">
        <f>IFERROR(VLOOKUP($E362,scan!A:C,3,0),"**")</f>
        <v>**</v>
      </c>
      <c r="C362" s="79">
        <v>361</v>
      </c>
      <c r="E362" s="58"/>
      <c r="G362" s="85" t="s">
        <v>4895</v>
      </c>
      <c r="H362" s="61">
        <v>0</v>
      </c>
      <c r="J362" s="43" t="e">
        <f>VLOOKUP(E362,Input!C:J,5,0)</f>
        <v>#N/A</v>
      </c>
      <c r="K362" s="43" t="e">
        <f>VLOOKUP(E362,Input!C:G,5,0)</f>
        <v>#N/A</v>
      </c>
      <c r="L362" s="82" t="str">
        <f>IFERROR(VLOOKUP($E:$E,Input!$C:$Q,12,0),"")</f>
        <v/>
      </c>
      <c r="M362" s="82" t="str">
        <f>IFERROR(VLOOKUP($E:$E,Input!$C:$Q,14,0),"")</f>
        <v/>
      </c>
      <c r="N362" s="82" t="str">
        <f>IFERROR(VLOOKUP($E:$E,Input!$C:$Q,15,0),"")</f>
        <v/>
      </c>
      <c r="P362" s="43" t="str">
        <f t="shared" si="8"/>
        <v>361,361,**</v>
      </c>
      <c r="Q362" s="43" t="s">
        <v>4896</v>
      </c>
      <c r="R362" s="43">
        <v>6042070338</v>
      </c>
      <c r="T362" s="90" t="s">
        <v>4897</v>
      </c>
      <c r="V362" s="43">
        <v>361</v>
      </c>
    </row>
    <row r="363" spans="1:22" ht="15.75">
      <c r="A363" s="13" t="str">
        <f>IFERROR(VLOOKUP($E:$E,scan!$A:$B,2,0),"**")</f>
        <v>**</v>
      </c>
      <c r="B363" s="13" t="str">
        <f>IFERROR(VLOOKUP($E363,scan!A:C,3,0),"**")</f>
        <v>**</v>
      </c>
      <c r="C363" s="79">
        <v>362</v>
      </c>
      <c r="E363" s="58"/>
      <c r="G363" s="85" t="s">
        <v>4895</v>
      </c>
      <c r="H363" s="61">
        <v>0</v>
      </c>
      <c r="J363" s="43" t="e">
        <f>VLOOKUP(E363,Input!C:J,5,0)</f>
        <v>#N/A</v>
      </c>
      <c r="K363" s="43" t="e">
        <f>VLOOKUP(E363,Input!C:G,5,0)</f>
        <v>#N/A</v>
      </c>
      <c r="L363" s="82" t="str">
        <f>IFERROR(VLOOKUP($E:$E,Input!$C:$Q,12,0),"")</f>
        <v/>
      </c>
      <c r="M363" s="82" t="str">
        <f>IFERROR(VLOOKUP($E:$E,Input!$C:$Q,14,0),"")</f>
        <v/>
      </c>
      <c r="N363" s="82" t="str">
        <f>IFERROR(VLOOKUP($E:$E,Input!$C:$Q,15,0),"")</f>
        <v/>
      </c>
      <c r="P363" s="43" t="str">
        <f t="shared" si="8"/>
        <v>362,362,**</v>
      </c>
      <c r="Q363" s="43" t="s">
        <v>4896</v>
      </c>
      <c r="R363" s="43">
        <v>6042070338</v>
      </c>
      <c r="T363" s="90" t="s">
        <v>4897</v>
      </c>
      <c r="V363" s="43">
        <v>362</v>
      </c>
    </row>
    <row r="364" spans="1:22" ht="15.75">
      <c r="A364" s="13" t="str">
        <f>IFERROR(VLOOKUP($E:$E,scan!$A:$B,2,0),"**")</f>
        <v>**</v>
      </c>
      <c r="B364" s="13" t="str">
        <f>IFERROR(VLOOKUP($E364,scan!A:C,3,0),"**")</f>
        <v>**</v>
      </c>
      <c r="C364" s="79">
        <v>363</v>
      </c>
      <c r="E364" s="58"/>
      <c r="G364" s="85" t="s">
        <v>4895</v>
      </c>
      <c r="H364" s="61">
        <v>0</v>
      </c>
      <c r="J364" s="43" t="e">
        <f>VLOOKUP(E364,Input!C:J,5,0)</f>
        <v>#N/A</v>
      </c>
      <c r="K364" s="43" t="e">
        <f>VLOOKUP(E364,Input!C:G,5,0)</f>
        <v>#N/A</v>
      </c>
      <c r="L364" s="82" t="str">
        <f>IFERROR(VLOOKUP($E:$E,Input!$C:$Q,12,0),"")</f>
        <v/>
      </c>
      <c r="M364" s="82" t="str">
        <f>IFERROR(VLOOKUP($E:$E,Input!$C:$Q,14,0),"")</f>
        <v/>
      </c>
      <c r="N364" s="82" t="str">
        <f>IFERROR(VLOOKUP($E:$E,Input!$C:$Q,15,0),"")</f>
        <v/>
      </c>
      <c r="P364" s="43" t="str">
        <f t="shared" si="8"/>
        <v>363,363,**</v>
      </c>
      <c r="Q364" s="43" t="s">
        <v>4896</v>
      </c>
      <c r="R364" s="43">
        <v>6042070338</v>
      </c>
      <c r="T364" s="90" t="s">
        <v>4897</v>
      </c>
      <c r="V364" s="43">
        <v>363</v>
      </c>
    </row>
    <row r="365" spans="1:22" ht="15.75">
      <c r="A365" s="13" t="str">
        <f>IFERROR(VLOOKUP($E:$E,scan!$A:$B,2,0),"**")</f>
        <v>**</v>
      </c>
      <c r="B365" s="13" t="str">
        <f>IFERROR(VLOOKUP($E365,scan!A:C,3,0),"**")</f>
        <v>**</v>
      </c>
      <c r="C365" s="79">
        <v>364</v>
      </c>
      <c r="E365" s="58"/>
      <c r="G365" s="85" t="s">
        <v>4895</v>
      </c>
      <c r="H365" s="61">
        <v>0</v>
      </c>
      <c r="J365" s="43" t="e">
        <f>VLOOKUP(E365,Input!C:J,5,0)</f>
        <v>#N/A</v>
      </c>
      <c r="K365" s="43" t="e">
        <f>VLOOKUP(E365,Input!C:G,5,0)</f>
        <v>#N/A</v>
      </c>
      <c r="L365" s="82" t="str">
        <f>IFERROR(VLOOKUP($E:$E,Input!$C:$Q,12,0),"")</f>
        <v/>
      </c>
      <c r="M365" s="82" t="str">
        <f>IFERROR(VLOOKUP($E:$E,Input!$C:$Q,14,0),"")</f>
        <v/>
      </c>
      <c r="N365" s="82" t="str">
        <f>IFERROR(VLOOKUP($E:$E,Input!$C:$Q,15,0),"")</f>
        <v/>
      </c>
      <c r="P365" s="43" t="str">
        <f t="shared" si="8"/>
        <v>364,364,**</v>
      </c>
      <c r="Q365" s="43" t="s">
        <v>4896</v>
      </c>
      <c r="R365" s="43">
        <v>6042070338</v>
      </c>
      <c r="T365" s="90" t="s">
        <v>4897</v>
      </c>
      <c r="V365" s="43">
        <v>364</v>
      </c>
    </row>
    <row r="366" spans="1:22" ht="15.75">
      <c r="A366" s="13" t="str">
        <f>IFERROR(VLOOKUP($E:$E,scan!$A:$B,2,0),"**")</f>
        <v>**</v>
      </c>
      <c r="B366" s="13" t="str">
        <f>IFERROR(VLOOKUP($E366,scan!A:C,3,0),"**")</f>
        <v>**</v>
      </c>
      <c r="C366" s="79">
        <v>365</v>
      </c>
      <c r="E366" s="58"/>
      <c r="G366" s="85" t="s">
        <v>4895</v>
      </c>
      <c r="H366" s="61">
        <v>0</v>
      </c>
      <c r="J366" s="43" t="e">
        <f>VLOOKUP(E366,Input!C:J,5,0)</f>
        <v>#N/A</v>
      </c>
      <c r="K366" s="43" t="e">
        <f>VLOOKUP(E366,Input!C:G,5,0)</f>
        <v>#N/A</v>
      </c>
      <c r="L366" s="82" t="str">
        <f>IFERROR(VLOOKUP($E:$E,Input!$C:$Q,12,0),"")</f>
        <v/>
      </c>
      <c r="M366" s="82" t="str">
        <f>IFERROR(VLOOKUP($E:$E,Input!$C:$Q,14,0),"")</f>
        <v/>
      </c>
      <c r="N366" s="82" t="str">
        <f>IFERROR(VLOOKUP($E:$E,Input!$C:$Q,15,0),"")</f>
        <v/>
      </c>
      <c r="P366" s="43" t="str">
        <f t="shared" si="8"/>
        <v>365,365,**</v>
      </c>
      <c r="Q366" s="43" t="s">
        <v>4896</v>
      </c>
      <c r="R366" s="43">
        <v>6042070338</v>
      </c>
      <c r="T366" s="90" t="s">
        <v>4897</v>
      </c>
      <c r="V366" s="43">
        <v>365</v>
      </c>
    </row>
    <row r="367" spans="1:22" ht="15.75">
      <c r="A367" s="13" t="str">
        <f>IFERROR(VLOOKUP($E:$E,scan!$A:$B,2,0),"**")</f>
        <v>**</v>
      </c>
      <c r="B367" s="13" t="str">
        <f>IFERROR(VLOOKUP($E367,scan!A:C,3,0),"**")</f>
        <v>**</v>
      </c>
      <c r="C367" s="79">
        <v>366</v>
      </c>
      <c r="E367" s="58"/>
      <c r="G367" s="85" t="s">
        <v>4895</v>
      </c>
      <c r="H367" s="61">
        <v>0</v>
      </c>
      <c r="J367" s="43" t="e">
        <f>VLOOKUP(E367,Input!C:J,5,0)</f>
        <v>#N/A</v>
      </c>
      <c r="K367" s="43" t="e">
        <f>VLOOKUP(E367,Input!C:G,5,0)</f>
        <v>#N/A</v>
      </c>
      <c r="L367" s="82" t="str">
        <f>IFERROR(VLOOKUP($E:$E,Input!$C:$Q,12,0),"")</f>
        <v/>
      </c>
      <c r="M367" s="82" t="str">
        <f>IFERROR(VLOOKUP($E:$E,Input!$C:$Q,14,0),"")</f>
        <v/>
      </c>
      <c r="N367" s="82" t="str">
        <f>IFERROR(VLOOKUP($E:$E,Input!$C:$Q,15,0),"")</f>
        <v/>
      </c>
      <c r="P367" s="43" t="str">
        <f t="shared" si="8"/>
        <v>366,366,**</v>
      </c>
      <c r="Q367" s="43" t="s">
        <v>4896</v>
      </c>
      <c r="R367" s="43">
        <v>6042070338</v>
      </c>
      <c r="T367" s="90" t="s">
        <v>4897</v>
      </c>
      <c r="V367" s="43">
        <v>366</v>
      </c>
    </row>
    <row r="368" spans="1:22" ht="15.75">
      <c r="A368" s="13" t="str">
        <f>IFERROR(VLOOKUP($E:$E,scan!$A:$B,2,0),"**")</f>
        <v>**</v>
      </c>
      <c r="B368" s="13" t="str">
        <f>IFERROR(VLOOKUP($E368,scan!A:C,3,0),"**")</f>
        <v>**</v>
      </c>
      <c r="C368" s="79">
        <v>367</v>
      </c>
      <c r="E368" s="58"/>
      <c r="G368" s="85" t="s">
        <v>4895</v>
      </c>
      <c r="H368" s="61">
        <v>0</v>
      </c>
      <c r="J368" s="43" t="e">
        <f>VLOOKUP(E368,Input!C:J,5,0)</f>
        <v>#N/A</v>
      </c>
      <c r="K368" s="43" t="e">
        <f>VLOOKUP(E368,Input!C:G,5,0)</f>
        <v>#N/A</v>
      </c>
      <c r="L368" s="82" t="str">
        <f>IFERROR(VLOOKUP($E:$E,Input!$C:$Q,12,0),"")</f>
        <v/>
      </c>
      <c r="M368" s="82" t="str">
        <f>IFERROR(VLOOKUP($E:$E,Input!$C:$Q,14,0),"")</f>
        <v/>
      </c>
      <c r="N368" s="82" t="str">
        <f>IFERROR(VLOOKUP($E:$E,Input!$C:$Q,15,0),"")</f>
        <v/>
      </c>
      <c r="P368" s="43" t="str">
        <f t="shared" si="8"/>
        <v>367,367,**</v>
      </c>
      <c r="Q368" s="43" t="s">
        <v>4896</v>
      </c>
      <c r="R368" s="43">
        <v>6042070338</v>
      </c>
      <c r="T368" s="90" t="s">
        <v>4897</v>
      </c>
      <c r="V368" s="43">
        <v>367</v>
      </c>
    </row>
    <row r="369" spans="1:22" ht="15.75">
      <c r="A369" s="13" t="str">
        <f>IFERROR(VLOOKUP($E:$E,scan!$A:$B,2,0),"**")</f>
        <v>**</v>
      </c>
      <c r="B369" s="13" t="str">
        <f>IFERROR(VLOOKUP($E369,scan!A:C,3,0),"**")</f>
        <v>**</v>
      </c>
      <c r="C369" s="79">
        <v>368</v>
      </c>
      <c r="E369" s="58"/>
      <c r="G369" s="85" t="s">
        <v>4895</v>
      </c>
      <c r="H369" s="61">
        <v>0</v>
      </c>
      <c r="J369" s="43" t="e">
        <f>VLOOKUP(E369,Input!C:J,5,0)</f>
        <v>#N/A</v>
      </c>
      <c r="K369" s="43" t="e">
        <f>VLOOKUP(E369,Input!C:G,5,0)</f>
        <v>#N/A</v>
      </c>
      <c r="L369" s="82" t="str">
        <f>IFERROR(VLOOKUP($E:$E,Input!$C:$Q,12,0),"")</f>
        <v/>
      </c>
      <c r="M369" s="82" t="str">
        <f>IFERROR(VLOOKUP($E:$E,Input!$C:$Q,14,0),"")</f>
        <v/>
      </c>
      <c r="N369" s="82" t="str">
        <f>IFERROR(VLOOKUP($E:$E,Input!$C:$Q,15,0),"")</f>
        <v/>
      </c>
      <c r="P369" s="43" t="str">
        <f t="shared" si="8"/>
        <v>368,368,**</v>
      </c>
      <c r="Q369" s="43" t="s">
        <v>4896</v>
      </c>
      <c r="R369" s="43">
        <v>6042070338</v>
      </c>
      <c r="T369" s="90" t="s">
        <v>4897</v>
      </c>
      <c r="V369" s="43">
        <v>368</v>
      </c>
    </row>
    <row r="370" spans="1:22" ht="15.75">
      <c r="A370" s="13" t="str">
        <f>IFERROR(VLOOKUP($E:$E,scan!$A:$B,2,0),"**")</f>
        <v>**</v>
      </c>
      <c r="B370" s="13" t="str">
        <f>IFERROR(VLOOKUP($E370,scan!A:C,3,0),"**")</f>
        <v>**</v>
      </c>
      <c r="C370" s="79">
        <v>369</v>
      </c>
      <c r="E370" s="58"/>
      <c r="G370" s="85" t="s">
        <v>4895</v>
      </c>
      <c r="H370" s="61">
        <v>0</v>
      </c>
      <c r="J370" s="43" t="e">
        <f>VLOOKUP(E370,Input!C:J,5,0)</f>
        <v>#N/A</v>
      </c>
      <c r="K370" s="43" t="e">
        <f>VLOOKUP(E370,Input!C:G,5,0)</f>
        <v>#N/A</v>
      </c>
      <c r="L370" s="82" t="str">
        <f>IFERROR(VLOOKUP($E:$E,Input!$C:$Q,12,0),"")</f>
        <v/>
      </c>
      <c r="M370" s="82" t="str">
        <f>IFERROR(VLOOKUP($E:$E,Input!$C:$Q,14,0),"")</f>
        <v/>
      </c>
      <c r="N370" s="82" t="str">
        <f>IFERROR(VLOOKUP($E:$E,Input!$C:$Q,15,0),"")</f>
        <v/>
      </c>
      <c r="P370" s="43" t="str">
        <f t="shared" si="8"/>
        <v>369,369,**</v>
      </c>
      <c r="Q370" s="43" t="s">
        <v>4896</v>
      </c>
      <c r="R370" s="43">
        <v>6042070338</v>
      </c>
      <c r="T370" s="90" t="s">
        <v>4897</v>
      </c>
      <c r="V370" s="43">
        <v>369</v>
      </c>
    </row>
    <row r="371" spans="1:22" ht="15.75">
      <c r="A371" s="13" t="str">
        <f>IFERROR(VLOOKUP($E:$E,scan!$A:$B,2,0),"**")</f>
        <v>**</v>
      </c>
      <c r="B371" s="13" t="str">
        <f>IFERROR(VLOOKUP($E371,scan!A:C,3,0),"**")</f>
        <v>**</v>
      </c>
      <c r="C371" s="79">
        <v>370</v>
      </c>
      <c r="E371" s="58"/>
      <c r="G371" s="85" t="s">
        <v>4895</v>
      </c>
      <c r="H371" s="61">
        <v>0</v>
      </c>
      <c r="J371" s="43" t="e">
        <f>VLOOKUP(E371,Input!C:J,5,0)</f>
        <v>#N/A</v>
      </c>
      <c r="K371" s="43" t="e">
        <f>VLOOKUP(E371,Input!C:G,5,0)</f>
        <v>#N/A</v>
      </c>
      <c r="L371" s="82" t="str">
        <f>IFERROR(VLOOKUP($E:$E,Input!$C:$Q,12,0),"")</f>
        <v/>
      </c>
      <c r="M371" s="82" t="str">
        <f>IFERROR(VLOOKUP($E:$E,Input!$C:$Q,14,0),"")</f>
        <v/>
      </c>
      <c r="N371" s="82" t="str">
        <f>IFERROR(VLOOKUP($E:$E,Input!$C:$Q,15,0),"")</f>
        <v/>
      </c>
      <c r="P371" s="43" t="str">
        <f t="shared" si="8"/>
        <v>370,370,**</v>
      </c>
      <c r="Q371" s="43" t="s">
        <v>4896</v>
      </c>
      <c r="R371" s="43">
        <v>6042070338</v>
      </c>
      <c r="T371" s="90" t="s">
        <v>4897</v>
      </c>
      <c r="V371" s="43">
        <v>370</v>
      </c>
    </row>
    <row r="372" spans="1:22" ht="15.75">
      <c r="A372" s="13" t="str">
        <f>IFERROR(VLOOKUP($E:$E,scan!$A:$B,2,0),"**")</f>
        <v>**</v>
      </c>
      <c r="B372" s="13" t="str">
        <f>IFERROR(VLOOKUP($E372,scan!A:C,3,0),"**")</f>
        <v>**</v>
      </c>
      <c r="C372" s="79">
        <v>371</v>
      </c>
      <c r="E372" s="58"/>
      <c r="G372" s="85" t="s">
        <v>4895</v>
      </c>
      <c r="H372" s="61">
        <v>0</v>
      </c>
      <c r="J372" s="43" t="e">
        <f>VLOOKUP(E372,Input!C:J,5,0)</f>
        <v>#N/A</v>
      </c>
      <c r="K372" s="43" t="e">
        <f>VLOOKUP(E372,Input!C:G,5,0)</f>
        <v>#N/A</v>
      </c>
      <c r="L372" s="82" t="str">
        <f>IFERROR(VLOOKUP($E:$E,Input!$C:$Q,12,0),"")</f>
        <v/>
      </c>
      <c r="M372" s="82" t="str">
        <f>IFERROR(VLOOKUP($E:$E,Input!$C:$Q,14,0),"")</f>
        <v/>
      </c>
      <c r="N372" s="82" t="str">
        <f>IFERROR(VLOOKUP($E:$E,Input!$C:$Q,15,0),"")</f>
        <v/>
      </c>
      <c r="P372" s="43" t="str">
        <f t="shared" si="8"/>
        <v>371,371,**</v>
      </c>
      <c r="Q372" s="43" t="s">
        <v>4896</v>
      </c>
      <c r="R372" s="43">
        <v>6042070338</v>
      </c>
      <c r="T372" s="90" t="s">
        <v>4897</v>
      </c>
      <c r="V372" s="43">
        <v>371</v>
      </c>
    </row>
    <row r="373" spans="1:22" ht="15.75">
      <c r="A373" s="13" t="str">
        <f>IFERROR(VLOOKUP($E:$E,scan!$A:$B,2,0),"**")</f>
        <v>**</v>
      </c>
      <c r="B373" s="13" t="str">
        <f>IFERROR(VLOOKUP($E373,scan!A:C,3,0),"**")</f>
        <v>**</v>
      </c>
      <c r="C373" s="79">
        <v>372</v>
      </c>
      <c r="E373" s="58"/>
      <c r="G373" s="85" t="s">
        <v>4895</v>
      </c>
      <c r="H373" s="61">
        <v>0</v>
      </c>
      <c r="J373" s="43" t="e">
        <f>VLOOKUP(E373,Input!C:J,5,0)</f>
        <v>#N/A</v>
      </c>
      <c r="K373" s="43" t="e">
        <f>VLOOKUP(E373,Input!C:G,5,0)</f>
        <v>#N/A</v>
      </c>
      <c r="L373" s="82" t="str">
        <f>IFERROR(VLOOKUP($E:$E,Input!$C:$Q,12,0),"")</f>
        <v/>
      </c>
      <c r="M373" s="82" t="str">
        <f>IFERROR(VLOOKUP($E:$E,Input!$C:$Q,14,0),"")</f>
        <v/>
      </c>
      <c r="N373" s="82" t="str">
        <f>IFERROR(VLOOKUP($E:$E,Input!$C:$Q,15,0),"")</f>
        <v/>
      </c>
      <c r="P373" s="43" t="str">
        <f t="shared" si="8"/>
        <v>372,372,**</v>
      </c>
      <c r="Q373" s="43" t="s">
        <v>4896</v>
      </c>
      <c r="R373" s="43">
        <v>6042070338</v>
      </c>
      <c r="T373" s="90" t="s">
        <v>4897</v>
      </c>
      <c r="V373" s="43">
        <v>372</v>
      </c>
    </row>
    <row r="374" spans="1:22" ht="15.75">
      <c r="A374" s="13" t="str">
        <f>IFERROR(VLOOKUP($E:$E,scan!$A:$B,2,0),"**")</f>
        <v>**</v>
      </c>
      <c r="B374" s="13" t="str">
        <f>IFERROR(VLOOKUP($E374,scan!A:C,3,0),"**")</f>
        <v>**</v>
      </c>
      <c r="C374" s="79">
        <v>373</v>
      </c>
      <c r="E374" s="58"/>
      <c r="G374" s="85" t="s">
        <v>4895</v>
      </c>
      <c r="H374" s="61">
        <v>0</v>
      </c>
      <c r="J374" s="43" t="e">
        <f>VLOOKUP(E374,Input!C:J,5,0)</f>
        <v>#N/A</v>
      </c>
      <c r="K374" s="43" t="e">
        <f>VLOOKUP(E374,Input!C:G,5,0)</f>
        <v>#N/A</v>
      </c>
      <c r="L374" s="82" t="str">
        <f>IFERROR(VLOOKUP($E:$E,Input!$C:$Q,12,0),"")</f>
        <v/>
      </c>
      <c r="M374" s="82" t="str">
        <f>IFERROR(VLOOKUP($E:$E,Input!$C:$Q,14,0),"")</f>
        <v/>
      </c>
      <c r="N374" s="82" t="str">
        <f>IFERROR(VLOOKUP($E:$E,Input!$C:$Q,15,0),"")</f>
        <v/>
      </c>
      <c r="P374" s="43" t="str">
        <f t="shared" si="8"/>
        <v>373,373,**</v>
      </c>
      <c r="Q374" s="43" t="s">
        <v>4896</v>
      </c>
      <c r="R374" s="43">
        <v>6042070338</v>
      </c>
      <c r="T374" s="90" t="s">
        <v>4897</v>
      </c>
      <c r="V374" s="43">
        <v>373</v>
      </c>
    </row>
    <row r="375" spans="1:22" ht="15.75">
      <c r="A375" s="13" t="str">
        <f>IFERROR(VLOOKUP($E:$E,scan!$A:$B,2,0),"**")</f>
        <v>**</v>
      </c>
      <c r="B375" s="13" t="str">
        <f>IFERROR(VLOOKUP($E375,scan!A:C,3,0),"**")</f>
        <v>**</v>
      </c>
      <c r="C375" s="79">
        <v>374</v>
      </c>
      <c r="E375" s="58"/>
      <c r="G375" s="85" t="s">
        <v>4895</v>
      </c>
      <c r="H375" s="61">
        <v>0</v>
      </c>
      <c r="J375" s="43" t="e">
        <f>VLOOKUP(E375,Input!C:J,5,0)</f>
        <v>#N/A</v>
      </c>
      <c r="K375" s="43" t="e">
        <f>VLOOKUP(E375,Input!C:G,5,0)</f>
        <v>#N/A</v>
      </c>
      <c r="L375" s="82" t="str">
        <f>IFERROR(VLOOKUP($E:$E,Input!$C:$Q,12,0),"")</f>
        <v/>
      </c>
      <c r="M375" s="82" t="str">
        <f>IFERROR(VLOOKUP($E:$E,Input!$C:$Q,14,0),"")</f>
        <v/>
      </c>
      <c r="N375" s="82" t="str">
        <f>IFERROR(VLOOKUP($E:$E,Input!$C:$Q,15,0),"")</f>
        <v/>
      </c>
      <c r="P375" s="43" t="str">
        <f t="shared" si="8"/>
        <v>374,374,**</v>
      </c>
      <c r="Q375" s="43" t="s">
        <v>4896</v>
      </c>
      <c r="R375" s="43">
        <v>6042070338</v>
      </c>
      <c r="T375" s="90" t="s">
        <v>4897</v>
      </c>
      <c r="V375" s="43">
        <v>374</v>
      </c>
    </row>
    <row r="376" spans="1:22" ht="15.75">
      <c r="A376" s="13" t="str">
        <f>IFERROR(VLOOKUP($E:$E,scan!$A:$B,2,0),"**")</f>
        <v>**</v>
      </c>
      <c r="B376" s="13" t="str">
        <f>IFERROR(VLOOKUP($E376,scan!A:C,3,0),"**")</f>
        <v>**</v>
      </c>
      <c r="C376" s="79">
        <v>375</v>
      </c>
      <c r="E376" s="58"/>
      <c r="G376" s="85" t="s">
        <v>4895</v>
      </c>
      <c r="H376" s="61">
        <v>0</v>
      </c>
      <c r="J376" s="43" t="e">
        <f>VLOOKUP(E376,Input!C:J,5,0)</f>
        <v>#N/A</v>
      </c>
      <c r="K376" s="43" t="e">
        <f>VLOOKUP(E376,Input!C:G,5,0)</f>
        <v>#N/A</v>
      </c>
      <c r="L376" s="82" t="str">
        <f>IFERROR(VLOOKUP($E:$E,Input!$C:$Q,12,0),"")</f>
        <v/>
      </c>
      <c r="M376" s="82" t="str">
        <f>IFERROR(VLOOKUP($E:$E,Input!$C:$Q,14,0),"")</f>
        <v/>
      </c>
      <c r="N376" s="82" t="str">
        <f>IFERROR(VLOOKUP($E:$E,Input!$C:$Q,15,0),"")</f>
        <v/>
      </c>
      <c r="P376" s="43" t="str">
        <f t="shared" si="8"/>
        <v>375,375,**</v>
      </c>
      <c r="Q376" s="43" t="s">
        <v>4896</v>
      </c>
      <c r="R376" s="43">
        <v>6042070338</v>
      </c>
      <c r="T376" s="90" t="s">
        <v>4897</v>
      </c>
      <c r="V376" s="43">
        <v>375</v>
      </c>
    </row>
    <row r="377" spans="1:22" ht="15.75">
      <c r="A377" s="13" t="str">
        <f>IFERROR(VLOOKUP($E:$E,scan!$A:$B,2,0),"**")</f>
        <v>**</v>
      </c>
      <c r="B377" s="13" t="str">
        <f>IFERROR(VLOOKUP($E377,scan!A:C,3,0),"**")</f>
        <v>**</v>
      </c>
      <c r="C377" s="79">
        <v>376</v>
      </c>
      <c r="E377" s="58"/>
      <c r="G377" s="85" t="s">
        <v>4895</v>
      </c>
      <c r="H377" s="61">
        <v>0</v>
      </c>
      <c r="J377" s="43" t="e">
        <f>VLOOKUP(E377,Input!C:J,5,0)</f>
        <v>#N/A</v>
      </c>
      <c r="K377" s="43" t="e">
        <f>VLOOKUP(E377,Input!C:G,5,0)</f>
        <v>#N/A</v>
      </c>
      <c r="L377" s="82" t="str">
        <f>IFERROR(VLOOKUP($E:$E,Input!$C:$Q,12,0),"")</f>
        <v/>
      </c>
      <c r="M377" s="82" t="str">
        <f>IFERROR(VLOOKUP($E:$E,Input!$C:$Q,14,0),"")</f>
        <v/>
      </c>
      <c r="N377" s="82" t="str">
        <f>IFERROR(VLOOKUP($E:$E,Input!$C:$Q,15,0),"")</f>
        <v/>
      </c>
      <c r="P377" s="43" t="str">
        <f t="shared" si="8"/>
        <v>376,376,**</v>
      </c>
      <c r="Q377" s="43" t="s">
        <v>4896</v>
      </c>
      <c r="R377" s="43">
        <v>6042070338</v>
      </c>
      <c r="T377" s="90" t="s">
        <v>4897</v>
      </c>
      <c r="V377" s="43">
        <v>376</v>
      </c>
    </row>
    <row r="378" spans="1:22" ht="15.75">
      <c r="A378" s="13" t="str">
        <f>IFERROR(VLOOKUP($E:$E,scan!$A:$B,2,0),"**")</f>
        <v>**</v>
      </c>
      <c r="B378" s="13" t="str">
        <f>IFERROR(VLOOKUP($E378,scan!A:C,3,0),"**")</f>
        <v>**</v>
      </c>
      <c r="C378" s="79">
        <v>377</v>
      </c>
      <c r="E378" s="61"/>
      <c r="G378" s="85" t="s">
        <v>4895</v>
      </c>
      <c r="H378" s="61">
        <v>0</v>
      </c>
      <c r="J378" s="43" t="e">
        <f>VLOOKUP(E378,Input!C:J,5,0)</f>
        <v>#N/A</v>
      </c>
      <c r="K378" s="43" t="e">
        <f>VLOOKUP(E378,Input!C:G,5,0)</f>
        <v>#N/A</v>
      </c>
      <c r="L378" s="82" t="str">
        <f>IFERROR(VLOOKUP($E:$E,Input!$C:$Q,12,0),"")</f>
        <v/>
      </c>
      <c r="M378" s="82" t="str">
        <f>IFERROR(VLOOKUP($E:$E,Input!$C:$Q,14,0),"")</f>
        <v/>
      </c>
      <c r="N378" s="82" t="str">
        <f>IFERROR(VLOOKUP($E:$E,Input!$C:$Q,15,0),"")</f>
        <v/>
      </c>
      <c r="P378" s="43" t="str">
        <f t="shared" si="8"/>
        <v>377,377,**</v>
      </c>
      <c r="Q378" s="43" t="s">
        <v>4896</v>
      </c>
      <c r="R378" s="43">
        <v>6042070338</v>
      </c>
      <c r="T378" s="90" t="s">
        <v>4897</v>
      </c>
      <c r="V378" s="43">
        <v>377</v>
      </c>
    </row>
    <row r="379" spans="1:22" ht="15.75">
      <c r="A379" s="13" t="str">
        <f>IFERROR(VLOOKUP($E:$E,scan!$A:$B,2,0),"**")</f>
        <v>**</v>
      </c>
      <c r="B379" s="13" t="str">
        <f>IFERROR(VLOOKUP($E379,scan!A:C,3,0),"**")</f>
        <v>**</v>
      </c>
      <c r="C379" s="79">
        <v>378</v>
      </c>
      <c r="E379" s="58"/>
      <c r="G379" s="85" t="s">
        <v>4895</v>
      </c>
      <c r="H379" s="61">
        <v>0</v>
      </c>
      <c r="J379" s="43" t="e">
        <f>VLOOKUP(E379,Input!C:J,5,0)</f>
        <v>#N/A</v>
      </c>
      <c r="K379" s="43" t="e">
        <f>VLOOKUP(E379,Input!C:G,5,0)</f>
        <v>#N/A</v>
      </c>
      <c r="L379" s="82" t="str">
        <f>IFERROR(VLOOKUP($E:$E,Input!$C:$Q,12,0),"")</f>
        <v/>
      </c>
      <c r="M379" s="82" t="str">
        <f>IFERROR(VLOOKUP($E:$E,Input!$C:$Q,14,0),"")</f>
        <v/>
      </c>
      <c r="N379" s="82" t="str">
        <f>IFERROR(VLOOKUP($E:$E,Input!$C:$Q,15,0),"")</f>
        <v/>
      </c>
      <c r="P379" s="43" t="str">
        <f t="shared" si="8"/>
        <v>378,378,**</v>
      </c>
      <c r="Q379" s="43" t="s">
        <v>4896</v>
      </c>
      <c r="R379" s="43">
        <v>6042070338</v>
      </c>
      <c r="T379" s="90" t="s">
        <v>4897</v>
      </c>
      <c r="V379" s="43">
        <v>378</v>
      </c>
    </row>
    <row r="380" spans="1:22" ht="15.75">
      <c r="A380" s="13" t="str">
        <f>IFERROR(VLOOKUP($E:$E,scan!$A:$B,2,0),"**")</f>
        <v>**</v>
      </c>
      <c r="B380" s="13" t="str">
        <f>IFERROR(VLOOKUP($E380,scan!A:C,3,0),"**")</f>
        <v>**</v>
      </c>
      <c r="C380" s="79">
        <v>379</v>
      </c>
      <c r="E380" s="58"/>
      <c r="G380" s="85" t="s">
        <v>4895</v>
      </c>
      <c r="H380" s="61">
        <v>0</v>
      </c>
      <c r="J380" s="43" t="e">
        <f>VLOOKUP(E380,Input!C:J,5,0)</f>
        <v>#N/A</v>
      </c>
      <c r="K380" s="43" t="e">
        <f>VLOOKUP(E380,Input!C:G,5,0)</f>
        <v>#N/A</v>
      </c>
      <c r="L380" s="82" t="str">
        <f>IFERROR(VLOOKUP($E:$E,Input!$C:$Q,12,0),"")</f>
        <v/>
      </c>
      <c r="M380" s="82" t="str">
        <f>IFERROR(VLOOKUP($E:$E,Input!$C:$Q,14,0),"")</f>
        <v/>
      </c>
      <c r="N380" s="82" t="str">
        <f>IFERROR(VLOOKUP($E:$E,Input!$C:$Q,15,0),"")</f>
        <v/>
      </c>
      <c r="P380" s="43" t="str">
        <f t="shared" si="8"/>
        <v>379,379,**</v>
      </c>
      <c r="Q380" s="43" t="s">
        <v>4896</v>
      </c>
      <c r="R380" s="43">
        <v>6042070338</v>
      </c>
      <c r="T380" s="90" t="s">
        <v>4897</v>
      </c>
      <c r="V380" s="43">
        <v>379</v>
      </c>
    </row>
    <row r="381" spans="1:22" ht="15.75">
      <c r="A381" s="13" t="str">
        <f>IFERROR(VLOOKUP($E:$E,scan!$A:$B,2,0),"**")</f>
        <v>**</v>
      </c>
      <c r="B381" s="13" t="str">
        <f>IFERROR(VLOOKUP($E381,scan!A:C,3,0),"**")</f>
        <v>**</v>
      </c>
      <c r="C381" s="79">
        <v>380</v>
      </c>
      <c r="E381" s="58"/>
      <c r="G381" s="85" t="s">
        <v>4895</v>
      </c>
      <c r="H381" s="61">
        <v>0</v>
      </c>
      <c r="J381" s="43" t="e">
        <f>VLOOKUP(E381,Input!C:J,5,0)</f>
        <v>#N/A</v>
      </c>
      <c r="K381" s="43" t="e">
        <f>VLOOKUP(E381,Input!C:G,5,0)</f>
        <v>#N/A</v>
      </c>
      <c r="L381" s="82" t="str">
        <f>IFERROR(VLOOKUP($E:$E,Input!$C:$Q,12,0),"")</f>
        <v/>
      </c>
      <c r="M381" s="82" t="str">
        <f>IFERROR(VLOOKUP($E:$E,Input!$C:$Q,14,0),"")</f>
        <v/>
      </c>
      <c r="N381" s="82" t="str">
        <f>IFERROR(VLOOKUP($E:$E,Input!$C:$Q,15,0),"")</f>
        <v/>
      </c>
      <c r="P381" s="43" t="str">
        <f t="shared" si="8"/>
        <v>380,380,**</v>
      </c>
      <c r="Q381" s="43" t="s">
        <v>4896</v>
      </c>
      <c r="R381" s="43">
        <v>6042070338</v>
      </c>
      <c r="T381" s="90" t="s">
        <v>4897</v>
      </c>
      <c r="V381" s="43">
        <v>380</v>
      </c>
    </row>
    <row r="382" spans="1:22" ht="15.75">
      <c r="A382" s="13" t="str">
        <f>IFERROR(VLOOKUP($E:$E,scan!$A:$B,2,0),"**")</f>
        <v>**</v>
      </c>
      <c r="B382" s="13" t="str">
        <f>IFERROR(VLOOKUP($E382,scan!A:C,3,0),"**")</f>
        <v>**</v>
      </c>
      <c r="C382" s="79">
        <v>381</v>
      </c>
      <c r="E382" s="58"/>
      <c r="G382" s="85" t="s">
        <v>4895</v>
      </c>
      <c r="H382" s="61">
        <v>0</v>
      </c>
      <c r="J382" s="43" t="e">
        <f>VLOOKUP(E382,Input!C:J,5,0)</f>
        <v>#N/A</v>
      </c>
      <c r="K382" s="43" t="e">
        <f>VLOOKUP(E382,Input!C:G,5,0)</f>
        <v>#N/A</v>
      </c>
      <c r="L382" s="82" t="str">
        <f>IFERROR(VLOOKUP($E:$E,Input!$C:$Q,12,0),"")</f>
        <v/>
      </c>
      <c r="M382" s="82" t="str">
        <f>IFERROR(VLOOKUP($E:$E,Input!$C:$Q,14,0),"")</f>
        <v/>
      </c>
      <c r="N382" s="82" t="str">
        <f>IFERROR(VLOOKUP($E:$E,Input!$C:$Q,15,0),"")</f>
        <v/>
      </c>
      <c r="P382" s="43" t="str">
        <f t="shared" si="8"/>
        <v>381,381,**</v>
      </c>
      <c r="Q382" s="43" t="s">
        <v>4896</v>
      </c>
      <c r="R382" s="43">
        <v>6042070338</v>
      </c>
      <c r="T382" s="90" t="s">
        <v>4897</v>
      </c>
      <c r="V382" s="43">
        <v>381</v>
      </c>
    </row>
    <row r="383" spans="1:22" ht="15.75">
      <c r="A383" s="13" t="str">
        <f>IFERROR(VLOOKUP($E:$E,scan!$A:$B,2,0),"**")</f>
        <v>**</v>
      </c>
      <c r="B383" s="13" t="str">
        <f>IFERROR(VLOOKUP($E383,scan!A:C,3,0),"**")</f>
        <v>**</v>
      </c>
      <c r="C383" s="79">
        <v>382</v>
      </c>
      <c r="E383" s="58"/>
      <c r="G383" s="85" t="s">
        <v>4895</v>
      </c>
      <c r="H383" s="61">
        <v>0</v>
      </c>
      <c r="J383" s="43" t="e">
        <f>VLOOKUP(E383,Input!C:J,5,0)</f>
        <v>#N/A</v>
      </c>
      <c r="K383" s="43" t="e">
        <f>VLOOKUP(E383,Input!C:G,5,0)</f>
        <v>#N/A</v>
      </c>
      <c r="L383" s="82" t="str">
        <f>IFERROR(VLOOKUP($E:$E,Input!$C:$Q,12,0),"")</f>
        <v/>
      </c>
      <c r="M383" s="82" t="str">
        <f>IFERROR(VLOOKUP($E:$E,Input!$C:$Q,14,0),"")</f>
        <v/>
      </c>
      <c r="N383" s="82" t="str">
        <f>IFERROR(VLOOKUP($E:$E,Input!$C:$Q,15,0),"")</f>
        <v/>
      </c>
      <c r="P383" s="43" t="str">
        <f t="shared" si="8"/>
        <v>382,382,**</v>
      </c>
      <c r="Q383" s="43" t="s">
        <v>4896</v>
      </c>
      <c r="R383" s="43">
        <v>6042070338</v>
      </c>
      <c r="T383" s="90" t="s">
        <v>4897</v>
      </c>
      <c r="V383" s="43">
        <v>382</v>
      </c>
    </row>
    <row r="384" spans="1:22" ht="15.75">
      <c r="A384" s="13" t="str">
        <f>IFERROR(VLOOKUP($E:$E,scan!$A:$B,2,0),"**")</f>
        <v>**</v>
      </c>
      <c r="B384" s="13" t="str">
        <f>IFERROR(VLOOKUP($E384,scan!A:C,3,0),"**")</f>
        <v>**</v>
      </c>
      <c r="C384" s="79">
        <v>383</v>
      </c>
      <c r="E384" s="58"/>
      <c r="G384" s="85" t="s">
        <v>4895</v>
      </c>
      <c r="H384" s="61">
        <v>0</v>
      </c>
      <c r="J384" s="43" t="e">
        <f>VLOOKUP(E384,Input!C:J,5,0)</f>
        <v>#N/A</v>
      </c>
      <c r="K384" s="43" t="e">
        <f>VLOOKUP(E384,Input!C:G,5,0)</f>
        <v>#N/A</v>
      </c>
      <c r="L384" s="82" t="str">
        <f>IFERROR(VLOOKUP($E:$E,Input!$C:$Q,12,0),"")</f>
        <v/>
      </c>
      <c r="M384" s="82" t="str">
        <f>IFERROR(VLOOKUP($E:$E,Input!$C:$Q,14,0),"")</f>
        <v/>
      </c>
      <c r="N384" s="82" t="str">
        <f>IFERROR(VLOOKUP($E:$E,Input!$C:$Q,15,0),"")</f>
        <v/>
      </c>
      <c r="P384" s="43" t="str">
        <f t="shared" si="8"/>
        <v>383,383,**</v>
      </c>
      <c r="Q384" s="43" t="s">
        <v>4896</v>
      </c>
      <c r="R384" s="43">
        <v>6042070338</v>
      </c>
      <c r="T384" s="90" t="s">
        <v>4897</v>
      </c>
      <c r="V384" s="43">
        <v>383</v>
      </c>
    </row>
    <row r="385" spans="1:22" ht="15.75">
      <c r="A385" s="13" t="str">
        <f>IFERROR(VLOOKUP($E:$E,scan!$A:$B,2,0),"**")</f>
        <v>**</v>
      </c>
      <c r="B385" s="13" t="str">
        <f>IFERROR(VLOOKUP($E385,scan!A:C,3,0),"**")</f>
        <v>**</v>
      </c>
      <c r="C385" s="79">
        <v>384</v>
      </c>
      <c r="E385" s="58"/>
      <c r="G385" s="85" t="s">
        <v>4895</v>
      </c>
      <c r="H385" s="61">
        <v>0</v>
      </c>
      <c r="J385" s="43" t="e">
        <f>VLOOKUP(E385,Input!C:J,5,0)</f>
        <v>#N/A</v>
      </c>
      <c r="K385" s="43" t="e">
        <f>VLOOKUP(E385,Input!C:G,5,0)</f>
        <v>#N/A</v>
      </c>
      <c r="L385" s="82" t="str">
        <f>IFERROR(VLOOKUP($E:$E,Input!$C:$Q,12,0),"")</f>
        <v/>
      </c>
      <c r="M385" s="82" t="str">
        <f>IFERROR(VLOOKUP($E:$E,Input!$C:$Q,14,0),"")</f>
        <v/>
      </c>
      <c r="N385" s="82" t="str">
        <f>IFERROR(VLOOKUP($E:$E,Input!$C:$Q,15,0),"")</f>
        <v/>
      </c>
      <c r="P385" s="43" t="str">
        <f t="shared" si="8"/>
        <v>384,384,**</v>
      </c>
      <c r="Q385" s="43" t="s">
        <v>4896</v>
      </c>
      <c r="R385" s="43">
        <v>6042070338</v>
      </c>
      <c r="T385" s="90" t="s">
        <v>4897</v>
      </c>
      <c r="V385" s="43">
        <v>384</v>
      </c>
    </row>
    <row r="386" spans="1:22" ht="15.75">
      <c r="A386" s="13" t="str">
        <f>IFERROR(VLOOKUP($E:$E,scan!$A:$B,2,0),"**")</f>
        <v>**</v>
      </c>
      <c r="B386" s="13" t="str">
        <f>IFERROR(VLOOKUP($E386,scan!A:C,3,0),"**")</f>
        <v>**</v>
      </c>
      <c r="C386" s="79">
        <v>385</v>
      </c>
      <c r="E386" s="58"/>
      <c r="G386" s="85" t="s">
        <v>4895</v>
      </c>
      <c r="H386" s="61">
        <v>0</v>
      </c>
      <c r="J386" s="43" t="e">
        <f>VLOOKUP(E386,Input!C:J,5,0)</f>
        <v>#N/A</v>
      </c>
      <c r="K386" s="43" t="e">
        <f>VLOOKUP(E386,Input!C:G,5,0)</f>
        <v>#N/A</v>
      </c>
      <c r="L386" s="82" t="str">
        <f>IFERROR(VLOOKUP($E:$E,Input!$C:$Q,12,0),"")</f>
        <v/>
      </c>
      <c r="M386" s="82" t="str">
        <f>IFERROR(VLOOKUP($E:$E,Input!$C:$Q,14,0),"")</f>
        <v/>
      </c>
      <c r="N386" s="82" t="str">
        <f>IFERROR(VLOOKUP($E:$E,Input!$C:$Q,15,0),"")</f>
        <v/>
      </c>
      <c r="P386" s="43" t="str">
        <f t="shared" si="8"/>
        <v>385,385,**</v>
      </c>
      <c r="Q386" s="43" t="s">
        <v>4896</v>
      </c>
      <c r="R386" s="43">
        <v>6042070338</v>
      </c>
      <c r="T386" s="90" t="s">
        <v>4897</v>
      </c>
      <c r="V386" s="43">
        <v>385</v>
      </c>
    </row>
    <row r="387" spans="1:22" ht="15.75">
      <c r="A387" s="13" t="str">
        <f>IFERROR(VLOOKUP($E:$E,scan!$A:$B,2,0),"**")</f>
        <v>**</v>
      </c>
      <c r="B387" s="13" t="str">
        <f>IFERROR(VLOOKUP($E387,scan!A:C,3,0),"**")</f>
        <v>**</v>
      </c>
      <c r="C387" s="79">
        <v>386</v>
      </c>
      <c r="E387" s="58"/>
      <c r="G387" s="85" t="s">
        <v>4895</v>
      </c>
      <c r="H387" s="61">
        <v>0</v>
      </c>
      <c r="J387" s="43" t="e">
        <f>VLOOKUP(E387,Input!C:J,5,0)</f>
        <v>#N/A</v>
      </c>
      <c r="K387" s="43" t="e">
        <f>VLOOKUP(E387,Input!C:G,5,0)</f>
        <v>#N/A</v>
      </c>
      <c r="L387" s="82" t="str">
        <f>IFERROR(VLOOKUP($E:$E,Input!$C:$Q,12,0),"")</f>
        <v/>
      </c>
      <c r="M387" s="82" t="str">
        <f>IFERROR(VLOOKUP($E:$E,Input!$C:$Q,14,0),"")</f>
        <v/>
      </c>
      <c r="N387" s="82" t="str">
        <f>IFERROR(VLOOKUP($E:$E,Input!$C:$Q,15,0),"")</f>
        <v/>
      </c>
      <c r="P387" s="43" t="str">
        <f t="shared" si="8"/>
        <v>386,386,**</v>
      </c>
      <c r="Q387" s="43" t="s">
        <v>4896</v>
      </c>
      <c r="R387" s="43">
        <v>6042070338</v>
      </c>
      <c r="T387" s="90" t="s">
        <v>4897</v>
      </c>
      <c r="V387" s="43">
        <v>386</v>
      </c>
    </row>
    <row r="388" spans="1:22" ht="15.75">
      <c r="A388" s="13" t="str">
        <f>IFERROR(VLOOKUP($E:$E,scan!$A:$B,2,0),"**")</f>
        <v>**</v>
      </c>
      <c r="B388" s="13" t="str">
        <f>IFERROR(VLOOKUP($E388,scan!A:C,3,0),"**")</f>
        <v>**</v>
      </c>
      <c r="C388" s="79">
        <v>387</v>
      </c>
      <c r="E388" s="58"/>
      <c r="G388" s="85" t="s">
        <v>4895</v>
      </c>
      <c r="H388" s="61">
        <v>0</v>
      </c>
      <c r="J388" s="43" t="e">
        <f>VLOOKUP(E388,Input!C:J,5,0)</f>
        <v>#N/A</v>
      </c>
      <c r="K388" s="43" t="e">
        <f>VLOOKUP(E388,Input!C:G,5,0)</f>
        <v>#N/A</v>
      </c>
      <c r="L388" s="82" t="str">
        <f>IFERROR(VLOOKUP($E:$E,Input!$C:$Q,12,0),"")</f>
        <v/>
      </c>
      <c r="M388" s="82" t="str">
        <f>IFERROR(VLOOKUP($E:$E,Input!$C:$Q,14,0),"")</f>
        <v/>
      </c>
      <c r="N388" s="82" t="str">
        <f>IFERROR(VLOOKUP($E:$E,Input!$C:$Q,15,0),"")</f>
        <v/>
      </c>
      <c r="P388" s="43" t="str">
        <f t="shared" si="8"/>
        <v>387,387,**</v>
      </c>
      <c r="Q388" s="43" t="s">
        <v>4896</v>
      </c>
      <c r="R388" s="43">
        <v>6042070338</v>
      </c>
      <c r="T388" s="90" t="s">
        <v>4897</v>
      </c>
      <c r="V388" s="43">
        <v>387</v>
      </c>
    </row>
    <row r="389" spans="1:22" ht="15.75">
      <c r="A389" s="13" t="str">
        <f>IFERROR(VLOOKUP($E:$E,scan!$A:$B,2,0),"**")</f>
        <v>**</v>
      </c>
      <c r="B389" s="13" t="str">
        <f>IFERROR(VLOOKUP($E389,scan!A:C,3,0),"**")</f>
        <v>**</v>
      </c>
      <c r="C389" s="79">
        <v>388</v>
      </c>
      <c r="E389" s="58"/>
      <c r="G389" s="85" t="s">
        <v>4895</v>
      </c>
      <c r="H389" s="61">
        <v>0</v>
      </c>
      <c r="J389" s="43" t="e">
        <f>VLOOKUP(E389,Input!C:J,5,0)</f>
        <v>#N/A</v>
      </c>
      <c r="K389" s="43" t="e">
        <f>VLOOKUP(E389,Input!C:G,5,0)</f>
        <v>#N/A</v>
      </c>
      <c r="L389" s="82" t="str">
        <f>IFERROR(VLOOKUP($E:$E,Input!$C:$Q,12,0),"")</f>
        <v/>
      </c>
      <c r="M389" s="82" t="str">
        <f>IFERROR(VLOOKUP($E:$E,Input!$C:$Q,14,0),"")</f>
        <v/>
      </c>
      <c r="N389" s="82" t="str">
        <f>IFERROR(VLOOKUP($E:$E,Input!$C:$Q,15,0),"")</f>
        <v/>
      </c>
      <c r="P389" s="43" t="str">
        <f t="shared" si="8"/>
        <v>388,388,**</v>
      </c>
      <c r="Q389" s="43" t="s">
        <v>4896</v>
      </c>
      <c r="R389" s="43">
        <v>6042070338</v>
      </c>
      <c r="T389" s="90" t="s">
        <v>4897</v>
      </c>
      <c r="V389" s="43">
        <v>388</v>
      </c>
    </row>
    <row r="390" spans="1:22" ht="15.75">
      <c r="A390" s="13" t="str">
        <f>IFERROR(VLOOKUP($E:$E,scan!$A:$B,2,0),"**")</f>
        <v>**</v>
      </c>
      <c r="B390" s="13" t="str">
        <f>IFERROR(VLOOKUP($E390,scan!A:C,3,0),"**")</f>
        <v>**</v>
      </c>
      <c r="C390" s="79">
        <v>389</v>
      </c>
      <c r="E390" s="58"/>
      <c r="G390" s="85" t="s">
        <v>4895</v>
      </c>
      <c r="H390" s="61">
        <v>0</v>
      </c>
      <c r="J390" s="43" t="e">
        <f>VLOOKUP(E390,Input!C:J,5,0)</f>
        <v>#N/A</v>
      </c>
      <c r="K390" s="43" t="e">
        <f>VLOOKUP(E390,Input!C:G,5,0)</f>
        <v>#N/A</v>
      </c>
      <c r="L390" s="82" t="str">
        <f>IFERROR(VLOOKUP($E:$E,Input!$C:$Q,12,0),"")</f>
        <v/>
      </c>
      <c r="M390" s="82" t="str">
        <f>IFERROR(VLOOKUP($E:$E,Input!$C:$Q,14,0),"")</f>
        <v/>
      </c>
      <c r="N390" s="82" t="str">
        <f>IFERROR(VLOOKUP($E:$E,Input!$C:$Q,15,0),"")</f>
        <v/>
      </c>
      <c r="P390" s="43" t="str">
        <f t="shared" si="8"/>
        <v>389,389,**</v>
      </c>
      <c r="Q390" s="43" t="s">
        <v>4896</v>
      </c>
      <c r="R390" s="43">
        <v>6042070338</v>
      </c>
      <c r="T390" s="90" t="s">
        <v>4897</v>
      </c>
      <c r="V390" s="43">
        <v>389</v>
      </c>
    </row>
    <row r="391" spans="1:22" ht="15.75">
      <c r="A391" s="13" t="str">
        <f>IFERROR(VLOOKUP($E:$E,scan!$A:$B,2,0),"**")</f>
        <v>**</v>
      </c>
      <c r="B391" s="13" t="str">
        <f>IFERROR(VLOOKUP($E391,scan!A:C,3,0),"**")</f>
        <v>**</v>
      </c>
      <c r="C391" s="79">
        <v>390</v>
      </c>
      <c r="E391" s="58"/>
      <c r="G391" s="85" t="s">
        <v>4895</v>
      </c>
      <c r="H391" s="61">
        <v>0</v>
      </c>
      <c r="J391" s="43" t="e">
        <f>VLOOKUP(E391,Input!C:J,5,0)</f>
        <v>#N/A</v>
      </c>
      <c r="K391" s="43" t="e">
        <f>VLOOKUP(E391,Input!C:G,5,0)</f>
        <v>#N/A</v>
      </c>
      <c r="L391" s="82" t="str">
        <f>IFERROR(VLOOKUP($E:$E,Input!$C:$Q,12,0),"")</f>
        <v/>
      </c>
      <c r="M391" s="82" t="str">
        <f>IFERROR(VLOOKUP($E:$E,Input!$C:$Q,14,0),"")</f>
        <v/>
      </c>
      <c r="N391" s="82" t="str">
        <f>IFERROR(VLOOKUP($E:$E,Input!$C:$Q,15,0),"")</f>
        <v/>
      </c>
      <c r="P391" s="43" t="str">
        <f t="shared" si="8"/>
        <v>390,390,**</v>
      </c>
      <c r="Q391" s="43" t="s">
        <v>4896</v>
      </c>
      <c r="R391" s="43">
        <v>6042070338</v>
      </c>
      <c r="T391" s="90" t="s">
        <v>4897</v>
      </c>
      <c r="V391" s="43">
        <v>390</v>
      </c>
    </row>
    <row r="392" spans="1:22" ht="15.75">
      <c r="A392" s="13" t="str">
        <f>IFERROR(VLOOKUP($E:$E,scan!$A:$B,2,0),"**")</f>
        <v>**</v>
      </c>
      <c r="B392" s="13" t="str">
        <f>IFERROR(VLOOKUP($E392,scan!A:C,3,0),"**")</f>
        <v>**</v>
      </c>
      <c r="C392" s="79">
        <v>391</v>
      </c>
      <c r="E392" s="58"/>
      <c r="G392" s="85" t="s">
        <v>4895</v>
      </c>
      <c r="H392" s="61">
        <v>0</v>
      </c>
      <c r="J392" s="43" t="e">
        <f>VLOOKUP(E392,Input!C:J,5,0)</f>
        <v>#N/A</v>
      </c>
      <c r="K392" s="43" t="e">
        <f>VLOOKUP(E392,Input!C:G,5,0)</f>
        <v>#N/A</v>
      </c>
      <c r="L392" s="82" t="str">
        <f>IFERROR(VLOOKUP($E:$E,Input!$C:$Q,12,0),"")</f>
        <v/>
      </c>
      <c r="M392" s="82" t="str">
        <f>IFERROR(VLOOKUP($E:$E,Input!$C:$Q,14,0),"")</f>
        <v/>
      </c>
      <c r="N392" s="82" t="str">
        <f>IFERROR(VLOOKUP($E:$E,Input!$C:$Q,15,0),"")</f>
        <v/>
      </c>
      <c r="P392" s="43" t="str">
        <f t="shared" ref="P392:P448" si="9">V392&amp;","&amp;C392&amp;","&amp;B392</f>
        <v>391,391,**</v>
      </c>
      <c r="Q392" s="43" t="s">
        <v>4896</v>
      </c>
      <c r="R392" s="43">
        <v>6042070338</v>
      </c>
      <c r="T392" s="90" t="s">
        <v>4897</v>
      </c>
      <c r="V392" s="43">
        <v>391</v>
      </c>
    </row>
    <row r="393" spans="1:22" ht="15.75">
      <c r="A393" s="13" t="str">
        <f>IFERROR(VLOOKUP($E:$E,scan!$A:$B,2,0),"**")</f>
        <v>**</v>
      </c>
      <c r="B393" s="13" t="str">
        <f>IFERROR(VLOOKUP($E393,scan!A:C,3,0),"**")</f>
        <v>**</v>
      </c>
      <c r="C393" s="79">
        <v>392</v>
      </c>
      <c r="E393" s="58"/>
      <c r="G393" s="85" t="s">
        <v>4895</v>
      </c>
      <c r="H393" s="61">
        <v>0</v>
      </c>
      <c r="J393" s="43" t="e">
        <f>VLOOKUP(E393,Input!C:J,5,0)</f>
        <v>#N/A</v>
      </c>
      <c r="K393" s="43" t="e">
        <f>VLOOKUP(E393,Input!C:G,5,0)</f>
        <v>#N/A</v>
      </c>
      <c r="L393" s="82" t="str">
        <f>IFERROR(VLOOKUP($E:$E,Input!$C:$Q,12,0),"")</f>
        <v/>
      </c>
      <c r="M393" s="82" t="str">
        <f>IFERROR(VLOOKUP($E:$E,Input!$C:$Q,14,0),"")</f>
        <v/>
      </c>
      <c r="N393" s="82" t="str">
        <f>IFERROR(VLOOKUP($E:$E,Input!$C:$Q,15,0),"")</f>
        <v/>
      </c>
      <c r="P393" s="43" t="str">
        <f t="shared" si="9"/>
        <v>392,392,**</v>
      </c>
      <c r="Q393" s="43" t="s">
        <v>4896</v>
      </c>
      <c r="R393" s="43">
        <v>6042070338</v>
      </c>
      <c r="T393" s="90" t="s">
        <v>4897</v>
      </c>
      <c r="V393" s="43">
        <v>392</v>
      </c>
    </row>
    <row r="394" spans="1:22" ht="15.75">
      <c r="A394" s="13" t="str">
        <f>IFERROR(VLOOKUP($E:$E,scan!$A:$B,2,0),"**")</f>
        <v>**</v>
      </c>
      <c r="B394" s="13" t="str">
        <f>IFERROR(VLOOKUP($E394,scan!A:C,3,0),"**")</f>
        <v>**</v>
      </c>
      <c r="C394" s="79">
        <v>393</v>
      </c>
      <c r="E394" s="58"/>
      <c r="G394" s="85" t="s">
        <v>4895</v>
      </c>
      <c r="H394" s="61">
        <v>0</v>
      </c>
      <c r="J394" s="43" t="e">
        <f>VLOOKUP(E394,Input!C:J,5,0)</f>
        <v>#N/A</v>
      </c>
      <c r="K394" s="43" t="e">
        <f>VLOOKUP(E394,Input!C:G,5,0)</f>
        <v>#N/A</v>
      </c>
      <c r="L394" s="82" t="str">
        <f>IFERROR(VLOOKUP($E:$E,Input!$C:$Q,12,0),"")</f>
        <v/>
      </c>
      <c r="M394" s="82" t="str">
        <f>IFERROR(VLOOKUP($E:$E,Input!$C:$Q,14,0),"")</f>
        <v/>
      </c>
      <c r="N394" s="82" t="str">
        <f>IFERROR(VLOOKUP($E:$E,Input!$C:$Q,15,0),"")</f>
        <v/>
      </c>
      <c r="P394" s="43" t="str">
        <f t="shared" si="9"/>
        <v>393,393,**</v>
      </c>
      <c r="Q394" s="43" t="s">
        <v>4896</v>
      </c>
      <c r="R394" s="43">
        <v>6042070338</v>
      </c>
      <c r="T394" s="90" t="s">
        <v>4897</v>
      </c>
      <c r="V394" s="43">
        <v>393</v>
      </c>
    </row>
    <row r="395" spans="1:22" ht="15.75">
      <c r="A395" s="13" t="str">
        <f>IFERROR(VLOOKUP($E:$E,scan!$A:$B,2,0),"**")</f>
        <v>**</v>
      </c>
      <c r="B395" s="13" t="str">
        <f>IFERROR(VLOOKUP($E395,scan!A:C,3,0),"**")</f>
        <v>**</v>
      </c>
      <c r="C395" s="79">
        <v>394</v>
      </c>
      <c r="E395" s="58"/>
      <c r="G395" s="85" t="s">
        <v>4895</v>
      </c>
      <c r="H395" s="61">
        <v>0</v>
      </c>
      <c r="J395" s="43" t="e">
        <f>VLOOKUP(E395,Input!C:J,5,0)</f>
        <v>#N/A</v>
      </c>
      <c r="K395" s="43" t="e">
        <f>VLOOKUP(E395,Input!C:G,5,0)</f>
        <v>#N/A</v>
      </c>
      <c r="L395" s="82" t="str">
        <f>IFERROR(VLOOKUP($E:$E,Input!$C:$Q,12,0),"")</f>
        <v/>
      </c>
      <c r="M395" s="82" t="str">
        <f>IFERROR(VLOOKUP($E:$E,Input!$C:$Q,14,0),"")</f>
        <v/>
      </c>
      <c r="N395" s="82" t="str">
        <f>IFERROR(VLOOKUP($E:$E,Input!$C:$Q,15,0),"")</f>
        <v/>
      </c>
      <c r="P395" s="43" t="str">
        <f t="shared" si="9"/>
        <v>394,394,**</v>
      </c>
      <c r="Q395" s="43" t="s">
        <v>4896</v>
      </c>
      <c r="R395" s="43">
        <v>6042070338</v>
      </c>
      <c r="T395" s="90" t="s">
        <v>4897</v>
      </c>
      <c r="V395" s="43">
        <v>394</v>
      </c>
    </row>
    <row r="396" spans="1:22" ht="15.75">
      <c r="A396" s="13" t="str">
        <f>IFERROR(VLOOKUP($E:$E,scan!$A:$B,2,0),"**")</f>
        <v>**</v>
      </c>
      <c r="B396" s="13" t="str">
        <f>IFERROR(VLOOKUP($E396,scan!A:C,3,0),"**")</f>
        <v>**</v>
      </c>
      <c r="C396" s="79">
        <v>395</v>
      </c>
      <c r="E396" s="58"/>
      <c r="G396" s="85" t="s">
        <v>4895</v>
      </c>
      <c r="H396" s="61">
        <v>0</v>
      </c>
      <c r="J396" s="43" t="e">
        <f>VLOOKUP(E396,Input!C:J,5,0)</f>
        <v>#N/A</v>
      </c>
      <c r="K396" s="43" t="e">
        <f>VLOOKUP(E396,Input!C:G,5,0)</f>
        <v>#N/A</v>
      </c>
      <c r="L396" s="82" t="str">
        <f>IFERROR(VLOOKUP($E:$E,Input!$C:$Q,12,0),"")</f>
        <v/>
      </c>
      <c r="M396" s="82" t="str">
        <f>IFERROR(VLOOKUP($E:$E,Input!$C:$Q,14,0),"")</f>
        <v/>
      </c>
      <c r="N396" s="82" t="str">
        <f>IFERROR(VLOOKUP($E:$E,Input!$C:$Q,15,0),"")</f>
        <v/>
      </c>
      <c r="P396" s="43" t="str">
        <f t="shared" si="9"/>
        <v>395,395,**</v>
      </c>
      <c r="Q396" s="43" t="s">
        <v>4896</v>
      </c>
      <c r="R396" s="43">
        <v>6042070338</v>
      </c>
      <c r="T396" s="90" t="s">
        <v>4897</v>
      </c>
      <c r="V396" s="43">
        <v>395</v>
      </c>
    </row>
    <row r="397" spans="1:22" ht="15.75">
      <c r="A397" s="13" t="str">
        <f>IFERROR(VLOOKUP($E:$E,scan!$A:$B,2,0),"**")</f>
        <v>**</v>
      </c>
      <c r="B397" s="13" t="str">
        <f>IFERROR(VLOOKUP($E397,scan!A:C,3,0),"**")</f>
        <v>**</v>
      </c>
      <c r="C397" s="79">
        <v>396</v>
      </c>
      <c r="E397" s="58"/>
      <c r="G397" s="85" t="s">
        <v>4895</v>
      </c>
      <c r="H397" s="61">
        <v>0</v>
      </c>
      <c r="J397" s="43" t="e">
        <f>VLOOKUP(E397,Input!C:J,5,0)</f>
        <v>#N/A</v>
      </c>
      <c r="K397" s="43" t="e">
        <f>VLOOKUP(E397,Input!C:G,5,0)</f>
        <v>#N/A</v>
      </c>
      <c r="L397" s="82" t="str">
        <f>IFERROR(VLOOKUP($E:$E,Input!$C:$Q,12,0),"")</f>
        <v/>
      </c>
      <c r="M397" s="82" t="str">
        <f>IFERROR(VLOOKUP($E:$E,Input!$C:$Q,14,0),"")</f>
        <v/>
      </c>
      <c r="N397" s="82" t="str">
        <f>IFERROR(VLOOKUP($E:$E,Input!$C:$Q,15,0),"")</f>
        <v/>
      </c>
      <c r="P397" s="43" t="str">
        <f t="shared" si="9"/>
        <v>396,396,**</v>
      </c>
      <c r="Q397" s="43" t="s">
        <v>4896</v>
      </c>
      <c r="R397" s="43">
        <v>6042070338</v>
      </c>
      <c r="T397" s="90" t="s">
        <v>4897</v>
      </c>
      <c r="V397" s="43">
        <v>396</v>
      </c>
    </row>
    <row r="398" spans="1:22" ht="15.75">
      <c r="A398" s="13" t="str">
        <f>IFERROR(VLOOKUP($E:$E,scan!$A:$B,2,0),"**")</f>
        <v>**</v>
      </c>
      <c r="B398" s="13" t="str">
        <f>IFERROR(VLOOKUP($E398,scan!A:C,3,0),"**")</f>
        <v>**</v>
      </c>
      <c r="C398" s="79">
        <v>397</v>
      </c>
      <c r="E398" s="58"/>
      <c r="G398" s="85" t="s">
        <v>4895</v>
      </c>
      <c r="H398" s="61">
        <v>0</v>
      </c>
      <c r="J398" s="43" t="e">
        <f>VLOOKUP(E398,Input!C:J,5,0)</f>
        <v>#N/A</v>
      </c>
      <c r="K398" s="43" t="e">
        <f>VLOOKUP(E398,Input!C:G,5,0)</f>
        <v>#N/A</v>
      </c>
      <c r="L398" s="82" t="str">
        <f>IFERROR(VLOOKUP($E:$E,Input!$C:$Q,12,0),"")</f>
        <v/>
      </c>
      <c r="M398" s="82" t="str">
        <f>IFERROR(VLOOKUP($E:$E,Input!$C:$Q,14,0),"")</f>
        <v/>
      </c>
      <c r="N398" s="82" t="str">
        <f>IFERROR(VLOOKUP($E:$E,Input!$C:$Q,15,0),"")</f>
        <v/>
      </c>
      <c r="P398" s="43" t="str">
        <f t="shared" si="9"/>
        <v>397,397,**</v>
      </c>
      <c r="Q398" s="43" t="s">
        <v>4896</v>
      </c>
      <c r="R398" s="43">
        <v>6042070338</v>
      </c>
      <c r="T398" s="90" t="s">
        <v>4897</v>
      </c>
      <c r="V398" s="43">
        <v>397</v>
      </c>
    </row>
    <row r="399" spans="1:22" ht="15.75">
      <c r="A399" s="13" t="str">
        <f>IFERROR(VLOOKUP($E:$E,scan!$A:$B,2,0),"**")</f>
        <v>**</v>
      </c>
      <c r="B399" s="13" t="str">
        <f>IFERROR(VLOOKUP($E399,scan!A:C,3,0),"**")</f>
        <v>**</v>
      </c>
      <c r="C399" s="79">
        <v>398</v>
      </c>
      <c r="E399" s="58"/>
      <c r="G399" s="85" t="s">
        <v>4895</v>
      </c>
      <c r="H399" s="61">
        <v>0</v>
      </c>
      <c r="J399" s="43" t="e">
        <f>VLOOKUP(E399,Input!C:J,5,0)</f>
        <v>#N/A</v>
      </c>
      <c r="K399" s="43" t="e">
        <f>VLOOKUP(E399,Input!C:G,5,0)</f>
        <v>#N/A</v>
      </c>
      <c r="L399" s="82" t="str">
        <f>IFERROR(VLOOKUP($E:$E,Input!$C:$Q,12,0),"")</f>
        <v/>
      </c>
      <c r="M399" s="82" t="str">
        <f>IFERROR(VLOOKUP($E:$E,Input!$C:$Q,14,0),"")</f>
        <v/>
      </c>
      <c r="N399" s="82" t="str">
        <f>IFERROR(VLOOKUP($E:$E,Input!$C:$Q,15,0),"")</f>
        <v/>
      </c>
      <c r="P399" s="43" t="str">
        <f t="shared" si="9"/>
        <v>398,398,**</v>
      </c>
      <c r="Q399" s="43" t="s">
        <v>4896</v>
      </c>
      <c r="R399" s="43">
        <v>6042070338</v>
      </c>
      <c r="T399" s="90" t="s">
        <v>4897</v>
      </c>
      <c r="V399" s="43">
        <v>398</v>
      </c>
    </row>
    <row r="400" spans="1:22" ht="15.75">
      <c r="A400" s="13" t="str">
        <f>IFERROR(VLOOKUP($E:$E,scan!$A:$B,2,0),"**")</f>
        <v>**</v>
      </c>
      <c r="B400" s="13" t="str">
        <f>IFERROR(VLOOKUP($E400,scan!A:C,3,0),"**")</f>
        <v>**</v>
      </c>
      <c r="C400" s="79">
        <v>399</v>
      </c>
      <c r="E400" s="58"/>
      <c r="G400" s="85" t="s">
        <v>4895</v>
      </c>
      <c r="H400" s="61">
        <v>0</v>
      </c>
      <c r="J400" s="43" t="e">
        <f>VLOOKUP(E400,Input!C:J,5,0)</f>
        <v>#N/A</v>
      </c>
      <c r="K400" s="43" t="e">
        <f>VLOOKUP(E400,Input!C:G,5,0)</f>
        <v>#N/A</v>
      </c>
      <c r="L400" s="82" t="str">
        <f>IFERROR(VLOOKUP($E:$E,Input!$C:$Q,12,0),"")</f>
        <v/>
      </c>
      <c r="M400" s="82" t="str">
        <f>IFERROR(VLOOKUP($E:$E,Input!$C:$Q,14,0),"")</f>
        <v/>
      </c>
      <c r="N400" s="82" t="str">
        <f>IFERROR(VLOOKUP($E:$E,Input!$C:$Q,15,0),"")</f>
        <v/>
      </c>
      <c r="P400" s="43" t="str">
        <f t="shared" si="9"/>
        <v>399,399,**</v>
      </c>
      <c r="Q400" s="43" t="s">
        <v>4896</v>
      </c>
      <c r="R400" s="43">
        <v>6042070338</v>
      </c>
      <c r="T400" s="90" t="s">
        <v>4897</v>
      </c>
      <c r="V400" s="43">
        <v>399</v>
      </c>
    </row>
    <row r="401" spans="1:22" ht="15.75">
      <c r="A401" s="13" t="str">
        <f>IFERROR(VLOOKUP($E:$E,scan!$A:$B,2,0),"**")</f>
        <v>**</v>
      </c>
      <c r="B401" s="13" t="str">
        <f>IFERROR(VLOOKUP($E401,scan!A:C,3,0),"**")</f>
        <v>**</v>
      </c>
      <c r="C401" s="79">
        <v>400</v>
      </c>
      <c r="E401" s="58"/>
      <c r="G401" s="85" t="s">
        <v>4895</v>
      </c>
      <c r="H401" s="61">
        <v>0</v>
      </c>
      <c r="J401" s="43" t="e">
        <f>VLOOKUP(E401,Input!C:J,5,0)</f>
        <v>#N/A</v>
      </c>
      <c r="K401" s="43" t="e">
        <f>VLOOKUP(E401,Input!C:G,5,0)</f>
        <v>#N/A</v>
      </c>
      <c r="L401" s="82" t="str">
        <f>IFERROR(VLOOKUP($E:$E,Input!$C:$Q,12,0),"")</f>
        <v/>
      </c>
      <c r="M401" s="82" t="str">
        <f>IFERROR(VLOOKUP($E:$E,Input!$C:$Q,14,0),"")</f>
        <v/>
      </c>
      <c r="N401" s="82" t="str">
        <f>IFERROR(VLOOKUP($E:$E,Input!$C:$Q,15,0),"")</f>
        <v/>
      </c>
      <c r="P401" s="43" t="str">
        <f t="shared" si="9"/>
        <v>400,400,**</v>
      </c>
      <c r="Q401" s="43" t="s">
        <v>4896</v>
      </c>
      <c r="R401" s="43">
        <v>6042070338</v>
      </c>
      <c r="T401" s="90" t="s">
        <v>4897</v>
      </c>
      <c r="V401" s="43">
        <v>400</v>
      </c>
    </row>
    <row r="402" spans="1:22" ht="15.75">
      <c r="A402" s="13" t="str">
        <f>IFERROR(VLOOKUP($E:$E,scan!$A:$B,2,0),"**")</f>
        <v>**</v>
      </c>
      <c r="B402" s="13" t="str">
        <f>IFERROR(VLOOKUP($E402,scan!A:C,3,0),"**")</f>
        <v>**</v>
      </c>
      <c r="C402" s="79">
        <v>401</v>
      </c>
      <c r="E402" s="58"/>
      <c r="G402" s="85" t="s">
        <v>4895</v>
      </c>
      <c r="H402" s="61">
        <v>0</v>
      </c>
      <c r="J402" s="43" t="e">
        <f>VLOOKUP(E402,Input!C:J,5,0)</f>
        <v>#N/A</v>
      </c>
      <c r="K402" s="43" t="e">
        <f>VLOOKUP(E402,Input!C:G,5,0)</f>
        <v>#N/A</v>
      </c>
      <c r="L402" s="82" t="str">
        <f>IFERROR(VLOOKUP($E:$E,Input!$C:$Q,12,0),"")</f>
        <v/>
      </c>
      <c r="M402" s="82" t="str">
        <f>IFERROR(VLOOKUP($E:$E,Input!$C:$Q,14,0),"")</f>
        <v/>
      </c>
      <c r="N402" s="82" t="str">
        <f>IFERROR(VLOOKUP($E:$E,Input!$C:$Q,15,0),"")</f>
        <v/>
      </c>
      <c r="P402" s="43" t="str">
        <f t="shared" si="9"/>
        <v>401,401,**</v>
      </c>
      <c r="Q402" s="43" t="s">
        <v>4896</v>
      </c>
      <c r="R402" s="43">
        <v>6042070338</v>
      </c>
      <c r="T402" s="90" t="s">
        <v>4897</v>
      </c>
      <c r="V402" s="43">
        <v>401</v>
      </c>
    </row>
    <row r="403" spans="1:22" ht="15.75">
      <c r="A403" s="13" t="str">
        <f>IFERROR(VLOOKUP($E:$E,scan!$A:$B,2,0),"**")</f>
        <v>**</v>
      </c>
      <c r="B403" s="13" t="str">
        <f>IFERROR(VLOOKUP($E403,scan!A:C,3,0),"**")</f>
        <v>**</v>
      </c>
      <c r="C403" s="79">
        <v>402</v>
      </c>
      <c r="E403" s="58"/>
      <c r="G403" s="85" t="s">
        <v>4895</v>
      </c>
      <c r="H403" s="61">
        <v>0</v>
      </c>
      <c r="J403" s="43" t="e">
        <f>VLOOKUP(E403,Input!C:J,5,0)</f>
        <v>#N/A</v>
      </c>
      <c r="K403" s="43" t="e">
        <f>VLOOKUP(E403,Input!C:G,5,0)</f>
        <v>#N/A</v>
      </c>
      <c r="L403" s="82" t="str">
        <f>IFERROR(VLOOKUP($E:$E,Input!$C:$Q,12,0),"")</f>
        <v/>
      </c>
      <c r="M403" s="82" t="str">
        <f>IFERROR(VLOOKUP($E:$E,Input!$C:$Q,14,0),"")</f>
        <v/>
      </c>
      <c r="N403" s="82" t="str">
        <f>IFERROR(VLOOKUP($E:$E,Input!$C:$Q,15,0),"")</f>
        <v/>
      </c>
      <c r="P403" s="43" t="str">
        <f t="shared" si="9"/>
        <v>402,402,**</v>
      </c>
      <c r="Q403" s="43" t="s">
        <v>4896</v>
      </c>
      <c r="R403" s="43">
        <v>6042070338</v>
      </c>
      <c r="T403" s="90" t="s">
        <v>4897</v>
      </c>
      <c r="V403" s="43">
        <v>402</v>
      </c>
    </row>
    <row r="404" spans="1:22" ht="15.75">
      <c r="A404" s="13" t="str">
        <f>IFERROR(VLOOKUP($E:$E,scan!$A:$B,2,0),"**")</f>
        <v>**</v>
      </c>
      <c r="B404" s="13" t="str">
        <f>IFERROR(VLOOKUP($E404,scan!A:C,3,0),"**")</f>
        <v>**</v>
      </c>
      <c r="C404" s="79">
        <v>403</v>
      </c>
      <c r="E404" s="58"/>
      <c r="G404" s="85" t="s">
        <v>4895</v>
      </c>
      <c r="H404" s="61">
        <v>0</v>
      </c>
      <c r="J404" s="43" t="e">
        <f>VLOOKUP(E404,Input!C:J,5,0)</f>
        <v>#N/A</v>
      </c>
      <c r="K404" s="43" t="e">
        <f>VLOOKUP(E404,Input!C:G,5,0)</f>
        <v>#N/A</v>
      </c>
      <c r="L404" s="82" t="str">
        <f>IFERROR(VLOOKUP($E:$E,Input!$C:$Q,12,0),"")</f>
        <v/>
      </c>
      <c r="M404" s="82" t="str">
        <f>IFERROR(VLOOKUP($E:$E,Input!$C:$Q,14,0),"")</f>
        <v/>
      </c>
      <c r="N404" s="82" t="str">
        <f>IFERROR(VLOOKUP($E:$E,Input!$C:$Q,15,0),"")</f>
        <v/>
      </c>
      <c r="P404" s="43" t="str">
        <f t="shared" si="9"/>
        <v>403,403,**</v>
      </c>
      <c r="Q404" s="43" t="s">
        <v>4896</v>
      </c>
      <c r="R404" s="43">
        <v>6042070338</v>
      </c>
      <c r="T404" s="90" t="s">
        <v>4897</v>
      </c>
      <c r="V404" s="43">
        <v>403</v>
      </c>
    </row>
    <row r="405" spans="1:22" ht="15.75">
      <c r="A405" s="13" t="str">
        <f>IFERROR(VLOOKUP($E:$E,scan!$A:$B,2,0),"**")</f>
        <v>**</v>
      </c>
      <c r="B405" s="13" t="str">
        <f>IFERROR(VLOOKUP($E405,scan!A:C,3,0),"**")</f>
        <v>**</v>
      </c>
      <c r="C405" s="79">
        <v>404</v>
      </c>
      <c r="E405" s="58"/>
      <c r="G405" s="85" t="s">
        <v>4895</v>
      </c>
      <c r="H405" s="61">
        <v>0</v>
      </c>
      <c r="J405" s="43" t="e">
        <f>VLOOKUP(E405,Input!C:J,5,0)</f>
        <v>#N/A</v>
      </c>
      <c r="K405" s="43" t="e">
        <f>VLOOKUP(E405,Input!C:G,5,0)</f>
        <v>#N/A</v>
      </c>
      <c r="L405" s="82" t="str">
        <f>IFERROR(VLOOKUP($E:$E,Input!$C:$Q,12,0),"")</f>
        <v/>
      </c>
      <c r="M405" s="82" t="str">
        <f>IFERROR(VLOOKUP($E:$E,Input!$C:$Q,14,0),"")</f>
        <v/>
      </c>
      <c r="N405" s="82" t="str">
        <f>IFERROR(VLOOKUP($E:$E,Input!$C:$Q,15,0),"")</f>
        <v/>
      </c>
      <c r="P405" s="43" t="str">
        <f t="shared" si="9"/>
        <v>404,404,**</v>
      </c>
      <c r="Q405" s="43" t="s">
        <v>4896</v>
      </c>
      <c r="R405" s="43">
        <v>6042070338</v>
      </c>
      <c r="T405" s="90" t="s">
        <v>4897</v>
      </c>
      <c r="V405" s="43">
        <v>404</v>
      </c>
    </row>
    <row r="406" spans="1:22" ht="15.75">
      <c r="A406" s="13" t="str">
        <f>IFERROR(VLOOKUP($E:$E,scan!$A:$B,2,0),"**")</f>
        <v>**</v>
      </c>
      <c r="B406" s="13" t="str">
        <f>IFERROR(VLOOKUP($E406,scan!A:C,3,0),"**")</f>
        <v>**</v>
      </c>
      <c r="C406" s="79">
        <v>405</v>
      </c>
      <c r="E406" s="58"/>
      <c r="G406" s="85" t="s">
        <v>4895</v>
      </c>
      <c r="H406" s="61">
        <v>0</v>
      </c>
      <c r="J406" s="43" t="e">
        <f>VLOOKUP(E406,Input!C:J,5,0)</f>
        <v>#N/A</v>
      </c>
      <c r="K406" s="43" t="e">
        <f>VLOOKUP(E406,Input!C:G,5,0)</f>
        <v>#N/A</v>
      </c>
      <c r="L406" s="82" t="str">
        <f>IFERROR(VLOOKUP($E:$E,Input!$C:$Q,12,0),"")</f>
        <v/>
      </c>
      <c r="M406" s="82" t="str">
        <f>IFERROR(VLOOKUP($E:$E,Input!$C:$Q,14,0),"")</f>
        <v/>
      </c>
      <c r="N406" s="82" t="str">
        <f>IFERROR(VLOOKUP($E:$E,Input!$C:$Q,15,0),"")</f>
        <v/>
      </c>
      <c r="P406" s="43" t="str">
        <f t="shared" si="9"/>
        <v>405,405,**</v>
      </c>
      <c r="Q406" s="43" t="s">
        <v>4896</v>
      </c>
      <c r="R406" s="43">
        <v>6042070338</v>
      </c>
      <c r="T406" s="90" t="s">
        <v>4897</v>
      </c>
      <c r="V406" s="43">
        <v>405</v>
      </c>
    </row>
    <row r="407" spans="1:22" ht="15.75">
      <c r="A407" s="13" t="str">
        <f>IFERROR(VLOOKUP($E:$E,scan!$A:$B,2,0),"**")</f>
        <v>**</v>
      </c>
      <c r="B407" s="13" t="str">
        <f>IFERROR(VLOOKUP($E407,scan!A:C,3,0),"**")</f>
        <v>**</v>
      </c>
      <c r="C407" s="79">
        <v>406</v>
      </c>
      <c r="E407" s="58"/>
      <c r="G407" s="85" t="s">
        <v>4895</v>
      </c>
      <c r="H407" s="61">
        <v>0</v>
      </c>
      <c r="J407" s="43" t="e">
        <f>VLOOKUP(E407,Input!C:J,5,0)</f>
        <v>#N/A</v>
      </c>
      <c r="K407" s="43" t="e">
        <f>VLOOKUP(E407,Input!C:G,5,0)</f>
        <v>#N/A</v>
      </c>
      <c r="L407" s="82" t="str">
        <f>IFERROR(VLOOKUP($E:$E,Input!$C:$Q,12,0),"")</f>
        <v/>
      </c>
      <c r="M407" s="82" t="str">
        <f>IFERROR(VLOOKUP($E:$E,Input!$C:$Q,14,0),"")</f>
        <v/>
      </c>
      <c r="N407" s="82" t="str">
        <f>IFERROR(VLOOKUP($E:$E,Input!$C:$Q,15,0),"")</f>
        <v/>
      </c>
      <c r="P407" s="43" t="str">
        <f t="shared" si="9"/>
        <v>406,406,**</v>
      </c>
      <c r="Q407" s="43" t="s">
        <v>4896</v>
      </c>
      <c r="R407" s="43">
        <v>6042070338</v>
      </c>
      <c r="T407" s="90" t="s">
        <v>4897</v>
      </c>
      <c r="V407" s="43">
        <v>406</v>
      </c>
    </row>
    <row r="408" spans="1:22" ht="15.75">
      <c r="A408" s="13" t="str">
        <f>IFERROR(VLOOKUP($E:$E,scan!$A:$B,2,0),"**")</f>
        <v>**</v>
      </c>
      <c r="B408" s="13" t="str">
        <f>IFERROR(VLOOKUP($E408,scan!A:C,3,0),"**")</f>
        <v>**</v>
      </c>
      <c r="C408" s="79">
        <v>407</v>
      </c>
      <c r="E408" s="58"/>
      <c r="G408" s="85" t="s">
        <v>4895</v>
      </c>
      <c r="H408" s="61">
        <v>0</v>
      </c>
      <c r="J408" s="43" t="e">
        <f>VLOOKUP(E408,Input!C:J,5,0)</f>
        <v>#N/A</v>
      </c>
      <c r="K408" s="43" t="e">
        <f>VLOOKUP(E408,Input!C:G,5,0)</f>
        <v>#N/A</v>
      </c>
      <c r="L408" s="82" t="str">
        <f>IFERROR(VLOOKUP($E:$E,Input!$C:$Q,12,0),"")</f>
        <v/>
      </c>
      <c r="M408" s="82" t="str">
        <f>IFERROR(VLOOKUP($E:$E,Input!$C:$Q,14,0),"")</f>
        <v/>
      </c>
      <c r="N408" s="82" t="str">
        <f>IFERROR(VLOOKUP($E:$E,Input!$C:$Q,15,0),"")</f>
        <v/>
      </c>
      <c r="P408" s="43" t="str">
        <f t="shared" si="9"/>
        <v>407,407,**</v>
      </c>
      <c r="Q408" s="43" t="s">
        <v>4896</v>
      </c>
      <c r="R408" s="43">
        <v>6042070338</v>
      </c>
      <c r="T408" s="90" t="s">
        <v>4897</v>
      </c>
      <c r="V408" s="43">
        <v>407</v>
      </c>
    </row>
    <row r="409" spans="1:22" ht="15.75">
      <c r="A409" s="13" t="str">
        <f>IFERROR(VLOOKUP($E:$E,scan!$A:$B,2,0),"**")</f>
        <v>**</v>
      </c>
      <c r="B409" s="13" t="str">
        <f>IFERROR(VLOOKUP($E409,scan!A:C,3,0),"**")</f>
        <v>**</v>
      </c>
      <c r="C409" s="79">
        <v>408</v>
      </c>
      <c r="E409" s="58"/>
      <c r="G409" s="85" t="s">
        <v>4895</v>
      </c>
      <c r="H409" s="61">
        <v>0</v>
      </c>
      <c r="J409" s="43" t="e">
        <f>VLOOKUP(E409,Input!C:J,5,0)</f>
        <v>#N/A</v>
      </c>
      <c r="K409" s="43" t="e">
        <f>VLOOKUP(E409,Input!C:G,5,0)</f>
        <v>#N/A</v>
      </c>
      <c r="L409" s="82" t="str">
        <f>IFERROR(VLOOKUP($E:$E,Input!$C:$Q,12,0),"")</f>
        <v/>
      </c>
      <c r="M409" s="82" t="str">
        <f>IFERROR(VLOOKUP($E:$E,Input!$C:$Q,14,0),"")</f>
        <v/>
      </c>
      <c r="N409" s="82" t="str">
        <f>IFERROR(VLOOKUP($E:$E,Input!$C:$Q,15,0),"")</f>
        <v/>
      </c>
      <c r="P409" s="43" t="str">
        <f t="shared" si="9"/>
        <v>408,408,**</v>
      </c>
      <c r="Q409" s="43" t="s">
        <v>4896</v>
      </c>
      <c r="R409" s="43">
        <v>6042070338</v>
      </c>
      <c r="T409" s="90" t="s">
        <v>4897</v>
      </c>
      <c r="V409" s="43">
        <v>408</v>
      </c>
    </row>
    <row r="410" spans="1:22" ht="15.75">
      <c r="A410" s="13" t="str">
        <f>IFERROR(VLOOKUP($E:$E,scan!$A:$B,2,0),"**")</f>
        <v>**</v>
      </c>
      <c r="B410" s="13" t="str">
        <f>IFERROR(VLOOKUP($E410,scan!A:C,3,0),"**")</f>
        <v>**</v>
      </c>
      <c r="C410" s="79">
        <v>409</v>
      </c>
      <c r="E410" s="58"/>
      <c r="G410" s="85" t="s">
        <v>4895</v>
      </c>
      <c r="H410" s="61">
        <v>0</v>
      </c>
      <c r="J410" s="43" t="e">
        <f>VLOOKUP(E410,Input!C:J,5,0)</f>
        <v>#N/A</v>
      </c>
      <c r="K410" s="43" t="e">
        <f>VLOOKUP(E410,Input!C:G,5,0)</f>
        <v>#N/A</v>
      </c>
      <c r="L410" s="82" t="str">
        <f>IFERROR(VLOOKUP($E:$E,Input!$C:$Q,12,0),"")</f>
        <v/>
      </c>
      <c r="M410" s="82" t="str">
        <f>IFERROR(VLOOKUP($E:$E,Input!$C:$Q,14,0),"")</f>
        <v/>
      </c>
      <c r="N410" s="82" t="str">
        <f>IFERROR(VLOOKUP($E:$E,Input!$C:$Q,15,0),"")</f>
        <v/>
      </c>
      <c r="P410" s="43" t="str">
        <f t="shared" si="9"/>
        <v>409,409,**</v>
      </c>
      <c r="Q410" s="43" t="s">
        <v>4896</v>
      </c>
      <c r="R410" s="43">
        <v>6042070338</v>
      </c>
      <c r="T410" s="90" t="s">
        <v>4897</v>
      </c>
      <c r="V410" s="43">
        <v>409</v>
      </c>
    </row>
    <row r="411" spans="1:22" ht="15.75">
      <c r="A411" s="13" t="str">
        <f>IFERROR(VLOOKUP($E:$E,scan!$A:$B,2,0),"**")</f>
        <v>**</v>
      </c>
      <c r="B411" s="13" t="str">
        <f>IFERROR(VLOOKUP($E411,scan!A:C,3,0),"**")</f>
        <v>**</v>
      </c>
      <c r="C411" s="79">
        <v>410</v>
      </c>
      <c r="E411" s="58"/>
      <c r="G411" s="85" t="s">
        <v>4895</v>
      </c>
      <c r="H411" s="61">
        <v>0</v>
      </c>
      <c r="J411" s="43" t="e">
        <f>VLOOKUP(E411,Input!C:J,5,0)</f>
        <v>#N/A</v>
      </c>
      <c r="K411" s="43" t="e">
        <f>VLOOKUP(E411,Input!C:G,5,0)</f>
        <v>#N/A</v>
      </c>
      <c r="L411" s="82" t="str">
        <f>IFERROR(VLOOKUP($E:$E,Input!$C:$Q,12,0),"")</f>
        <v/>
      </c>
      <c r="M411" s="82" t="str">
        <f>IFERROR(VLOOKUP($E:$E,Input!$C:$Q,14,0),"")</f>
        <v/>
      </c>
      <c r="N411" s="82" t="str">
        <f>IFERROR(VLOOKUP($E:$E,Input!$C:$Q,15,0),"")</f>
        <v/>
      </c>
      <c r="P411" s="43" t="str">
        <f t="shared" si="9"/>
        <v>410,410,**</v>
      </c>
      <c r="Q411" s="43" t="s">
        <v>4896</v>
      </c>
      <c r="R411" s="43">
        <v>6042070338</v>
      </c>
      <c r="T411" s="90" t="s">
        <v>4897</v>
      </c>
      <c r="V411" s="43">
        <v>410</v>
      </c>
    </row>
    <row r="412" spans="1:22" ht="15.75">
      <c r="A412" s="13" t="str">
        <f>IFERROR(VLOOKUP($E:$E,scan!$A:$B,2,0),"**")</f>
        <v>**</v>
      </c>
      <c r="B412" s="13" t="str">
        <f>IFERROR(VLOOKUP($E412,scan!A:C,3,0),"**")</f>
        <v>**</v>
      </c>
      <c r="C412" s="79">
        <v>411</v>
      </c>
      <c r="E412" s="58"/>
      <c r="G412" s="85" t="s">
        <v>4895</v>
      </c>
      <c r="H412" s="61">
        <v>0</v>
      </c>
      <c r="J412" s="43" t="e">
        <f>VLOOKUP(E412,Input!C:J,5,0)</f>
        <v>#N/A</v>
      </c>
      <c r="K412" s="43" t="e">
        <f>VLOOKUP(E412,Input!C:G,5,0)</f>
        <v>#N/A</v>
      </c>
      <c r="L412" s="82" t="str">
        <f>IFERROR(VLOOKUP($E:$E,Input!$C:$Q,12,0),"")</f>
        <v/>
      </c>
      <c r="M412" s="82" t="str">
        <f>IFERROR(VLOOKUP($E:$E,Input!$C:$Q,14,0),"")</f>
        <v/>
      </c>
      <c r="N412" s="82" t="str">
        <f>IFERROR(VLOOKUP($E:$E,Input!$C:$Q,15,0),"")</f>
        <v/>
      </c>
      <c r="P412" s="43" t="str">
        <f t="shared" si="9"/>
        <v>411,411,**</v>
      </c>
      <c r="Q412" s="43" t="s">
        <v>4896</v>
      </c>
      <c r="R412" s="43">
        <v>6042070338</v>
      </c>
      <c r="T412" s="90" t="s">
        <v>4897</v>
      </c>
      <c r="V412" s="43">
        <v>411</v>
      </c>
    </row>
    <row r="413" spans="1:22" ht="15.75">
      <c r="A413" s="13" t="str">
        <f>IFERROR(VLOOKUP($E:$E,scan!$A:$B,2,0),"**")</f>
        <v>**</v>
      </c>
      <c r="B413" s="13" t="str">
        <f>IFERROR(VLOOKUP($E413,scan!A:C,3,0),"**")</f>
        <v>**</v>
      </c>
      <c r="C413" s="79">
        <v>412</v>
      </c>
      <c r="E413" s="58"/>
      <c r="G413" s="85" t="s">
        <v>4895</v>
      </c>
      <c r="H413" s="61">
        <v>0</v>
      </c>
      <c r="J413" s="43" t="e">
        <f>VLOOKUP(E413,Input!C:J,5,0)</f>
        <v>#N/A</v>
      </c>
      <c r="K413" s="43" t="e">
        <f>VLOOKUP(E413,Input!C:G,5,0)</f>
        <v>#N/A</v>
      </c>
      <c r="L413" s="82" t="str">
        <f>IFERROR(VLOOKUP($E:$E,Input!$C:$Q,12,0),"")</f>
        <v/>
      </c>
      <c r="M413" s="82" t="str">
        <f>IFERROR(VLOOKUP($E:$E,Input!$C:$Q,14,0),"")</f>
        <v/>
      </c>
      <c r="N413" s="82" t="str">
        <f>IFERROR(VLOOKUP($E:$E,Input!$C:$Q,15,0),"")</f>
        <v/>
      </c>
      <c r="P413" s="43" t="str">
        <f t="shared" si="9"/>
        <v>412,412,**</v>
      </c>
      <c r="Q413" s="43" t="s">
        <v>4896</v>
      </c>
      <c r="R413" s="43">
        <v>6042070338</v>
      </c>
      <c r="T413" s="90" t="s">
        <v>4897</v>
      </c>
      <c r="V413" s="43">
        <v>412</v>
      </c>
    </row>
    <row r="414" spans="1:22" ht="15.75">
      <c r="A414" s="13" t="str">
        <f>IFERROR(VLOOKUP($E:$E,scan!$A:$B,2,0),"**")</f>
        <v>**</v>
      </c>
      <c r="B414" s="13" t="str">
        <f>IFERROR(VLOOKUP($E414,scan!A:C,3,0),"**")</f>
        <v>**</v>
      </c>
      <c r="C414" s="79">
        <v>413</v>
      </c>
      <c r="E414" s="58"/>
      <c r="G414" s="85" t="s">
        <v>4895</v>
      </c>
      <c r="H414" s="61">
        <v>0</v>
      </c>
      <c r="J414" s="43" t="e">
        <f>VLOOKUP(E414,Input!C:J,5,0)</f>
        <v>#N/A</v>
      </c>
      <c r="K414" s="43" t="e">
        <f>VLOOKUP(E414,Input!C:G,5,0)</f>
        <v>#N/A</v>
      </c>
      <c r="L414" s="82" t="str">
        <f>IFERROR(VLOOKUP($E:$E,Input!$C:$Q,12,0),"")</f>
        <v/>
      </c>
      <c r="M414" s="82" t="str">
        <f>IFERROR(VLOOKUP($E:$E,Input!$C:$Q,14,0),"")</f>
        <v/>
      </c>
      <c r="N414" s="82" t="str">
        <f>IFERROR(VLOOKUP($E:$E,Input!$C:$Q,15,0),"")</f>
        <v/>
      </c>
      <c r="P414" s="43" t="str">
        <f t="shared" si="9"/>
        <v>413,413,**</v>
      </c>
      <c r="Q414" s="43" t="s">
        <v>4896</v>
      </c>
      <c r="R414" s="43">
        <v>6042070338</v>
      </c>
      <c r="T414" s="90" t="s">
        <v>4897</v>
      </c>
      <c r="V414" s="43">
        <v>413</v>
      </c>
    </row>
    <row r="415" spans="1:22" ht="15.75">
      <c r="A415" s="13" t="str">
        <f>IFERROR(VLOOKUP($E:$E,scan!$A:$B,2,0),"**")</f>
        <v>**</v>
      </c>
      <c r="B415" s="13" t="str">
        <f>IFERROR(VLOOKUP($E415,scan!A:C,3,0),"**")</f>
        <v>**</v>
      </c>
      <c r="C415" s="79">
        <v>414</v>
      </c>
      <c r="E415" s="58"/>
      <c r="G415" s="85" t="s">
        <v>4895</v>
      </c>
      <c r="H415" s="61">
        <v>0</v>
      </c>
      <c r="J415" s="43" t="e">
        <f>VLOOKUP(E415,Input!C:J,5,0)</f>
        <v>#N/A</v>
      </c>
      <c r="K415" s="43" t="e">
        <f>VLOOKUP(E415,Input!C:G,5,0)</f>
        <v>#N/A</v>
      </c>
      <c r="L415" s="82" t="str">
        <f>IFERROR(VLOOKUP($E:$E,Input!$C:$Q,12,0),"")</f>
        <v/>
      </c>
      <c r="M415" s="82" t="str">
        <f>IFERROR(VLOOKUP($E:$E,Input!$C:$Q,14,0),"")</f>
        <v/>
      </c>
      <c r="N415" s="82" t="str">
        <f>IFERROR(VLOOKUP($E:$E,Input!$C:$Q,15,0),"")</f>
        <v/>
      </c>
      <c r="P415" s="43" t="str">
        <f t="shared" si="9"/>
        <v>414,414,**</v>
      </c>
      <c r="Q415" s="43" t="s">
        <v>4896</v>
      </c>
      <c r="R415" s="43">
        <v>6042070338</v>
      </c>
      <c r="T415" s="90" t="s">
        <v>4897</v>
      </c>
      <c r="V415" s="43">
        <v>414</v>
      </c>
    </row>
    <row r="416" spans="1:22" ht="15.75">
      <c r="A416" s="13" t="str">
        <f>IFERROR(VLOOKUP($E:$E,scan!$A:$B,2,0),"**")</f>
        <v>**</v>
      </c>
      <c r="B416" s="13" t="str">
        <f>IFERROR(VLOOKUP($E416,scan!A:C,3,0),"**")</f>
        <v>**</v>
      </c>
      <c r="C416" s="79">
        <v>415</v>
      </c>
      <c r="E416" s="58"/>
      <c r="G416" s="85" t="s">
        <v>4895</v>
      </c>
      <c r="H416" s="61">
        <v>0</v>
      </c>
      <c r="J416" s="43" t="e">
        <f>VLOOKUP(E416,Input!C:J,5,0)</f>
        <v>#N/A</v>
      </c>
      <c r="K416" s="43" t="e">
        <f>VLOOKUP(E416,Input!C:G,5,0)</f>
        <v>#N/A</v>
      </c>
      <c r="L416" s="82" t="str">
        <f>IFERROR(VLOOKUP($E:$E,Input!$C:$Q,12,0),"")</f>
        <v/>
      </c>
      <c r="M416" s="82" t="str">
        <f>IFERROR(VLOOKUP($E:$E,Input!$C:$Q,14,0),"")</f>
        <v/>
      </c>
      <c r="N416" s="82" t="str">
        <f>IFERROR(VLOOKUP($E:$E,Input!$C:$Q,15,0),"")</f>
        <v/>
      </c>
      <c r="P416" s="43" t="str">
        <f t="shared" si="9"/>
        <v>415,415,**</v>
      </c>
      <c r="Q416" s="43" t="s">
        <v>4896</v>
      </c>
      <c r="R416" s="43">
        <v>6042070338</v>
      </c>
      <c r="T416" s="90" t="s">
        <v>4897</v>
      </c>
      <c r="V416" s="43">
        <v>415</v>
      </c>
    </row>
    <row r="417" spans="1:22" ht="15.75">
      <c r="A417" s="13" t="str">
        <f>IFERROR(VLOOKUP($E:$E,scan!$A:$B,2,0),"**")</f>
        <v>**</v>
      </c>
      <c r="B417" s="13" t="str">
        <f>IFERROR(VLOOKUP($E417,scan!A:C,3,0),"**")</f>
        <v>**</v>
      </c>
      <c r="C417" s="79">
        <v>416</v>
      </c>
      <c r="E417" s="58"/>
      <c r="G417" s="85" t="s">
        <v>4895</v>
      </c>
      <c r="H417" s="61">
        <v>0</v>
      </c>
      <c r="J417" s="43" t="e">
        <f>VLOOKUP(E417,Input!C:J,5,0)</f>
        <v>#N/A</v>
      </c>
      <c r="K417" s="43" t="e">
        <f>VLOOKUP(E417,Input!C:G,5,0)</f>
        <v>#N/A</v>
      </c>
      <c r="L417" s="82" t="str">
        <f>IFERROR(VLOOKUP($E:$E,Input!$C:$Q,12,0),"")</f>
        <v/>
      </c>
      <c r="M417" s="82" t="str">
        <f>IFERROR(VLOOKUP($E:$E,Input!$C:$Q,14,0),"")</f>
        <v/>
      </c>
      <c r="N417" s="82" t="str">
        <f>IFERROR(VLOOKUP($E:$E,Input!$C:$Q,15,0),"")</f>
        <v/>
      </c>
      <c r="P417" s="43" t="str">
        <f t="shared" si="9"/>
        <v>416,416,**</v>
      </c>
      <c r="Q417" s="43" t="s">
        <v>4896</v>
      </c>
      <c r="R417" s="43">
        <v>6042070338</v>
      </c>
      <c r="T417" s="90" t="s">
        <v>4897</v>
      </c>
      <c r="V417" s="43">
        <v>416</v>
      </c>
    </row>
    <row r="418" spans="1:22" ht="15.75">
      <c r="A418" s="13" t="str">
        <f>IFERROR(VLOOKUP($E:$E,scan!$A:$B,2,0),"**")</f>
        <v>**</v>
      </c>
      <c r="B418" s="13" t="str">
        <f>IFERROR(VLOOKUP($E418,scan!A:C,3,0),"**")</f>
        <v>**</v>
      </c>
      <c r="C418" s="79">
        <v>417</v>
      </c>
      <c r="E418" s="58"/>
      <c r="G418" s="85" t="s">
        <v>4895</v>
      </c>
      <c r="H418" s="61">
        <v>0</v>
      </c>
      <c r="J418" s="43" t="e">
        <f>VLOOKUP(E418,Input!C:J,5,0)</f>
        <v>#N/A</v>
      </c>
      <c r="K418" s="43" t="e">
        <f>VLOOKUP(E418,Input!C:G,5,0)</f>
        <v>#N/A</v>
      </c>
      <c r="L418" s="82" t="str">
        <f>IFERROR(VLOOKUP($E:$E,Input!$C:$Q,12,0),"")</f>
        <v/>
      </c>
      <c r="M418" s="82" t="str">
        <f>IFERROR(VLOOKUP($E:$E,Input!$C:$Q,14,0),"")</f>
        <v/>
      </c>
      <c r="N418" s="82" t="str">
        <f>IFERROR(VLOOKUP($E:$E,Input!$C:$Q,15,0),"")</f>
        <v/>
      </c>
      <c r="P418" s="43" t="str">
        <f t="shared" si="9"/>
        <v>417,417,**</v>
      </c>
      <c r="Q418" s="43" t="s">
        <v>4896</v>
      </c>
      <c r="R418" s="43">
        <v>6042070338</v>
      </c>
      <c r="T418" s="90" t="s">
        <v>4897</v>
      </c>
      <c r="V418" s="43">
        <v>417</v>
      </c>
    </row>
    <row r="419" spans="1:22" ht="15.75">
      <c r="A419" s="13" t="str">
        <f>IFERROR(VLOOKUP($E:$E,scan!$A:$B,2,0),"**")</f>
        <v>**</v>
      </c>
      <c r="B419" s="13" t="str">
        <f>IFERROR(VLOOKUP($E419,scan!A:C,3,0),"**")</f>
        <v>**</v>
      </c>
      <c r="C419" s="79">
        <v>418</v>
      </c>
      <c r="E419" s="58"/>
      <c r="G419" s="85" t="s">
        <v>4895</v>
      </c>
      <c r="H419" s="61">
        <v>0</v>
      </c>
      <c r="J419" s="43" t="e">
        <f>VLOOKUP(E419,Input!C:J,5,0)</f>
        <v>#N/A</v>
      </c>
      <c r="K419" s="43" t="e">
        <f>VLOOKUP(E419,Input!C:G,5,0)</f>
        <v>#N/A</v>
      </c>
      <c r="L419" s="82" t="str">
        <f>IFERROR(VLOOKUP($E:$E,Input!$C:$Q,12,0),"")</f>
        <v/>
      </c>
      <c r="M419" s="82" t="str">
        <f>IFERROR(VLOOKUP($E:$E,Input!$C:$Q,14,0),"")</f>
        <v/>
      </c>
      <c r="N419" s="82" t="str">
        <f>IFERROR(VLOOKUP($E:$E,Input!$C:$Q,15,0),"")</f>
        <v/>
      </c>
      <c r="P419" s="43" t="str">
        <f t="shared" si="9"/>
        <v>418,418,**</v>
      </c>
      <c r="Q419" s="43" t="s">
        <v>4896</v>
      </c>
      <c r="R419" s="43">
        <v>6042070338</v>
      </c>
      <c r="T419" s="90" t="s">
        <v>4897</v>
      </c>
      <c r="V419" s="43">
        <v>418</v>
      </c>
    </row>
    <row r="420" spans="1:22" ht="15.75">
      <c r="A420" s="13" t="str">
        <f>IFERROR(VLOOKUP($E:$E,scan!$A:$B,2,0),"**")</f>
        <v>**</v>
      </c>
      <c r="B420" s="13" t="str">
        <f>IFERROR(VLOOKUP($E420,scan!A:C,3,0),"**")</f>
        <v>**</v>
      </c>
      <c r="C420" s="79">
        <v>419</v>
      </c>
      <c r="E420" s="58"/>
      <c r="G420" s="85" t="s">
        <v>4895</v>
      </c>
      <c r="H420" s="61">
        <v>0</v>
      </c>
      <c r="J420" s="43" t="e">
        <f>VLOOKUP(E420,Input!C:J,5,0)</f>
        <v>#N/A</v>
      </c>
      <c r="K420" s="43" t="e">
        <f>VLOOKUP(E420,Input!C:G,5,0)</f>
        <v>#N/A</v>
      </c>
      <c r="L420" s="82" t="str">
        <f>IFERROR(VLOOKUP($E:$E,Input!$C:$Q,12,0),"")</f>
        <v/>
      </c>
      <c r="M420" s="82" t="str">
        <f>IFERROR(VLOOKUP($E:$E,Input!$C:$Q,14,0),"")</f>
        <v/>
      </c>
      <c r="N420" s="82" t="str">
        <f>IFERROR(VLOOKUP($E:$E,Input!$C:$Q,15,0),"")</f>
        <v/>
      </c>
      <c r="P420" s="43" t="str">
        <f t="shared" si="9"/>
        <v>419,419,**</v>
      </c>
      <c r="Q420" s="43" t="s">
        <v>4896</v>
      </c>
      <c r="R420" s="43">
        <v>6042070338</v>
      </c>
      <c r="T420" s="90" t="s">
        <v>4897</v>
      </c>
      <c r="V420" s="43">
        <v>419</v>
      </c>
    </row>
    <row r="421" spans="1:22" ht="15.75">
      <c r="A421" s="13" t="str">
        <f>IFERROR(VLOOKUP($E:$E,scan!$A:$B,2,0),"**")</f>
        <v>**</v>
      </c>
      <c r="B421" s="13" t="str">
        <f>IFERROR(VLOOKUP($E421,scan!A:C,3,0),"**")</f>
        <v>**</v>
      </c>
      <c r="C421" s="79">
        <v>420</v>
      </c>
      <c r="E421" s="58"/>
      <c r="G421" s="85" t="s">
        <v>4895</v>
      </c>
      <c r="H421" s="61">
        <v>0</v>
      </c>
      <c r="J421" s="43" t="e">
        <f>VLOOKUP(E421,Input!C:J,5,0)</f>
        <v>#N/A</v>
      </c>
      <c r="K421" s="43" t="e">
        <f>VLOOKUP(E421,Input!C:G,5,0)</f>
        <v>#N/A</v>
      </c>
      <c r="L421" s="82" t="str">
        <f>IFERROR(VLOOKUP($E:$E,Input!$C:$Q,12,0),"")</f>
        <v/>
      </c>
      <c r="M421" s="82" t="str">
        <f>IFERROR(VLOOKUP($E:$E,Input!$C:$Q,14,0),"")</f>
        <v/>
      </c>
      <c r="N421" s="82" t="str">
        <f>IFERROR(VLOOKUP($E:$E,Input!$C:$Q,15,0),"")</f>
        <v/>
      </c>
      <c r="P421" s="43" t="str">
        <f t="shared" si="9"/>
        <v>420,420,**</v>
      </c>
      <c r="Q421" s="43" t="s">
        <v>4896</v>
      </c>
      <c r="R421" s="43">
        <v>6042070338</v>
      </c>
      <c r="T421" s="90" t="s">
        <v>4897</v>
      </c>
      <c r="V421" s="43">
        <v>420</v>
      </c>
    </row>
    <row r="422" spans="1:22" ht="15.75">
      <c r="A422" s="13" t="str">
        <f>IFERROR(VLOOKUP($E:$E,scan!$A:$B,2,0),"**")</f>
        <v>**</v>
      </c>
      <c r="B422" s="13" t="str">
        <f>IFERROR(VLOOKUP($E422,scan!A:C,3,0),"**")</f>
        <v>**</v>
      </c>
      <c r="C422" s="79">
        <v>421</v>
      </c>
      <c r="E422" s="58"/>
      <c r="G422" s="85" t="s">
        <v>4895</v>
      </c>
      <c r="H422" s="61">
        <v>0</v>
      </c>
      <c r="J422" s="43" t="e">
        <f>VLOOKUP(E422,Input!C:J,5,0)</f>
        <v>#N/A</v>
      </c>
      <c r="K422" s="43" t="e">
        <f>VLOOKUP(E422,Input!C:G,5,0)</f>
        <v>#N/A</v>
      </c>
      <c r="L422" s="82" t="str">
        <f>IFERROR(VLOOKUP($E:$E,Input!$C:$Q,12,0),"")</f>
        <v/>
      </c>
      <c r="M422" s="82" t="str">
        <f>IFERROR(VLOOKUP($E:$E,Input!$C:$Q,14,0),"")</f>
        <v/>
      </c>
      <c r="N422" s="82" t="str">
        <f>IFERROR(VLOOKUP($E:$E,Input!$C:$Q,15,0),"")</f>
        <v/>
      </c>
      <c r="P422" s="43" t="str">
        <f t="shared" si="9"/>
        <v>421,421,**</v>
      </c>
      <c r="Q422" s="43" t="s">
        <v>4896</v>
      </c>
      <c r="R422" s="43">
        <v>6042070338</v>
      </c>
      <c r="T422" s="90" t="s">
        <v>4897</v>
      </c>
      <c r="V422" s="43">
        <v>421</v>
      </c>
    </row>
    <row r="423" spans="1:22" ht="15.75">
      <c r="A423" s="13" t="str">
        <f>IFERROR(VLOOKUP($E:$E,scan!$A:$B,2,0),"**")</f>
        <v>**</v>
      </c>
      <c r="B423" s="13" t="str">
        <f>IFERROR(VLOOKUP($E423,scan!A:C,3,0),"**")</f>
        <v>**</v>
      </c>
      <c r="C423" s="79">
        <v>422</v>
      </c>
      <c r="E423" s="58"/>
      <c r="G423" s="85" t="s">
        <v>4895</v>
      </c>
      <c r="H423" s="61">
        <v>0</v>
      </c>
      <c r="J423" s="43" t="e">
        <f>VLOOKUP(E423,Input!C:J,5,0)</f>
        <v>#N/A</v>
      </c>
      <c r="K423" s="43" t="e">
        <f>VLOOKUP(E423,Input!C:G,5,0)</f>
        <v>#N/A</v>
      </c>
      <c r="L423" s="82" t="str">
        <f>IFERROR(VLOOKUP($E:$E,Input!$C:$Q,12,0),"")</f>
        <v/>
      </c>
      <c r="M423" s="82" t="str">
        <f>IFERROR(VLOOKUP($E:$E,Input!$C:$Q,14,0),"")</f>
        <v/>
      </c>
      <c r="N423" s="82" t="str">
        <f>IFERROR(VLOOKUP($E:$E,Input!$C:$Q,15,0),"")</f>
        <v/>
      </c>
      <c r="P423" s="43" t="str">
        <f t="shared" si="9"/>
        <v>422,422,**</v>
      </c>
      <c r="Q423" s="43" t="s">
        <v>4896</v>
      </c>
      <c r="R423" s="43">
        <v>6042070338</v>
      </c>
      <c r="T423" s="90" t="s">
        <v>4897</v>
      </c>
      <c r="V423" s="43">
        <v>422</v>
      </c>
    </row>
    <row r="424" spans="1:22" ht="15.75">
      <c r="A424" s="13" t="str">
        <f>IFERROR(VLOOKUP($E:$E,scan!$A:$B,2,0),"**")</f>
        <v>**</v>
      </c>
      <c r="B424" s="13" t="str">
        <f>IFERROR(VLOOKUP($E424,scan!A:C,3,0),"**")</f>
        <v>**</v>
      </c>
      <c r="C424" s="79">
        <v>423</v>
      </c>
      <c r="E424" s="58"/>
      <c r="G424" s="85" t="s">
        <v>4895</v>
      </c>
      <c r="H424" s="61">
        <v>0</v>
      </c>
      <c r="J424" s="43" t="e">
        <f>VLOOKUP(E424,Input!C:J,5,0)</f>
        <v>#N/A</v>
      </c>
      <c r="K424" s="43" t="e">
        <f>VLOOKUP(E424,Input!C:G,5,0)</f>
        <v>#N/A</v>
      </c>
      <c r="L424" s="82" t="str">
        <f>IFERROR(VLOOKUP($E:$E,Input!$C:$Q,12,0),"")</f>
        <v/>
      </c>
      <c r="M424" s="82" t="str">
        <f>IFERROR(VLOOKUP($E:$E,Input!$C:$Q,14,0),"")</f>
        <v/>
      </c>
      <c r="N424" s="82" t="str">
        <f>IFERROR(VLOOKUP($E:$E,Input!$C:$Q,15,0),"")</f>
        <v/>
      </c>
      <c r="P424" s="43" t="str">
        <f t="shared" si="9"/>
        <v>423,423,**</v>
      </c>
      <c r="Q424" s="43" t="s">
        <v>4896</v>
      </c>
      <c r="R424" s="43">
        <v>6042070338</v>
      </c>
      <c r="T424" s="90" t="s">
        <v>4897</v>
      </c>
      <c r="V424" s="43">
        <v>423</v>
      </c>
    </row>
    <row r="425" spans="1:22" ht="15.75">
      <c r="A425" s="13" t="str">
        <f>IFERROR(VLOOKUP($E:$E,scan!$A:$B,2,0),"**")</f>
        <v>**</v>
      </c>
      <c r="B425" s="13" t="str">
        <f>IFERROR(VLOOKUP($E425,scan!A:C,3,0),"**")</f>
        <v>**</v>
      </c>
      <c r="C425" s="79">
        <v>424</v>
      </c>
      <c r="E425" s="58"/>
      <c r="G425" s="85" t="s">
        <v>4895</v>
      </c>
      <c r="H425" s="61">
        <v>0</v>
      </c>
      <c r="J425" s="43" t="e">
        <f>VLOOKUP(E425,Input!C:J,5,0)</f>
        <v>#N/A</v>
      </c>
      <c r="K425" s="43" t="e">
        <f>VLOOKUP(E425,Input!C:G,5,0)</f>
        <v>#N/A</v>
      </c>
      <c r="L425" s="82" t="str">
        <f>IFERROR(VLOOKUP($E:$E,Input!$C:$Q,12,0),"")</f>
        <v/>
      </c>
      <c r="M425" s="82" t="str">
        <f>IFERROR(VLOOKUP($E:$E,Input!$C:$Q,14,0),"")</f>
        <v/>
      </c>
      <c r="N425" s="82" t="str">
        <f>IFERROR(VLOOKUP($E:$E,Input!$C:$Q,15,0),"")</f>
        <v/>
      </c>
      <c r="P425" s="43" t="str">
        <f t="shared" si="9"/>
        <v>424,424,**</v>
      </c>
      <c r="Q425" s="43" t="s">
        <v>4896</v>
      </c>
      <c r="R425" s="43">
        <v>6042070338</v>
      </c>
      <c r="T425" s="90" t="s">
        <v>4897</v>
      </c>
      <c r="V425" s="43">
        <v>424</v>
      </c>
    </row>
    <row r="426" spans="1:22" ht="15.75">
      <c r="A426" s="13" t="str">
        <f>IFERROR(VLOOKUP($E:$E,scan!$A:$B,2,0),"**")</f>
        <v>**</v>
      </c>
      <c r="B426" s="13" t="str">
        <f>IFERROR(VLOOKUP($E426,scan!A:C,3,0),"**")</f>
        <v>**</v>
      </c>
      <c r="C426" s="79">
        <v>425</v>
      </c>
      <c r="E426" s="58"/>
      <c r="G426" s="85" t="s">
        <v>4895</v>
      </c>
      <c r="H426" s="61">
        <v>0</v>
      </c>
      <c r="J426" s="43" t="e">
        <f>VLOOKUP(E426,Input!C:J,5,0)</f>
        <v>#N/A</v>
      </c>
      <c r="K426" s="43" t="e">
        <f>VLOOKUP(E426,Input!C:G,5,0)</f>
        <v>#N/A</v>
      </c>
      <c r="L426" s="82" t="str">
        <f>IFERROR(VLOOKUP($E:$E,Input!$C:$Q,12,0),"")</f>
        <v/>
      </c>
      <c r="M426" s="82" t="str">
        <f>IFERROR(VLOOKUP($E:$E,Input!$C:$Q,14,0),"")</f>
        <v/>
      </c>
      <c r="N426" s="82" t="str">
        <f>IFERROR(VLOOKUP($E:$E,Input!$C:$Q,15,0),"")</f>
        <v/>
      </c>
      <c r="P426" s="43" t="str">
        <f t="shared" si="9"/>
        <v>425,425,**</v>
      </c>
      <c r="Q426" s="43" t="s">
        <v>4896</v>
      </c>
      <c r="R426" s="43">
        <v>6042070338</v>
      </c>
      <c r="T426" s="90" t="s">
        <v>4897</v>
      </c>
      <c r="V426" s="43">
        <v>425</v>
      </c>
    </row>
    <row r="427" spans="1:22" ht="15.75">
      <c r="A427" s="13" t="str">
        <f>IFERROR(VLOOKUP($E:$E,scan!$A:$B,2,0),"**")</f>
        <v>**</v>
      </c>
      <c r="B427" s="13" t="str">
        <f>IFERROR(VLOOKUP($E427,scan!A:C,3,0),"**")</f>
        <v>**</v>
      </c>
      <c r="C427" s="79">
        <v>426</v>
      </c>
      <c r="E427" s="58"/>
      <c r="G427" s="85" t="s">
        <v>4895</v>
      </c>
      <c r="H427" s="61">
        <v>0</v>
      </c>
      <c r="J427" s="43" t="e">
        <f>VLOOKUP(E427,Input!C:J,5,0)</f>
        <v>#N/A</v>
      </c>
      <c r="K427" s="43" t="e">
        <f>VLOOKUP(E427,Input!C:G,5,0)</f>
        <v>#N/A</v>
      </c>
      <c r="L427" s="82" t="str">
        <f>IFERROR(VLOOKUP($E:$E,Input!$C:$Q,12,0),"")</f>
        <v/>
      </c>
      <c r="M427" s="82" t="str">
        <f>IFERROR(VLOOKUP($E:$E,Input!$C:$Q,14,0),"")</f>
        <v/>
      </c>
      <c r="N427" s="82" t="str">
        <f>IFERROR(VLOOKUP($E:$E,Input!$C:$Q,15,0),"")</f>
        <v/>
      </c>
      <c r="P427" s="43" t="str">
        <f t="shared" si="9"/>
        <v>426,426,**</v>
      </c>
      <c r="Q427" s="43" t="s">
        <v>4896</v>
      </c>
      <c r="R427" s="43">
        <v>6042070338</v>
      </c>
      <c r="T427" s="90" t="s">
        <v>4897</v>
      </c>
      <c r="V427" s="43">
        <v>426</v>
      </c>
    </row>
    <row r="428" spans="1:22" ht="15.75">
      <c r="A428" s="13" t="str">
        <f>IFERROR(VLOOKUP($E:$E,scan!$A:$B,2,0),"**")</f>
        <v>**</v>
      </c>
      <c r="B428" s="13" t="str">
        <f>IFERROR(VLOOKUP($E428,scan!A:C,3,0),"**")</f>
        <v>**</v>
      </c>
      <c r="C428" s="79">
        <v>427</v>
      </c>
      <c r="E428" s="58"/>
      <c r="G428" s="85" t="s">
        <v>4895</v>
      </c>
      <c r="H428" s="61">
        <v>0</v>
      </c>
      <c r="J428" s="43" t="e">
        <f>VLOOKUP(E428,Input!C:J,5,0)</f>
        <v>#N/A</v>
      </c>
      <c r="K428" s="43" t="e">
        <f>VLOOKUP(E428,Input!C:G,5,0)</f>
        <v>#N/A</v>
      </c>
      <c r="L428" s="82" t="str">
        <f>IFERROR(VLOOKUP($E:$E,Input!$C:$Q,12,0),"")</f>
        <v/>
      </c>
      <c r="M428" s="82" t="str">
        <f>IFERROR(VLOOKUP($E:$E,Input!$C:$Q,14,0),"")</f>
        <v/>
      </c>
      <c r="N428" s="82" t="str">
        <f>IFERROR(VLOOKUP($E:$E,Input!$C:$Q,15,0),"")</f>
        <v/>
      </c>
      <c r="P428" s="43" t="str">
        <f t="shared" si="9"/>
        <v>427,427,**</v>
      </c>
      <c r="Q428" s="43" t="s">
        <v>4896</v>
      </c>
      <c r="R428" s="43">
        <v>6042070338</v>
      </c>
      <c r="T428" s="90" t="s">
        <v>4897</v>
      </c>
      <c r="V428" s="43">
        <v>427</v>
      </c>
    </row>
    <row r="429" spans="1:22" ht="15.75">
      <c r="A429" s="13" t="str">
        <f>IFERROR(VLOOKUP($E:$E,scan!$A:$B,2,0),"**")</f>
        <v>**</v>
      </c>
      <c r="B429" s="13" t="str">
        <f>IFERROR(VLOOKUP($E429,scan!A:C,3,0),"**")</f>
        <v>**</v>
      </c>
      <c r="C429" s="79">
        <v>428</v>
      </c>
      <c r="E429" s="58"/>
      <c r="G429" s="85" t="s">
        <v>4895</v>
      </c>
      <c r="H429" s="61">
        <v>0</v>
      </c>
      <c r="J429" s="43" t="e">
        <f>VLOOKUP(E429,Input!C:J,5,0)</f>
        <v>#N/A</v>
      </c>
      <c r="K429" s="43" t="e">
        <f>VLOOKUP(E429,Input!C:G,5,0)</f>
        <v>#N/A</v>
      </c>
      <c r="L429" s="82" t="str">
        <f>IFERROR(VLOOKUP($E:$E,Input!$C:$Q,12,0),"")</f>
        <v/>
      </c>
      <c r="M429" s="82" t="str">
        <f>IFERROR(VLOOKUP($E:$E,Input!$C:$Q,14,0),"")</f>
        <v/>
      </c>
      <c r="N429" s="82" t="str">
        <f>IFERROR(VLOOKUP($E:$E,Input!$C:$Q,15,0),"")</f>
        <v/>
      </c>
      <c r="P429" s="43" t="str">
        <f t="shared" si="9"/>
        <v>428,428,**</v>
      </c>
      <c r="Q429" s="43" t="s">
        <v>4896</v>
      </c>
      <c r="R429" s="43">
        <v>6042070338</v>
      </c>
      <c r="T429" s="90" t="s">
        <v>4897</v>
      </c>
      <c r="V429" s="43">
        <v>428</v>
      </c>
    </row>
    <row r="430" spans="1:22" ht="15.75">
      <c r="A430" s="13" t="str">
        <f>IFERROR(VLOOKUP($E:$E,scan!$A:$B,2,0),"**")</f>
        <v>**</v>
      </c>
      <c r="B430" s="13" t="str">
        <f>IFERROR(VLOOKUP($E430,scan!A:C,3,0),"**")</f>
        <v>**</v>
      </c>
      <c r="C430" s="79">
        <v>429</v>
      </c>
      <c r="E430" s="58"/>
      <c r="G430" s="85" t="s">
        <v>4895</v>
      </c>
      <c r="H430" s="61">
        <v>0</v>
      </c>
      <c r="J430" s="43" t="e">
        <f>VLOOKUP(E430,Input!C:J,5,0)</f>
        <v>#N/A</v>
      </c>
      <c r="K430" s="43" t="e">
        <f>VLOOKUP(E430,Input!C:G,5,0)</f>
        <v>#N/A</v>
      </c>
      <c r="L430" s="82" t="str">
        <f>IFERROR(VLOOKUP($E:$E,Input!$C:$Q,12,0),"")</f>
        <v/>
      </c>
      <c r="M430" s="82" t="str">
        <f>IFERROR(VLOOKUP($E:$E,Input!$C:$Q,14,0),"")</f>
        <v/>
      </c>
      <c r="N430" s="82" t="str">
        <f>IFERROR(VLOOKUP($E:$E,Input!$C:$Q,15,0),"")</f>
        <v/>
      </c>
      <c r="P430" s="43" t="str">
        <f t="shared" si="9"/>
        <v>429,429,**</v>
      </c>
      <c r="Q430" s="43" t="s">
        <v>4896</v>
      </c>
      <c r="R430" s="43">
        <v>6042070338</v>
      </c>
      <c r="T430" s="90" t="s">
        <v>4897</v>
      </c>
      <c r="V430" s="43">
        <v>429</v>
      </c>
    </row>
    <row r="431" spans="1:22" ht="15.75">
      <c r="A431" s="13" t="str">
        <f>IFERROR(VLOOKUP($E:$E,scan!$A:$B,2,0),"**")</f>
        <v>**</v>
      </c>
      <c r="B431" s="13" t="str">
        <f>IFERROR(VLOOKUP($E431,scan!A:C,3,0),"**")</f>
        <v>**</v>
      </c>
      <c r="C431" s="79">
        <v>430</v>
      </c>
      <c r="E431" s="58"/>
      <c r="G431" s="85" t="s">
        <v>4895</v>
      </c>
      <c r="H431" s="61">
        <v>0</v>
      </c>
      <c r="J431" s="43" t="e">
        <f>VLOOKUP(E431,Input!C:J,5,0)</f>
        <v>#N/A</v>
      </c>
      <c r="K431" s="43" t="e">
        <f>VLOOKUP(E431,Input!C:G,5,0)</f>
        <v>#N/A</v>
      </c>
      <c r="L431" s="82" t="str">
        <f>IFERROR(VLOOKUP($E:$E,Input!$C:$Q,12,0),"")</f>
        <v/>
      </c>
      <c r="M431" s="82" t="str">
        <f>IFERROR(VLOOKUP($E:$E,Input!$C:$Q,14,0),"")</f>
        <v/>
      </c>
      <c r="N431" s="82" t="str">
        <f>IFERROR(VLOOKUP($E:$E,Input!$C:$Q,15,0),"")</f>
        <v/>
      </c>
      <c r="P431" s="43" t="str">
        <f t="shared" si="9"/>
        <v>430,430,**</v>
      </c>
      <c r="Q431" s="43" t="s">
        <v>4896</v>
      </c>
      <c r="R431" s="43">
        <v>6042070338</v>
      </c>
      <c r="T431" s="90" t="s">
        <v>4897</v>
      </c>
      <c r="V431" s="43">
        <v>430</v>
      </c>
    </row>
    <row r="432" spans="1:22" ht="15.75">
      <c r="A432" s="13" t="str">
        <f>IFERROR(VLOOKUP($E:$E,scan!$A:$B,2,0),"**")</f>
        <v>**</v>
      </c>
      <c r="B432" s="13" t="str">
        <f>IFERROR(VLOOKUP($E432,scan!A:C,3,0),"**")</f>
        <v>**</v>
      </c>
      <c r="C432" s="79">
        <v>431</v>
      </c>
      <c r="E432" s="58"/>
      <c r="G432" s="85" t="s">
        <v>4895</v>
      </c>
      <c r="H432" s="61">
        <v>0</v>
      </c>
      <c r="J432" s="43" t="e">
        <f>VLOOKUP(E432,Input!C:J,5,0)</f>
        <v>#N/A</v>
      </c>
      <c r="K432" s="43" t="e">
        <f>VLOOKUP(E432,Input!C:G,5,0)</f>
        <v>#N/A</v>
      </c>
      <c r="L432" s="82" t="str">
        <f>IFERROR(VLOOKUP($E:$E,Input!$C:$Q,12,0),"")</f>
        <v/>
      </c>
      <c r="M432" s="82" t="str">
        <f>IFERROR(VLOOKUP($E:$E,Input!$C:$Q,14,0),"")</f>
        <v/>
      </c>
      <c r="N432" s="82" t="str">
        <f>IFERROR(VLOOKUP($E:$E,Input!$C:$Q,15,0),"")</f>
        <v/>
      </c>
      <c r="P432" s="43" t="str">
        <f t="shared" si="9"/>
        <v>431,431,**</v>
      </c>
      <c r="Q432" s="43" t="s">
        <v>4896</v>
      </c>
      <c r="R432" s="43">
        <v>6042070338</v>
      </c>
      <c r="T432" s="90" t="s">
        <v>4897</v>
      </c>
      <c r="V432" s="43">
        <v>431</v>
      </c>
    </row>
    <row r="433" spans="1:22" ht="15.75">
      <c r="A433" s="13" t="str">
        <f>IFERROR(VLOOKUP($E:$E,scan!$A:$B,2,0),"**")</f>
        <v>**</v>
      </c>
      <c r="B433" s="13" t="str">
        <f>IFERROR(VLOOKUP($E433,scan!A:C,3,0),"**")</f>
        <v>**</v>
      </c>
      <c r="C433" s="79">
        <v>432</v>
      </c>
      <c r="E433" s="58"/>
      <c r="G433" s="85" t="s">
        <v>4895</v>
      </c>
      <c r="H433" s="61">
        <v>0</v>
      </c>
      <c r="J433" s="43" t="e">
        <f>VLOOKUP(E433,Input!C:J,5,0)</f>
        <v>#N/A</v>
      </c>
      <c r="K433" s="43" t="e">
        <f>VLOOKUP(E433,Input!C:G,5,0)</f>
        <v>#N/A</v>
      </c>
      <c r="L433" s="82" t="str">
        <f>IFERROR(VLOOKUP($E:$E,Input!$C:$Q,12,0),"")</f>
        <v/>
      </c>
      <c r="M433" s="82" t="str">
        <f>IFERROR(VLOOKUP($E:$E,Input!$C:$Q,14,0),"")</f>
        <v/>
      </c>
      <c r="N433" s="82" t="str">
        <f>IFERROR(VLOOKUP($E:$E,Input!$C:$Q,15,0),"")</f>
        <v/>
      </c>
      <c r="P433" s="43" t="str">
        <f t="shared" si="9"/>
        <v>432,432,**</v>
      </c>
      <c r="Q433" s="43" t="s">
        <v>4896</v>
      </c>
      <c r="R433" s="43">
        <v>6042070338</v>
      </c>
      <c r="T433" s="90" t="s">
        <v>4897</v>
      </c>
      <c r="V433" s="43">
        <v>432</v>
      </c>
    </row>
    <row r="434" spans="1:22" ht="15.75">
      <c r="A434" s="13" t="str">
        <f>IFERROR(VLOOKUP($E:$E,scan!$A:$B,2,0),"**")</f>
        <v>**</v>
      </c>
      <c r="B434" s="13" t="str">
        <f>IFERROR(VLOOKUP($E434,scan!A:C,3,0),"**")</f>
        <v>**</v>
      </c>
      <c r="C434" s="79">
        <v>433</v>
      </c>
      <c r="E434" s="58"/>
      <c r="G434" s="85" t="s">
        <v>4895</v>
      </c>
      <c r="H434" s="61">
        <v>0</v>
      </c>
      <c r="J434" s="43" t="e">
        <f>VLOOKUP(E434,Input!C:J,5,0)</f>
        <v>#N/A</v>
      </c>
      <c r="K434" s="43" t="e">
        <f>VLOOKUP(E434,Input!C:G,5,0)</f>
        <v>#N/A</v>
      </c>
      <c r="L434" s="82" t="str">
        <f>IFERROR(VLOOKUP($E:$E,Input!$C:$Q,12,0),"")</f>
        <v/>
      </c>
      <c r="M434" s="82" t="str">
        <f>IFERROR(VLOOKUP($E:$E,Input!$C:$Q,14,0),"")</f>
        <v/>
      </c>
      <c r="N434" s="82" t="str">
        <f>IFERROR(VLOOKUP($E:$E,Input!$C:$Q,15,0),"")</f>
        <v/>
      </c>
      <c r="P434" s="43" t="str">
        <f t="shared" si="9"/>
        <v>433,433,**</v>
      </c>
      <c r="Q434" s="43" t="s">
        <v>4896</v>
      </c>
      <c r="R434" s="43">
        <v>6042070338</v>
      </c>
      <c r="T434" s="90" t="s">
        <v>4897</v>
      </c>
      <c r="V434" s="43">
        <v>433</v>
      </c>
    </row>
    <row r="435" spans="1:22" ht="15.75">
      <c r="A435" s="13" t="str">
        <f>IFERROR(VLOOKUP($E:$E,scan!$A:$B,2,0),"**")</f>
        <v>**</v>
      </c>
      <c r="B435" s="13" t="str">
        <f>IFERROR(VLOOKUP($E435,scan!A:C,3,0),"**")</f>
        <v>**</v>
      </c>
      <c r="C435" s="79">
        <v>434</v>
      </c>
      <c r="E435" s="58"/>
      <c r="G435" s="85" t="s">
        <v>4895</v>
      </c>
      <c r="H435" s="61">
        <v>0</v>
      </c>
      <c r="J435" s="43" t="e">
        <f>VLOOKUP(E435,Input!C:J,5,0)</f>
        <v>#N/A</v>
      </c>
      <c r="K435" s="43" t="e">
        <f>VLOOKUP(E435,Input!C:G,5,0)</f>
        <v>#N/A</v>
      </c>
      <c r="L435" s="82" t="str">
        <f>IFERROR(VLOOKUP($E:$E,Input!$C:$Q,12,0),"")</f>
        <v/>
      </c>
      <c r="M435" s="82" t="str">
        <f>IFERROR(VLOOKUP($E:$E,Input!$C:$Q,14,0),"")</f>
        <v/>
      </c>
      <c r="N435" s="82" t="str">
        <f>IFERROR(VLOOKUP($E:$E,Input!$C:$Q,15,0),"")</f>
        <v/>
      </c>
      <c r="P435" s="43" t="str">
        <f t="shared" si="9"/>
        <v>434,434,**</v>
      </c>
      <c r="Q435" s="43" t="s">
        <v>4896</v>
      </c>
      <c r="R435" s="43">
        <v>6042070338</v>
      </c>
      <c r="T435" s="90" t="s">
        <v>4897</v>
      </c>
      <c r="V435" s="43">
        <v>434</v>
      </c>
    </row>
    <row r="436" spans="1:22" ht="15.75">
      <c r="A436" s="13" t="str">
        <f>IFERROR(VLOOKUP($E:$E,scan!$A:$B,2,0),"**")</f>
        <v>**</v>
      </c>
      <c r="B436" s="13" t="str">
        <f>IFERROR(VLOOKUP($E436,scan!A:C,3,0),"**")</f>
        <v>**</v>
      </c>
      <c r="C436" s="79">
        <v>435</v>
      </c>
      <c r="E436" s="58"/>
      <c r="G436" s="85" t="s">
        <v>4895</v>
      </c>
      <c r="H436" s="61">
        <v>0</v>
      </c>
      <c r="J436" s="43" t="e">
        <f>VLOOKUP(E436,Input!C:J,5,0)</f>
        <v>#N/A</v>
      </c>
      <c r="K436" s="43" t="e">
        <f>VLOOKUP(E436,Input!C:G,5,0)</f>
        <v>#N/A</v>
      </c>
      <c r="L436" s="82" t="str">
        <f>IFERROR(VLOOKUP($E:$E,Input!$C:$Q,12,0),"")</f>
        <v/>
      </c>
      <c r="M436" s="82" t="str">
        <f>IFERROR(VLOOKUP($E:$E,Input!$C:$Q,14,0),"")</f>
        <v/>
      </c>
      <c r="N436" s="82" t="str">
        <f>IFERROR(VLOOKUP($E:$E,Input!$C:$Q,15,0),"")</f>
        <v/>
      </c>
      <c r="P436" s="43" t="str">
        <f t="shared" si="9"/>
        <v>435,435,**</v>
      </c>
      <c r="Q436" s="43" t="s">
        <v>4896</v>
      </c>
      <c r="R436" s="43">
        <v>6042070338</v>
      </c>
      <c r="T436" s="90" t="s">
        <v>4897</v>
      </c>
      <c r="V436" s="43">
        <v>435</v>
      </c>
    </row>
    <row r="437" spans="1:22" ht="15.75">
      <c r="A437" s="13" t="str">
        <f>IFERROR(VLOOKUP($E:$E,scan!$A:$B,2,0),"**")</f>
        <v>**</v>
      </c>
      <c r="B437" s="13" t="str">
        <f>IFERROR(VLOOKUP($E437,scan!A:C,3,0),"**")</f>
        <v>**</v>
      </c>
      <c r="C437" s="79">
        <v>436</v>
      </c>
      <c r="E437" s="58"/>
      <c r="G437" s="85" t="s">
        <v>4895</v>
      </c>
      <c r="H437" s="61">
        <v>0</v>
      </c>
      <c r="J437" s="43" t="e">
        <f>VLOOKUP(E437,Input!C:J,5,0)</f>
        <v>#N/A</v>
      </c>
      <c r="K437" s="43" t="e">
        <f>VLOOKUP(E437,Input!C:G,5,0)</f>
        <v>#N/A</v>
      </c>
      <c r="L437" s="82" t="str">
        <f>IFERROR(VLOOKUP($E:$E,Input!$C:$Q,12,0),"")</f>
        <v/>
      </c>
      <c r="M437" s="82" t="str">
        <f>IFERROR(VLOOKUP($E:$E,Input!$C:$Q,14,0),"")</f>
        <v/>
      </c>
      <c r="N437" s="82" t="str">
        <f>IFERROR(VLOOKUP($E:$E,Input!$C:$Q,15,0),"")</f>
        <v/>
      </c>
      <c r="P437" s="43" t="str">
        <f t="shared" si="9"/>
        <v>436,436,**</v>
      </c>
      <c r="Q437" s="43" t="s">
        <v>4896</v>
      </c>
      <c r="R437" s="43">
        <v>6042070338</v>
      </c>
      <c r="T437" s="90" t="s">
        <v>4897</v>
      </c>
      <c r="V437" s="43">
        <v>436</v>
      </c>
    </row>
    <row r="438" spans="1:22" ht="15.75">
      <c r="A438" s="13" t="str">
        <f>IFERROR(VLOOKUP($E:$E,scan!$A:$B,2,0),"**")</f>
        <v>**</v>
      </c>
      <c r="B438" s="13" t="str">
        <f>IFERROR(VLOOKUP($E438,scan!A:C,3,0),"**")</f>
        <v>**</v>
      </c>
      <c r="C438" s="79">
        <v>437</v>
      </c>
      <c r="E438" s="58"/>
      <c r="G438" s="85" t="s">
        <v>4895</v>
      </c>
      <c r="H438" s="61">
        <v>0</v>
      </c>
      <c r="J438" s="43" t="e">
        <f>VLOOKUP(E438,Input!C:J,5,0)</f>
        <v>#N/A</v>
      </c>
      <c r="K438" s="43" t="e">
        <f>VLOOKUP(E438,Input!C:G,5,0)</f>
        <v>#N/A</v>
      </c>
      <c r="L438" s="82" t="str">
        <f>IFERROR(VLOOKUP($E:$E,Input!$C:$Q,12,0),"")</f>
        <v/>
      </c>
      <c r="M438" s="82" t="str">
        <f>IFERROR(VLOOKUP($E:$E,Input!$C:$Q,14,0),"")</f>
        <v/>
      </c>
      <c r="N438" s="82" t="str">
        <f>IFERROR(VLOOKUP($E:$E,Input!$C:$Q,15,0),"")</f>
        <v/>
      </c>
      <c r="P438" s="43" t="str">
        <f t="shared" si="9"/>
        <v>437,437,**</v>
      </c>
      <c r="Q438" s="43" t="s">
        <v>4896</v>
      </c>
      <c r="R438" s="43">
        <v>6042070338</v>
      </c>
      <c r="T438" s="90" t="s">
        <v>4897</v>
      </c>
      <c r="V438" s="43">
        <v>437</v>
      </c>
    </row>
    <row r="439" spans="1:22" ht="15.75">
      <c r="A439" s="13" t="str">
        <f>IFERROR(VLOOKUP($E:$E,scan!$A:$B,2,0),"**")</f>
        <v>**</v>
      </c>
      <c r="B439" s="13" t="str">
        <f>IFERROR(VLOOKUP($E439,scan!A:C,3,0),"**")</f>
        <v>**</v>
      </c>
      <c r="C439" s="79">
        <v>438</v>
      </c>
      <c r="E439" s="58"/>
      <c r="G439" s="85" t="s">
        <v>4895</v>
      </c>
      <c r="H439" s="61">
        <v>0</v>
      </c>
      <c r="J439" s="43" t="e">
        <f>VLOOKUP(E439,Input!C:J,5,0)</f>
        <v>#N/A</v>
      </c>
      <c r="K439" s="43" t="e">
        <f>VLOOKUP(E439,Input!C:G,5,0)</f>
        <v>#N/A</v>
      </c>
      <c r="L439" s="82" t="str">
        <f>IFERROR(VLOOKUP($E:$E,Input!$C:$Q,12,0),"")</f>
        <v/>
      </c>
      <c r="M439" s="82" t="str">
        <f>IFERROR(VLOOKUP($E:$E,Input!$C:$Q,14,0),"")</f>
        <v/>
      </c>
      <c r="N439" s="82" t="str">
        <f>IFERROR(VLOOKUP($E:$E,Input!$C:$Q,15,0),"")</f>
        <v/>
      </c>
      <c r="P439" s="43" t="str">
        <f t="shared" si="9"/>
        <v>438,438,**</v>
      </c>
      <c r="Q439" s="43" t="s">
        <v>4896</v>
      </c>
      <c r="R439" s="43">
        <v>6042070338</v>
      </c>
      <c r="T439" s="90" t="s">
        <v>4897</v>
      </c>
      <c r="V439" s="43">
        <v>438</v>
      </c>
    </row>
    <row r="440" spans="1:22" ht="15.75">
      <c r="A440" s="13" t="str">
        <f>IFERROR(VLOOKUP($E:$E,scan!$A:$B,2,0),"**")</f>
        <v>**</v>
      </c>
      <c r="B440" s="13" t="str">
        <f>IFERROR(VLOOKUP($E440,scan!A:C,3,0),"**")</f>
        <v>**</v>
      </c>
      <c r="C440" s="79">
        <v>439</v>
      </c>
      <c r="E440" s="58"/>
      <c r="G440" s="85" t="s">
        <v>4895</v>
      </c>
      <c r="H440" s="61">
        <v>0</v>
      </c>
      <c r="J440" s="43" t="e">
        <f>VLOOKUP(E440,Input!C:J,5,0)</f>
        <v>#N/A</v>
      </c>
      <c r="K440" s="43" t="e">
        <f>VLOOKUP(E440,Input!C:G,5,0)</f>
        <v>#N/A</v>
      </c>
      <c r="L440" s="82" t="str">
        <f>IFERROR(VLOOKUP($E:$E,Input!$C:$Q,12,0),"")</f>
        <v/>
      </c>
      <c r="M440" s="82" t="str">
        <f>IFERROR(VLOOKUP($E:$E,Input!$C:$Q,14,0),"")</f>
        <v/>
      </c>
      <c r="N440" s="82" t="str">
        <f>IFERROR(VLOOKUP($E:$E,Input!$C:$Q,15,0),"")</f>
        <v/>
      </c>
      <c r="P440" s="43" t="str">
        <f t="shared" si="9"/>
        <v>439,439,**</v>
      </c>
      <c r="Q440" s="43" t="s">
        <v>4896</v>
      </c>
      <c r="R440" s="43">
        <v>6042070338</v>
      </c>
      <c r="T440" s="90" t="s">
        <v>4897</v>
      </c>
      <c r="V440" s="43">
        <v>439</v>
      </c>
    </row>
    <row r="441" spans="1:22" ht="15.75">
      <c r="A441" s="13" t="str">
        <f>IFERROR(VLOOKUP($E:$E,scan!$A:$B,2,0),"**")</f>
        <v>**</v>
      </c>
      <c r="B441" s="13" t="str">
        <f>IFERROR(VLOOKUP($E441,scan!A:C,3,0),"**")</f>
        <v>**</v>
      </c>
      <c r="C441" s="79">
        <v>440</v>
      </c>
      <c r="E441" s="58"/>
      <c r="G441" s="85" t="s">
        <v>4895</v>
      </c>
      <c r="H441" s="61">
        <v>0</v>
      </c>
      <c r="J441" s="43" t="e">
        <f>VLOOKUP(E441,Input!C:J,5,0)</f>
        <v>#N/A</v>
      </c>
      <c r="K441" s="43" t="e">
        <f>VLOOKUP(E441,Input!C:G,5,0)</f>
        <v>#N/A</v>
      </c>
      <c r="L441" s="82" t="str">
        <f>IFERROR(VLOOKUP($E:$E,Input!$C:$Q,12,0),"")</f>
        <v/>
      </c>
      <c r="M441" s="82" t="str">
        <f>IFERROR(VLOOKUP($E:$E,Input!$C:$Q,14,0),"")</f>
        <v/>
      </c>
      <c r="N441" s="82" t="str">
        <f>IFERROR(VLOOKUP($E:$E,Input!$C:$Q,15,0),"")</f>
        <v/>
      </c>
      <c r="P441" s="43" t="str">
        <f t="shared" si="9"/>
        <v>440,440,**</v>
      </c>
      <c r="Q441" s="43" t="s">
        <v>4896</v>
      </c>
      <c r="R441" s="43">
        <v>6042070338</v>
      </c>
      <c r="T441" s="90" t="s">
        <v>4897</v>
      </c>
      <c r="V441" s="43">
        <v>440</v>
      </c>
    </row>
    <row r="442" spans="1:22" ht="15.75">
      <c r="A442" s="13" t="str">
        <f>IFERROR(VLOOKUP($E:$E,scan!$A:$B,2,0),"**")</f>
        <v>**</v>
      </c>
      <c r="B442" s="13" t="str">
        <f>IFERROR(VLOOKUP($E442,scan!A:C,3,0),"**")</f>
        <v>**</v>
      </c>
      <c r="C442" s="79">
        <v>441</v>
      </c>
      <c r="E442" s="58"/>
      <c r="G442" s="85" t="s">
        <v>4895</v>
      </c>
      <c r="H442" s="61">
        <v>0</v>
      </c>
      <c r="J442" s="43" t="e">
        <f>VLOOKUP(E442,Input!C:J,5,0)</f>
        <v>#N/A</v>
      </c>
      <c r="K442" s="43" t="e">
        <f>VLOOKUP(E442,Input!C:G,5,0)</f>
        <v>#N/A</v>
      </c>
      <c r="L442" s="82" t="str">
        <f>IFERROR(VLOOKUP($E:$E,Input!$C:$Q,12,0),"")</f>
        <v/>
      </c>
      <c r="M442" s="82" t="str">
        <f>IFERROR(VLOOKUP($E:$E,Input!$C:$Q,14,0),"")</f>
        <v/>
      </c>
      <c r="N442" s="82" t="str">
        <f>IFERROR(VLOOKUP($E:$E,Input!$C:$Q,15,0),"")</f>
        <v/>
      </c>
      <c r="P442" s="43" t="str">
        <f t="shared" si="9"/>
        <v>441,441,**</v>
      </c>
      <c r="Q442" s="43" t="s">
        <v>4896</v>
      </c>
      <c r="R442" s="43">
        <v>6042070338</v>
      </c>
      <c r="T442" s="90" t="s">
        <v>4897</v>
      </c>
      <c r="V442" s="43">
        <v>441</v>
      </c>
    </row>
    <row r="443" spans="1:22" ht="15.75">
      <c r="A443" s="13" t="str">
        <f>IFERROR(VLOOKUP($E:$E,scan!$A:$B,2,0),"**")</f>
        <v>**</v>
      </c>
      <c r="B443" s="13" t="str">
        <f>IFERROR(VLOOKUP($E443,scan!A:C,3,0),"**")</f>
        <v>**</v>
      </c>
      <c r="C443" s="79">
        <v>442</v>
      </c>
      <c r="E443" s="58"/>
      <c r="G443" s="85" t="s">
        <v>4895</v>
      </c>
      <c r="H443" s="61">
        <v>0</v>
      </c>
      <c r="J443" s="43" t="e">
        <f>VLOOKUP(E443,Input!C:J,5,0)</f>
        <v>#N/A</v>
      </c>
      <c r="K443" s="43" t="e">
        <f>VLOOKUP(E443,Input!C:G,5,0)</f>
        <v>#N/A</v>
      </c>
      <c r="L443" s="82" t="str">
        <f>IFERROR(VLOOKUP($E:$E,Input!$C:$Q,12,0),"")</f>
        <v/>
      </c>
      <c r="M443" s="82" t="str">
        <f>IFERROR(VLOOKUP($E:$E,Input!$C:$Q,14,0),"")</f>
        <v/>
      </c>
      <c r="N443" s="82" t="str">
        <f>IFERROR(VLOOKUP($E:$E,Input!$C:$Q,15,0),"")</f>
        <v/>
      </c>
      <c r="P443" s="43" t="str">
        <f t="shared" si="9"/>
        <v>442,442,**</v>
      </c>
      <c r="Q443" s="43" t="s">
        <v>4896</v>
      </c>
      <c r="R443" s="43">
        <v>6042070338</v>
      </c>
      <c r="T443" s="90" t="s">
        <v>4897</v>
      </c>
      <c r="V443" s="43">
        <v>442</v>
      </c>
    </row>
    <row r="444" spans="1:22" ht="15.75">
      <c r="A444" s="13" t="str">
        <f>IFERROR(VLOOKUP($E:$E,scan!$A:$B,2,0),"**")</f>
        <v>**</v>
      </c>
      <c r="B444" s="13" t="str">
        <f>IFERROR(VLOOKUP($E444,scan!A:C,3,0),"**")</f>
        <v>**</v>
      </c>
      <c r="C444" s="79">
        <v>443</v>
      </c>
      <c r="E444" s="58"/>
      <c r="G444" s="85" t="s">
        <v>4895</v>
      </c>
      <c r="H444" s="61">
        <v>0</v>
      </c>
      <c r="J444" s="43" t="e">
        <f>VLOOKUP(E444,Input!C:J,5,0)</f>
        <v>#N/A</v>
      </c>
      <c r="K444" s="43" t="e">
        <f>VLOOKUP(E444,Input!C:G,5,0)</f>
        <v>#N/A</v>
      </c>
      <c r="L444" s="82" t="str">
        <f>IFERROR(VLOOKUP($E:$E,Input!$C:$Q,12,0),"")</f>
        <v/>
      </c>
      <c r="M444" s="82" t="str">
        <f>IFERROR(VLOOKUP($E:$E,Input!$C:$Q,14,0),"")</f>
        <v/>
      </c>
      <c r="N444" s="82" t="str">
        <f>IFERROR(VLOOKUP($E:$E,Input!$C:$Q,15,0),"")</f>
        <v/>
      </c>
      <c r="P444" s="43" t="str">
        <f t="shared" si="9"/>
        <v>443,443,**</v>
      </c>
      <c r="Q444" s="43" t="s">
        <v>4896</v>
      </c>
      <c r="R444" s="43">
        <v>6042070338</v>
      </c>
      <c r="T444" s="90" t="s">
        <v>4897</v>
      </c>
      <c r="V444" s="43">
        <v>443</v>
      </c>
    </row>
    <row r="445" spans="1:22" ht="15.75">
      <c r="A445" s="13" t="str">
        <f>IFERROR(VLOOKUP($E:$E,scan!$A:$B,2,0),"**")</f>
        <v>**</v>
      </c>
      <c r="B445" s="13" t="str">
        <f>IFERROR(VLOOKUP($E445,scan!A:C,3,0),"**")</f>
        <v>**</v>
      </c>
      <c r="C445" s="79">
        <v>444</v>
      </c>
      <c r="E445" s="58"/>
      <c r="G445" s="85" t="s">
        <v>4895</v>
      </c>
      <c r="H445" s="61">
        <v>0</v>
      </c>
      <c r="J445" s="43" t="e">
        <f>VLOOKUP(E445,Input!C:J,5,0)</f>
        <v>#N/A</v>
      </c>
      <c r="K445" s="43" t="e">
        <f>VLOOKUP(E445,Input!C:G,5,0)</f>
        <v>#N/A</v>
      </c>
      <c r="L445" s="82" t="str">
        <f>IFERROR(VLOOKUP($E:$E,Input!$C:$Q,12,0),"")</f>
        <v/>
      </c>
      <c r="M445" s="82" t="str">
        <f>IFERROR(VLOOKUP($E:$E,Input!$C:$Q,14,0),"")</f>
        <v/>
      </c>
      <c r="N445" s="82" t="str">
        <f>IFERROR(VLOOKUP($E:$E,Input!$C:$Q,15,0),"")</f>
        <v/>
      </c>
      <c r="P445" s="43" t="str">
        <f t="shared" si="9"/>
        <v>444,444,**</v>
      </c>
      <c r="Q445" s="43" t="s">
        <v>4896</v>
      </c>
      <c r="R445" s="43">
        <v>6042070338</v>
      </c>
      <c r="T445" s="90" t="s">
        <v>4897</v>
      </c>
      <c r="V445" s="43">
        <v>444</v>
      </c>
    </row>
    <row r="446" spans="1:22" ht="15.75">
      <c r="A446" s="13" t="str">
        <f>IFERROR(VLOOKUP($E:$E,scan!$A:$B,2,0),"**")</f>
        <v>**</v>
      </c>
      <c r="B446" s="13" t="str">
        <f>IFERROR(VLOOKUP($E446,scan!A:C,3,0),"**")</f>
        <v>**</v>
      </c>
      <c r="C446" s="79">
        <v>445</v>
      </c>
      <c r="E446" s="58"/>
      <c r="G446" s="85" t="s">
        <v>4895</v>
      </c>
      <c r="H446" s="61">
        <v>0</v>
      </c>
      <c r="J446" s="43" t="e">
        <f>VLOOKUP(E446,Input!C:J,5,0)</f>
        <v>#N/A</v>
      </c>
      <c r="K446" s="43" t="e">
        <f>VLOOKUP(E446,Input!C:G,5,0)</f>
        <v>#N/A</v>
      </c>
      <c r="L446" s="82" t="str">
        <f>IFERROR(VLOOKUP($E:$E,Input!$C:$Q,12,0),"")</f>
        <v/>
      </c>
      <c r="M446" s="82" t="str">
        <f>IFERROR(VLOOKUP($E:$E,Input!$C:$Q,14,0),"")</f>
        <v/>
      </c>
      <c r="N446" s="82" t="str">
        <f>IFERROR(VLOOKUP($E:$E,Input!$C:$Q,15,0),"")</f>
        <v/>
      </c>
      <c r="P446" s="43" t="str">
        <f t="shared" si="9"/>
        <v>445,445,**</v>
      </c>
      <c r="Q446" s="43" t="s">
        <v>4896</v>
      </c>
      <c r="R446" s="43">
        <v>6042070338</v>
      </c>
      <c r="T446" s="90" t="s">
        <v>4897</v>
      </c>
      <c r="V446" s="43">
        <v>445</v>
      </c>
    </row>
    <row r="447" spans="1:22" ht="15.75">
      <c r="A447" s="13" t="str">
        <f>IFERROR(VLOOKUP($E:$E,scan!$A:$B,2,0),"**")</f>
        <v>**</v>
      </c>
      <c r="B447" s="13" t="str">
        <f>IFERROR(VLOOKUP($E447,scan!A:C,3,0),"**")</f>
        <v>**</v>
      </c>
      <c r="C447" s="79">
        <v>446</v>
      </c>
      <c r="E447" s="58"/>
      <c r="G447" s="85" t="s">
        <v>4895</v>
      </c>
      <c r="H447" s="61">
        <v>0</v>
      </c>
      <c r="J447" s="43" t="e">
        <f>VLOOKUP(E447,Input!C:J,5,0)</f>
        <v>#N/A</v>
      </c>
      <c r="K447" s="43" t="e">
        <f>VLOOKUP(E447,Input!C:G,5,0)</f>
        <v>#N/A</v>
      </c>
      <c r="L447" s="82" t="str">
        <f>IFERROR(VLOOKUP($E:$E,Input!$C:$Q,12,0),"")</f>
        <v/>
      </c>
      <c r="M447" s="82" t="str">
        <f>IFERROR(VLOOKUP($E:$E,Input!$C:$Q,14,0),"")</f>
        <v/>
      </c>
      <c r="N447" s="82" t="str">
        <f>IFERROR(VLOOKUP($E:$E,Input!$C:$Q,15,0),"")</f>
        <v/>
      </c>
      <c r="P447" s="43" t="str">
        <f t="shared" si="9"/>
        <v>446,446,**</v>
      </c>
      <c r="Q447" s="43" t="s">
        <v>4896</v>
      </c>
      <c r="R447" s="43">
        <v>6042070338</v>
      </c>
      <c r="T447" s="90" t="s">
        <v>4897</v>
      </c>
      <c r="V447" s="43">
        <v>446</v>
      </c>
    </row>
    <row r="448" spans="1:22" ht="15.75">
      <c r="A448" s="13" t="str">
        <f>IFERROR(VLOOKUP($E:$E,scan!$A:$B,2,0),"**")</f>
        <v>**</v>
      </c>
      <c r="B448" s="13" t="str">
        <f>IFERROR(VLOOKUP($E448,scan!A:C,3,0),"**")</f>
        <v>**</v>
      </c>
      <c r="C448" s="79">
        <v>447</v>
      </c>
      <c r="E448" s="58"/>
      <c r="G448" s="85" t="s">
        <v>4895</v>
      </c>
      <c r="H448" s="61">
        <v>0</v>
      </c>
      <c r="J448" s="43" t="e">
        <f>VLOOKUP(E448,Input!C:J,5,0)</f>
        <v>#N/A</v>
      </c>
      <c r="K448" s="43" t="e">
        <f>VLOOKUP(E448,Input!C:G,5,0)</f>
        <v>#N/A</v>
      </c>
      <c r="L448" s="82" t="str">
        <f>IFERROR(VLOOKUP($E:$E,Input!$C:$Q,12,0),"")</f>
        <v/>
      </c>
      <c r="M448" s="82" t="str">
        <f>IFERROR(VLOOKUP($E:$E,Input!$C:$Q,14,0),"")</f>
        <v/>
      </c>
      <c r="N448" s="82" t="str">
        <f>IFERROR(VLOOKUP($E:$E,Input!$C:$Q,15,0),"")</f>
        <v/>
      </c>
      <c r="P448" s="43" t="str">
        <f t="shared" si="9"/>
        <v>447,447,**</v>
      </c>
      <c r="Q448" s="43" t="s">
        <v>4896</v>
      </c>
      <c r="R448" s="43">
        <v>6042070338</v>
      </c>
      <c r="T448" s="90" t="s">
        <v>4897</v>
      </c>
      <c r="V448" s="43">
        <v>447</v>
      </c>
    </row>
    <row r="449" spans="1:8" ht="15.75">
      <c r="A449" s="13" t="str">
        <f>IFERROR(VLOOKUP($E:$E,scan!$A:$B,2,0),"**")</f>
        <v>**</v>
      </c>
      <c r="B449" s="13" t="str">
        <f>IFERROR(VLOOKUP($E449,scan!A:C,3,0),"**")</f>
        <v>**</v>
      </c>
      <c r="C449" s="79">
        <v>448</v>
      </c>
      <c r="G449" s="85"/>
      <c r="H449" s="61"/>
    </row>
    <row r="450" spans="1:8" ht="15.75">
      <c r="A450" s="13" t="str">
        <f>IFERROR(VLOOKUP($E:$E,scan!$A:$B,2,0),"**")</f>
        <v>**</v>
      </c>
      <c r="B450" s="13" t="str">
        <f>IFERROR(VLOOKUP($E450,scan!A:C,3,0),"**")</f>
        <v>**</v>
      </c>
      <c r="C450" s="79">
        <v>449</v>
      </c>
      <c r="G450" s="85"/>
      <c r="H450" s="61"/>
    </row>
    <row r="451" spans="1:8" ht="15.75">
      <c r="A451" s="13" t="str">
        <f>IFERROR(VLOOKUP($E:$E,scan!$A:$B,2,0),"**")</f>
        <v>**</v>
      </c>
      <c r="B451" s="13" t="str">
        <f>IFERROR(VLOOKUP($E451,scan!A:C,3,0),"**")</f>
        <v>**</v>
      </c>
      <c r="C451" s="79">
        <v>450</v>
      </c>
      <c r="G451" s="85"/>
      <c r="H451" s="61"/>
    </row>
    <row r="452" spans="1:8" ht="15.75">
      <c r="A452" s="13" t="str">
        <f>IFERROR(VLOOKUP($E:$E,scan!$A:$B,2,0),"**")</f>
        <v>**</v>
      </c>
      <c r="B452" s="13" t="str">
        <f>IFERROR(VLOOKUP($E452,scan!A:C,3,0),"**")</f>
        <v>**</v>
      </c>
      <c r="C452" s="79">
        <v>451</v>
      </c>
      <c r="G452" s="85"/>
      <c r="H452" s="61"/>
    </row>
    <row r="453" spans="1:8" ht="15.75">
      <c r="A453" s="13" t="str">
        <f>IFERROR(VLOOKUP($E:$E,scan!$A:$B,2,0),"**")</f>
        <v>**</v>
      </c>
      <c r="B453" s="13" t="str">
        <f>IFERROR(VLOOKUP($E453,scan!A:C,3,0),"**")</f>
        <v>**</v>
      </c>
      <c r="C453" s="79">
        <v>452</v>
      </c>
      <c r="G453" s="85"/>
      <c r="H453" s="61"/>
    </row>
    <row r="454" spans="1:8" ht="15.75">
      <c r="A454" s="13" t="str">
        <f>IFERROR(VLOOKUP($E:$E,scan!$A:$B,2,0),"**")</f>
        <v>**</v>
      </c>
      <c r="B454" s="13" t="str">
        <f>IFERROR(VLOOKUP($E454,scan!A:C,3,0),"**")</f>
        <v>**</v>
      </c>
      <c r="C454" s="79">
        <v>453</v>
      </c>
      <c r="G454" s="85"/>
      <c r="H454" s="61"/>
    </row>
    <row r="455" spans="1:8" ht="15.75">
      <c r="A455" s="13" t="str">
        <f>IFERROR(VLOOKUP($E:$E,scan!$A:$B,2,0),"**")</f>
        <v>**</v>
      </c>
      <c r="B455" s="13" t="str">
        <f>IFERROR(VLOOKUP($E455,scan!A:C,3,0),"**")</f>
        <v>**</v>
      </c>
      <c r="C455" s="79">
        <v>454</v>
      </c>
      <c r="G455" s="85"/>
      <c r="H455" s="61"/>
    </row>
    <row r="456" spans="1:8" ht="15.75">
      <c r="A456" s="13" t="str">
        <f>IFERROR(VLOOKUP($E:$E,scan!$A:$B,2,0),"**")</f>
        <v>**</v>
      </c>
      <c r="B456" s="13" t="str">
        <f>IFERROR(VLOOKUP($E456,scan!A:C,3,0),"**")</f>
        <v>**</v>
      </c>
      <c r="C456" s="79">
        <v>455</v>
      </c>
      <c r="G456" s="85"/>
      <c r="H456" s="61"/>
    </row>
    <row r="457" spans="1:8" ht="15.75">
      <c r="A457" s="13" t="str">
        <f>IFERROR(VLOOKUP($E:$E,scan!$A:$B,2,0),"**")</f>
        <v>**</v>
      </c>
      <c r="B457" s="13" t="str">
        <f>IFERROR(VLOOKUP($E457,scan!A:C,3,0),"**")</f>
        <v>**</v>
      </c>
      <c r="C457" s="79">
        <v>456</v>
      </c>
      <c r="G457" s="85"/>
      <c r="H457" s="61"/>
    </row>
    <row r="458" spans="1:8" ht="15.75">
      <c r="A458" s="13" t="str">
        <f>IFERROR(VLOOKUP($E:$E,scan!$A:$B,2,0),"**")</f>
        <v>**</v>
      </c>
      <c r="B458" s="13" t="str">
        <f>IFERROR(VLOOKUP($E458,scan!A:C,3,0),"**")</f>
        <v>**</v>
      </c>
      <c r="C458" s="79">
        <v>457</v>
      </c>
      <c r="G458" s="85"/>
      <c r="H458" s="61"/>
    </row>
    <row r="459" spans="1:8" ht="15.75">
      <c r="A459" s="13" t="str">
        <f>IFERROR(VLOOKUP($E:$E,scan!$A:$B,2,0),"**")</f>
        <v>**</v>
      </c>
      <c r="B459" s="13" t="str">
        <f>IFERROR(VLOOKUP($E459,scan!A:C,3,0),"**")</f>
        <v>**</v>
      </c>
      <c r="C459" s="79">
        <v>458</v>
      </c>
      <c r="G459" s="85"/>
      <c r="H459" s="61"/>
    </row>
    <row r="460" spans="1:8" ht="15.75">
      <c r="A460" s="13" t="str">
        <f>IFERROR(VLOOKUP($E:$E,scan!$A:$B,2,0),"**")</f>
        <v>**</v>
      </c>
      <c r="B460" s="13" t="str">
        <f>IFERROR(VLOOKUP($E460,scan!A:C,3,0),"**")</f>
        <v>**</v>
      </c>
      <c r="C460" s="79">
        <v>459</v>
      </c>
      <c r="G460" s="85"/>
      <c r="H460" s="61"/>
    </row>
    <row r="461" spans="1:8" ht="15.75">
      <c r="A461" s="13" t="str">
        <f>IFERROR(VLOOKUP($E:$E,scan!$A:$B,2,0),"**")</f>
        <v>**</v>
      </c>
      <c r="B461" s="13" t="str">
        <f>IFERROR(VLOOKUP($E461,scan!A:C,3,0),"**")</f>
        <v>**</v>
      </c>
      <c r="C461" s="79">
        <v>460</v>
      </c>
      <c r="G461" s="85"/>
      <c r="H461" s="61"/>
    </row>
    <row r="462" spans="1:8" ht="15.75">
      <c r="A462" s="13" t="str">
        <f>IFERROR(VLOOKUP($E:$E,scan!$A:$B,2,0),"**")</f>
        <v>**</v>
      </c>
      <c r="B462" s="13" t="str">
        <f>IFERROR(VLOOKUP($E462,scan!A:C,3,0),"**")</f>
        <v>**</v>
      </c>
      <c r="C462" s="79">
        <v>461</v>
      </c>
      <c r="G462" s="85"/>
      <c r="H462" s="61"/>
    </row>
    <row r="463" spans="1:8" ht="15.75">
      <c r="A463" s="13" t="str">
        <f>IFERROR(VLOOKUP($E:$E,scan!$A:$B,2,0),"**")</f>
        <v>**</v>
      </c>
      <c r="B463" s="13" t="str">
        <f>IFERROR(VLOOKUP($E463,scan!A:C,3,0),"**")</f>
        <v>**</v>
      </c>
      <c r="C463" s="79">
        <v>462</v>
      </c>
      <c r="G463" s="85"/>
      <c r="H463" s="61"/>
    </row>
    <row r="464" spans="1:8" ht="15.75">
      <c r="A464" s="13" t="str">
        <f>IFERROR(VLOOKUP($E:$E,scan!$A:$B,2,0),"**")</f>
        <v>**</v>
      </c>
      <c r="B464" s="13" t="str">
        <f>IFERROR(VLOOKUP($E464,scan!A:C,3,0),"**")</f>
        <v>**</v>
      </c>
      <c r="C464" s="79">
        <v>463</v>
      </c>
      <c r="G464" s="85"/>
      <c r="H464" s="61"/>
    </row>
    <row r="465" spans="1:8" ht="15.75">
      <c r="A465" s="13" t="str">
        <f>IFERROR(VLOOKUP($E:$E,scan!$A:$B,2,0),"**")</f>
        <v>**</v>
      </c>
      <c r="B465" s="13" t="str">
        <f>IFERROR(VLOOKUP($E465,scan!A:C,3,0),"**")</f>
        <v>**</v>
      </c>
      <c r="C465" s="79">
        <v>464</v>
      </c>
      <c r="G465" s="85"/>
      <c r="H465" s="61"/>
    </row>
    <row r="466" spans="1:8" ht="15.75">
      <c r="A466" s="13" t="str">
        <f>IFERROR(VLOOKUP($E:$E,scan!$A:$B,2,0),"**")</f>
        <v>**</v>
      </c>
      <c r="B466" s="13" t="str">
        <f>IFERROR(VLOOKUP($E466,scan!A:C,3,0),"**")</f>
        <v>**</v>
      </c>
      <c r="C466" s="79">
        <v>465</v>
      </c>
      <c r="G466" s="85"/>
      <c r="H466" s="61"/>
    </row>
    <row r="467" spans="1:8" ht="15.75">
      <c r="A467" s="13" t="str">
        <f>IFERROR(VLOOKUP($E:$E,scan!$A:$B,2,0),"**")</f>
        <v>**</v>
      </c>
      <c r="B467" s="13" t="str">
        <f>IFERROR(VLOOKUP($E467,scan!A:C,3,0),"**")</f>
        <v>**</v>
      </c>
      <c r="C467" s="79">
        <v>466</v>
      </c>
      <c r="G467" s="85"/>
      <c r="H467" s="61"/>
    </row>
    <row r="468" spans="1:8" ht="15.75">
      <c r="A468" s="13" t="str">
        <f>IFERROR(VLOOKUP($E:$E,scan!$A:$B,2,0),"**")</f>
        <v>**</v>
      </c>
      <c r="B468" s="13" t="str">
        <f>IFERROR(VLOOKUP($E468,scan!A:C,3,0),"**")</f>
        <v>**</v>
      </c>
      <c r="C468" s="79">
        <v>467</v>
      </c>
      <c r="G468" s="85"/>
      <c r="H468" s="61"/>
    </row>
    <row r="469" spans="1:8" ht="15.75">
      <c r="A469" s="13" t="str">
        <f>IFERROR(VLOOKUP($E:$E,scan!$A:$B,2,0),"**")</f>
        <v>**</v>
      </c>
      <c r="B469" s="13" t="str">
        <f>IFERROR(VLOOKUP($E469,scan!A:C,3,0),"**")</f>
        <v>**</v>
      </c>
      <c r="C469" s="79">
        <v>468</v>
      </c>
      <c r="G469" s="85"/>
      <c r="H469" s="61"/>
    </row>
    <row r="470" spans="1:8" ht="15.75">
      <c r="A470" s="13" t="str">
        <f>IFERROR(VLOOKUP($E:$E,scan!$A:$B,2,0),"**")</f>
        <v>**</v>
      </c>
      <c r="B470" s="13" t="str">
        <f>IFERROR(VLOOKUP($E470,scan!A:C,3,0),"**")</f>
        <v>**</v>
      </c>
      <c r="C470" s="79">
        <v>469</v>
      </c>
      <c r="G470" s="85"/>
      <c r="H470" s="61"/>
    </row>
    <row r="471" spans="1:8" ht="15.75">
      <c r="A471" s="13" t="str">
        <f>IFERROR(VLOOKUP($E:$E,scan!$A:$B,2,0),"**")</f>
        <v>**</v>
      </c>
      <c r="B471" s="13" t="str">
        <f>IFERROR(VLOOKUP($E471,scan!A:C,3,0),"**")</f>
        <v>**</v>
      </c>
      <c r="C471" s="79">
        <v>470</v>
      </c>
      <c r="G471" s="85"/>
      <c r="H471" s="61"/>
    </row>
    <row r="472" spans="1:8" ht="15.75">
      <c r="A472" s="13" t="str">
        <f>IFERROR(VLOOKUP($E:$E,scan!$A:$B,2,0),"**")</f>
        <v>**</v>
      </c>
      <c r="B472" s="13" t="str">
        <f>IFERROR(VLOOKUP($E472,scan!A:C,3,0),"**")</f>
        <v>**</v>
      </c>
      <c r="C472" s="79">
        <v>471</v>
      </c>
      <c r="G472" s="85"/>
      <c r="H472" s="61"/>
    </row>
    <row r="473" spans="1:8" ht="15.75">
      <c r="A473" s="13" t="str">
        <f>IFERROR(VLOOKUP($E:$E,scan!$A:$B,2,0),"**")</f>
        <v>**</v>
      </c>
      <c r="B473" s="13" t="str">
        <f>IFERROR(VLOOKUP($E473,scan!A:C,3,0),"**")</f>
        <v>**</v>
      </c>
      <c r="C473" s="79">
        <v>472</v>
      </c>
      <c r="G473" s="85"/>
      <c r="H473" s="61"/>
    </row>
    <row r="474" spans="1:8" ht="15.75">
      <c r="A474" s="13" t="str">
        <f>IFERROR(VLOOKUP($E:$E,scan!$A:$B,2,0),"**")</f>
        <v>**</v>
      </c>
      <c r="B474" s="13" t="str">
        <f>IFERROR(VLOOKUP($E474,scan!A:C,3,0),"**")</f>
        <v>**</v>
      </c>
      <c r="C474" s="79">
        <v>473</v>
      </c>
      <c r="G474" s="85"/>
      <c r="H474" s="61"/>
    </row>
    <row r="475" spans="1:8" ht="15.75">
      <c r="A475" s="13" t="str">
        <f>IFERROR(VLOOKUP($E:$E,scan!$A:$B,2,0),"**")</f>
        <v>**</v>
      </c>
      <c r="B475" s="13" t="str">
        <f>IFERROR(VLOOKUP($E475,scan!A:C,3,0),"**")</f>
        <v>**</v>
      </c>
      <c r="C475" s="79">
        <v>474</v>
      </c>
      <c r="G475" s="85"/>
      <c r="H475" s="61"/>
    </row>
    <row r="476" spans="1:8" ht="15.75">
      <c r="A476" s="13" t="str">
        <f>IFERROR(VLOOKUP($E:$E,scan!$A:$B,2,0),"**")</f>
        <v>**</v>
      </c>
      <c r="B476" s="13" t="str">
        <f>IFERROR(VLOOKUP($E476,scan!A:C,3,0),"**")</f>
        <v>**</v>
      </c>
      <c r="C476" s="79">
        <v>475</v>
      </c>
      <c r="G476" s="85"/>
      <c r="H476" s="61"/>
    </row>
    <row r="477" spans="1:8" ht="15.75">
      <c r="A477" s="13" t="str">
        <f>IFERROR(VLOOKUP($E:$E,scan!$A:$B,2,0),"**")</f>
        <v>**</v>
      </c>
      <c r="B477" s="13" t="str">
        <f>IFERROR(VLOOKUP($E477,scan!A:C,3,0),"**")</f>
        <v>**</v>
      </c>
      <c r="C477" s="79">
        <v>476</v>
      </c>
      <c r="G477" s="85"/>
      <c r="H477" s="61"/>
    </row>
    <row r="478" spans="1:8" ht="15.75">
      <c r="A478" s="13" t="str">
        <f>IFERROR(VLOOKUP($E:$E,scan!$A:$B,2,0),"**")</f>
        <v>**</v>
      </c>
      <c r="B478" s="13" t="str">
        <f>IFERROR(VLOOKUP($E478,scan!A:C,3,0),"**")</f>
        <v>**</v>
      </c>
      <c r="C478" s="79">
        <v>477</v>
      </c>
      <c r="G478" s="85"/>
      <c r="H478" s="61"/>
    </row>
    <row r="479" spans="1:8" ht="14.25">
      <c r="A479" s="13" t="str">
        <f>IFERROR(VLOOKUP($E:$E,scan!$A:$B,2,0),"**")</f>
        <v>**</v>
      </c>
      <c r="B479" s="13" t="str">
        <f>IFERROR(VLOOKUP($E479,scan!A:C,3,0),"**")</f>
        <v>**</v>
      </c>
      <c r="C479" s="79">
        <v>478</v>
      </c>
    </row>
    <row r="480" spans="1:8" ht="14.25">
      <c r="A480" s="13" t="str">
        <f>IFERROR(VLOOKUP($E:$E,scan!$A:$B,2,0),"**")</f>
        <v>**</v>
      </c>
      <c r="B480" s="13" t="str">
        <f>IFERROR(VLOOKUP($E480,scan!A:C,3,0),"**")</f>
        <v>**</v>
      </c>
      <c r="C480" s="79">
        <v>479</v>
      </c>
    </row>
    <row r="481" spans="1:3" ht="14.25">
      <c r="A481" s="13" t="str">
        <f>IFERROR(VLOOKUP($E:$E,scan!$A:$B,2,0),"**")</f>
        <v>**</v>
      </c>
      <c r="B481" s="13" t="str">
        <f>IFERROR(VLOOKUP($E481,scan!A:C,3,0),"**")</f>
        <v>**</v>
      </c>
      <c r="C481" s="79">
        <v>480</v>
      </c>
    </row>
    <row r="482" spans="1:3" ht="14.25">
      <c r="A482" s="13" t="str">
        <f>IFERROR(VLOOKUP($E:$E,scan!$A:$B,2,0),"**")</f>
        <v>**</v>
      </c>
      <c r="B482" s="13" t="str">
        <f>IFERROR(VLOOKUP($E482,scan!A:C,3,0),"**")</f>
        <v>**</v>
      </c>
      <c r="C482" s="79">
        <v>481</v>
      </c>
    </row>
    <row r="483" spans="1:3" ht="14.25">
      <c r="A483" s="13" t="str">
        <f>IFERROR(VLOOKUP($E:$E,scan!$A:$B,2,0),"**")</f>
        <v>**</v>
      </c>
      <c r="B483" s="13" t="str">
        <f>IFERROR(VLOOKUP($E483,scan!A:C,3,0),"**")</f>
        <v>**</v>
      </c>
      <c r="C483" s="79">
        <v>482</v>
      </c>
    </row>
    <row r="484" spans="1:3" ht="14.25">
      <c r="A484" s="13" t="str">
        <f>IFERROR(VLOOKUP($E:$E,scan!$A:$B,2,0),"**")</f>
        <v>**</v>
      </c>
      <c r="B484" s="13" t="str">
        <f>IFERROR(VLOOKUP($E484,scan!A:C,3,0),"**")</f>
        <v>**</v>
      </c>
      <c r="C484" s="79">
        <v>483</v>
      </c>
    </row>
    <row r="485" spans="1:3" ht="14.25">
      <c r="A485" s="13" t="str">
        <f>IFERROR(VLOOKUP($E:$E,scan!$A:$B,2,0),"**")</f>
        <v>**</v>
      </c>
      <c r="B485" s="13" t="str">
        <f>IFERROR(VLOOKUP($E485,scan!A:C,3,0),"**")</f>
        <v>**</v>
      </c>
      <c r="C485" s="79">
        <v>484</v>
      </c>
    </row>
    <row r="486" spans="1:3" ht="14.25">
      <c r="A486" s="13" t="str">
        <f>IFERROR(VLOOKUP($E:$E,scan!$A:$B,2,0),"**")</f>
        <v>**</v>
      </c>
      <c r="B486" s="13" t="str">
        <f>IFERROR(VLOOKUP($E486,scan!A:C,3,0),"**")</f>
        <v>**</v>
      </c>
      <c r="C486" s="79">
        <v>485</v>
      </c>
    </row>
    <row r="487" spans="1:3" ht="14.25">
      <c r="A487" s="13" t="str">
        <f>IFERROR(VLOOKUP($E:$E,scan!$A:$B,2,0),"**")</f>
        <v>**</v>
      </c>
      <c r="B487" s="13" t="str">
        <f>IFERROR(VLOOKUP($E487,scan!A:C,3,0),"**")</f>
        <v>**</v>
      </c>
      <c r="C487" s="79">
        <v>486</v>
      </c>
    </row>
    <row r="488" spans="1:3" ht="14.25">
      <c r="A488" s="13" t="str">
        <f>IFERROR(VLOOKUP($E:$E,scan!$A:$B,2,0),"**")</f>
        <v>**</v>
      </c>
      <c r="B488" s="13" t="str">
        <f>IFERROR(VLOOKUP($E488,scan!A:C,3,0),"**")</f>
        <v>**</v>
      </c>
      <c r="C488" s="79">
        <v>487</v>
      </c>
    </row>
    <row r="489" spans="1:3" ht="14.25">
      <c r="A489" s="13" t="str">
        <f>IFERROR(VLOOKUP($E:$E,scan!$A:$B,2,0),"**")</f>
        <v>**</v>
      </c>
      <c r="B489" s="13" t="str">
        <f>IFERROR(VLOOKUP($E489,scan!A:C,3,0),"**")</f>
        <v>**</v>
      </c>
      <c r="C489" s="79">
        <v>488</v>
      </c>
    </row>
    <row r="490" spans="1:3" ht="14.25">
      <c r="A490" s="13" t="str">
        <f>IFERROR(VLOOKUP($E:$E,scan!$A:$B,2,0),"**")</f>
        <v>**</v>
      </c>
      <c r="B490" s="13" t="str">
        <f>IFERROR(VLOOKUP($E490,scan!A:C,3,0),"**")</f>
        <v>**</v>
      </c>
      <c r="C490" s="79">
        <v>489</v>
      </c>
    </row>
    <row r="491" spans="1:3" ht="14.25">
      <c r="A491" s="13" t="str">
        <f>IFERROR(VLOOKUP($E:$E,scan!$A:$B,2,0),"**")</f>
        <v>**</v>
      </c>
      <c r="B491" s="13" t="str">
        <f>IFERROR(VLOOKUP($E491,scan!A:C,3,0),"**")</f>
        <v>**</v>
      </c>
      <c r="C491" s="79">
        <v>490</v>
      </c>
    </row>
    <row r="492" spans="1:3" ht="14.25">
      <c r="A492" s="13" t="str">
        <f>IFERROR(VLOOKUP($E:$E,scan!$A:$B,2,0),"**")</f>
        <v>**</v>
      </c>
      <c r="B492" s="13" t="str">
        <f>IFERROR(VLOOKUP($E492,scan!A:C,3,0),"**")</f>
        <v>**</v>
      </c>
      <c r="C492" s="79">
        <v>491</v>
      </c>
    </row>
    <row r="493" spans="1:3" ht="14.25">
      <c r="A493" s="13" t="str">
        <f>IFERROR(VLOOKUP($E:$E,scan!$A:$B,2,0),"**")</f>
        <v>**</v>
      </c>
      <c r="B493" s="13" t="str">
        <f>IFERROR(VLOOKUP($E493,scan!A:C,3,0),"**")</f>
        <v>**</v>
      </c>
      <c r="C493" s="79">
        <v>492</v>
      </c>
    </row>
    <row r="494" spans="1:3" ht="14.25">
      <c r="A494" s="13" t="str">
        <f>IFERROR(VLOOKUP($E:$E,scan!$A:$B,2,0),"**")</f>
        <v>**</v>
      </c>
      <c r="B494" s="13" t="str">
        <f>IFERROR(VLOOKUP($E494,scan!A:C,3,0),"**")</f>
        <v>**</v>
      </c>
      <c r="C494" s="79">
        <v>493</v>
      </c>
    </row>
    <row r="495" spans="1:3" ht="14.25">
      <c r="A495" s="13" t="str">
        <f>IFERROR(VLOOKUP($E:$E,scan!$A:$B,2,0),"**")</f>
        <v>**</v>
      </c>
      <c r="B495" s="13" t="str">
        <f>IFERROR(VLOOKUP($E495,scan!A:C,3,0),"**")</f>
        <v>**</v>
      </c>
      <c r="C495" s="79">
        <v>494</v>
      </c>
    </row>
    <row r="496" spans="1:3" ht="14.25">
      <c r="A496" s="13" t="str">
        <f>IFERROR(VLOOKUP($E:$E,scan!$A:$B,2,0),"**")</f>
        <v>**</v>
      </c>
      <c r="B496" s="13" t="str">
        <f>IFERROR(VLOOKUP($E496,scan!A:C,3,0),"**")</f>
        <v>**</v>
      </c>
      <c r="C496" s="79">
        <v>495</v>
      </c>
    </row>
    <row r="497" spans="1:3" ht="14.25">
      <c r="A497" s="13" t="str">
        <f>IFERROR(VLOOKUP($E:$E,scan!$A:$B,2,0),"**")</f>
        <v>**</v>
      </c>
      <c r="B497" s="13" t="str">
        <f>IFERROR(VLOOKUP($E497,scan!A:C,3,0),"**")</f>
        <v>**</v>
      </c>
      <c r="C497" s="79">
        <v>496</v>
      </c>
    </row>
    <row r="498" spans="1:3" ht="14.25">
      <c r="A498" s="13" t="str">
        <f>IFERROR(VLOOKUP($E:$E,scan!$A:$B,2,0),"**")</f>
        <v>**</v>
      </c>
      <c r="B498" s="13" t="str">
        <f>IFERROR(VLOOKUP($E498,scan!A:C,3,0),"**")</f>
        <v>**</v>
      </c>
      <c r="C498" s="79">
        <v>497</v>
      </c>
    </row>
    <row r="499" spans="1:3" ht="14.25">
      <c r="A499" s="13" t="str">
        <f>IFERROR(VLOOKUP($E:$E,scan!$A:$B,2,0),"**")</f>
        <v>**</v>
      </c>
      <c r="B499" s="13" t="str">
        <f>IFERROR(VLOOKUP($E499,scan!A:C,3,0),"**")</f>
        <v>**</v>
      </c>
      <c r="C499" s="79">
        <v>498</v>
      </c>
    </row>
    <row r="500" spans="1:3" ht="14.25">
      <c r="A500" s="13" t="str">
        <f>IFERROR(VLOOKUP($E:$E,scan!$A:$B,2,0),"**")</f>
        <v>**</v>
      </c>
      <c r="B500" s="13" t="str">
        <f>IFERROR(VLOOKUP($E500,scan!A:C,3,0),"**")</f>
        <v>**</v>
      </c>
      <c r="C500" s="79">
        <v>499</v>
      </c>
    </row>
    <row r="501" spans="1:3" ht="14.25">
      <c r="A501" s="13" t="str">
        <f>IFERROR(VLOOKUP($E:$E,scan!$A:$B,2,0),"**")</f>
        <v>**</v>
      </c>
      <c r="B501" s="13" t="str">
        <f>IFERROR(VLOOKUP($E501,scan!A:C,3,0),"**")</f>
        <v>**</v>
      </c>
      <c r="C501" s="79">
        <v>500</v>
      </c>
    </row>
    <row r="502" spans="1:3" ht="14.25">
      <c r="A502" s="13" t="str">
        <f>IFERROR(VLOOKUP($E:$E,scan!$A:$B,2,0),"**")</f>
        <v>**</v>
      </c>
      <c r="B502" s="13" t="str">
        <f>IFERROR(VLOOKUP($E502,scan!A:C,3,0),"**")</f>
        <v>**</v>
      </c>
      <c r="C502" s="79">
        <v>501</v>
      </c>
    </row>
    <row r="503" spans="1:3" ht="14.25">
      <c r="A503" s="13" t="str">
        <f>IFERROR(VLOOKUP($E:$E,scan!$A:$B,2,0),"**")</f>
        <v>**</v>
      </c>
      <c r="B503" s="13" t="str">
        <f>IFERROR(VLOOKUP($E503,scan!A:C,3,0),"**")</f>
        <v>**</v>
      </c>
      <c r="C503" s="79">
        <v>502</v>
      </c>
    </row>
    <row r="504" spans="1:3" ht="14.25">
      <c r="A504" s="13" t="str">
        <f>IFERROR(VLOOKUP($E:$E,scan!$A:$B,2,0),"**")</f>
        <v>**</v>
      </c>
      <c r="B504" s="13" t="str">
        <f>IFERROR(VLOOKUP($E504,scan!A:C,3,0),"**")</f>
        <v>**</v>
      </c>
      <c r="C504" s="79">
        <v>503</v>
      </c>
    </row>
    <row r="505" spans="1:3" ht="14.25">
      <c r="A505" s="13" t="str">
        <f>IFERROR(VLOOKUP($E:$E,scan!$A:$B,2,0),"**")</f>
        <v>**</v>
      </c>
      <c r="B505" s="13" t="str">
        <f>IFERROR(VLOOKUP($E505,scan!A:C,3,0),"**")</f>
        <v>**</v>
      </c>
      <c r="C505" s="79">
        <v>504</v>
      </c>
    </row>
    <row r="506" spans="1:3" ht="14.25">
      <c r="A506" s="13" t="str">
        <f>IFERROR(VLOOKUP($E:$E,scan!$A:$B,2,0),"**")</f>
        <v>**</v>
      </c>
      <c r="B506" s="13" t="str">
        <f>IFERROR(VLOOKUP($E506,scan!A:C,3,0),"**")</f>
        <v>**</v>
      </c>
      <c r="C506" s="79">
        <v>505</v>
      </c>
    </row>
    <row r="507" spans="1:3" ht="14.25">
      <c r="A507" s="13" t="str">
        <f>IFERROR(VLOOKUP($E:$E,scan!$A:$B,2,0),"**")</f>
        <v>**</v>
      </c>
      <c r="B507" s="13" t="str">
        <f>IFERROR(VLOOKUP($E507,scan!A:C,3,0),"**")</f>
        <v>**</v>
      </c>
      <c r="C507" s="79">
        <v>506</v>
      </c>
    </row>
    <row r="508" spans="1:3" ht="14.25">
      <c r="A508" s="13" t="str">
        <f>IFERROR(VLOOKUP($E:$E,scan!$A:$B,2,0),"**")</f>
        <v>**</v>
      </c>
      <c r="B508" s="13" t="str">
        <f>IFERROR(VLOOKUP($E508,scan!A:C,3,0),"**")</f>
        <v>**</v>
      </c>
      <c r="C508" s="79">
        <v>507</v>
      </c>
    </row>
    <row r="509" spans="1:3" ht="14.25">
      <c r="A509" s="13" t="str">
        <f>IFERROR(VLOOKUP($E:$E,scan!$A:$B,2,0),"**")</f>
        <v>**</v>
      </c>
      <c r="B509" s="13" t="str">
        <f>IFERROR(VLOOKUP($E509,scan!A:C,3,0),"**")</f>
        <v>**</v>
      </c>
      <c r="C509" s="79">
        <v>508</v>
      </c>
    </row>
    <row r="510" spans="1:3" ht="14.25">
      <c r="A510" s="13" t="str">
        <f>IFERROR(VLOOKUP($E:$E,scan!$A:$B,2,0),"**")</f>
        <v>**</v>
      </c>
      <c r="B510" s="13" t="str">
        <f>IFERROR(VLOOKUP($E510,scan!A:C,3,0),"**")</f>
        <v>**</v>
      </c>
      <c r="C510" s="79">
        <v>509</v>
      </c>
    </row>
    <row r="511" spans="1:3" ht="14.25">
      <c r="A511" s="13" t="str">
        <f>IFERROR(VLOOKUP($E:$E,scan!$A:$B,2,0),"**")</f>
        <v>**</v>
      </c>
      <c r="B511" s="13" t="str">
        <f>IFERROR(VLOOKUP($E511,scan!A:C,3,0),"**")</f>
        <v>**</v>
      </c>
      <c r="C511" s="79">
        <v>510</v>
      </c>
    </row>
    <row r="512" spans="1:3" ht="14.25">
      <c r="A512" s="13" t="str">
        <f>IFERROR(VLOOKUP($E:$E,scan!$A:$B,2,0),"**")</f>
        <v>**</v>
      </c>
      <c r="B512" s="13" t="str">
        <f>IFERROR(VLOOKUP($E512,scan!A:C,3,0),"**")</f>
        <v>**</v>
      </c>
      <c r="C512" s="79">
        <v>511</v>
      </c>
    </row>
    <row r="513" spans="1:3" ht="14.25">
      <c r="A513" s="13" t="str">
        <f>IFERROR(VLOOKUP($E:$E,scan!$A:$B,2,0),"**")</f>
        <v>**</v>
      </c>
      <c r="B513" s="13" t="str">
        <f>IFERROR(VLOOKUP($E513,scan!A:C,3,0),"**")</f>
        <v>**</v>
      </c>
      <c r="C513" s="79">
        <v>512</v>
      </c>
    </row>
    <row r="514" spans="1:3" ht="14.25">
      <c r="A514" s="13" t="str">
        <f>IFERROR(VLOOKUP($E:$E,scan!$A:$B,2,0),"**")</f>
        <v>**</v>
      </c>
      <c r="B514" s="13" t="str">
        <f>IFERROR(VLOOKUP($E514,scan!A:C,3,0),"**")</f>
        <v>**</v>
      </c>
      <c r="C514" s="79">
        <v>513</v>
      </c>
    </row>
    <row r="515" spans="1:3" ht="14.25">
      <c r="A515" s="13" t="str">
        <f>IFERROR(VLOOKUP($E:$E,scan!$A:$B,2,0),"**")</f>
        <v>**</v>
      </c>
      <c r="B515" s="13" t="str">
        <f>IFERROR(VLOOKUP($E515,scan!A:C,3,0),"**")</f>
        <v>**</v>
      </c>
      <c r="C515" s="79">
        <v>514</v>
      </c>
    </row>
    <row r="516" spans="1:3" ht="14.25">
      <c r="A516" s="13" t="str">
        <f>IFERROR(VLOOKUP($E:$E,scan!$A:$B,2,0),"**")</f>
        <v>**</v>
      </c>
      <c r="B516" s="13" t="str">
        <f>IFERROR(VLOOKUP($E516,scan!A:C,3,0),"**")</f>
        <v>**</v>
      </c>
      <c r="C516" s="79">
        <v>515</v>
      </c>
    </row>
    <row r="517" spans="1:3" ht="14.25">
      <c r="A517" s="13" t="str">
        <f>IFERROR(VLOOKUP($E:$E,scan!$A:$B,2,0),"**")</f>
        <v>**</v>
      </c>
      <c r="B517" s="13" t="str">
        <f>IFERROR(VLOOKUP($E517,scan!A:C,3,0),"**")</f>
        <v>**</v>
      </c>
      <c r="C517" s="79">
        <v>516</v>
      </c>
    </row>
    <row r="518" spans="1:3" ht="14.25">
      <c r="A518" s="13" t="str">
        <f>IFERROR(VLOOKUP($E:$E,scan!$A:$B,2,0),"**")</f>
        <v>**</v>
      </c>
      <c r="B518" s="13" t="str">
        <f>IFERROR(VLOOKUP($E518,scan!A:C,3,0),"**")</f>
        <v>**</v>
      </c>
      <c r="C518" s="79">
        <v>517</v>
      </c>
    </row>
    <row r="519" spans="1:3" ht="14.25">
      <c r="A519" s="13" t="str">
        <f>IFERROR(VLOOKUP($E:$E,scan!$A:$B,2,0),"**")</f>
        <v>**</v>
      </c>
      <c r="B519" s="13" t="str">
        <f>IFERROR(VLOOKUP($E519,scan!A:C,3,0),"**")</f>
        <v>**</v>
      </c>
      <c r="C519" s="79">
        <v>518</v>
      </c>
    </row>
    <row r="520" spans="1:3" ht="14.25">
      <c r="A520" s="13" t="str">
        <f>IFERROR(VLOOKUP($E:$E,scan!$A:$B,2,0),"**")</f>
        <v>**</v>
      </c>
      <c r="B520" s="13" t="str">
        <f>IFERROR(VLOOKUP($E520,scan!A:C,3,0),"**")</f>
        <v>**</v>
      </c>
      <c r="C520" s="79">
        <v>519</v>
      </c>
    </row>
    <row r="521" spans="1:3" ht="14.25">
      <c r="A521" s="13" t="str">
        <f>IFERROR(VLOOKUP($E:$E,scan!$A:$B,2,0),"**")</f>
        <v>**</v>
      </c>
      <c r="B521" s="13" t="str">
        <f>IFERROR(VLOOKUP($E521,scan!A:C,3,0),"**")</f>
        <v>**</v>
      </c>
      <c r="C521" s="79">
        <v>520</v>
      </c>
    </row>
    <row r="522" spans="1:3" ht="14.25">
      <c r="A522" s="13" t="str">
        <f>IFERROR(VLOOKUP($E:$E,scan!$A:$B,2,0),"**")</f>
        <v>**</v>
      </c>
      <c r="B522" s="13" t="str">
        <f>IFERROR(VLOOKUP($E522,scan!A:C,3,0),"**")</f>
        <v>**</v>
      </c>
      <c r="C522" s="79">
        <v>521</v>
      </c>
    </row>
    <row r="523" spans="1:3" ht="14.25">
      <c r="A523" s="13" t="str">
        <f>IFERROR(VLOOKUP($E:$E,scan!$A:$B,2,0),"**")</f>
        <v>**</v>
      </c>
      <c r="B523" s="13" t="str">
        <f>IFERROR(VLOOKUP($E523,scan!A:C,3,0),"**")</f>
        <v>**</v>
      </c>
      <c r="C523" s="79">
        <v>522</v>
      </c>
    </row>
    <row r="524" spans="1:3" ht="14.25">
      <c r="A524" s="13" t="str">
        <f>IFERROR(VLOOKUP($E:$E,scan!$A:$B,2,0),"**")</f>
        <v>**</v>
      </c>
      <c r="B524" s="13" t="str">
        <f>IFERROR(VLOOKUP($E524,scan!A:C,3,0),"**")</f>
        <v>**</v>
      </c>
      <c r="C524" s="79">
        <v>523</v>
      </c>
    </row>
    <row r="525" spans="1:3" ht="14.25">
      <c r="A525" s="13" t="str">
        <f>IFERROR(VLOOKUP($E:$E,scan!$A:$B,2,0),"**")</f>
        <v>**</v>
      </c>
      <c r="B525" s="13" t="str">
        <f>IFERROR(VLOOKUP($E525,scan!A:C,3,0),"**")</f>
        <v>**</v>
      </c>
      <c r="C525" s="79">
        <v>524</v>
      </c>
    </row>
    <row r="526" spans="1:3" ht="14.25">
      <c r="A526" s="13" t="str">
        <f>IFERROR(VLOOKUP($E:$E,scan!$A:$B,2,0),"**")</f>
        <v>**</v>
      </c>
      <c r="B526" s="13" t="str">
        <f>IFERROR(VLOOKUP($E526,scan!A:C,3,0),"**")</f>
        <v>**</v>
      </c>
      <c r="C526" s="79">
        <v>525</v>
      </c>
    </row>
    <row r="527" spans="1:3" ht="14.25">
      <c r="A527" s="13" t="str">
        <f>IFERROR(VLOOKUP($E:$E,scan!$A:$B,2,0),"**")</f>
        <v>**</v>
      </c>
      <c r="B527" s="13" t="str">
        <f>IFERROR(VLOOKUP($E527,scan!A:C,3,0),"**")</f>
        <v>**</v>
      </c>
      <c r="C527" s="79">
        <v>526</v>
      </c>
    </row>
    <row r="528" spans="1:3" ht="14.25">
      <c r="A528" s="13" t="str">
        <f>IFERROR(VLOOKUP($E:$E,scan!$A:$B,2,0),"**")</f>
        <v>**</v>
      </c>
      <c r="B528" s="13" t="str">
        <f>IFERROR(VLOOKUP($E528,scan!A:C,3,0),"**")</f>
        <v>**</v>
      </c>
      <c r="C528" s="79">
        <v>527</v>
      </c>
    </row>
    <row r="529" spans="1:3" ht="14.25">
      <c r="A529" s="13" t="str">
        <f>IFERROR(VLOOKUP($E:$E,scan!$A:$B,2,0),"**")</f>
        <v>**</v>
      </c>
      <c r="B529" s="13" t="str">
        <f>IFERROR(VLOOKUP($E529,scan!A:C,3,0),"**")</f>
        <v>**</v>
      </c>
      <c r="C529" s="79">
        <v>528</v>
      </c>
    </row>
    <row r="530" spans="1:3" ht="14.25">
      <c r="A530" s="13" t="str">
        <f>IFERROR(VLOOKUP($E:$E,scan!$A:$B,2,0),"**")</f>
        <v>**</v>
      </c>
      <c r="B530" s="13" t="str">
        <f>IFERROR(VLOOKUP($E530,scan!A:C,3,0),"**")</f>
        <v>**</v>
      </c>
      <c r="C530" s="79">
        <v>529</v>
      </c>
    </row>
    <row r="531" spans="1:3" ht="14.25">
      <c r="A531" s="13" t="str">
        <f>IFERROR(VLOOKUP($E:$E,scan!$A:$B,2,0),"**")</f>
        <v>**</v>
      </c>
      <c r="B531" s="13" t="str">
        <f>IFERROR(VLOOKUP($E531,scan!A:C,3,0),"**")</f>
        <v>**</v>
      </c>
      <c r="C531" s="79">
        <v>530</v>
      </c>
    </row>
    <row r="532" spans="1:3" ht="14.25">
      <c r="A532" s="13" t="str">
        <f>IFERROR(VLOOKUP($E:$E,scan!$A:$B,2,0),"**")</f>
        <v>**</v>
      </c>
      <c r="B532" s="13" t="str">
        <f>IFERROR(VLOOKUP($E532,scan!A:C,3,0),"**")</f>
        <v>**</v>
      </c>
      <c r="C532" s="79">
        <v>531</v>
      </c>
    </row>
    <row r="533" spans="1:3" ht="14.25">
      <c r="A533" s="13" t="str">
        <f>IFERROR(VLOOKUP($E:$E,scan!$A:$B,2,0),"**")</f>
        <v>**</v>
      </c>
      <c r="B533" s="13" t="str">
        <f>IFERROR(VLOOKUP($E533,scan!A:C,3,0),"**")</f>
        <v>**</v>
      </c>
      <c r="C533" s="79">
        <v>532</v>
      </c>
    </row>
    <row r="534" spans="1:3" ht="14.25">
      <c r="A534" s="13" t="str">
        <f>IFERROR(VLOOKUP($E:$E,scan!$A:$B,2,0),"**")</f>
        <v>**</v>
      </c>
      <c r="B534" s="13" t="str">
        <f>IFERROR(VLOOKUP($E534,scan!A:C,3,0),"**")</f>
        <v>**</v>
      </c>
      <c r="C534" s="79">
        <v>533</v>
      </c>
    </row>
    <row r="535" spans="1:3" ht="14.25">
      <c r="A535" s="13" t="str">
        <f>IFERROR(VLOOKUP($E:$E,scan!$A:$B,2,0),"**")</f>
        <v>**</v>
      </c>
      <c r="B535" s="13" t="str">
        <f>IFERROR(VLOOKUP($E535,scan!A:C,3,0),"**")</f>
        <v>**</v>
      </c>
      <c r="C535" s="79">
        <v>534</v>
      </c>
    </row>
    <row r="536" spans="1:3" ht="14.25">
      <c r="A536" s="13" t="str">
        <f>IFERROR(VLOOKUP($E:$E,scan!$A:$B,2,0),"**")</f>
        <v>**</v>
      </c>
      <c r="B536" s="13" t="str">
        <f>IFERROR(VLOOKUP($E536,scan!A:C,3,0),"**")</f>
        <v>**</v>
      </c>
      <c r="C536" s="79">
        <v>535</v>
      </c>
    </row>
    <row r="537" spans="1:3" ht="14.25">
      <c r="A537" s="13" t="str">
        <f>IFERROR(VLOOKUP($E:$E,scan!$A:$B,2,0),"**")</f>
        <v>**</v>
      </c>
      <c r="B537" s="13" t="str">
        <f>IFERROR(VLOOKUP($E537,scan!A:C,3,0),"**")</f>
        <v>**</v>
      </c>
      <c r="C537" s="79">
        <v>536</v>
      </c>
    </row>
    <row r="538" spans="1:3" ht="14.25">
      <c r="A538" s="13" t="str">
        <f>IFERROR(VLOOKUP($E:$E,scan!$A:$B,2,0),"**")</f>
        <v>**</v>
      </c>
      <c r="B538" s="13" t="str">
        <f>IFERROR(VLOOKUP($E538,scan!A:C,3,0),"**")</f>
        <v>**</v>
      </c>
      <c r="C538" s="79">
        <v>537</v>
      </c>
    </row>
    <row r="539" spans="1:3" ht="14.25">
      <c r="A539" s="13" t="str">
        <f>IFERROR(VLOOKUP($E:$E,scan!$A:$B,2,0),"**")</f>
        <v>**</v>
      </c>
      <c r="B539" s="13" t="str">
        <f>IFERROR(VLOOKUP($E539,scan!A:C,3,0),"**")</f>
        <v>**</v>
      </c>
      <c r="C539" s="79">
        <v>538</v>
      </c>
    </row>
    <row r="540" spans="1:3" ht="14.25">
      <c r="A540" s="13" t="str">
        <f>IFERROR(VLOOKUP($E:$E,scan!$A:$B,2,0),"**")</f>
        <v>**</v>
      </c>
      <c r="B540" s="13" t="str">
        <f>IFERROR(VLOOKUP($E540,scan!A:C,3,0),"**")</f>
        <v>**</v>
      </c>
      <c r="C540" s="79">
        <v>539</v>
      </c>
    </row>
    <row r="541" spans="1:3" ht="14.25">
      <c r="A541" s="13" t="str">
        <f>IFERROR(VLOOKUP($E:$E,scan!$A:$B,2,0),"**")</f>
        <v>**</v>
      </c>
      <c r="B541" s="13" t="str">
        <f>IFERROR(VLOOKUP($E541,scan!A:C,3,0),"**")</f>
        <v>**</v>
      </c>
      <c r="C541" s="79">
        <v>540</v>
      </c>
    </row>
    <row r="542" spans="1:3" ht="14.25">
      <c r="A542" s="13" t="str">
        <f>IFERROR(VLOOKUP($E:$E,scan!$A:$B,2,0),"**")</f>
        <v>**</v>
      </c>
      <c r="B542" s="13" t="str">
        <f>IFERROR(VLOOKUP($E542,scan!A:C,3,0),"**")</f>
        <v>**</v>
      </c>
      <c r="C542" s="79">
        <v>541</v>
      </c>
    </row>
    <row r="543" spans="1:3" ht="14.25">
      <c r="A543" s="13" t="str">
        <f>IFERROR(VLOOKUP($E:$E,scan!$A:$B,2,0),"**")</f>
        <v>**</v>
      </c>
      <c r="B543" s="13" t="str">
        <f>IFERROR(VLOOKUP($E543,scan!A:C,3,0),"**")</f>
        <v>**</v>
      </c>
      <c r="C543" s="79">
        <v>542</v>
      </c>
    </row>
    <row r="544" spans="1:3" ht="14.25">
      <c r="A544" s="13" t="str">
        <f>IFERROR(VLOOKUP($E:$E,scan!$A:$B,2,0),"**")</f>
        <v>**</v>
      </c>
      <c r="B544" s="13" t="str">
        <f>IFERROR(VLOOKUP($E544,scan!A:C,3,0),"**")</f>
        <v>**</v>
      </c>
      <c r="C544" s="79">
        <v>543</v>
      </c>
    </row>
    <row r="545" spans="1:3" ht="14.25">
      <c r="A545" s="13" t="str">
        <f>IFERROR(VLOOKUP($E:$E,scan!$A:$B,2,0),"**")</f>
        <v>**</v>
      </c>
      <c r="B545" s="13" t="str">
        <f>IFERROR(VLOOKUP($E545,scan!A:C,3,0),"**")</f>
        <v>**</v>
      </c>
      <c r="C545" s="79">
        <v>544</v>
      </c>
    </row>
    <row r="546" spans="1:3" ht="14.25">
      <c r="A546" s="13" t="str">
        <f>IFERROR(VLOOKUP($E:$E,scan!$A:$B,2,0),"**")</f>
        <v>**</v>
      </c>
      <c r="B546" s="13" t="str">
        <f>IFERROR(VLOOKUP($E546,scan!A:C,3,0),"**")</f>
        <v>**</v>
      </c>
      <c r="C546" s="79">
        <v>545</v>
      </c>
    </row>
    <row r="547" spans="1:3" ht="14.25">
      <c r="A547" s="13" t="str">
        <f>IFERROR(VLOOKUP($E:$E,scan!$A:$B,2,0),"**")</f>
        <v>**</v>
      </c>
      <c r="B547" s="13" t="str">
        <f>IFERROR(VLOOKUP($E547,scan!A:C,3,0),"**")</f>
        <v>**</v>
      </c>
      <c r="C547" s="79">
        <v>546</v>
      </c>
    </row>
    <row r="548" spans="1:3" ht="14.25">
      <c r="A548" s="13" t="str">
        <f>IFERROR(VLOOKUP($E:$E,scan!$A:$B,2,0),"**")</f>
        <v>**</v>
      </c>
      <c r="B548" s="13" t="str">
        <f>IFERROR(VLOOKUP($E548,scan!A:C,3,0),"**")</f>
        <v>**</v>
      </c>
      <c r="C548" s="79">
        <v>547</v>
      </c>
    </row>
    <row r="549" spans="1:3" ht="14.25">
      <c r="A549" s="13" t="str">
        <f>IFERROR(VLOOKUP($E:$E,scan!$A:$B,2,0),"**")</f>
        <v>**</v>
      </c>
      <c r="B549" s="13" t="str">
        <f>IFERROR(VLOOKUP($E549,scan!A:C,3,0),"**")</f>
        <v>**</v>
      </c>
      <c r="C549" s="79">
        <v>548</v>
      </c>
    </row>
    <row r="550" spans="1:3" ht="14.25">
      <c r="A550" s="13" t="str">
        <f>IFERROR(VLOOKUP($E:$E,scan!$A:$B,2,0),"**")</f>
        <v>**</v>
      </c>
      <c r="B550" s="13" t="str">
        <f>IFERROR(VLOOKUP($E550,scan!A:C,3,0),"**")</f>
        <v>**</v>
      </c>
      <c r="C550" s="79">
        <v>549</v>
      </c>
    </row>
    <row r="551" spans="1:3" ht="14.25">
      <c r="A551" s="13" t="str">
        <f>IFERROR(VLOOKUP($E:$E,scan!$A:$B,2,0),"**")</f>
        <v>**</v>
      </c>
      <c r="B551" s="13" t="str">
        <f>IFERROR(VLOOKUP($E551,scan!A:C,3,0),"**")</f>
        <v>**</v>
      </c>
      <c r="C551" s="79">
        <v>550</v>
      </c>
    </row>
    <row r="552" spans="1:3" ht="14.25">
      <c r="A552" s="13" t="str">
        <f>IFERROR(VLOOKUP($E:$E,scan!$A:$B,2,0),"**")</f>
        <v>**</v>
      </c>
      <c r="B552" s="13" t="str">
        <f>IFERROR(VLOOKUP($E552,scan!A:C,3,0),"**")</f>
        <v>**</v>
      </c>
      <c r="C552" s="79">
        <v>551</v>
      </c>
    </row>
    <row r="553" spans="1:3" ht="14.25">
      <c r="A553" s="13" t="str">
        <f>IFERROR(VLOOKUP($E:$E,scan!$A:$B,2,0),"**")</f>
        <v>**</v>
      </c>
      <c r="B553" s="13" t="str">
        <f>IFERROR(VLOOKUP($E553,scan!A:C,3,0),"**")</f>
        <v>**</v>
      </c>
      <c r="C553" s="79">
        <v>552</v>
      </c>
    </row>
    <row r="554" spans="1:3" ht="14.25">
      <c r="A554" s="13" t="str">
        <f>IFERROR(VLOOKUP($E:$E,scan!$A:$B,2,0),"**")</f>
        <v>**</v>
      </c>
      <c r="B554" s="13" t="str">
        <f>IFERROR(VLOOKUP($E554,scan!A:C,3,0),"**")</f>
        <v>**</v>
      </c>
      <c r="C554" s="79">
        <v>553</v>
      </c>
    </row>
    <row r="555" spans="1:3" ht="14.25">
      <c r="A555" s="13" t="str">
        <f>IFERROR(VLOOKUP($E:$E,scan!$A:$B,2,0),"**")</f>
        <v>**</v>
      </c>
      <c r="B555" s="13" t="str">
        <f>IFERROR(VLOOKUP($E555,scan!A:C,3,0),"**")</f>
        <v>**</v>
      </c>
      <c r="C555" s="79">
        <v>554</v>
      </c>
    </row>
    <row r="556" spans="1:3" ht="14.25">
      <c r="A556" s="13" t="str">
        <f>IFERROR(VLOOKUP($E:$E,scan!$A:$B,2,0),"**")</f>
        <v>**</v>
      </c>
      <c r="B556" s="13" t="str">
        <f>IFERROR(VLOOKUP($E556,scan!A:C,3,0),"**")</f>
        <v>**</v>
      </c>
      <c r="C556" s="79">
        <v>555</v>
      </c>
    </row>
    <row r="557" spans="1:3" ht="14.25">
      <c r="A557" s="13" t="str">
        <f>IFERROR(VLOOKUP($E:$E,scan!$A:$B,2,0),"**")</f>
        <v>**</v>
      </c>
      <c r="B557" s="13" t="str">
        <f>IFERROR(VLOOKUP($E557,scan!A:C,3,0),"**")</f>
        <v>**</v>
      </c>
      <c r="C557" s="79">
        <v>556</v>
      </c>
    </row>
    <row r="558" spans="1:3" ht="14.25">
      <c r="A558" s="13" t="str">
        <f>IFERROR(VLOOKUP($E:$E,scan!$A:$B,2,0),"**")</f>
        <v>**</v>
      </c>
      <c r="B558" s="13" t="str">
        <f>IFERROR(VLOOKUP($E558,scan!A:C,3,0),"**")</f>
        <v>**</v>
      </c>
      <c r="C558" s="79">
        <v>557</v>
      </c>
    </row>
    <row r="559" spans="1:3" ht="14.25">
      <c r="A559" s="13" t="str">
        <f>IFERROR(VLOOKUP($E:$E,scan!$A:$B,2,0),"**")</f>
        <v>**</v>
      </c>
      <c r="B559" s="13" t="str">
        <f>IFERROR(VLOOKUP($E559,scan!A:C,3,0),"**")</f>
        <v>**</v>
      </c>
      <c r="C559" s="79">
        <v>558</v>
      </c>
    </row>
    <row r="560" spans="1:3" ht="14.25">
      <c r="A560" s="13" t="str">
        <f>IFERROR(VLOOKUP($E:$E,scan!$A:$B,2,0),"**")</f>
        <v>**</v>
      </c>
      <c r="B560" s="13" t="str">
        <f>IFERROR(VLOOKUP($E560,scan!A:C,3,0),"**")</f>
        <v>**</v>
      </c>
      <c r="C560" s="79">
        <v>559</v>
      </c>
    </row>
    <row r="561" spans="1:3" ht="14.25">
      <c r="A561" s="13" t="str">
        <f>IFERROR(VLOOKUP($E:$E,scan!$A:$B,2,0),"**")</f>
        <v>**</v>
      </c>
      <c r="B561" s="13" t="str">
        <f>IFERROR(VLOOKUP($E561,scan!A:C,3,0),"**")</f>
        <v>**</v>
      </c>
      <c r="C561" s="79">
        <v>560</v>
      </c>
    </row>
    <row r="562" spans="1:3" ht="14.25">
      <c r="A562" s="13" t="str">
        <f>IFERROR(VLOOKUP($E:$E,scan!$A:$B,2,0),"**")</f>
        <v>**</v>
      </c>
      <c r="B562" s="13" t="str">
        <f>IFERROR(VLOOKUP($E562,scan!A:C,3,0),"**")</f>
        <v>**</v>
      </c>
      <c r="C562" s="79">
        <v>561</v>
      </c>
    </row>
    <row r="563" spans="1:3" ht="14.25">
      <c r="A563" s="13" t="str">
        <f>IFERROR(VLOOKUP($E:$E,scan!$A:$B,2,0),"**")</f>
        <v>**</v>
      </c>
      <c r="B563" s="13" t="str">
        <f>IFERROR(VLOOKUP($E563,scan!A:C,3,0),"**")</f>
        <v>**</v>
      </c>
      <c r="C563" s="79">
        <v>562</v>
      </c>
    </row>
    <row r="564" spans="1:3" ht="14.25">
      <c r="A564" s="13" t="str">
        <f>IFERROR(VLOOKUP($E:$E,scan!$A:$B,2,0),"**")</f>
        <v>**</v>
      </c>
      <c r="B564" s="13" t="str">
        <f>IFERROR(VLOOKUP($E564,scan!A:C,3,0),"**")</f>
        <v>**</v>
      </c>
      <c r="C564" s="79">
        <v>563</v>
      </c>
    </row>
    <row r="565" spans="1:3" ht="14.25">
      <c r="A565" s="13" t="str">
        <f>IFERROR(VLOOKUP($E:$E,scan!$A:$B,2,0),"**")</f>
        <v>**</v>
      </c>
      <c r="B565" s="13" t="str">
        <f>IFERROR(VLOOKUP($E565,scan!A:C,3,0),"**")</f>
        <v>**</v>
      </c>
      <c r="C565" s="79">
        <v>564</v>
      </c>
    </row>
    <row r="566" spans="1:3" ht="14.25">
      <c r="A566" s="13" t="str">
        <f>IFERROR(VLOOKUP($E:$E,scan!$A:$B,2,0),"**")</f>
        <v>**</v>
      </c>
      <c r="B566" s="13" t="str">
        <f>IFERROR(VLOOKUP($E566,scan!A:C,3,0),"**")</f>
        <v>**</v>
      </c>
      <c r="C566" s="79">
        <v>565</v>
      </c>
    </row>
    <row r="567" spans="1:3" ht="14.25">
      <c r="A567" s="13" t="str">
        <f>IFERROR(VLOOKUP($E:$E,scan!$A:$B,2,0),"**")</f>
        <v>**</v>
      </c>
      <c r="B567" s="13" t="str">
        <f>IFERROR(VLOOKUP($E567,scan!A:C,3,0),"**")</f>
        <v>**</v>
      </c>
      <c r="C567" s="79">
        <v>566</v>
      </c>
    </row>
    <row r="568" spans="1:3" ht="14.25">
      <c r="A568" s="13" t="str">
        <f>IFERROR(VLOOKUP($E:$E,scan!$A:$B,2,0),"**")</f>
        <v>**</v>
      </c>
      <c r="B568" s="13" t="str">
        <f>IFERROR(VLOOKUP($E568,scan!A:C,3,0),"**")</f>
        <v>**</v>
      </c>
      <c r="C568" s="79">
        <v>567</v>
      </c>
    </row>
    <row r="569" spans="1:3" ht="14.25">
      <c r="A569" s="13" t="str">
        <f>IFERROR(VLOOKUP($E:$E,scan!$A:$B,2,0),"**")</f>
        <v>**</v>
      </c>
      <c r="B569" s="13" t="str">
        <f>IFERROR(VLOOKUP($E569,scan!A:C,3,0),"**")</f>
        <v>**</v>
      </c>
      <c r="C569" s="79">
        <v>568</v>
      </c>
    </row>
    <row r="570" spans="1:3" ht="14.25">
      <c r="A570" s="13" t="str">
        <f>IFERROR(VLOOKUP($E:$E,scan!$A:$B,2,0),"**")</f>
        <v>**</v>
      </c>
      <c r="B570" s="13" t="str">
        <f>IFERROR(VLOOKUP($E570,scan!A:C,3,0),"**")</f>
        <v>**</v>
      </c>
      <c r="C570" s="79">
        <v>569</v>
      </c>
    </row>
    <row r="571" spans="1:3" ht="14.25">
      <c r="A571" s="13" t="str">
        <f>IFERROR(VLOOKUP($E:$E,scan!$A:$B,2,0),"**")</f>
        <v>**</v>
      </c>
      <c r="B571" s="13" t="str">
        <f>IFERROR(VLOOKUP($E571,scan!A:C,3,0),"**")</f>
        <v>**</v>
      </c>
      <c r="C571" s="79">
        <v>570</v>
      </c>
    </row>
    <row r="572" spans="1:3" ht="14.25">
      <c r="A572" s="13" t="str">
        <f>IFERROR(VLOOKUP($E:$E,scan!$A:$B,2,0),"**")</f>
        <v>**</v>
      </c>
      <c r="B572" s="13" t="str">
        <f>IFERROR(VLOOKUP($E572,scan!A:C,3,0),"**")</f>
        <v>**</v>
      </c>
      <c r="C572" s="79">
        <v>571</v>
      </c>
    </row>
    <row r="573" spans="1:3" ht="14.25">
      <c r="A573" s="13" t="str">
        <f>IFERROR(VLOOKUP($E:$E,scan!$A:$B,2,0),"**")</f>
        <v>**</v>
      </c>
      <c r="B573" s="13" t="str">
        <f>IFERROR(VLOOKUP($E573,scan!A:C,3,0),"**")</f>
        <v>**</v>
      </c>
      <c r="C573" s="79">
        <v>572</v>
      </c>
    </row>
    <row r="574" spans="1:3" ht="14.25">
      <c r="A574" s="13" t="str">
        <f>IFERROR(VLOOKUP($E:$E,scan!$A:$B,2,0),"**")</f>
        <v>**</v>
      </c>
      <c r="B574" s="13" t="str">
        <f>IFERROR(VLOOKUP($E574,scan!A:C,3,0),"**")</f>
        <v>**</v>
      </c>
      <c r="C574" s="79">
        <v>573</v>
      </c>
    </row>
    <row r="575" spans="1:3" ht="14.25">
      <c r="A575" s="13" t="str">
        <f>IFERROR(VLOOKUP($E:$E,scan!$A:$B,2,0),"**")</f>
        <v>**</v>
      </c>
      <c r="B575" s="13" t="str">
        <f>IFERROR(VLOOKUP($E575,scan!A:C,3,0),"**")</f>
        <v>**</v>
      </c>
      <c r="C575" s="79">
        <v>574</v>
      </c>
    </row>
    <row r="576" spans="1:3" ht="14.25">
      <c r="A576" s="13" t="str">
        <f>IFERROR(VLOOKUP($E:$E,scan!$A:$B,2,0),"**")</f>
        <v>**</v>
      </c>
      <c r="B576" s="13" t="str">
        <f>IFERROR(VLOOKUP($E576,scan!A:C,3,0),"**")</f>
        <v>**</v>
      </c>
      <c r="C576" s="79">
        <v>575</v>
      </c>
    </row>
    <row r="577" spans="1:3" ht="14.25">
      <c r="A577" s="13" t="str">
        <f>IFERROR(VLOOKUP($E:$E,scan!$A:$B,2,0),"**")</f>
        <v>**</v>
      </c>
      <c r="B577" s="13" t="str">
        <f>IFERROR(VLOOKUP($E577,scan!A:C,3,0),"**")</f>
        <v>**</v>
      </c>
      <c r="C577" s="79">
        <v>576</v>
      </c>
    </row>
    <row r="578" spans="1:3" ht="14.25">
      <c r="A578" s="13" t="str">
        <f>IFERROR(VLOOKUP($E:$E,scan!$A:$B,2,0),"**")</f>
        <v>**</v>
      </c>
      <c r="B578" s="13" t="str">
        <f>IFERROR(VLOOKUP($E578,scan!A:C,3,0),"**")</f>
        <v>**</v>
      </c>
      <c r="C578" s="79">
        <v>577</v>
      </c>
    </row>
    <row r="579" spans="1:3" ht="14.25">
      <c r="A579" s="13" t="str">
        <f>IFERROR(VLOOKUP($E:$E,scan!$A:$B,2,0),"**")</f>
        <v>**</v>
      </c>
      <c r="B579" s="13" t="str">
        <f>IFERROR(VLOOKUP($E579,scan!A:C,3,0),"**")</f>
        <v>**</v>
      </c>
      <c r="C579" s="79">
        <v>578</v>
      </c>
    </row>
    <row r="580" spans="1:3" ht="14.25">
      <c r="A580" s="13" t="str">
        <f>IFERROR(VLOOKUP($E:$E,scan!$A:$B,2,0),"**")</f>
        <v>**</v>
      </c>
      <c r="B580" s="13" t="str">
        <f>IFERROR(VLOOKUP($E580,scan!A:C,3,0),"**")</f>
        <v>**</v>
      </c>
      <c r="C580" s="79">
        <v>579</v>
      </c>
    </row>
    <row r="581" spans="1:3" ht="14.25">
      <c r="A581" s="13" t="str">
        <f>IFERROR(VLOOKUP($E:$E,scan!$A:$B,2,0),"**")</f>
        <v>**</v>
      </c>
      <c r="B581" s="13" t="str">
        <f>IFERROR(VLOOKUP($E581,scan!A:C,3,0),"**")</f>
        <v>**</v>
      </c>
      <c r="C581" s="79">
        <v>580</v>
      </c>
    </row>
    <row r="582" spans="1:3" ht="14.25">
      <c r="A582" s="13" t="str">
        <f>IFERROR(VLOOKUP($E:$E,scan!$A:$B,2,0),"**")</f>
        <v>**</v>
      </c>
      <c r="B582" s="13" t="str">
        <f>IFERROR(VLOOKUP($E582,scan!A:C,3,0),"**")</f>
        <v>**</v>
      </c>
      <c r="C582" s="79">
        <v>581</v>
      </c>
    </row>
    <row r="583" spans="1:3" ht="14.25">
      <c r="A583" s="13" t="str">
        <f>IFERROR(VLOOKUP($E:$E,scan!$A:$B,2,0),"**")</f>
        <v>**</v>
      </c>
      <c r="B583" s="13" t="str">
        <f>IFERROR(VLOOKUP($E583,scan!A:C,3,0),"**")</f>
        <v>**</v>
      </c>
      <c r="C583" s="79">
        <v>582</v>
      </c>
    </row>
    <row r="584" spans="1:3" ht="14.25">
      <c r="A584" s="13" t="str">
        <f>IFERROR(VLOOKUP($E:$E,scan!$A:$B,2,0),"**")</f>
        <v>**</v>
      </c>
      <c r="B584" s="13" t="str">
        <f>IFERROR(VLOOKUP($E584,scan!A:C,3,0),"**")</f>
        <v>**</v>
      </c>
      <c r="C584" s="79">
        <v>583</v>
      </c>
    </row>
    <row r="585" spans="1:3" ht="14.25">
      <c r="A585" s="13" t="str">
        <f>IFERROR(VLOOKUP($E:$E,scan!$A:$B,2,0),"**")</f>
        <v>**</v>
      </c>
      <c r="B585" s="13" t="str">
        <f>IFERROR(VLOOKUP($E585,scan!A:C,3,0),"**")</f>
        <v>**</v>
      </c>
      <c r="C585" s="79">
        <v>584</v>
      </c>
    </row>
    <row r="586" spans="1:3" ht="14.25">
      <c r="A586" s="13" t="str">
        <f>IFERROR(VLOOKUP($E:$E,scan!$A:$B,2,0),"**")</f>
        <v>**</v>
      </c>
      <c r="B586" s="13" t="str">
        <f>IFERROR(VLOOKUP($E586,scan!A:C,3,0),"**")</f>
        <v>**</v>
      </c>
      <c r="C586" s="79">
        <v>585</v>
      </c>
    </row>
    <row r="587" spans="1:3" ht="14.25">
      <c r="A587" s="13" t="str">
        <f>IFERROR(VLOOKUP($E:$E,scan!$A:$B,2,0),"**")</f>
        <v>**</v>
      </c>
      <c r="B587" s="13" t="str">
        <f>IFERROR(VLOOKUP($E587,scan!A:C,3,0),"**")</f>
        <v>**</v>
      </c>
      <c r="C587" s="79">
        <v>586</v>
      </c>
    </row>
    <row r="588" spans="1:3" ht="14.25">
      <c r="A588" s="13" t="str">
        <f>IFERROR(VLOOKUP($E:$E,scan!$A:$B,2,0),"**")</f>
        <v>**</v>
      </c>
      <c r="B588" s="13" t="str">
        <f>IFERROR(VLOOKUP($E588,scan!A:C,3,0),"**")</f>
        <v>**</v>
      </c>
      <c r="C588" s="79">
        <v>587</v>
      </c>
    </row>
    <row r="589" spans="1:3" ht="14.25">
      <c r="A589" s="13" t="str">
        <f>IFERROR(VLOOKUP($E:$E,scan!$A:$B,2,0),"**")</f>
        <v>**</v>
      </c>
      <c r="B589" s="13" t="str">
        <f>IFERROR(VLOOKUP($E589,scan!A:C,3,0),"**")</f>
        <v>**</v>
      </c>
      <c r="C589" s="79">
        <v>588</v>
      </c>
    </row>
    <row r="590" spans="1:3" ht="14.25">
      <c r="A590" s="13" t="str">
        <f>IFERROR(VLOOKUP($E:$E,scan!$A:$B,2,0),"**")</f>
        <v>**</v>
      </c>
      <c r="B590" s="13" t="str">
        <f>IFERROR(VLOOKUP($E590,scan!A:C,3,0),"**")</f>
        <v>**</v>
      </c>
      <c r="C590" s="79">
        <v>589</v>
      </c>
    </row>
    <row r="591" spans="1:3" ht="14.25">
      <c r="A591" s="13" t="str">
        <f>IFERROR(VLOOKUP($E:$E,scan!$A:$B,2,0),"**")</f>
        <v>**</v>
      </c>
      <c r="B591" s="13" t="str">
        <f>IFERROR(VLOOKUP($E591,scan!A:C,3,0),"**")</f>
        <v>**</v>
      </c>
      <c r="C591" s="79">
        <v>590</v>
      </c>
    </row>
    <row r="592" spans="1:3" ht="14.25">
      <c r="A592" s="13" t="str">
        <f>IFERROR(VLOOKUP($E:$E,scan!$A:$B,2,0),"**")</f>
        <v>**</v>
      </c>
      <c r="B592" s="13" t="str">
        <f>IFERROR(VLOOKUP($E592,scan!A:C,3,0),"**")</f>
        <v>**</v>
      </c>
      <c r="C592" s="79">
        <v>591</v>
      </c>
    </row>
    <row r="593" spans="1:3" ht="14.25">
      <c r="A593" s="13" t="str">
        <f>IFERROR(VLOOKUP($E:$E,scan!$A:$B,2,0),"**")</f>
        <v>**</v>
      </c>
      <c r="B593" s="13" t="str">
        <f>IFERROR(VLOOKUP($E593,scan!A:C,3,0),"**")</f>
        <v>**</v>
      </c>
      <c r="C593" s="79">
        <v>592</v>
      </c>
    </row>
    <row r="594" spans="1:3" ht="14.25">
      <c r="A594" s="13" t="str">
        <f>IFERROR(VLOOKUP($E:$E,scan!$A:$B,2,0),"**")</f>
        <v>**</v>
      </c>
      <c r="B594" s="13" t="str">
        <f>IFERROR(VLOOKUP($E594,scan!A:C,3,0),"**")</f>
        <v>**</v>
      </c>
      <c r="C594" s="79">
        <v>593</v>
      </c>
    </row>
    <row r="595" spans="1:3" ht="14.25">
      <c r="A595" s="13" t="str">
        <f>IFERROR(VLOOKUP($E:$E,scan!$A:$B,2,0),"**")</f>
        <v>**</v>
      </c>
      <c r="B595" s="13" t="str">
        <f>IFERROR(VLOOKUP($E595,scan!A:C,3,0),"**")</f>
        <v>**</v>
      </c>
      <c r="C595" s="79">
        <v>594</v>
      </c>
    </row>
    <row r="596" spans="1:3" ht="14.25">
      <c r="A596" s="13" t="str">
        <f>IFERROR(VLOOKUP($E:$E,scan!$A:$B,2,0),"**")</f>
        <v>**</v>
      </c>
      <c r="B596" s="13" t="str">
        <f>IFERROR(VLOOKUP($E596,scan!A:C,3,0),"**")</f>
        <v>**</v>
      </c>
      <c r="C596" s="79">
        <v>595</v>
      </c>
    </row>
    <row r="597" spans="1:3" ht="14.25">
      <c r="A597" s="13" t="str">
        <f>IFERROR(VLOOKUP($E:$E,scan!$A:$B,2,0),"**")</f>
        <v>**</v>
      </c>
      <c r="B597" s="13" t="str">
        <f>IFERROR(VLOOKUP($E597,scan!A:C,3,0),"**")</f>
        <v>**</v>
      </c>
      <c r="C597" s="79">
        <v>596</v>
      </c>
    </row>
    <row r="598" spans="1:3" ht="14.25">
      <c r="A598" s="13" t="str">
        <f>IFERROR(VLOOKUP($E:$E,scan!$A:$B,2,0),"**")</f>
        <v>**</v>
      </c>
      <c r="B598" s="13" t="str">
        <f>IFERROR(VLOOKUP($E598,scan!A:C,3,0),"**")</f>
        <v>**</v>
      </c>
      <c r="C598" s="79">
        <v>597</v>
      </c>
    </row>
    <row r="599" spans="1:3" ht="14.25">
      <c r="A599" s="13" t="str">
        <f>IFERROR(VLOOKUP($E:$E,scan!$A:$B,2,0),"**")</f>
        <v>**</v>
      </c>
      <c r="B599" s="13" t="str">
        <f>IFERROR(VLOOKUP($E599,scan!A:C,3,0),"**")</f>
        <v>**</v>
      </c>
      <c r="C599" s="79">
        <v>598</v>
      </c>
    </row>
    <row r="600" spans="1:3" ht="14.25">
      <c r="A600" s="13" t="str">
        <f>IFERROR(VLOOKUP($E:$E,scan!$A:$B,2,0),"**")</f>
        <v>**</v>
      </c>
      <c r="B600" s="13" t="str">
        <f>IFERROR(VLOOKUP($E600,scan!A:C,3,0),"**")</f>
        <v>**</v>
      </c>
      <c r="C600" s="79">
        <v>599</v>
      </c>
    </row>
    <row r="601" spans="1:3" ht="14.25">
      <c r="A601" s="13" t="str">
        <f>IFERROR(VLOOKUP($E:$E,scan!$A:$B,2,0),"**")</f>
        <v>**</v>
      </c>
      <c r="B601" s="13" t="str">
        <f>IFERROR(VLOOKUP($E601,scan!A:C,3,0),"**")</f>
        <v>**</v>
      </c>
      <c r="C601" s="79">
        <v>600</v>
      </c>
    </row>
    <row r="602" spans="1:3" ht="14.25">
      <c r="A602" s="13" t="str">
        <f>IFERROR(VLOOKUP($E:$E,scan!$A:$B,2,0),"**")</f>
        <v>**</v>
      </c>
      <c r="B602" s="13" t="str">
        <f>IFERROR(VLOOKUP($E602,scan!A:C,3,0),"**")</f>
        <v>**</v>
      </c>
      <c r="C602" s="79">
        <v>601</v>
      </c>
    </row>
    <row r="603" spans="1:3" ht="14.25">
      <c r="A603" s="13" t="str">
        <f>IFERROR(VLOOKUP($E:$E,scan!$A:$B,2,0),"**")</f>
        <v>**</v>
      </c>
      <c r="B603" s="13" t="str">
        <f>IFERROR(VLOOKUP($E603,scan!A:C,3,0),"**")</f>
        <v>**</v>
      </c>
      <c r="C603" s="79">
        <v>602</v>
      </c>
    </row>
    <row r="604" spans="1:3" ht="14.25">
      <c r="A604" s="13" t="str">
        <f>IFERROR(VLOOKUP($E:$E,scan!$A:$B,2,0),"**")</f>
        <v>**</v>
      </c>
      <c r="B604" s="13" t="str">
        <f>IFERROR(VLOOKUP($E604,scan!A:C,3,0),"**")</f>
        <v>**</v>
      </c>
      <c r="C604" s="79">
        <v>603</v>
      </c>
    </row>
    <row r="605" spans="1:3" ht="14.25">
      <c r="A605" s="13" t="str">
        <f>IFERROR(VLOOKUP($E:$E,scan!$A:$B,2,0),"**")</f>
        <v>**</v>
      </c>
      <c r="B605" s="13" t="str">
        <f>IFERROR(VLOOKUP($E605,scan!A:C,3,0),"**")</f>
        <v>**</v>
      </c>
      <c r="C605" s="79">
        <v>604</v>
      </c>
    </row>
    <row r="606" spans="1:3" ht="14.25">
      <c r="A606" s="13" t="str">
        <f>IFERROR(VLOOKUP($E:$E,scan!$A:$B,2,0),"**")</f>
        <v>**</v>
      </c>
      <c r="B606" s="13" t="str">
        <f>IFERROR(VLOOKUP($E606,scan!A:C,3,0),"**")</f>
        <v>**</v>
      </c>
      <c r="C606" s="79">
        <v>605</v>
      </c>
    </row>
    <row r="607" spans="1:3" ht="14.25">
      <c r="A607" s="13" t="str">
        <f>IFERROR(VLOOKUP($E:$E,scan!$A:$B,2,0),"**")</f>
        <v>**</v>
      </c>
      <c r="B607" s="13" t="str">
        <f>IFERROR(VLOOKUP($E607,scan!A:C,3,0),"**")</f>
        <v>**</v>
      </c>
      <c r="C607" s="79">
        <v>606</v>
      </c>
    </row>
    <row r="608" spans="1:3" ht="14.25">
      <c r="A608" s="13" t="str">
        <f>IFERROR(VLOOKUP($E:$E,scan!$A:$B,2,0),"**")</f>
        <v>**</v>
      </c>
      <c r="B608" s="13" t="str">
        <f>IFERROR(VLOOKUP($E608,scan!A:C,3,0),"**")</f>
        <v>**</v>
      </c>
      <c r="C608" s="79">
        <v>607</v>
      </c>
    </row>
    <row r="609" spans="1:3" ht="14.25">
      <c r="A609" s="13" t="str">
        <f>IFERROR(VLOOKUP($E:$E,scan!$A:$B,2,0),"**")</f>
        <v>**</v>
      </c>
      <c r="B609" s="13" t="str">
        <f>IFERROR(VLOOKUP($E609,scan!A:C,3,0),"**")</f>
        <v>**</v>
      </c>
      <c r="C609" s="79">
        <v>608</v>
      </c>
    </row>
    <row r="610" spans="1:3" ht="14.25">
      <c r="A610" s="13" t="str">
        <f>IFERROR(VLOOKUP($E:$E,scan!$A:$B,2,0),"**")</f>
        <v>**</v>
      </c>
      <c r="B610" s="13" t="str">
        <f>IFERROR(VLOOKUP($E610,scan!A:C,3,0),"**")</f>
        <v>**</v>
      </c>
      <c r="C610" s="79">
        <v>609</v>
      </c>
    </row>
    <row r="611" spans="1:3" ht="14.25">
      <c r="A611" s="13" t="str">
        <f>IFERROR(VLOOKUP($E:$E,scan!$A:$B,2,0),"**")</f>
        <v>**</v>
      </c>
      <c r="B611" s="13" t="str">
        <f>IFERROR(VLOOKUP($E611,scan!A:C,3,0),"**")</f>
        <v>**</v>
      </c>
      <c r="C611" s="79">
        <v>610</v>
      </c>
    </row>
    <row r="612" spans="1:3" ht="14.25">
      <c r="A612" s="13" t="str">
        <f>IFERROR(VLOOKUP($E:$E,scan!$A:$B,2,0),"**")</f>
        <v>**</v>
      </c>
      <c r="B612" s="13" t="str">
        <f>IFERROR(VLOOKUP($E612,scan!A:C,3,0),"**")</f>
        <v>**</v>
      </c>
      <c r="C612" s="79">
        <v>611</v>
      </c>
    </row>
    <row r="613" spans="1:3" ht="14.25">
      <c r="A613" s="13" t="str">
        <f>IFERROR(VLOOKUP($E:$E,scan!$A:$B,2,0),"**")</f>
        <v>**</v>
      </c>
      <c r="B613" s="13" t="str">
        <f>IFERROR(VLOOKUP($E613,scan!A:C,3,0),"**")</f>
        <v>**</v>
      </c>
      <c r="C613" s="79">
        <v>612</v>
      </c>
    </row>
    <row r="614" spans="1:3" ht="14.25">
      <c r="A614" s="13" t="str">
        <f>IFERROR(VLOOKUP($E:$E,scan!$A:$B,2,0),"**")</f>
        <v>**</v>
      </c>
      <c r="B614" s="13" t="str">
        <f>IFERROR(VLOOKUP($E614,scan!A:C,3,0),"**")</f>
        <v>**</v>
      </c>
      <c r="C614" s="79">
        <v>613</v>
      </c>
    </row>
    <row r="615" spans="1:3" ht="14.25">
      <c r="A615" s="13" t="str">
        <f>IFERROR(VLOOKUP($E:$E,scan!$A:$B,2,0),"**")</f>
        <v>**</v>
      </c>
      <c r="B615" s="13" t="str">
        <f>IFERROR(VLOOKUP($E615,scan!A:C,3,0),"**")</f>
        <v>**</v>
      </c>
      <c r="C615" s="79">
        <v>614</v>
      </c>
    </row>
    <row r="616" spans="1:3" ht="14.25">
      <c r="A616" s="13" t="str">
        <f>IFERROR(VLOOKUP($E:$E,scan!$A:$B,2,0),"**")</f>
        <v>**</v>
      </c>
      <c r="B616" s="13" t="str">
        <f>IFERROR(VLOOKUP($E616,scan!A:C,3,0),"**")</f>
        <v>**</v>
      </c>
      <c r="C616" s="79">
        <v>615</v>
      </c>
    </row>
    <row r="617" spans="1:3" ht="14.25">
      <c r="A617" s="13" t="str">
        <f>IFERROR(VLOOKUP($E:$E,scan!$A:$B,2,0),"**")</f>
        <v>**</v>
      </c>
      <c r="B617" s="13" t="str">
        <f>IFERROR(VLOOKUP($E617,scan!A:C,3,0),"**")</f>
        <v>**</v>
      </c>
      <c r="C617" s="79">
        <v>616</v>
      </c>
    </row>
    <row r="618" spans="1:3" ht="14.25">
      <c r="A618" s="13" t="str">
        <f>IFERROR(VLOOKUP($E:$E,scan!$A:$B,2,0),"**")</f>
        <v>**</v>
      </c>
      <c r="B618" s="13" t="str">
        <f>IFERROR(VLOOKUP($E618,scan!A:C,3,0),"**")</f>
        <v>**</v>
      </c>
      <c r="C618" s="79">
        <v>617</v>
      </c>
    </row>
    <row r="619" spans="1:3" ht="14.25">
      <c r="A619" s="13" t="str">
        <f>IFERROR(VLOOKUP($E:$E,scan!$A:$B,2,0),"**")</f>
        <v>**</v>
      </c>
      <c r="B619" s="13" t="str">
        <f>IFERROR(VLOOKUP($E619,scan!A:C,3,0),"**")</f>
        <v>**</v>
      </c>
      <c r="C619" s="79">
        <v>618</v>
      </c>
    </row>
    <row r="620" spans="1:3" ht="14.25">
      <c r="A620" s="13" t="str">
        <f>IFERROR(VLOOKUP($E:$E,scan!$A:$B,2,0),"**")</f>
        <v>**</v>
      </c>
      <c r="B620" s="13" t="str">
        <f>IFERROR(VLOOKUP($E620,scan!A:C,3,0),"**")</f>
        <v>**</v>
      </c>
      <c r="C620" s="79">
        <v>619</v>
      </c>
    </row>
    <row r="621" spans="1:3" ht="14.25">
      <c r="A621" s="13" t="str">
        <f>IFERROR(VLOOKUP($E:$E,scan!$A:$B,2,0),"**")</f>
        <v>**</v>
      </c>
      <c r="B621" s="13" t="str">
        <f>IFERROR(VLOOKUP($E621,scan!A:C,3,0),"**")</f>
        <v>**</v>
      </c>
      <c r="C621" s="79">
        <v>620</v>
      </c>
    </row>
    <row r="622" spans="1:3" ht="14.25">
      <c r="A622" s="13" t="str">
        <f>IFERROR(VLOOKUP($E:$E,scan!$A:$B,2,0),"**")</f>
        <v>**</v>
      </c>
      <c r="B622" s="13" t="str">
        <f>IFERROR(VLOOKUP($E622,scan!A:C,3,0),"**")</f>
        <v>**</v>
      </c>
      <c r="C622" s="79">
        <v>621</v>
      </c>
    </row>
    <row r="623" spans="1:3" ht="14.25">
      <c r="A623" s="13" t="str">
        <f>IFERROR(VLOOKUP($E:$E,scan!$A:$B,2,0),"**")</f>
        <v>**</v>
      </c>
      <c r="B623" s="13" t="str">
        <f>IFERROR(VLOOKUP($E623,scan!A:C,3,0),"**")</f>
        <v>**</v>
      </c>
      <c r="C623" s="79">
        <v>622</v>
      </c>
    </row>
    <row r="624" spans="1:3" ht="14.25">
      <c r="A624" s="13" t="str">
        <f>IFERROR(VLOOKUP($E:$E,scan!$A:$B,2,0),"**")</f>
        <v>**</v>
      </c>
      <c r="B624" s="13" t="str">
        <f>IFERROR(VLOOKUP($E624,scan!A:C,3,0),"**")</f>
        <v>**</v>
      </c>
      <c r="C624" s="79">
        <v>623</v>
      </c>
    </row>
    <row r="625" spans="1:3" ht="14.25">
      <c r="A625" s="13" t="str">
        <f>IFERROR(VLOOKUP($E:$E,scan!$A:$B,2,0),"**")</f>
        <v>**</v>
      </c>
      <c r="B625" s="13" t="str">
        <f>IFERROR(VLOOKUP($E625,scan!A:C,3,0),"**")</f>
        <v>**</v>
      </c>
      <c r="C625" s="79">
        <v>624</v>
      </c>
    </row>
    <row r="626" spans="1:3" ht="14.25">
      <c r="A626" s="13" t="str">
        <f>IFERROR(VLOOKUP($E:$E,scan!$A:$B,2,0),"**")</f>
        <v>**</v>
      </c>
      <c r="B626" s="13" t="str">
        <f>IFERROR(VLOOKUP($E626,scan!A:C,3,0),"**")</f>
        <v>**</v>
      </c>
      <c r="C626" s="79">
        <v>625</v>
      </c>
    </row>
    <row r="627" spans="1:3" ht="14.25">
      <c r="A627" s="13" t="str">
        <f>IFERROR(VLOOKUP($E:$E,scan!$A:$B,2,0),"**")</f>
        <v>**</v>
      </c>
      <c r="B627" s="13" t="str">
        <f>IFERROR(VLOOKUP($E627,scan!A:C,3,0),"**")</f>
        <v>**</v>
      </c>
      <c r="C627" s="79">
        <v>626</v>
      </c>
    </row>
    <row r="628" spans="1:3" ht="14.25">
      <c r="A628" s="13" t="str">
        <f>IFERROR(VLOOKUP($E:$E,scan!$A:$B,2,0),"**")</f>
        <v>**</v>
      </c>
      <c r="B628" s="13" t="str">
        <f>IFERROR(VLOOKUP($E628,scan!A:C,3,0),"**")</f>
        <v>**</v>
      </c>
      <c r="C628" s="79">
        <v>627</v>
      </c>
    </row>
    <row r="629" spans="1:3" ht="14.25">
      <c r="A629" s="13" t="str">
        <f>IFERROR(VLOOKUP($E:$E,scan!$A:$B,2,0),"**")</f>
        <v>**</v>
      </c>
      <c r="B629" s="13" t="str">
        <f>IFERROR(VLOOKUP($E629,scan!A:C,3,0),"**")</f>
        <v>**</v>
      </c>
      <c r="C629" s="79">
        <v>628</v>
      </c>
    </row>
    <row r="630" spans="1:3" ht="14.25">
      <c r="A630" s="13" t="str">
        <f>IFERROR(VLOOKUP($E:$E,scan!$A:$B,2,0),"**")</f>
        <v>**</v>
      </c>
      <c r="B630" s="13" t="str">
        <f>IFERROR(VLOOKUP($E630,scan!A:C,3,0),"**")</f>
        <v>**</v>
      </c>
      <c r="C630" s="79">
        <v>629</v>
      </c>
    </row>
    <row r="631" spans="1:3" ht="14.25">
      <c r="A631" s="13" t="str">
        <f>IFERROR(VLOOKUP($E:$E,scan!$A:$B,2,0),"**")</f>
        <v>**</v>
      </c>
      <c r="B631" s="13" t="str">
        <f>IFERROR(VLOOKUP($E631,scan!A:C,3,0),"**")</f>
        <v>**</v>
      </c>
      <c r="C631" s="79">
        <v>630</v>
      </c>
    </row>
    <row r="632" spans="1:3" ht="14.25">
      <c r="A632" s="13" t="str">
        <f>IFERROR(VLOOKUP($E:$E,scan!$A:$B,2,0),"**")</f>
        <v>**</v>
      </c>
      <c r="B632" s="13" t="str">
        <f>IFERROR(VLOOKUP($E632,scan!A:C,3,0),"**")</f>
        <v>**</v>
      </c>
      <c r="C632" s="79">
        <v>631</v>
      </c>
    </row>
    <row r="633" spans="1:3" ht="14.25">
      <c r="A633" s="13" t="str">
        <f>IFERROR(VLOOKUP($E:$E,scan!$A:$B,2,0),"**")</f>
        <v>**</v>
      </c>
      <c r="B633" s="13" t="str">
        <f>IFERROR(VLOOKUP($E633,scan!A:C,3,0),"**")</f>
        <v>**</v>
      </c>
      <c r="C633" s="79">
        <v>632</v>
      </c>
    </row>
    <row r="634" spans="1:3" ht="14.25">
      <c r="A634" s="13" t="str">
        <f>IFERROR(VLOOKUP($E:$E,scan!$A:$B,2,0),"**")</f>
        <v>**</v>
      </c>
      <c r="B634" s="13" t="str">
        <f>IFERROR(VLOOKUP($E634,scan!A:C,3,0),"**")</f>
        <v>**</v>
      </c>
      <c r="C634" s="79">
        <v>633</v>
      </c>
    </row>
    <row r="635" spans="1:3" ht="14.25">
      <c r="A635" s="13" t="str">
        <f>IFERROR(VLOOKUP($E:$E,scan!$A:$B,2,0),"**")</f>
        <v>**</v>
      </c>
      <c r="B635" s="13" t="str">
        <f>IFERROR(VLOOKUP($E635,scan!A:C,3,0),"**")</f>
        <v>**</v>
      </c>
      <c r="C635" s="79">
        <v>634</v>
      </c>
    </row>
    <row r="636" spans="1:3" ht="14.25">
      <c r="A636" s="13" t="str">
        <f>IFERROR(VLOOKUP($E:$E,scan!$A:$B,2,0),"**")</f>
        <v>**</v>
      </c>
      <c r="B636" s="13" t="str">
        <f>IFERROR(VLOOKUP($E636,scan!A:C,3,0),"**")</f>
        <v>**</v>
      </c>
      <c r="C636" s="79">
        <v>635</v>
      </c>
    </row>
    <row r="637" spans="1:3" ht="14.25">
      <c r="A637" s="13" t="str">
        <f>IFERROR(VLOOKUP($E:$E,scan!$A:$B,2,0),"**")</f>
        <v>**</v>
      </c>
      <c r="B637" s="13" t="str">
        <f>IFERROR(VLOOKUP($E637,scan!A:C,3,0),"**")</f>
        <v>**</v>
      </c>
      <c r="C637" s="79">
        <v>636</v>
      </c>
    </row>
    <row r="638" spans="1:3" ht="14.25">
      <c r="A638" s="13" t="str">
        <f>IFERROR(VLOOKUP($E:$E,scan!$A:$B,2,0),"**")</f>
        <v>**</v>
      </c>
      <c r="B638" s="13" t="str">
        <f>IFERROR(VLOOKUP($E638,scan!A:C,3,0),"**")</f>
        <v>**</v>
      </c>
      <c r="C638" s="79">
        <v>637</v>
      </c>
    </row>
    <row r="639" spans="1:3" ht="14.25">
      <c r="A639" s="13" t="str">
        <f>IFERROR(VLOOKUP($E:$E,scan!$A:$B,2,0),"**")</f>
        <v>**</v>
      </c>
      <c r="B639" s="13" t="str">
        <f>IFERROR(VLOOKUP($E639,scan!A:C,3,0),"**")</f>
        <v>**</v>
      </c>
      <c r="C639" s="79">
        <v>638</v>
      </c>
    </row>
    <row r="640" spans="1:3" ht="14.25">
      <c r="A640" s="13" t="str">
        <f>IFERROR(VLOOKUP($E:$E,scan!$A:$B,2,0),"**")</f>
        <v>**</v>
      </c>
      <c r="B640" s="13" t="str">
        <f>IFERROR(VLOOKUP($E640,scan!A:C,3,0),"**")</f>
        <v>**</v>
      </c>
      <c r="C640" s="79">
        <v>639</v>
      </c>
    </row>
    <row r="641" spans="1:3" ht="14.25">
      <c r="A641" s="13" t="str">
        <f>IFERROR(VLOOKUP($E:$E,scan!$A:$B,2,0),"**")</f>
        <v>**</v>
      </c>
      <c r="B641" s="13" t="str">
        <f>IFERROR(VLOOKUP($E641,scan!A:C,3,0),"**")</f>
        <v>**</v>
      </c>
      <c r="C641" s="79">
        <v>640</v>
      </c>
    </row>
    <row r="642" spans="1:3" ht="14.25">
      <c r="A642" s="13" t="str">
        <f>IFERROR(VLOOKUP($E:$E,scan!$A:$B,2,0),"**")</f>
        <v>**</v>
      </c>
      <c r="B642" s="13" t="str">
        <f>IFERROR(VLOOKUP($E642,scan!A:C,3,0),"**")</f>
        <v>**</v>
      </c>
      <c r="C642" s="79">
        <v>641</v>
      </c>
    </row>
    <row r="643" spans="1:3" ht="14.25">
      <c r="A643" s="13" t="str">
        <f>IFERROR(VLOOKUP($E:$E,scan!$A:$B,2,0),"**")</f>
        <v>**</v>
      </c>
      <c r="B643" s="13" t="str">
        <f>IFERROR(VLOOKUP($E643,scan!A:C,3,0),"**")</f>
        <v>**</v>
      </c>
      <c r="C643" s="79">
        <v>642</v>
      </c>
    </row>
    <row r="644" spans="1:3" ht="14.25">
      <c r="A644" s="13" t="str">
        <f>IFERROR(VLOOKUP($E:$E,scan!$A:$B,2,0),"**")</f>
        <v>**</v>
      </c>
      <c r="B644" s="13" t="str">
        <f>IFERROR(VLOOKUP($E644,scan!A:C,3,0),"**")</f>
        <v>**</v>
      </c>
      <c r="C644" s="79">
        <v>643</v>
      </c>
    </row>
    <row r="645" spans="1:3" ht="14.25">
      <c r="A645" s="13" t="str">
        <f>IFERROR(VLOOKUP($E:$E,scan!$A:$B,2,0),"**")</f>
        <v>**</v>
      </c>
      <c r="B645" s="13" t="str">
        <f>IFERROR(VLOOKUP($E645,scan!A:C,3,0),"**")</f>
        <v>**</v>
      </c>
      <c r="C645" s="79">
        <v>644</v>
      </c>
    </row>
    <row r="646" spans="1:3" ht="14.25">
      <c r="A646" s="13" t="str">
        <f>IFERROR(VLOOKUP($E:$E,scan!$A:$B,2,0),"**")</f>
        <v>**</v>
      </c>
      <c r="B646" s="13" t="str">
        <f>IFERROR(VLOOKUP($E646,scan!A:C,3,0),"**")</f>
        <v>**</v>
      </c>
      <c r="C646" s="79">
        <v>645</v>
      </c>
    </row>
    <row r="647" spans="1:3" ht="14.25">
      <c r="A647" s="13" t="str">
        <f>IFERROR(VLOOKUP($E:$E,scan!$A:$B,2,0),"**")</f>
        <v>**</v>
      </c>
      <c r="B647" s="13" t="str">
        <f>IFERROR(VLOOKUP($E647,scan!A:C,3,0),"**")</f>
        <v>**</v>
      </c>
      <c r="C647" s="79">
        <v>646</v>
      </c>
    </row>
    <row r="648" spans="1:3" ht="14.25">
      <c r="A648" s="13" t="str">
        <f>IFERROR(VLOOKUP($E:$E,scan!$A:$B,2,0),"**")</f>
        <v>**</v>
      </c>
      <c r="B648" s="13" t="str">
        <f>IFERROR(VLOOKUP($E648,scan!A:C,3,0),"**")</f>
        <v>**</v>
      </c>
      <c r="C648" s="79">
        <v>647</v>
      </c>
    </row>
    <row r="649" spans="1:3" ht="14.25">
      <c r="A649" s="13" t="str">
        <f>IFERROR(VLOOKUP($E:$E,scan!$A:$B,2,0),"**")</f>
        <v>**</v>
      </c>
      <c r="B649" s="13" t="str">
        <f>IFERROR(VLOOKUP($E649,scan!A:C,3,0),"**")</f>
        <v>**</v>
      </c>
      <c r="C649" s="79">
        <v>648</v>
      </c>
    </row>
    <row r="650" spans="1:3" ht="14.25">
      <c r="A650" s="13" t="str">
        <f>IFERROR(VLOOKUP($E:$E,scan!$A:$B,2,0),"**")</f>
        <v>**</v>
      </c>
      <c r="B650" s="13" t="str">
        <f>IFERROR(VLOOKUP($E650,scan!A:C,3,0),"**")</f>
        <v>**</v>
      </c>
      <c r="C650" s="79">
        <v>649</v>
      </c>
    </row>
    <row r="651" spans="1:3" ht="14.25">
      <c r="A651" s="13" t="str">
        <f>IFERROR(VLOOKUP($E:$E,scan!$A:$B,2,0),"**")</f>
        <v>**</v>
      </c>
      <c r="B651" s="13" t="str">
        <f>IFERROR(VLOOKUP($E651,scan!A:C,3,0),"**")</f>
        <v>**</v>
      </c>
      <c r="C651" s="79">
        <v>650</v>
      </c>
    </row>
    <row r="652" spans="1:3" ht="14.25">
      <c r="A652" s="13" t="str">
        <f>IFERROR(VLOOKUP($E:$E,scan!$A:$B,2,0),"**")</f>
        <v>**</v>
      </c>
      <c r="B652" s="13" t="str">
        <f>IFERROR(VLOOKUP($E652,scan!A:C,3,0),"**")</f>
        <v>**</v>
      </c>
      <c r="C652" s="79">
        <v>651</v>
      </c>
    </row>
    <row r="653" spans="1:3" ht="14.25">
      <c r="A653" s="13" t="str">
        <f>IFERROR(VLOOKUP($E:$E,scan!$A:$B,2,0),"**")</f>
        <v>**</v>
      </c>
      <c r="B653" s="13" t="str">
        <f>IFERROR(VLOOKUP($E653,scan!A:C,3,0),"**")</f>
        <v>**</v>
      </c>
      <c r="C653" s="79">
        <v>652</v>
      </c>
    </row>
    <row r="654" spans="1:3" ht="14.25">
      <c r="A654" s="13" t="str">
        <f>IFERROR(VLOOKUP($E:$E,scan!$A:$B,2,0),"**")</f>
        <v>**</v>
      </c>
      <c r="B654" s="13" t="str">
        <f>IFERROR(VLOOKUP($E654,scan!A:C,3,0),"**")</f>
        <v>**</v>
      </c>
      <c r="C654" s="79">
        <v>653</v>
      </c>
    </row>
    <row r="655" spans="1:3" ht="14.25">
      <c r="A655" s="13" t="str">
        <f>IFERROR(VLOOKUP($E:$E,scan!$A:$B,2,0),"**")</f>
        <v>**</v>
      </c>
      <c r="B655" s="13" t="str">
        <f>IFERROR(VLOOKUP($E655,scan!A:C,3,0),"**")</f>
        <v>**</v>
      </c>
      <c r="C655" s="79">
        <v>654</v>
      </c>
    </row>
    <row r="656" spans="1:3" ht="14.25">
      <c r="A656" s="13" t="str">
        <f>IFERROR(VLOOKUP($E:$E,scan!$A:$B,2,0),"**")</f>
        <v>**</v>
      </c>
      <c r="B656" s="13" t="str">
        <f>IFERROR(VLOOKUP($E656,scan!A:C,3,0),"**")</f>
        <v>**</v>
      </c>
      <c r="C656" s="79">
        <v>655</v>
      </c>
    </row>
    <row r="657" spans="1:3" ht="14.25">
      <c r="A657" s="13" t="str">
        <f>IFERROR(VLOOKUP($E:$E,scan!$A:$B,2,0),"**")</f>
        <v>**</v>
      </c>
      <c r="B657" s="13" t="str">
        <f>IFERROR(VLOOKUP($E657,scan!A:C,3,0),"**")</f>
        <v>**</v>
      </c>
      <c r="C657" s="79">
        <v>656</v>
      </c>
    </row>
    <row r="658" spans="1:3" ht="14.25">
      <c r="A658" s="13" t="str">
        <f>IFERROR(VLOOKUP($E:$E,scan!$A:$B,2,0),"**")</f>
        <v>**</v>
      </c>
      <c r="B658" s="13" t="str">
        <f>IFERROR(VLOOKUP($E658,scan!A:C,3,0),"**")</f>
        <v>**</v>
      </c>
      <c r="C658" s="79">
        <v>657</v>
      </c>
    </row>
    <row r="659" spans="1:3" ht="14.25">
      <c r="A659" s="13" t="str">
        <f>IFERROR(VLOOKUP($E:$E,scan!$A:$B,2,0),"**")</f>
        <v>**</v>
      </c>
      <c r="B659" s="13" t="str">
        <f>IFERROR(VLOOKUP($E659,scan!A:C,3,0),"**")</f>
        <v>**</v>
      </c>
      <c r="C659" s="79">
        <v>658</v>
      </c>
    </row>
    <row r="660" spans="1:3" ht="14.25">
      <c r="A660" s="13" t="str">
        <f>IFERROR(VLOOKUP($E:$E,scan!$A:$B,2,0),"**")</f>
        <v>**</v>
      </c>
      <c r="B660" s="13" t="str">
        <f>IFERROR(VLOOKUP($E660,scan!A:C,3,0),"**")</f>
        <v>**</v>
      </c>
      <c r="C660" s="79">
        <v>659</v>
      </c>
    </row>
    <row r="661" spans="1:3" ht="14.25">
      <c r="A661" s="13" t="str">
        <f>IFERROR(VLOOKUP($E:$E,scan!$A:$B,2,0),"**")</f>
        <v>**</v>
      </c>
      <c r="B661" s="13" t="str">
        <f>IFERROR(VLOOKUP($E661,scan!A:C,3,0),"**")</f>
        <v>**</v>
      </c>
      <c r="C661" s="79">
        <v>660</v>
      </c>
    </row>
    <row r="662" spans="1:3" ht="14.25">
      <c r="A662" s="13" t="str">
        <f>IFERROR(VLOOKUP($E:$E,scan!$A:$B,2,0),"**")</f>
        <v>**</v>
      </c>
      <c r="B662" s="13" t="str">
        <f>IFERROR(VLOOKUP($E662,scan!A:C,3,0),"**")</f>
        <v>**</v>
      </c>
      <c r="C662" s="79">
        <v>661</v>
      </c>
    </row>
    <row r="663" spans="1:3" ht="14.25">
      <c r="A663" s="13" t="str">
        <f>IFERROR(VLOOKUP($E:$E,scan!$A:$B,2,0),"**")</f>
        <v>**</v>
      </c>
      <c r="B663" s="13" t="str">
        <f>IFERROR(VLOOKUP($E663,scan!A:C,3,0),"**")</f>
        <v>**</v>
      </c>
      <c r="C663" s="79">
        <v>662</v>
      </c>
    </row>
    <row r="664" spans="1:3" ht="14.25">
      <c r="A664" s="13" t="str">
        <f>IFERROR(VLOOKUP($E:$E,scan!$A:$B,2,0),"**")</f>
        <v>**</v>
      </c>
      <c r="B664" s="13" t="str">
        <f>IFERROR(VLOOKUP($E664,scan!A:C,3,0),"**")</f>
        <v>**</v>
      </c>
      <c r="C664" s="79">
        <v>663</v>
      </c>
    </row>
    <row r="665" spans="1:3" ht="14.25">
      <c r="A665" s="13" t="str">
        <f>IFERROR(VLOOKUP($E:$E,scan!$A:$B,2,0),"**")</f>
        <v>**</v>
      </c>
      <c r="B665" s="13" t="str">
        <f>IFERROR(VLOOKUP($E665,scan!A:C,3,0),"**")</f>
        <v>**</v>
      </c>
      <c r="C665" s="79">
        <v>664</v>
      </c>
    </row>
    <row r="666" spans="1:3" ht="14.25">
      <c r="A666" s="13" t="str">
        <f>IFERROR(VLOOKUP($E:$E,scan!$A:$B,2,0),"**")</f>
        <v>**</v>
      </c>
      <c r="B666" s="13" t="str">
        <f>IFERROR(VLOOKUP($E666,scan!A:C,3,0),"**")</f>
        <v>**</v>
      </c>
      <c r="C666" s="79">
        <v>665</v>
      </c>
    </row>
    <row r="667" spans="1:3" ht="14.25">
      <c r="A667" s="13" t="str">
        <f>IFERROR(VLOOKUP($E:$E,scan!$A:$B,2,0),"**")</f>
        <v>**</v>
      </c>
      <c r="B667" s="13" t="str">
        <f>IFERROR(VLOOKUP($E667,scan!A:C,3,0),"**")</f>
        <v>**</v>
      </c>
      <c r="C667" s="79">
        <v>666</v>
      </c>
    </row>
    <row r="668" spans="1:3" ht="14.25">
      <c r="A668" s="13" t="str">
        <f>IFERROR(VLOOKUP($E:$E,scan!$A:$B,2,0),"**")</f>
        <v>**</v>
      </c>
      <c r="B668" s="13" t="str">
        <f>IFERROR(VLOOKUP($E668,scan!A:C,3,0),"**")</f>
        <v>**</v>
      </c>
      <c r="C668" s="79">
        <v>667</v>
      </c>
    </row>
    <row r="669" spans="1:3" ht="14.25">
      <c r="A669" s="13" t="str">
        <f>IFERROR(VLOOKUP($E:$E,scan!$A:$B,2,0),"**")</f>
        <v>**</v>
      </c>
      <c r="B669" s="13" t="str">
        <f>IFERROR(VLOOKUP($E669,scan!A:C,3,0),"**")</f>
        <v>**</v>
      </c>
      <c r="C669" s="79">
        <v>668</v>
      </c>
    </row>
    <row r="670" spans="1:3" ht="14.25">
      <c r="A670" s="13" t="str">
        <f>IFERROR(VLOOKUP($E:$E,scan!$A:$B,2,0),"**")</f>
        <v>**</v>
      </c>
      <c r="B670" s="13" t="str">
        <f>IFERROR(VLOOKUP($E670,scan!A:C,3,0),"**")</f>
        <v>**</v>
      </c>
      <c r="C670" s="79">
        <v>669</v>
      </c>
    </row>
    <row r="671" spans="1:3" ht="14.25">
      <c r="A671" s="13" t="str">
        <f>IFERROR(VLOOKUP($E:$E,scan!$A:$B,2,0),"**")</f>
        <v>**</v>
      </c>
      <c r="B671" s="13" t="str">
        <f>IFERROR(VLOOKUP($E671,scan!A:C,3,0),"**")</f>
        <v>**</v>
      </c>
      <c r="C671" s="79">
        <v>670</v>
      </c>
    </row>
    <row r="672" spans="1:3" ht="14.25">
      <c r="A672" s="13" t="str">
        <f>IFERROR(VLOOKUP($E:$E,scan!$A:$B,2,0),"**")</f>
        <v>**</v>
      </c>
      <c r="B672" s="13" t="str">
        <f>IFERROR(VLOOKUP($E672,scan!A:C,3,0),"**")</f>
        <v>**</v>
      </c>
      <c r="C672" s="79">
        <v>671</v>
      </c>
    </row>
    <row r="673" spans="1:3" ht="14.25">
      <c r="A673" s="13" t="str">
        <f>IFERROR(VLOOKUP($E:$E,scan!$A:$B,2,0),"**")</f>
        <v>**</v>
      </c>
      <c r="B673" s="13" t="str">
        <f>IFERROR(VLOOKUP($E673,scan!A:C,3,0),"**")</f>
        <v>**</v>
      </c>
      <c r="C673" s="79">
        <v>672</v>
      </c>
    </row>
    <row r="674" spans="1:3" ht="14.25">
      <c r="A674" s="13" t="str">
        <f>IFERROR(VLOOKUP($E:$E,scan!$A:$B,2,0),"**")</f>
        <v>**</v>
      </c>
      <c r="B674" s="13" t="str">
        <f>IFERROR(VLOOKUP($E674,scan!A:C,3,0),"**")</f>
        <v>**</v>
      </c>
      <c r="C674" s="79">
        <v>673</v>
      </c>
    </row>
    <row r="675" spans="1:3" ht="14.25">
      <c r="A675" s="13" t="str">
        <f>IFERROR(VLOOKUP($E:$E,scan!$A:$B,2,0),"**")</f>
        <v>**</v>
      </c>
      <c r="B675" s="13" t="str">
        <f>IFERROR(VLOOKUP($E675,scan!A:C,3,0),"**")</f>
        <v>**</v>
      </c>
      <c r="C675" s="79">
        <v>674</v>
      </c>
    </row>
    <row r="676" spans="1:3" ht="14.25">
      <c r="A676" s="13" t="str">
        <f>IFERROR(VLOOKUP($E:$E,scan!$A:$B,2,0),"**")</f>
        <v>**</v>
      </c>
      <c r="B676" s="13" t="str">
        <f>IFERROR(VLOOKUP($E676,scan!A:C,3,0),"**")</f>
        <v>**</v>
      </c>
      <c r="C676" s="79">
        <v>675</v>
      </c>
    </row>
    <row r="677" spans="1:3" ht="14.25">
      <c r="A677" s="13" t="str">
        <f>IFERROR(VLOOKUP($E:$E,scan!$A:$B,2,0),"**")</f>
        <v>**</v>
      </c>
      <c r="B677" s="13" t="str">
        <f>IFERROR(VLOOKUP($E677,scan!A:C,3,0),"**")</f>
        <v>**</v>
      </c>
      <c r="C677" s="79">
        <v>676</v>
      </c>
    </row>
    <row r="678" spans="1:3" ht="14.25">
      <c r="A678" s="13" t="str">
        <f>IFERROR(VLOOKUP($E:$E,scan!$A:$B,2,0),"**")</f>
        <v>**</v>
      </c>
      <c r="B678" s="13" t="str">
        <f>IFERROR(VLOOKUP($E678,scan!A:C,3,0),"**")</f>
        <v>**</v>
      </c>
      <c r="C678" s="79">
        <v>677</v>
      </c>
    </row>
    <row r="679" spans="1:3" ht="14.25">
      <c r="A679" s="13" t="str">
        <f>IFERROR(VLOOKUP($E:$E,scan!$A:$B,2,0),"**")</f>
        <v>**</v>
      </c>
      <c r="B679" s="13" t="str">
        <f>IFERROR(VLOOKUP($E679,scan!A:C,3,0),"**")</f>
        <v>**</v>
      </c>
      <c r="C679" s="79">
        <v>678</v>
      </c>
    </row>
    <row r="680" spans="1:3" ht="14.25">
      <c r="A680" s="13" t="str">
        <f>IFERROR(VLOOKUP($E:$E,scan!$A:$B,2,0),"**")</f>
        <v>**</v>
      </c>
      <c r="B680" s="13" t="str">
        <f>IFERROR(VLOOKUP($E680,scan!A:C,3,0),"**")</f>
        <v>**</v>
      </c>
      <c r="C680" s="79">
        <v>679</v>
      </c>
    </row>
    <row r="681" spans="1:3" ht="14.25">
      <c r="A681" s="13" t="str">
        <f>IFERROR(VLOOKUP($E:$E,scan!$A:$B,2,0),"**")</f>
        <v>**</v>
      </c>
      <c r="B681" s="13" t="str">
        <f>IFERROR(VLOOKUP($E681,scan!A:C,3,0),"**")</f>
        <v>**</v>
      </c>
      <c r="C681" s="79">
        <v>680</v>
      </c>
    </row>
    <row r="682" spans="1:3" ht="14.25">
      <c r="A682" s="13" t="str">
        <f>IFERROR(VLOOKUP($E:$E,scan!$A:$B,2,0),"**")</f>
        <v>**</v>
      </c>
      <c r="B682" s="13" t="str">
        <f>IFERROR(VLOOKUP($E682,scan!A:C,3,0),"**")</f>
        <v>**</v>
      </c>
      <c r="C682" s="79">
        <v>681</v>
      </c>
    </row>
    <row r="683" spans="1:3" ht="14.25">
      <c r="A683" s="13" t="str">
        <f>IFERROR(VLOOKUP($E:$E,scan!$A:$B,2,0),"**")</f>
        <v>**</v>
      </c>
      <c r="B683" s="13" t="str">
        <f>IFERROR(VLOOKUP($E683,scan!A:C,3,0),"**")</f>
        <v>**</v>
      </c>
      <c r="C683" s="79">
        <v>682</v>
      </c>
    </row>
    <row r="684" spans="1:3" ht="14.25">
      <c r="A684" s="13" t="str">
        <f>IFERROR(VLOOKUP($E:$E,scan!$A:$B,2,0),"**")</f>
        <v>**</v>
      </c>
      <c r="B684" s="13" t="str">
        <f>IFERROR(VLOOKUP($E684,scan!A:C,3,0),"**")</f>
        <v>**</v>
      </c>
      <c r="C684" s="79">
        <v>683</v>
      </c>
    </row>
    <row r="685" spans="1:3" ht="14.25">
      <c r="A685" s="13" t="str">
        <f>IFERROR(VLOOKUP($E:$E,scan!$A:$B,2,0),"**")</f>
        <v>**</v>
      </c>
      <c r="B685" s="13" t="str">
        <f>IFERROR(VLOOKUP($E685,scan!A:C,3,0),"**")</f>
        <v>**</v>
      </c>
      <c r="C685" s="79">
        <v>684</v>
      </c>
    </row>
    <row r="686" spans="1:3" ht="14.25">
      <c r="A686" s="13" t="str">
        <f>IFERROR(VLOOKUP($E:$E,scan!$A:$B,2,0),"**")</f>
        <v>**</v>
      </c>
      <c r="B686" s="13" t="str">
        <f>IFERROR(VLOOKUP($E686,scan!A:C,3,0),"**")</f>
        <v>**</v>
      </c>
      <c r="C686" s="79">
        <v>685</v>
      </c>
    </row>
    <row r="687" spans="1:3" ht="14.25">
      <c r="A687" s="13" t="str">
        <f>IFERROR(VLOOKUP($E:$E,scan!$A:$B,2,0),"**")</f>
        <v>**</v>
      </c>
      <c r="B687" s="13" t="str">
        <f>IFERROR(VLOOKUP($E687,scan!A:C,3,0),"**")</f>
        <v>**</v>
      </c>
      <c r="C687" s="79">
        <v>686</v>
      </c>
    </row>
    <row r="688" spans="1:3" ht="14.25">
      <c r="A688" s="13" t="str">
        <f>IFERROR(VLOOKUP($E:$E,scan!$A:$B,2,0),"**")</f>
        <v>**</v>
      </c>
      <c r="B688" s="13" t="str">
        <f>IFERROR(VLOOKUP($E688,scan!A:C,3,0),"**")</f>
        <v>**</v>
      </c>
      <c r="C688" s="79">
        <v>687</v>
      </c>
    </row>
    <row r="689" spans="1:3" ht="14.25">
      <c r="A689" s="13" t="str">
        <f>IFERROR(VLOOKUP($E:$E,scan!$A:$B,2,0),"**")</f>
        <v>**</v>
      </c>
      <c r="B689" s="13" t="str">
        <f>IFERROR(VLOOKUP($E689,scan!A:C,3,0),"**")</f>
        <v>**</v>
      </c>
      <c r="C689" s="79">
        <v>688</v>
      </c>
    </row>
    <row r="690" spans="1:3" ht="14.25">
      <c r="A690" s="13" t="str">
        <f>IFERROR(VLOOKUP($E:$E,scan!$A:$B,2,0),"**")</f>
        <v>**</v>
      </c>
      <c r="B690" s="13" t="str">
        <f>IFERROR(VLOOKUP($E690,scan!A:C,3,0),"**")</f>
        <v>**</v>
      </c>
      <c r="C690" s="79">
        <v>689</v>
      </c>
    </row>
    <row r="691" spans="1:3" ht="14.25">
      <c r="A691" s="13" t="str">
        <f>IFERROR(VLOOKUP($E:$E,scan!$A:$B,2,0),"**")</f>
        <v>**</v>
      </c>
      <c r="B691" s="13" t="str">
        <f>IFERROR(VLOOKUP($E691,scan!A:C,3,0),"**")</f>
        <v>**</v>
      </c>
      <c r="C691" s="79">
        <v>690</v>
      </c>
    </row>
    <row r="692" spans="1:3" ht="14.25">
      <c r="A692" s="13" t="str">
        <f>IFERROR(VLOOKUP($E:$E,scan!$A:$B,2,0),"**")</f>
        <v>**</v>
      </c>
      <c r="B692" s="13" t="str">
        <f>IFERROR(VLOOKUP($E692,scan!A:C,3,0),"**")</f>
        <v>**</v>
      </c>
      <c r="C692" s="79">
        <v>691</v>
      </c>
    </row>
    <row r="693" spans="1:3" ht="14.25">
      <c r="A693" s="13" t="str">
        <f>IFERROR(VLOOKUP($E:$E,scan!$A:$B,2,0),"**")</f>
        <v>**</v>
      </c>
      <c r="B693" s="13" t="str">
        <f>IFERROR(VLOOKUP($E693,scan!A:C,3,0),"**")</f>
        <v>**</v>
      </c>
      <c r="C693" s="79">
        <v>692</v>
      </c>
    </row>
    <row r="694" spans="1:3" ht="14.25">
      <c r="A694" s="13" t="str">
        <f>IFERROR(VLOOKUP($E:$E,scan!$A:$B,2,0),"**")</f>
        <v>**</v>
      </c>
      <c r="B694" s="13" t="str">
        <f>IFERROR(VLOOKUP($E694,scan!A:C,3,0),"**")</f>
        <v>**</v>
      </c>
      <c r="C694" s="79">
        <v>693</v>
      </c>
    </row>
    <row r="695" spans="1:3" ht="14.25">
      <c r="A695" s="13" t="str">
        <f>IFERROR(VLOOKUP($E:$E,scan!$A:$B,2,0),"**")</f>
        <v>**</v>
      </c>
      <c r="B695" s="13" t="str">
        <f>IFERROR(VLOOKUP($E695,scan!A:C,3,0),"**")</f>
        <v>**</v>
      </c>
      <c r="C695" s="79">
        <v>694</v>
      </c>
    </row>
    <row r="696" spans="1:3" ht="14.25">
      <c r="A696" s="13" t="str">
        <f>IFERROR(VLOOKUP($E:$E,scan!$A:$B,2,0),"**")</f>
        <v>**</v>
      </c>
      <c r="B696" s="13" t="str">
        <f>IFERROR(VLOOKUP($E696,scan!A:C,3,0),"**")</f>
        <v>**</v>
      </c>
      <c r="C696" s="79">
        <v>695</v>
      </c>
    </row>
    <row r="697" spans="1:3" ht="14.25">
      <c r="A697" s="13" t="str">
        <f>IFERROR(VLOOKUP($E:$E,scan!$A:$B,2,0),"**")</f>
        <v>**</v>
      </c>
      <c r="B697" s="13" t="str">
        <f>IFERROR(VLOOKUP($E697,scan!A:C,3,0),"**")</f>
        <v>**</v>
      </c>
      <c r="C697" s="79">
        <v>696</v>
      </c>
    </row>
    <row r="698" spans="1:3" ht="14.25">
      <c r="A698" s="13" t="str">
        <f>IFERROR(VLOOKUP($E:$E,scan!$A:$B,2,0),"**")</f>
        <v>**</v>
      </c>
      <c r="B698" s="13" t="str">
        <f>IFERROR(VLOOKUP($E698,scan!A:C,3,0),"**")</f>
        <v>**</v>
      </c>
      <c r="C698" s="79">
        <v>697</v>
      </c>
    </row>
    <row r="699" spans="1:3" ht="14.25">
      <c r="A699" s="13" t="str">
        <f>IFERROR(VLOOKUP($E:$E,scan!$A:$B,2,0),"**")</f>
        <v>**</v>
      </c>
      <c r="B699" s="13" t="str">
        <f>IFERROR(VLOOKUP($E699,scan!A:C,3,0),"**")</f>
        <v>**</v>
      </c>
      <c r="C699" s="79">
        <v>698</v>
      </c>
    </row>
    <row r="700" spans="1:3" ht="14.25">
      <c r="A700" s="13" t="str">
        <f>IFERROR(VLOOKUP($E:$E,scan!$A:$B,2,0),"**")</f>
        <v>**</v>
      </c>
      <c r="B700" s="13" t="str">
        <f>IFERROR(VLOOKUP($E700,scan!A:C,3,0),"**")</f>
        <v>**</v>
      </c>
      <c r="C700" s="79">
        <v>699</v>
      </c>
    </row>
    <row r="701" spans="1:3" ht="14.25">
      <c r="A701" s="13" t="str">
        <f>IFERROR(VLOOKUP($E:$E,scan!$A:$B,2,0),"**")</f>
        <v>**</v>
      </c>
      <c r="B701" s="13" t="str">
        <f>IFERROR(VLOOKUP($E701,scan!A:C,3,0),"**")</f>
        <v>**</v>
      </c>
      <c r="C701" s="79">
        <v>700</v>
      </c>
    </row>
    <row r="702" spans="1:3" ht="14.25">
      <c r="A702" s="13" t="str">
        <f>IFERROR(VLOOKUP($E:$E,scan!$A:$B,2,0),"**")</f>
        <v>**</v>
      </c>
      <c r="B702" s="13" t="str">
        <f>IFERROR(VLOOKUP($E702,scan!A:C,3,0),"**")</f>
        <v>**</v>
      </c>
      <c r="C702" s="79">
        <v>701</v>
      </c>
    </row>
    <row r="703" spans="1:3" ht="14.25">
      <c r="A703" s="13" t="str">
        <f>IFERROR(VLOOKUP($E:$E,scan!$A:$B,2,0),"**")</f>
        <v>**</v>
      </c>
      <c r="B703" s="13" t="str">
        <f>IFERROR(VLOOKUP($E703,scan!A:C,3,0),"**")</f>
        <v>**</v>
      </c>
      <c r="C703" s="79">
        <v>702</v>
      </c>
    </row>
    <row r="704" spans="1:3" ht="14.25">
      <c r="A704" s="13" t="str">
        <f>IFERROR(VLOOKUP($E:$E,scan!$A:$B,2,0),"**")</f>
        <v>**</v>
      </c>
      <c r="B704" s="13" t="str">
        <f>IFERROR(VLOOKUP($E704,scan!A:C,3,0),"**")</f>
        <v>**</v>
      </c>
      <c r="C704" s="79">
        <v>703</v>
      </c>
    </row>
    <row r="705" spans="1:3" ht="14.25">
      <c r="A705" s="13" t="str">
        <f>IFERROR(VLOOKUP($E:$E,scan!$A:$B,2,0),"**")</f>
        <v>**</v>
      </c>
      <c r="B705" s="13" t="str">
        <f>IFERROR(VLOOKUP($E705,scan!A:C,3,0),"**")</f>
        <v>**</v>
      </c>
      <c r="C705" s="79">
        <v>704</v>
      </c>
    </row>
    <row r="706" spans="1:3" ht="14.25">
      <c r="A706" s="13" t="str">
        <f>IFERROR(VLOOKUP($E:$E,scan!$A:$B,2,0),"**")</f>
        <v>**</v>
      </c>
      <c r="B706" s="13" t="str">
        <f>IFERROR(VLOOKUP($E706,scan!A:C,3,0),"**")</f>
        <v>**</v>
      </c>
      <c r="C706" s="79">
        <v>705</v>
      </c>
    </row>
    <row r="707" spans="1:3" ht="14.25">
      <c r="A707" s="13" t="str">
        <f>IFERROR(VLOOKUP($E:$E,scan!$A:$B,2,0),"**")</f>
        <v>**</v>
      </c>
      <c r="B707" s="13" t="str">
        <f>IFERROR(VLOOKUP($E707,scan!A:C,3,0),"**")</f>
        <v>**</v>
      </c>
      <c r="C707" s="79">
        <v>706</v>
      </c>
    </row>
    <row r="708" spans="1:3" ht="14.25">
      <c r="A708" s="13" t="str">
        <f>IFERROR(VLOOKUP($E:$E,scan!$A:$B,2,0),"**")</f>
        <v>**</v>
      </c>
      <c r="B708" s="13" t="str">
        <f>IFERROR(VLOOKUP($E708,scan!A:C,3,0),"**")</f>
        <v>**</v>
      </c>
      <c r="C708" s="79">
        <v>707</v>
      </c>
    </row>
    <row r="709" spans="1:3" ht="14.25">
      <c r="A709" s="13" t="str">
        <f>IFERROR(VLOOKUP($E:$E,scan!$A:$B,2,0),"**")</f>
        <v>**</v>
      </c>
      <c r="B709" s="13" t="str">
        <f>IFERROR(VLOOKUP($E709,scan!A:C,3,0),"**")</f>
        <v>**</v>
      </c>
      <c r="C709" s="79">
        <v>708</v>
      </c>
    </row>
    <row r="710" spans="1:3" ht="14.25">
      <c r="A710" s="13" t="str">
        <f>IFERROR(VLOOKUP($E:$E,scan!$A:$B,2,0),"**")</f>
        <v>**</v>
      </c>
      <c r="B710" s="13" t="str">
        <f>IFERROR(VLOOKUP($E710,scan!A:C,3,0),"**")</f>
        <v>**</v>
      </c>
      <c r="C710" s="79">
        <v>709</v>
      </c>
    </row>
    <row r="711" spans="1:3" ht="14.25">
      <c r="A711" s="13" t="str">
        <f>IFERROR(VLOOKUP($E:$E,scan!$A:$B,2,0),"**")</f>
        <v>**</v>
      </c>
      <c r="B711" s="13" t="str">
        <f>IFERROR(VLOOKUP($E711,scan!A:C,3,0),"**")</f>
        <v>**</v>
      </c>
      <c r="C711" s="79">
        <v>710</v>
      </c>
    </row>
    <row r="712" spans="1:3" ht="14.25">
      <c r="A712" s="13" t="str">
        <f>IFERROR(VLOOKUP($E:$E,scan!$A:$B,2,0),"**")</f>
        <v>**</v>
      </c>
      <c r="B712" s="13" t="str">
        <f>IFERROR(VLOOKUP($E712,scan!A:C,3,0),"**")</f>
        <v>**</v>
      </c>
      <c r="C712" s="79">
        <v>711</v>
      </c>
    </row>
    <row r="713" spans="1:3" ht="14.25">
      <c r="A713" s="13" t="str">
        <f>IFERROR(VLOOKUP($E:$E,scan!$A:$B,2,0),"**")</f>
        <v>**</v>
      </c>
      <c r="B713" s="13" t="str">
        <f>IFERROR(VLOOKUP($E713,scan!A:C,3,0),"**")</f>
        <v>**</v>
      </c>
      <c r="C713" s="79">
        <v>712</v>
      </c>
    </row>
    <row r="714" spans="1:3" ht="14.25">
      <c r="A714" s="13" t="str">
        <f>IFERROR(VLOOKUP($E:$E,scan!$A:$B,2,0),"**")</f>
        <v>**</v>
      </c>
      <c r="B714" s="13" t="str">
        <f>IFERROR(VLOOKUP($E714,scan!A:C,3,0),"**")</f>
        <v>**</v>
      </c>
      <c r="C714" s="79">
        <v>713</v>
      </c>
    </row>
    <row r="715" spans="1:3" ht="14.25">
      <c r="A715" s="13" t="str">
        <f>IFERROR(VLOOKUP($E:$E,scan!$A:$B,2,0),"**")</f>
        <v>**</v>
      </c>
      <c r="B715" s="13" t="str">
        <f>IFERROR(VLOOKUP($E715,scan!A:C,3,0),"**")</f>
        <v>**</v>
      </c>
      <c r="C715" s="79">
        <v>714</v>
      </c>
    </row>
    <row r="716" spans="1:3" ht="14.25">
      <c r="A716" s="13" t="str">
        <f>IFERROR(VLOOKUP($E:$E,scan!$A:$B,2,0),"**")</f>
        <v>**</v>
      </c>
      <c r="B716" s="13" t="str">
        <f>IFERROR(VLOOKUP($E716,scan!A:C,3,0),"**")</f>
        <v>**</v>
      </c>
      <c r="C716" s="79">
        <v>715</v>
      </c>
    </row>
    <row r="717" spans="1:3" ht="14.25">
      <c r="A717" s="13" t="str">
        <f>IFERROR(VLOOKUP($E:$E,scan!$A:$B,2,0),"**")</f>
        <v>**</v>
      </c>
      <c r="B717" s="13" t="str">
        <f>IFERROR(VLOOKUP($E717,scan!A:C,3,0),"**")</f>
        <v>**</v>
      </c>
      <c r="C717" s="79">
        <v>716</v>
      </c>
    </row>
    <row r="718" spans="1:3" ht="14.25">
      <c r="A718" s="13" t="str">
        <f>IFERROR(VLOOKUP($E:$E,scan!$A:$B,2,0),"**")</f>
        <v>**</v>
      </c>
      <c r="B718" s="13" t="str">
        <f>IFERROR(VLOOKUP($E718,scan!A:C,3,0),"**")</f>
        <v>**</v>
      </c>
      <c r="C718" s="79">
        <v>717</v>
      </c>
    </row>
    <row r="719" spans="1:3" ht="14.25">
      <c r="A719" s="13" t="str">
        <f>IFERROR(VLOOKUP($E:$E,scan!$A:$B,2,0),"**")</f>
        <v>**</v>
      </c>
      <c r="B719" s="13" t="str">
        <f>IFERROR(VLOOKUP($E719,scan!A:C,3,0),"**")</f>
        <v>**</v>
      </c>
      <c r="C719" s="79">
        <v>718</v>
      </c>
    </row>
    <row r="720" spans="1:3" ht="14.25">
      <c r="A720" s="13" t="str">
        <f>IFERROR(VLOOKUP($E:$E,scan!$A:$B,2,0),"**")</f>
        <v>**</v>
      </c>
      <c r="B720" s="13" t="str">
        <f>IFERROR(VLOOKUP($E720,scan!A:C,3,0),"**")</f>
        <v>**</v>
      </c>
      <c r="C720" s="79">
        <v>719</v>
      </c>
    </row>
    <row r="721" spans="1:3" ht="14.25">
      <c r="A721" s="13" t="str">
        <f>IFERROR(VLOOKUP($E:$E,scan!$A:$B,2,0),"**")</f>
        <v>**</v>
      </c>
      <c r="B721" s="13" t="str">
        <f>IFERROR(VLOOKUP($E721,scan!A:C,3,0),"**")</f>
        <v>**</v>
      </c>
      <c r="C721" s="79">
        <v>720</v>
      </c>
    </row>
    <row r="722" spans="1:3" ht="14.25">
      <c r="A722" s="13" t="str">
        <f>IFERROR(VLOOKUP($E:$E,scan!$A:$B,2,0),"**")</f>
        <v>**</v>
      </c>
      <c r="B722" s="13" t="str">
        <f>IFERROR(VLOOKUP($E722,scan!A:C,3,0),"**")</f>
        <v>**</v>
      </c>
      <c r="C722" s="79">
        <v>721</v>
      </c>
    </row>
    <row r="723" spans="1:3" ht="14.25">
      <c r="A723" s="13" t="str">
        <f>IFERROR(VLOOKUP($E:$E,scan!$A:$B,2,0),"**")</f>
        <v>**</v>
      </c>
      <c r="B723" s="13" t="str">
        <f>IFERROR(VLOOKUP($E723,scan!A:C,3,0),"**")</f>
        <v>**</v>
      </c>
      <c r="C723" s="79">
        <v>722</v>
      </c>
    </row>
    <row r="724" spans="1:3" ht="14.25">
      <c r="A724" s="13" t="str">
        <f>IFERROR(VLOOKUP($E:$E,scan!$A:$B,2,0),"**")</f>
        <v>**</v>
      </c>
      <c r="B724" s="13" t="str">
        <f>IFERROR(VLOOKUP($E724,scan!A:C,3,0),"**")</f>
        <v>**</v>
      </c>
      <c r="C724" s="79">
        <v>723</v>
      </c>
    </row>
    <row r="725" spans="1:3" ht="14.25">
      <c r="A725" s="13" t="str">
        <f>IFERROR(VLOOKUP($E:$E,scan!$A:$B,2,0),"**")</f>
        <v>**</v>
      </c>
      <c r="B725" s="13" t="str">
        <f>IFERROR(VLOOKUP($E725,scan!A:C,3,0),"**")</f>
        <v>**</v>
      </c>
      <c r="C725" s="79">
        <v>724</v>
      </c>
    </row>
    <row r="726" spans="1:3" ht="14.25">
      <c r="A726" s="13" t="str">
        <f>IFERROR(VLOOKUP($E:$E,scan!$A:$B,2,0),"**")</f>
        <v>**</v>
      </c>
      <c r="B726" s="13" t="str">
        <f>IFERROR(VLOOKUP($E726,scan!A:C,3,0),"**")</f>
        <v>**</v>
      </c>
      <c r="C726" s="79">
        <v>725</v>
      </c>
    </row>
    <row r="727" spans="1:3" ht="14.25">
      <c r="A727" s="13" t="str">
        <f>IFERROR(VLOOKUP($E:$E,scan!$A:$B,2,0),"**")</f>
        <v>**</v>
      </c>
      <c r="B727" s="13" t="str">
        <f>IFERROR(VLOOKUP($E727,scan!A:C,3,0),"**")</f>
        <v>**</v>
      </c>
      <c r="C727" s="79">
        <v>726</v>
      </c>
    </row>
    <row r="728" spans="1:3" ht="14.25">
      <c r="A728" s="13" t="str">
        <f>IFERROR(VLOOKUP($E:$E,scan!$A:$B,2,0),"**")</f>
        <v>**</v>
      </c>
      <c r="B728" s="13" t="str">
        <f>IFERROR(VLOOKUP($E728,scan!A:C,3,0),"**")</f>
        <v>**</v>
      </c>
      <c r="C728" s="79">
        <v>727</v>
      </c>
    </row>
    <row r="729" spans="1:3" ht="14.25">
      <c r="A729" s="13" t="str">
        <f>IFERROR(VLOOKUP($E:$E,scan!$A:$B,2,0),"**")</f>
        <v>**</v>
      </c>
      <c r="B729" s="13" t="str">
        <f>IFERROR(VLOOKUP($E729,scan!A:C,3,0),"**")</f>
        <v>**</v>
      </c>
      <c r="C729" s="79">
        <v>728</v>
      </c>
    </row>
    <row r="730" spans="1:3" ht="14.25">
      <c r="A730" s="13" t="str">
        <f>IFERROR(VLOOKUP($E:$E,scan!$A:$B,2,0),"**")</f>
        <v>**</v>
      </c>
      <c r="B730" s="13" t="str">
        <f>IFERROR(VLOOKUP($E730,scan!A:C,3,0),"**")</f>
        <v>**</v>
      </c>
      <c r="C730" s="79">
        <v>729</v>
      </c>
    </row>
    <row r="731" spans="1:3" ht="14.25">
      <c r="A731" s="13" t="str">
        <f>IFERROR(VLOOKUP($E:$E,scan!$A:$B,2,0),"**")</f>
        <v>**</v>
      </c>
      <c r="B731" s="13" t="str">
        <f>IFERROR(VLOOKUP($E731,scan!A:C,3,0),"**")</f>
        <v>**</v>
      </c>
      <c r="C731" s="79">
        <v>730</v>
      </c>
    </row>
    <row r="732" spans="1:3" ht="14.25">
      <c r="A732" s="13" t="str">
        <f>IFERROR(VLOOKUP($E:$E,scan!$A:$B,2,0),"**")</f>
        <v>**</v>
      </c>
      <c r="B732" s="13" t="str">
        <f>IFERROR(VLOOKUP($E732,scan!A:C,3,0),"**")</f>
        <v>**</v>
      </c>
      <c r="C732" s="79">
        <v>731</v>
      </c>
    </row>
    <row r="733" spans="1:3" ht="14.25">
      <c r="A733" s="13" t="str">
        <f>IFERROR(VLOOKUP($E:$E,scan!$A:$B,2,0),"**")</f>
        <v>**</v>
      </c>
      <c r="B733" s="13" t="str">
        <f>IFERROR(VLOOKUP($E733,scan!A:C,3,0),"**")</f>
        <v>**</v>
      </c>
      <c r="C733" s="79">
        <v>732</v>
      </c>
    </row>
    <row r="734" spans="1:3" ht="14.25">
      <c r="A734" s="13" t="str">
        <f>IFERROR(VLOOKUP($E:$E,scan!$A:$B,2,0),"**")</f>
        <v>**</v>
      </c>
      <c r="B734" s="13" t="str">
        <f>IFERROR(VLOOKUP($E734,scan!A:C,3,0),"**")</f>
        <v>**</v>
      </c>
      <c r="C734" s="79">
        <v>733</v>
      </c>
    </row>
    <row r="735" spans="1:3" ht="14.25">
      <c r="A735" s="13" t="str">
        <f>IFERROR(VLOOKUP($E:$E,scan!$A:$B,2,0),"**")</f>
        <v>**</v>
      </c>
      <c r="B735" s="13" t="str">
        <f>IFERROR(VLOOKUP($E735,scan!A:C,3,0),"**")</f>
        <v>**</v>
      </c>
      <c r="C735" s="79">
        <v>734</v>
      </c>
    </row>
    <row r="736" spans="1:3" ht="14.25">
      <c r="A736" s="13" t="str">
        <f>IFERROR(VLOOKUP($E:$E,scan!$A:$B,2,0),"**")</f>
        <v>**</v>
      </c>
      <c r="B736" s="13" t="str">
        <f>IFERROR(VLOOKUP($E736,scan!A:C,3,0),"**")</f>
        <v>**</v>
      </c>
      <c r="C736" s="79">
        <v>735</v>
      </c>
    </row>
    <row r="737" spans="1:3" ht="14.25">
      <c r="A737" s="13" t="str">
        <f>IFERROR(VLOOKUP($E:$E,scan!$A:$B,2,0),"**")</f>
        <v>**</v>
      </c>
      <c r="B737" s="13" t="str">
        <f>IFERROR(VLOOKUP($E737,scan!A:C,3,0),"**")</f>
        <v>**</v>
      </c>
      <c r="C737" s="79">
        <v>736</v>
      </c>
    </row>
    <row r="738" spans="1:3" ht="14.25">
      <c r="A738" s="13" t="str">
        <f>IFERROR(VLOOKUP($E:$E,scan!$A:$B,2,0),"**")</f>
        <v>**</v>
      </c>
      <c r="B738" s="13" t="str">
        <f>IFERROR(VLOOKUP($E738,scan!A:C,3,0),"**")</f>
        <v>**</v>
      </c>
      <c r="C738" s="79">
        <v>737</v>
      </c>
    </row>
    <row r="739" spans="1:3" ht="14.25">
      <c r="A739" s="13" t="str">
        <f>IFERROR(VLOOKUP($E:$E,scan!$A:$B,2,0),"**")</f>
        <v>**</v>
      </c>
      <c r="B739" s="13" t="str">
        <f>IFERROR(VLOOKUP($E739,scan!A:C,3,0),"**")</f>
        <v>**</v>
      </c>
      <c r="C739" s="79">
        <v>738</v>
      </c>
    </row>
    <row r="740" spans="1:3" ht="14.25">
      <c r="A740" s="13" t="str">
        <f>IFERROR(VLOOKUP($E:$E,scan!$A:$B,2,0),"**")</f>
        <v>**</v>
      </c>
      <c r="B740" s="13" t="str">
        <f>IFERROR(VLOOKUP($E740,scan!A:C,3,0),"**")</f>
        <v>**</v>
      </c>
      <c r="C740" s="79">
        <v>739</v>
      </c>
    </row>
    <row r="741" spans="1:3" ht="14.25">
      <c r="A741" s="13" t="str">
        <f>IFERROR(VLOOKUP($E:$E,scan!$A:$B,2,0),"**")</f>
        <v>**</v>
      </c>
      <c r="B741" s="13" t="str">
        <f>IFERROR(VLOOKUP($E741,scan!A:C,3,0),"**")</f>
        <v>**</v>
      </c>
      <c r="C741" s="79">
        <v>740</v>
      </c>
    </row>
    <row r="742" spans="1:3" ht="14.25">
      <c r="A742" s="13" t="str">
        <f>IFERROR(VLOOKUP($E:$E,scan!$A:$B,2,0),"**")</f>
        <v>**</v>
      </c>
      <c r="B742" s="13" t="str">
        <f>IFERROR(VLOOKUP($E742,scan!A:C,3,0),"**")</f>
        <v>**</v>
      </c>
      <c r="C742" s="79">
        <v>741</v>
      </c>
    </row>
    <row r="743" spans="1:3" ht="14.25">
      <c r="A743" s="13" t="str">
        <f>IFERROR(VLOOKUP($E:$E,scan!$A:$B,2,0),"**")</f>
        <v>**</v>
      </c>
      <c r="B743" s="13" t="str">
        <f>IFERROR(VLOOKUP($E743,scan!A:C,3,0),"**")</f>
        <v>**</v>
      </c>
      <c r="C743" s="79">
        <v>742</v>
      </c>
    </row>
    <row r="744" spans="1:3" ht="14.25">
      <c r="A744" s="13" t="str">
        <f>IFERROR(VLOOKUP($E:$E,scan!$A:$B,2,0),"**")</f>
        <v>**</v>
      </c>
      <c r="B744" s="13" t="str">
        <f>IFERROR(VLOOKUP($E744,scan!A:C,3,0),"**")</f>
        <v>**</v>
      </c>
      <c r="C744" s="79">
        <v>743</v>
      </c>
    </row>
    <row r="745" spans="1:3" ht="14.25">
      <c r="A745" s="13" t="str">
        <f>IFERROR(VLOOKUP($E:$E,scan!$A:$B,2,0),"**")</f>
        <v>**</v>
      </c>
      <c r="B745" s="13" t="str">
        <f>IFERROR(VLOOKUP($E745,scan!A:C,3,0),"**")</f>
        <v>**</v>
      </c>
      <c r="C745" s="79">
        <v>744</v>
      </c>
    </row>
    <row r="746" spans="1:3" ht="14.25">
      <c r="A746" s="13" t="str">
        <f>IFERROR(VLOOKUP($E:$E,scan!$A:$B,2,0),"**")</f>
        <v>**</v>
      </c>
      <c r="B746" s="13" t="str">
        <f>IFERROR(VLOOKUP($E746,scan!A:C,3,0),"**")</f>
        <v>**</v>
      </c>
      <c r="C746" s="79">
        <v>745</v>
      </c>
    </row>
    <row r="747" spans="1:3" ht="14.25">
      <c r="A747" s="13" t="str">
        <f>IFERROR(VLOOKUP($E:$E,scan!$A:$B,2,0),"**")</f>
        <v>**</v>
      </c>
      <c r="B747" s="13" t="str">
        <f>IFERROR(VLOOKUP($E747,scan!A:C,3,0),"**")</f>
        <v>**</v>
      </c>
      <c r="C747" s="79">
        <v>746</v>
      </c>
    </row>
    <row r="748" spans="1:3" ht="14.25">
      <c r="A748" s="13" t="str">
        <f>IFERROR(VLOOKUP($E:$E,scan!$A:$B,2,0),"**")</f>
        <v>**</v>
      </c>
      <c r="B748" s="13" t="str">
        <f>IFERROR(VLOOKUP($E748,scan!A:C,3,0),"**")</f>
        <v>**</v>
      </c>
      <c r="C748" s="79">
        <v>747</v>
      </c>
    </row>
    <row r="749" spans="1:3" ht="14.25">
      <c r="A749" s="13" t="str">
        <f>IFERROR(VLOOKUP($E:$E,scan!$A:$B,2,0),"**")</f>
        <v>**</v>
      </c>
      <c r="B749" s="13" t="str">
        <f>IFERROR(VLOOKUP($E749,scan!A:C,3,0),"**")</f>
        <v>**</v>
      </c>
      <c r="C749" s="79">
        <v>748</v>
      </c>
    </row>
    <row r="750" spans="1:3" ht="14.25">
      <c r="A750" s="13" t="str">
        <f>IFERROR(VLOOKUP($E:$E,scan!$A:$B,2,0),"**")</f>
        <v>**</v>
      </c>
      <c r="B750" s="13" t="str">
        <f>IFERROR(VLOOKUP($E750,scan!A:C,3,0),"**")</f>
        <v>**</v>
      </c>
      <c r="C750" s="79">
        <v>749</v>
      </c>
    </row>
    <row r="751" spans="1:3" ht="14.25">
      <c r="A751" s="13" t="str">
        <f>IFERROR(VLOOKUP($E:$E,scan!$A:$B,2,0),"**")</f>
        <v>**</v>
      </c>
      <c r="B751" s="13" t="str">
        <f>IFERROR(VLOOKUP($E751,scan!A:C,3,0),"**")</f>
        <v>**</v>
      </c>
      <c r="C751" s="79">
        <v>750</v>
      </c>
    </row>
    <row r="752" spans="1:3" ht="14.25">
      <c r="A752" s="13" t="str">
        <f>IFERROR(VLOOKUP($E:$E,scan!$A:$B,2,0),"**")</f>
        <v>**</v>
      </c>
      <c r="B752" s="13" t="str">
        <f>IFERROR(VLOOKUP($E752,scan!A:C,3,0),"**")</f>
        <v>**</v>
      </c>
      <c r="C752" s="79">
        <v>751</v>
      </c>
    </row>
    <row r="753" spans="1:3" ht="14.25">
      <c r="A753" s="13" t="str">
        <f>IFERROR(VLOOKUP($E:$E,scan!$A:$B,2,0),"**")</f>
        <v>**</v>
      </c>
      <c r="B753" s="13" t="str">
        <f>IFERROR(VLOOKUP($E753,scan!A:C,3,0),"**")</f>
        <v>**</v>
      </c>
      <c r="C753" s="79">
        <v>752</v>
      </c>
    </row>
    <row r="754" spans="1:3" ht="14.25">
      <c r="A754" s="13" t="str">
        <f>IFERROR(VLOOKUP($E:$E,scan!$A:$B,2,0),"**")</f>
        <v>**</v>
      </c>
      <c r="B754" s="13" t="str">
        <f>IFERROR(VLOOKUP($E754,scan!A:C,3,0),"**")</f>
        <v>**</v>
      </c>
      <c r="C754" s="79">
        <v>753</v>
      </c>
    </row>
    <row r="755" spans="1:3" ht="14.25">
      <c r="A755" s="13" t="str">
        <f>IFERROR(VLOOKUP($E:$E,scan!$A:$B,2,0),"**")</f>
        <v>**</v>
      </c>
      <c r="B755" s="13" t="str">
        <f>IFERROR(VLOOKUP($E755,scan!A:C,3,0),"**")</f>
        <v>**</v>
      </c>
      <c r="C755" s="79">
        <v>754</v>
      </c>
    </row>
    <row r="756" spans="1:3" ht="14.25">
      <c r="A756" s="13" t="str">
        <f>IFERROR(VLOOKUP($E:$E,scan!$A:$B,2,0),"**")</f>
        <v>**</v>
      </c>
      <c r="B756" s="13" t="str">
        <f>IFERROR(VLOOKUP($E756,scan!A:C,3,0),"**")</f>
        <v>**</v>
      </c>
      <c r="C756" s="79">
        <v>755</v>
      </c>
    </row>
    <row r="757" spans="1:3" ht="14.25">
      <c r="A757" s="13" t="str">
        <f>IFERROR(VLOOKUP($E:$E,scan!$A:$B,2,0),"**")</f>
        <v>**</v>
      </c>
      <c r="B757" s="13" t="str">
        <f>IFERROR(VLOOKUP($E757,scan!A:C,3,0),"**")</f>
        <v>**</v>
      </c>
      <c r="C757" s="79">
        <v>756</v>
      </c>
    </row>
    <row r="758" spans="1:3" ht="14.25">
      <c r="A758" s="13" t="str">
        <f>IFERROR(VLOOKUP($E:$E,scan!$A:$B,2,0),"**")</f>
        <v>**</v>
      </c>
      <c r="B758" s="13" t="str">
        <f>IFERROR(VLOOKUP($E758,scan!A:C,3,0),"**")</f>
        <v>**</v>
      </c>
      <c r="C758" s="79">
        <v>757</v>
      </c>
    </row>
    <row r="759" spans="1:3" ht="14.25">
      <c r="A759" s="13" t="str">
        <f>IFERROR(VLOOKUP($E:$E,scan!$A:$B,2,0),"**")</f>
        <v>**</v>
      </c>
      <c r="B759" s="13" t="str">
        <f>IFERROR(VLOOKUP($E759,scan!A:C,3,0),"**")</f>
        <v>**</v>
      </c>
      <c r="C759" s="79">
        <v>758</v>
      </c>
    </row>
    <row r="760" spans="1:3" ht="14.25">
      <c r="A760" s="13" t="str">
        <f>IFERROR(VLOOKUP($E:$E,scan!$A:$B,2,0),"**")</f>
        <v>**</v>
      </c>
      <c r="B760" s="13" t="str">
        <f>IFERROR(VLOOKUP($E760,scan!A:C,3,0),"**")</f>
        <v>**</v>
      </c>
      <c r="C760" s="79">
        <v>759</v>
      </c>
    </row>
    <row r="761" spans="1:3" ht="14.25">
      <c r="A761" s="13" t="str">
        <f>IFERROR(VLOOKUP($E:$E,scan!$A:$B,2,0),"**")</f>
        <v>**</v>
      </c>
      <c r="B761" s="13" t="str">
        <f>IFERROR(VLOOKUP($E761,scan!A:C,3,0),"**")</f>
        <v>**</v>
      </c>
      <c r="C761" s="79">
        <v>760</v>
      </c>
    </row>
    <row r="762" spans="1:3" ht="14.25">
      <c r="A762" s="13" t="str">
        <f>IFERROR(VLOOKUP($E:$E,scan!$A:$B,2,0),"**")</f>
        <v>**</v>
      </c>
      <c r="B762" s="13" t="str">
        <f>IFERROR(VLOOKUP($E762,scan!A:C,3,0),"**")</f>
        <v>**</v>
      </c>
      <c r="C762" s="79">
        <v>761</v>
      </c>
    </row>
    <row r="763" spans="1:3" ht="14.25">
      <c r="A763" s="13" t="str">
        <f>IFERROR(VLOOKUP($E:$E,scan!$A:$B,2,0),"**")</f>
        <v>**</v>
      </c>
      <c r="B763" s="13" t="str">
        <f>IFERROR(VLOOKUP($E763,scan!A:C,3,0),"**")</f>
        <v>**</v>
      </c>
      <c r="C763" s="79">
        <v>762</v>
      </c>
    </row>
    <row r="764" spans="1:3" ht="14.25">
      <c r="A764" s="13" t="str">
        <f>IFERROR(VLOOKUP($E:$E,scan!$A:$B,2,0),"**")</f>
        <v>**</v>
      </c>
      <c r="B764" s="13" t="str">
        <f>IFERROR(VLOOKUP($E764,scan!A:C,3,0),"**")</f>
        <v>**</v>
      </c>
      <c r="C764" s="79">
        <v>763</v>
      </c>
    </row>
    <row r="765" spans="1:3" ht="14.25">
      <c r="A765" s="13" t="str">
        <f>IFERROR(VLOOKUP($E:$E,scan!$A:$B,2,0),"**")</f>
        <v>**</v>
      </c>
      <c r="B765" s="13" t="str">
        <f>IFERROR(VLOOKUP($E765,scan!A:C,3,0),"**")</f>
        <v>**</v>
      </c>
      <c r="C765" s="79">
        <v>764</v>
      </c>
    </row>
    <row r="766" spans="1:3" ht="14.25">
      <c r="A766" s="13" t="str">
        <f>IFERROR(VLOOKUP($E:$E,scan!$A:$B,2,0),"**")</f>
        <v>**</v>
      </c>
      <c r="B766" s="13" t="str">
        <f>IFERROR(VLOOKUP($E766,scan!A:C,3,0),"**")</f>
        <v>**</v>
      </c>
      <c r="C766" s="79">
        <v>765</v>
      </c>
    </row>
    <row r="767" spans="1:3" ht="14.25">
      <c r="A767" s="13" t="str">
        <f>IFERROR(VLOOKUP($E:$E,scan!$A:$B,2,0),"**")</f>
        <v>**</v>
      </c>
      <c r="B767" s="13" t="str">
        <f>IFERROR(VLOOKUP($E767,scan!A:C,3,0),"**")</f>
        <v>**</v>
      </c>
      <c r="C767" s="79">
        <v>766</v>
      </c>
    </row>
    <row r="768" spans="1:3" ht="14.25">
      <c r="A768" s="13" t="str">
        <f>IFERROR(VLOOKUP($E:$E,scan!$A:$B,2,0),"**")</f>
        <v>**</v>
      </c>
      <c r="B768" s="13" t="str">
        <f>IFERROR(VLOOKUP($E768,scan!A:C,3,0),"**")</f>
        <v>**</v>
      </c>
      <c r="C768" s="79">
        <v>767</v>
      </c>
    </row>
    <row r="769" spans="1:3" ht="14.25">
      <c r="A769" s="13" t="str">
        <f>IFERROR(VLOOKUP($E:$E,scan!$A:$B,2,0),"**")</f>
        <v>**</v>
      </c>
      <c r="B769" s="13" t="str">
        <f>IFERROR(VLOOKUP($E769,scan!A:C,3,0),"**")</f>
        <v>**</v>
      </c>
      <c r="C769" s="79">
        <v>768</v>
      </c>
    </row>
    <row r="770" spans="1:3" ht="14.25">
      <c r="A770" s="13" t="str">
        <f>IFERROR(VLOOKUP($E:$E,scan!$A:$B,2,0),"**")</f>
        <v>**</v>
      </c>
      <c r="B770" s="13" t="str">
        <f>IFERROR(VLOOKUP($E770,scan!A:C,3,0),"**")</f>
        <v>**</v>
      </c>
      <c r="C770" s="79">
        <v>769</v>
      </c>
    </row>
    <row r="771" spans="1:3" ht="14.25">
      <c r="A771" s="13" t="str">
        <f>IFERROR(VLOOKUP($E:$E,scan!$A:$B,2,0),"**")</f>
        <v>**</v>
      </c>
      <c r="B771" s="13" t="str">
        <f>IFERROR(VLOOKUP($E771,scan!A:C,3,0),"**")</f>
        <v>**</v>
      </c>
      <c r="C771" s="79">
        <v>770</v>
      </c>
    </row>
    <row r="772" spans="1:3" ht="14.25">
      <c r="A772" s="13" t="str">
        <f>IFERROR(VLOOKUP($E:$E,scan!$A:$B,2,0),"**")</f>
        <v>**</v>
      </c>
      <c r="B772" s="13" t="str">
        <f>IFERROR(VLOOKUP($E772,scan!A:C,3,0),"**")</f>
        <v>**</v>
      </c>
      <c r="C772" s="79">
        <v>771</v>
      </c>
    </row>
    <row r="773" spans="1:3" ht="14.25">
      <c r="A773" s="13" t="str">
        <f>IFERROR(VLOOKUP($E:$E,scan!$A:$B,2,0),"**")</f>
        <v>**</v>
      </c>
      <c r="B773" s="13" t="str">
        <f>IFERROR(VLOOKUP($E773,scan!A:C,3,0),"**")</f>
        <v>**</v>
      </c>
      <c r="C773" s="79">
        <v>772</v>
      </c>
    </row>
    <row r="774" spans="1:3" ht="14.25">
      <c r="A774" s="13" t="str">
        <f>IFERROR(VLOOKUP($E:$E,scan!$A:$B,2,0),"**")</f>
        <v>**</v>
      </c>
      <c r="B774" s="13" t="str">
        <f>IFERROR(VLOOKUP($E774,scan!A:C,3,0),"**")</f>
        <v>**</v>
      </c>
      <c r="C774" s="79">
        <v>773</v>
      </c>
    </row>
    <row r="775" spans="1:3" ht="14.25">
      <c r="A775" s="13" t="str">
        <f>IFERROR(VLOOKUP($E:$E,scan!$A:$B,2,0),"**")</f>
        <v>**</v>
      </c>
      <c r="B775" s="13" t="str">
        <f>IFERROR(VLOOKUP($E775,scan!A:C,3,0),"**")</f>
        <v>**</v>
      </c>
      <c r="C775" s="79">
        <v>774</v>
      </c>
    </row>
    <row r="776" spans="1:3" ht="14.25">
      <c r="A776" s="13" t="str">
        <f>IFERROR(VLOOKUP($E:$E,scan!$A:$B,2,0),"**")</f>
        <v>**</v>
      </c>
      <c r="B776" s="13" t="str">
        <f>IFERROR(VLOOKUP($E776,scan!A:C,3,0),"**")</f>
        <v>**</v>
      </c>
      <c r="C776" s="79">
        <v>775</v>
      </c>
    </row>
    <row r="777" spans="1:3" ht="14.25">
      <c r="A777" s="13" t="str">
        <f>IFERROR(VLOOKUP($E:$E,scan!$A:$B,2,0),"**")</f>
        <v>**</v>
      </c>
      <c r="B777" s="13" t="str">
        <f>IFERROR(VLOOKUP($E777,scan!A:C,3,0),"**")</f>
        <v>**</v>
      </c>
      <c r="C777" s="79">
        <v>776</v>
      </c>
    </row>
    <row r="778" spans="1:3" ht="14.25">
      <c r="A778" s="13" t="str">
        <f>IFERROR(VLOOKUP($E:$E,scan!$A:$B,2,0),"**")</f>
        <v>**</v>
      </c>
      <c r="B778" s="13" t="str">
        <f>IFERROR(VLOOKUP($E778,scan!A:C,3,0),"**")</f>
        <v>**</v>
      </c>
      <c r="C778" s="79">
        <v>777</v>
      </c>
    </row>
    <row r="779" spans="1:3" ht="14.25">
      <c r="A779" s="13" t="str">
        <f>IFERROR(VLOOKUP($E:$E,scan!$A:$B,2,0),"**")</f>
        <v>**</v>
      </c>
      <c r="B779" s="13" t="str">
        <f>IFERROR(VLOOKUP($E779,scan!A:C,3,0),"**")</f>
        <v>**</v>
      </c>
      <c r="C779" s="79">
        <v>778</v>
      </c>
    </row>
    <row r="780" spans="1:3" ht="14.25">
      <c r="A780" s="13" t="str">
        <f>IFERROR(VLOOKUP($E:$E,scan!$A:$B,2,0),"**")</f>
        <v>**</v>
      </c>
      <c r="B780" s="13" t="str">
        <f>IFERROR(VLOOKUP($E780,scan!A:C,3,0),"**")</f>
        <v>**</v>
      </c>
      <c r="C780" s="79">
        <v>779</v>
      </c>
    </row>
    <row r="781" spans="1:3" ht="14.25">
      <c r="A781" s="13" t="str">
        <f>IFERROR(VLOOKUP($E:$E,scan!$A:$B,2,0),"**")</f>
        <v>**</v>
      </c>
      <c r="B781" s="13" t="str">
        <f>IFERROR(VLOOKUP($E781,scan!A:C,3,0),"**")</f>
        <v>**</v>
      </c>
      <c r="C781" s="79">
        <v>780</v>
      </c>
    </row>
    <row r="782" spans="1:3" ht="14.25">
      <c r="A782" s="13" t="str">
        <f>IFERROR(VLOOKUP($E:$E,scan!$A:$B,2,0),"**")</f>
        <v>**</v>
      </c>
      <c r="B782" s="13" t="str">
        <f>IFERROR(VLOOKUP($E782,scan!A:C,3,0),"**")</f>
        <v>**</v>
      </c>
      <c r="C782" s="79">
        <v>781</v>
      </c>
    </row>
    <row r="783" spans="1:3" ht="14.25">
      <c r="A783" s="13" t="str">
        <f>IFERROR(VLOOKUP($E:$E,scan!$A:$B,2,0),"**")</f>
        <v>**</v>
      </c>
      <c r="B783" s="13" t="str">
        <f>IFERROR(VLOOKUP($E783,scan!A:C,3,0),"**")</f>
        <v>**</v>
      </c>
      <c r="C783" s="79">
        <v>782</v>
      </c>
    </row>
    <row r="784" spans="1:3" ht="14.25">
      <c r="A784" s="13" t="str">
        <f>IFERROR(VLOOKUP($E:$E,scan!$A:$B,2,0),"**")</f>
        <v>**</v>
      </c>
      <c r="B784" s="13" t="str">
        <f>IFERROR(VLOOKUP($E784,scan!A:C,3,0),"**")</f>
        <v>**</v>
      </c>
      <c r="C784" s="79">
        <v>783</v>
      </c>
    </row>
    <row r="785" spans="1:3" ht="14.25">
      <c r="A785" s="13" t="str">
        <f>IFERROR(VLOOKUP($E:$E,scan!$A:$B,2,0),"**")</f>
        <v>**</v>
      </c>
      <c r="B785" s="13" t="str">
        <f>IFERROR(VLOOKUP($E785,scan!A:C,3,0),"**")</f>
        <v>**</v>
      </c>
      <c r="C785" s="79">
        <v>784</v>
      </c>
    </row>
    <row r="786" spans="1:3" ht="14.25">
      <c r="A786" s="13" t="str">
        <f>IFERROR(VLOOKUP($E:$E,scan!$A:$B,2,0),"**")</f>
        <v>**</v>
      </c>
      <c r="B786" s="13" t="str">
        <f>IFERROR(VLOOKUP($E786,scan!A:C,3,0),"**")</f>
        <v>**</v>
      </c>
      <c r="C786" s="79">
        <v>785</v>
      </c>
    </row>
    <row r="787" spans="1:3" ht="14.25">
      <c r="A787" s="13" t="str">
        <f>IFERROR(VLOOKUP($E:$E,scan!$A:$B,2,0),"**")</f>
        <v>**</v>
      </c>
      <c r="B787" s="13" t="str">
        <f>IFERROR(VLOOKUP($E787,scan!A:C,3,0),"**")</f>
        <v>**</v>
      </c>
      <c r="C787" s="79">
        <v>786</v>
      </c>
    </row>
    <row r="788" spans="1:3" ht="14.25">
      <c r="A788" s="13" t="str">
        <f>IFERROR(VLOOKUP($E:$E,scan!$A:$B,2,0),"**")</f>
        <v>**</v>
      </c>
      <c r="B788" s="13" t="str">
        <f>IFERROR(VLOOKUP($E788,scan!A:C,3,0),"**")</f>
        <v>**</v>
      </c>
      <c r="C788" s="79">
        <v>787</v>
      </c>
    </row>
    <row r="789" spans="1:3" ht="14.25">
      <c r="A789" s="13" t="str">
        <f>IFERROR(VLOOKUP($E:$E,scan!$A:$B,2,0),"**")</f>
        <v>**</v>
      </c>
      <c r="B789" s="13" t="str">
        <f>IFERROR(VLOOKUP($E789,scan!A:C,3,0),"**")</f>
        <v>**</v>
      </c>
      <c r="C789" s="79">
        <v>788</v>
      </c>
    </row>
    <row r="790" spans="1:3" ht="14.25">
      <c r="A790" s="13" t="str">
        <f>IFERROR(VLOOKUP($E:$E,scan!$A:$B,2,0),"**")</f>
        <v>**</v>
      </c>
      <c r="B790" s="13" t="str">
        <f>IFERROR(VLOOKUP($E790,scan!A:C,3,0),"**")</f>
        <v>**</v>
      </c>
      <c r="C790" s="79">
        <v>789</v>
      </c>
    </row>
    <row r="791" spans="1:3" ht="14.25">
      <c r="A791" s="13" t="str">
        <f>IFERROR(VLOOKUP($E:$E,scan!$A:$B,2,0),"**")</f>
        <v>**</v>
      </c>
      <c r="B791" s="13" t="str">
        <f>IFERROR(VLOOKUP($E791,scan!A:C,3,0),"**")</f>
        <v>**</v>
      </c>
      <c r="C791" s="79">
        <v>790</v>
      </c>
    </row>
    <row r="792" spans="1:3" ht="14.25">
      <c r="A792" s="13" t="str">
        <f>IFERROR(VLOOKUP($E:$E,scan!$A:$B,2,0),"**")</f>
        <v>**</v>
      </c>
      <c r="B792" s="13" t="str">
        <f>IFERROR(VLOOKUP($E792,scan!A:C,3,0),"**")</f>
        <v>**</v>
      </c>
      <c r="C792" s="79">
        <v>791</v>
      </c>
    </row>
    <row r="793" spans="1:3" ht="14.25">
      <c r="A793" s="13" t="str">
        <f>IFERROR(VLOOKUP($E:$E,scan!$A:$B,2,0),"**")</f>
        <v>**</v>
      </c>
      <c r="B793" s="13" t="str">
        <f>IFERROR(VLOOKUP($E793,scan!A:C,3,0),"**")</f>
        <v>**</v>
      </c>
      <c r="C793" s="79">
        <v>792</v>
      </c>
    </row>
    <row r="794" spans="1:3" ht="14.25">
      <c r="A794" s="13" t="str">
        <f>IFERROR(VLOOKUP($E:$E,scan!$A:$B,2,0),"**")</f>
        <v>**</v>
      </c>
      <c r="B794" s="13" t="str">
        <f>IFERROR(VLOOKUP($E794,scan!A:C,3,0),"**")</f>
        <v>**</v>
      </c>
      <c r="C794" s="79">
        <v>793</v>
      </c>
    </row>
    <row r="795" spans="1:3" ht="14.25">
      <c r="A795" s="13" t="str">
        <f>IFERROR(VLOOKUP($E:$E,scan!$A:$B,2,0),"**")</f>
        <v>**</v>
      </c>
      <c r="B795" s="13" t="str">
        <f>IFERROR(VLOOKUP($E795,scan!A:C,3,0),"**")</f>
        <v>**</v>
      </c>
      <c r="C795" s="79">
        <v>794</v>
      </c>
    </row>
    <row r="796" spans="1:3" ht="14.25">
      <c r="A796" s="13" t="str">
        <f>IFERROR(VLOOKUP($E:$E,scan!$A:$B,2,0),"**")</f>
        <v>**</v>
      </c>
      <c r="B796" s="13" t="str">
        <f>IFERROR(VLOOKUP($E796,scan!A:C,3,0),"**")</f>
        <v>**</v>
      </c>
      <c r="C796" s="79">
        <v>795</v>
      </c>
    </row>
    <row r="797" spans="1:3" ht="14.25">
      <c r="A797" s="13" t="str">
        <f>IFERROR(VLOOKUP($E:$E,scan!$A:$B,2,0),"**")</f>
        <v>**</v>
      </c>
      <c r="B797" s="13" t="str">
        <f>IFERROR(VLOOKUP($E797,scan!A:C,3,0),"**")</f>
        <v>**</v>
      </c>
      <c r="C797" s="79">
        <v>796</v>
      </c>
    </row>
    <row r="798" spans="1:3" ht="14.25">
      <c r="A798" s="13" t="str">
        <f>IFERROR(VLOOKUP($E:$E,scan!$A:$B,2,0),"**")</f>
        <v>**</v>
      </c>
      <c r="B798" s="13" t="str">
        <f>IFERROR(VLOOKUP($E798,scan!A:C,3,0),"**")</f>
        <v>**</v>
      </c>
      <c r="C798" s="79">
        <v>797</v>
      </c>
    </row>
    <row r="799" spans="1:3" ht="14.25">
      <c r="A799" s="13" t="str">
        <f>IFERROR(VLOOKUP($E:$E,scan!$A:$B,2,0),"**")</f>
        <v>**</v>
      </c>
      <c r="B799" s="13" t="str">
        <f>IFERROR(VLOOKUP($E799,scan!A:C,3,0),"**")</f>
        <v>**</v>
      </c>
      <c r="C799" s="79">
        <v>798</v>
      </c>
    </row>
    <row r="800" spans="1:3" ht="14.25">
      <c r="A800" s="13" t="str">
        <f>IFERROR(VLOOKUP($E:$E,scan!$A:$B,2,0),"**")</f>
        <v>**</v>
      </c>
      <c r="B800" s="13" t="str">
        <f>IFERROR(VLOOKUP($E800,scan!A:C,3,0),"**")</f>
        <v>**</v>
      </c>
      <c r="C800" s="79">
        <v>799</v>
      </c>
    </row>
    <row r="801" spans="1:3" ht="14.25">
      <c r="A801" s="13" t="str">
        <f>IFERROR(VLOOKUP($E:$E,scan!$A:$B,2,0),"**")</f>
        <v>**</v>
      </c>
      <c r="B801" s="13" t="str">
        <f>IFERROR(VLOOKUP($E801,scan!A:C,3,0),"**")</f>
        <v>**</v>
      </c>
      <c r="C801" s="79">
        <v>800</v>
      </c>
    </row>
    <row r="802" spans="1:3" ht="14.25">
      <c r="A802" s="13" t="str">
        <f>IFERROR(VLOOKUP($E:$E,scan!$A:$B,2,0),"**")</f>
        <v>**</v>
      </c>
      <c r="B802" s="13" t="str">
        <f>IFERROR(VLOOKUP($E802,scan!A:C,3,0),"**")</f>
        <v>**</v>
      </c>
    </row>
  </sheetData>
  <sortState ref="A2:V802">
    <sortCondition ref="A2:A802"/>
  </sortState>
  <phoneticPr fontId="47" type="noConversion"/>
  <conditionalFormatting sqref="E2:E254">
    <cfRule type="duplicateValues" dxfId="400" priority="44" stopIfTrue="1"/>
    <cfRule type="duplicateValues" dxfId="399" priority="45" stopIfTrue="1"/>
    <cfRule type="duplicateValues" dxfId="398" priority="46" stopIfTrue="1"/>
    <cfRule type="duplicateValues" dxfId="397" priority="47" stopIfTrue="1"/>
    <cfRule type="duplicateValues" dxfId="396" priority="48" stopIfTrue="1"/>
    <cfRule type="duplicateValues" dxfId="395" priority="49" stopIfTrue="1"/>
    <cfRule type="duplicateValues" dxfId="394" priority="50" stopIfTrue="1"/>
  </conditionalFormatting>
  <conditionalFormatting sqref="E2:E184">
    <cfRule type="duplicateValues" dxfId="393" priority="3"/>
    <cfRule type="duplicateValues" dxfId="392" priority="4"/>
  </conditionalFormatting>
  <conditionalFormatting sqref="E2:E9">
    <cfRule type="duplicateValues" dxfId="391" priority="1"/>
  </conditionalFormatting>
  <conditionalFormatting sqref="E255:E448">
    <cfRule type="duplicateValues" dxfId="390" priority="78"/>
    <cfRule type="duplicateValues" dxfId="389" priority="79"/>
  </conditionalFormatting>
  <conditionalFormatting sqref="E255:E297">
    <cfRule type="duplicateValues" dxfId="388" priority="69" stopIfTrue="1"/>
    <cfRule type="duplicateValues" dxfId="387" priority="70" stopIfTrue="1"/>
    <cfRule type="duplicateValues" dxfId="386" priority="71" stopIfTrue="1"/>
    <cfRule type="duplicateValues" dxfId="385" priority="72" stopIfTrue="1"/>
    <cfRule type="duplicateValues" dxfId="384" priority="73" stopIfTrue="1"/>
    <cfRule type="duplicateValues" dxfId="383" priority="74" stopIfTrue="1"/>
    <cfRule type="duplicateValues" dxfId="382" priority="75" stopIfTrue="1"/>
  </conditionalFormatting>
  <conditionalFormatting sqref="E446:E448">
    <cfRule type="duplicateValues" dxfId="381" priority="60" stopIfTrue="1"/>
    <cfRule type="duplicateValues" dxfId="380" priority="61" stopIfTrue="1"/>
    <cfRule type="duplicateValues" dxfId="379" priority="62" stopIfTrue="1"/>
    <cfRule type="duplicateValues" dxfId="378" priority="63" stopIfTrue="1"/>
    <cfRule type="duplicateValues" dxfId="377" priority="64" stopIfTrue="1"/>
    <cfRule type="duplicateValues" dxfId="376" priority="67"/>
    <cfRule type="duplicateValues" dxfId="375" priority="68"/>
  </conditionalFormatting>
  <conditionalFormatting sqref="F2:F448">
    <cfRule type="duplicateValues" dxfId="374" priority="18"/>
  </conditionalFormatting>
  <conditionalFormatting sqref="F2:F254">
    <cfRule type="duplicateValues" dxfId="373" priority="8"/>
    <cfRule type="duplicateValues" dxfId="372" priority="9" stopIfTrue="1"/>
    <cfRule type="duplicateValues" dxfId="371" priority="10" stopIfTrue="1"/>
    <cfRule type="duplicateValues" dxfId="370" priority="11" stopIfTrue="1"/>
    <cfRule type="duplicateValues" dxfId="369" priority="12" stopIfTrue="1"/>
    <cfRule type="duplicateValues" dxfId="368" priority="13" stopIfTrue="1"/>
    <cfRule type="duplicateValues" dxfId="367" priority="14" stopIfTrue="1"/>
    <cfRule type="duplicateValues" dxfId="366" priority="15" stopIfTrue="1"/>
    <cfRule type="duplicateValues" dxfId="365" priority="16" stopIfTrue="1"/>
  </conditionalFormatting>
  <conditionalFormatting sqref="F2:F184">
    <cfRule type="duplicateValues" dxfId="364" priority="2"/>
  </conditionalFormatting>
  <conditionalFormatting sqref="F255:F448">
    <cfRule type="duplicateValues" dxfId="363" priority="17"/>
  </conditionalFormatting>
  <conditionalFormatting sqref="L2:L254">
    <cfRule type="duplicateValues" dxfId="362" priority="98"/>
  </conditionalFormatting>
  <conditionalFormatting sqref="L3:L4">
    <cfRule type="duplicateValues" dxfId="361" priority="99"/>
  </conditionalFormatting>
  <conditionalFormatting sqref="L255:L582">
    <cfRule type="duplicateValues" dxfId="360" priority="7"/>
  </conditionalFormatting>
  <conditionalFormatting sqref="M2:M254">
    <cfRule type="duplicateValues" dxfId="359" priority="81"/>
  </conditionalFormatting>
  <conditionalFormatting sqref="M255:M582">
    <cfRule type="duplicateValues" dxfId="358" priority="6"/>
  </conditionalFormatting>
  <conditionalFormatting sqref="N2:N254">
    <cfRule type="duplicateValues" dxfId="357" priority="80"/>
  </conditionalFormatting>
  <conditionalFormatting sqref="N255:N582">
    <cfRule type="duplicateValues" dxfId="356" priority="5"/>
  </conditionalFormatting>
  <pageMargins left="0.69930555555555596" right="0.69930555555555596" top="0.75" bottom="0.75" header="0.3" footer="0.3"/>
  <legacyDrawing r:id="rId1"/>
</worksheet>
</file>

<file path=xl/worksheets/sheet4.xml><?xml version="1.0" encoding="utf-8"?>
<worksheet xmlns="http://schemas.openxmlformats.org/spreadsheetml/2006/main" xmlns:r="http://schemas.openxmlformats.org/officeDocument/2006/relationships">
  <dimension ref="A1:XCI848"/>
  <sheetViews>
    <sheetView workbookViewId="0">
      <selection activeCell="A2" sqref="A2"/>
    </sheetView>
  </sheetViews>
  <sheetFormatPr defaultColWidth="8.25" defaultRowHeight="14.25"/>
  <cols>
    <col min="1" max="3" width="8.25" style="47"/>
    <col min="4" max="4" width="3.375" style="47" customWidth="1"/>
    <col min="5" max="5" width="3.75" style="47" customWidth="1"/>
    <col min="6" max="6" width="19.375" style="48" customWidth="1"/>
    <col min="7" max="7" width="21.125" style="48" customWidth="1"/>
    <col min="8" max="8" width="14.375" style="47" customWidth="1"/>
    <col min="9" max="9" width="14.625" style="47" customWidth="1"/>
    <col min="10" max="10" width="23.375" style="47" customWidth="1"/>
    <col min="11" max="11" width="8.875" style="47" customWidth="1"/>
    <col min="12" max="12" width="6.375" style="49" customWidth="1"/>
    <col min="13" max="13" width="16.875" style="49" customWidth="1"/>
    <col min="14" max="14" width="56.375" style="49" customWidth="1"/>
    <col min="15" max="15" width="3.25" style="47" customWidth="1"/>
    <col min="16" max="16" width="3.125" style="47" customWidth="1"/>
    <col min="17" max="17" width="4.875" style="48" customWidth="1"/>
    <col min="18" max="18" width="6.625" style="50" customWidth="1"/>
    <col min="19" max="19" width="9.625" style="50" customWidth="1"/>
    <col min="20" max="20" width="5" style="47" customWidth="1"/>
    <col min="21" max="21" width="35.75" style="47" customWidth="1"/>
    <col min="22" max="22" width="30.375" style="47" customWidth="1"/>
    <col min="23" max="23" width="9.625" style="51" customWidth="1"/>
    <col min="24" max="24" width="29.625" style="47" customWidth="1"/>
    <col min="25" max="25" width="5.875" style="47" customWidth="1"/>
    <col min="26" max="27" width="9.625" style="52" customWidth="1"/>
    <col min="28" max="28" width="5" style="47" customWidth="1"/>
    <col min="29" max="29" width="9" style="47" customWidth="1"/>
    <col min="30" max="30" width="11.875" style="47" customWidth="1"/>
    <col min="31" max="31" width="9.625" style="47" customWidth="1"/>
    <col min="32" max="33" width="5.875" style="47" customWidth="1"/>
    <col min="34" max="35" width="9.625" style="53" customWidth="1"/>
    <col min="36" max="16310" width="8.25" style="47"/>
    <col min="16311" max="16311" width="6.375" style="47" customWidth="1"/>
    <col min="16312" max="16384" width="8.25" style="47"/>
  </cols>
  <sheetData>
    <row r="1" spans="1:35 16311:16311" s="46" customFormat="1" ht="57">
      <c r="A1" s="13" t="s">
        <v>4874</v>
      </c>
      <c r="B1" s="13" t="s">
        <v>4875</v>
      </c>
      <c r="C1" s="13" t="s">
        <v>6</v>
      </c>
      <c r="D1" s="46" t="s">
        <v>4898</v>
      </c>
      <c r="E1" s="54" t="s">
        <v>4899</v>
      </c>
      <c r="F1" s="55" t="s">
        <v>4900</v>
      </c>
      <c r="G1" s="56" t="s">
        <v>4901</v>
      </c>
      <c r="H1" s="57" t="s">
        <v>4902</v>
      </c>
      <c r="I1" s="62" t="s">
        <v>4903</v>
      </c>
      <c r="J1" s="62" t="s">
        <v>4904</v>
      </c>
      <c r="K1" s="62" t="s">
        <v>4905</v>
      </c>
      <c r="L1" s="63" t="s">
        <v>4906</v>
      </c>
      <c r="M1" s="64" t="s">
        <v>4907</v>
      </c>
      <c r="N1" s="64" t="s">
        <v>4908</v>
      </c>
      <c r="O1" s="65" t="s">
        <v>4909</v>
      </c>
      <c r="P1" s="66" t="s">
        <v>4910</v>
      </c>
      <c r="Q1" s="70" t="s">
        <v>4911</v>
      </c>
      <c r="R1" s="71" t="s">
        <v>4912</v>
      </c>
      <c r="S1" s="71" t="s">
        <v>4913</v>
      </c>
      <c r="T1" s="72" t="s">
        <v>4914</v>
      </c>
      <c r="U1" s="73" t="s">
        <v>4915</v>
      </c>
      <c r="V1" s="73" t="s">
        <v>4916</v>
      </c>
      <c r="W1" s="74" t="s">
        <v>4917</v>
      </c>
      <c r="X1" s="72" t="s">
        <v>4918</v>
      </c>
      <c r="Y1" s="72" t="s">
        <v>4919</v>
      </c>
      <c r="Z1" s="76" t="s">
        <v>4920</v>
      </c>
      <c r="AA1" s="76" t="s">
        <v>4921</v>
      </c>
      <c r="AB1" s="72" t="s">
        <v>4914</v>
      </c>
      <c r="AC1" s="73" t="s">
        <v>4922</v>
      </c>
      <c r="AD1" s="73" t="s">
        <v>4923</v>
      </c>
      <c r="AE1" s="74" t="s">
        <v>4917</v>
      </c>
      <c r="AF1" s="72" t="s">
        <v>4924</v>
      </c>
      <c r="AG1" s="72" t="s">
        <v>4925</v>
      </c>
      <c r="AH1" s="77" t="s">
        <v>4920</v>
      </c>
      <c r="AI1" s="77" t="s">
        <v>4921</v>
      </c>
      <c r="XCI1" s="46">
        <f>COLUMN()</f>
        <v>16311</v>
      </c>
    </row>
    <row r="2" spans="1:35 16311:16311" ht="15.75">
      <c r="A2" s="13" t="str">
        <f>IFERROR(VLOOKUP($G:$G,scan!$A:$B,2,0),"**")</f>
        <v>**</v>
      </c>
      <c r="B2" s="13" t="str">
        <f>IFERROR(VLOOKUP($G2,scan!A:C,3,0),"**")</f>
        <v>**</v>
      </c>
      <c r="C2" s="47">
        <v>1</v>
      </c>
      <c r="F2" s="45"/>
      <c r="G2" s="45"/>
      <c r="H2" s="47" t="s">
        <v>4926</v>
      </c>
      <c r="I2" s="43">
        <v>6042070338</v>
      </c>
      <c r="J2" s="43" t="s">
        <v>4927</v>
      </c>
      <c r="K2" s="47" t="s">
        <v>4928</v>
      </c>
      <c r="L2" s="67" t="e">
        <f>VLOOKUP(G2,Input!C:Q,12,FALSE)</f>
        <v>#N/A</v>
      </c>
      <c r="M2" s="68" t="e">
        <f>VLOOKUP(G2,Input!C:Q,15,FALSE)</f>
        <v>#N/A</v>
      </c>
      <c r="N2" s="69" t="e">
        <f>VLOOKUP(G2,Input!C:Q,14,FALSE)</f>
        <v>#N/A</v>
      </c>
      <c r="Q2" s="48">
        <v>1</v>
      </c>
      <c r="R2" s="75" t="e">
        <f>VLOOKUP(G2,Input!C:H,5,FALSE)</f>
        <v>#N/A</v>
      </c>
      <c r="T2" s="47">
        <v>1</v>
      </c>
      <c r="U2" s="47" t="str">
        <f t="shared" ref="U2:U65" si="0">CONCATENATE(AC2,",",C2,",",B2,",",G2)</f>
        <v>1,1,**,</v>
      </c>
      <c r="AC2" s="47">
        <v>1</v>
      </c>
      <c r="AD2" s="47">
        <v>1</v>
      </c>
    </row>
    <row r="3" spans="1:35 16311:16311" ht="15.75">
      <c r="A3" s="13" t="str">
        <f>IFERROR(VLOOKUP($G:$G,scan!$A:$B,2,0),"**")</f>
        <v>**</v>
      </c>
      <c r="B3" s="13" t="str">
        <f>IFERROR(VLOOKUP($G3,scan!A:C,3,0),"**")</f>
        <v>**</v>
      </c>
      <c r="C3" s="47">
        <v>2</v>
      </c>
      <c r="F3" s="45"/>
      <c r="G3" s="45"/>
      <c r="H3" s="47" t="s">
        <v>4926</v>
      </c>
      <c r="I3" s="43">
        <v>6042070338</v>
      </c>
      <c r="J3" s="43" t="s">
        <v>4927</v>
      </c>
      <c r="K3" s="47" t="s">
        <v>4928</v>
      </c>
      <c r="L3" s="67" t="e">
        <f>VLOOKUP(G3,Input!C:Q,12,FALSE)</f>
        <v>#N/A</v>
      </c>
      <c r="M3" s="68" t="e">
        <f>VLOOKUP(G3,Input!C:Q,15,FALSE)</f>
        <v>#N/A</v>
      </c>
      <c r="N3" s="69" t="e">
        <f>VLOOKUP(G3,Input!C:Q,14,FALSE)</f>
        <v>#N/A</v>
      </c>
      <c r="Q3" s="48">
        <v>1</v>
      </c>
      <c r="R3" s="75" t="e">
        <f>VLOOKUP(G3,Input!C:H,5,FALSE)</f>
        <v>#N/A</v>
      </c>
      <c r="T3" s="47">
        <v>1</v>
      </c>
      <c r="U3" s="47" t="str">
        <f t="shared" si="0"/>
        <v>2,2,**,</v>
      </c>
      <c r="AC3" s="47">
        <v>2</v>
      </c>
      <c r="AD3" s="47">
        <v>2</v>
      </c>
    </row>
    <row r="4" spans="1:35 16311:16311" ht="15.75">
      <c r="A4" s="13" t="str">
        <f>IFERROR(VLOOKUP($G:$G,scan!$A:$B,2,0),"**")</f>
        <v>**</v>
      </c>
      <c r="B4" s="13" t="str">
        <f>IFERROR(VLOOKUP($G4,scan!A:C,3,0),"**")</f>
        <v>**</v>
      </c>
      <c r="C4" s="47">
        <v>3</v>
      </c>
      <c r="F4" s="45"/>
      <c r="G4" s="45"/>
      <c r="H4" s="47" t="s">
        <v>4926</v>
      </c>
      <c r="I4" s="43">
        <v>6042070338</v>
      </c>
      <c r="J4" s="43" t="s">
        <v>4927</v>
      </c>
      <c r="K4" s="47" t="s">
        <v>4928</v>
      </c>
      <c r="L4" s="67" t="e">
        <f>VLOOKUP(G4,Input!C:Q,12,FALSE)</f>
        <v>#N/A</v>
      </c>
      <c r="M4" s="68" t="e">
        <f>VLOOKUP(G4,Input!C:Q,15,FALSE)</f>
        <v>#N/A</v>
      </c>
      <c r="N4" s="69" t="e">
        <f>VLOOKUP(G4,Input!C:Q,14,FALSE)</f>
        <v>#N/A</v>
      </c>
      <c r="Q4" s="48">
        <v>1</v>
      </c>
      <c r="R4" s="75" t="e">
        <f>VLOOKUP(G4,Input!C:H,5,FALSE)</f>
        <v>#N/A</v>
      </c>
      <c r="T4" s="47">
        <v>1</v>
      </c>
      <c r="U4" s="47" t="str">
        <f t="shared" si="0"/>
        <v>3,3,**,</v>
      </c>
      <c r="AC4" s="47">
        <v>3</v>
      </c>
      <c r="AD4" s="47">
        <v>3</v>
      </c>
    </row>
    <row r="5" spans="1:35 16311:16311" ht="15.75">
      <c r="A5" s="13" t="str">
        <f>IFERROR(VLOOKUP($G:$G,scan!$A:$B,2,0),"**")</f>
        <v>**</v>
      </c>
      <c r="B5" s="13" t="str">
        <f>IFERROR(VLOOKUP($G5,scan!A:C,3,0),"**")</f>
        <v>**</v>
      </c>
      <c r="C5" s="47">
        <v>4</v>
      </c>
      <c r="F5" s="45"/>
      <c r="G5" s="45"/>
      <c r="H5" s="47" t="s">
        <v>4926</v>
      </c>
      <c r="I5" s="43">
        <v>6042070338</v>
      </c>
      <c r="J5" s="43" t="s">
        <v>4927</v>
      </c>
      <c r="K5" s="47" t="s">
        <v>4928</v>
      </c>
      <c r="L5" s="67" t="e">
        <f>VLOOKUP(G5,Input!C:Q,12,FALSE)</f>
        <v>#N/A</v>
      </c>
      <c r="M5" s="68" t="e">
        <f>VLOOKUP(G5,Input!C:Q,15,FALSE)</f>
        <v>#N/A</v>
      </c>
      <c r="N5" s="69" t="e">
        <f>VLOOKUP(G5,Input!C:Q,14,FALSE)</f>
        <v>#N/A</v>
      </c>
      <c r="Q5" s="48">
        <v>1</v>
      </c>
      <c r="R5" s="75" t="e">
        <f>VLOOKUP(G5,Input!C:H,5,FALSE)</f>
        <v>#N/A</v>
      </c>
      <c r="T5" s="47">
        <v>1</v>
      </c>
      <c r="U5" s="47" t="str">
        <f t="shared" si="0"/>
        <v>4,4,**,</v>
      </c>
      <c r="AC5" s="47">
        <v>4</v>
      </c>
      <c r="AD5" s="47">
        <v>4</v>
      </c>
    </row>
    <row r="6" spans="1:35 16311:16311" ht="15.75">
      <c r="A6" s="13" t="str">
        <f>IFERROR(VLOOKUP($G:$G,scan!$A:$B,2,0),"**")</f>
        <v>**</v>
      </c>
      <c r="B6" s="13" t="str">
        <f>IFERROR(VLOOKUP($G6,scan!A:C,3,0),"**")</f>
        <v>**</v>
      </c>
      <c r="C6" s="47">
        <v>5</v>
      </c>
      <c r="F6" s="45"/>
      <c r="G6" s="45"/>
      <c r="H6" s="47" t="s">
        <v>4926</v>
      </c>
      <c r="I6" s="43">
        <v>6042070338</v>
      </c>
      <c r="J6" s="43" t="s">
        <v>4927</v>
      </c>
      <c r="K6" s="47" t="s">
        <v>4928</v>
      </c>
      <c r="L6" s="67" t="e">
        <f>VLOOKUP(G6,Input!C:Q,12,FALSE)</f>
        <v>#N/A</v>
      </c>
      <c r="M6" s="68" t="e">
        <f>VLOOKUP(G6,Input!C:Q,15,FALSE)</f>
        <v>#N/A</v>
      </c>
      <c r="N6" s="69" t="e">
        <f>VLOOKUP(G6,Input!C:Q,14,FALSE)</f>
        <v>#N/A</v>
      </c>
      <c r="Q6" s="48">
        <v>1</v>
      </c>
      <c r="R6" s="75" t="e">
        <f>VLOOKUP(G6,Input!C:H,5,FALSE)</f>
        <v>#N/A</v>
      </c>
      <c r="T6" s="47">
        <v>1</v>
      </c>
      <c r="U6" s="47" t="str">
        <f t="shared" si="0"/>
        <v>5,5,**,</v>
      </c>
      <c r="AC6" s="47">
        <v>5</v>
      </c>
      <c r="AD6" s="47">
        <v>5</v>
      </c>
    </row>
    <row r="7" spans="1:35 16311:16311" ht="15.75">
      <c r="A7" s="13" t="str">
        <f>IFERROR(VLOOKUP($G:$G,scan!$A:$B,2,0),"**")</f>
        <v>**</v>
      </c>
      <c r="B7" s="13" t="str">
        <f>IFERROR(VLOOKUP($G7,scan!A:C,3,0),"**")</f>
        <v>**</v>
      </c>
      <c r="C7" s="47">
        <v>6</v>
      </c>
      <c r="F7" s="45"/>
      <c r="G7" s="45"/>
      <c r="H7" s="47" t="s">
        <v>4926</v>
      </c>
      <c r="I7" s="43">
        <v>6042070338</v>
      </c>
      <c r="J7" s="43" t="s">
        <v>4927</v>
      </c>
      <c r="K7" s="47" t="s">
        <v>4928</v>
      </c>
      <c r="L7" s="67" t="e">
        <f>VLOOKUP(G7,Input!C:Q,12,FALSE)</f>
        <v>#N/A</v>
      </c>
      <c r="M7" s="68" t="e">
        <f>VLOOKUP(G7,Input!C:Q,15,FALSE)</f>
        <v>#N/A</v>
      </c>
      <c r="N7" s="69" t="e">
        <f>VLOOKUP(G7,Input!C:Q,14,FALSE)</f>
        <v>#N/A</v>
      </c>
      <c r="Q7" s="48">
        <v>1</v>
      </c>
      <c r="R7" s="75" t="e">
        <f>VLOOKUP(G7,Input!C:H,5,FALSE)</f>
        <v>#N/A</v>
      </c>
      <c r="T7" s="47">
        <v>1</v>
      </c>
      <c r="U7" s="47" t="str">
        <f t="shared" si="0"/>
        <v>6,6,**,</v>
      </c>
      <c r="AC7" s="47">
        <v>6</v>
      </c>
      <c r="AD7" s="47">
        <v>6</v>
      </c>
    </row>
    <row r="8" spans="1:35 16311:16311" ht="15.75">
      <c r="A8" s="13" t="str">
        <f>IFERROR(VLOOKUP($G:$G,scan!$A:$B,2,0),"**")</f>
        <v>**</v>
      </c>
      <c r="B8" s="13" t="str">
        <f>IFERROR(VLOOKUP($G8,scan!A:C,3,0),"**")</f>
        <v>**</v>
      </c>
      <c r="C8" s="47">
        <v>7</v>
      </c>
      <c r="F8" s="45"/>
      <c r="G8" s="45"/>
      <c r="H8" s="47" t="s">
        <v>4926</v>
      </c>
      <c r="I8" s="43">
        <v>6042070338</v>
      </c>
      <c r="J8" s="43" t="s">
        <v>4927</v>
      </c>
      <c r="K8" s="47" t="s">
        <v>4928</v>
      </c>
      <c r="L8" s="67" t="e">
        <f>VLOOKUP(G8,Input!C:Q,12,FALSE)</f>
        <v>#N/A</v>
      </c>
      <c r="M8" s="68" t="e">
        <f>VLOOKUP(G8,Input!C:Q,15,FALSE)</f>
        <v>#N/A</v>
      </c>
      <c r="N8" s="69" t="e">
        <f>VLOOKUP(G8,Input!C:Q,14,FALSE)</f>
        <v>#N/A</v>
      </c>
      <c r="Q8" s="48">
        <v>1</v>
      </c>
      <c r="R8" s="75" t="e">
        <f>VLOOKUP(G8,Input!C:H,5,FALSE)</f>
        <v>#N/A</v>
      </c>
      <c r="T8" s="47">
        <v>1</v>
      </c>
      <c r="U8" s="47" t="str">
        <f t="shared" si="0"/>
        <v>7,7,**,</v>
      </c>
      <c r="AC8" s="47">
        <v>7</v>
      </c>
      <c r="AD8" s="47">
        <v>7</v>
      </c>
    </row>
    <row r="9" spans="1:35 16311:16311" ht="15.75">
      <c r="A9" s="13" t="str">
        <f>IFERROR(VLOOKUP($G:$G,scan!$A:$B,2,0),"**")</f>
        <v>**</v>
      </c>
      <c r="B9" s="13" t="str">
        <f>IFERROR(VLOOKUP($G9,scan!A:C,3,0),"**")</f>
        <v>**</v>
      </c>
      <c r="C9" s="47">
        <v>8</v>
      </c>
      <c r="F9" s="45"/>
      <c r="G9" s="45"/>
      <c r="H9" s="47" t="s">
        <v>4926</v>
      </c>
      <c r="I9" s="43">
        <v>6042070338</v>
      </c>
      <c r="J9" s="43" t="s">
        <v>4927</v>
      </c>
      <c r="K9" s="47" t="s">
        <v>4928</v>
      </c>
      <c r="L9" s="67" t="e">
        <f>VLOOKUP(G9,Input!C:Q,12,FALSE)</f>
        <v>#N/A</v>
      </c>
      <c r="M9" s="68" t="e">
        <f>VLOOKUP(G9,Input!C:Q,15,FALSE)</f>
        <v>#N/A</v>
      </c>
      <c r="N9" s="69" t="e">
        <f>VLOOKUP(G9,Input!C:Q,14,FALSE)</f>
        <v>#N/A</v>
      </c>
      <c r="Q9" s="48">
        <v>1</v>
      </c>
      <c r="R9" s="75" t="e">
        <f>VLOOKUP(G9,Input!C:H,5,FALSE)</f>
        <v>#N/A</v>
      </c>
      <c r="T9" s="47">
        <v>1</v>
      </c>
      <c r="U9" s="47" t="str">
        <f t="shared" si="0"/>
        <v>8,8,**,</v>
      </c>
      <c r="AC9" s="47">
        <v>8</v>
      </c>
      <c r="AD9" s="47">
        <v>8</v>
      </c>
    </row>
    <row r="10" spans="1:35 16311:16311" ht="15.75">
      <c r="A10" s="13" t="str">
        <f>IFERROR(VLOOKUP($G:$G,scan!$A:$B,2,0),"**")</f>
        <v>**</v>
      </c>
      <c r="B10" s="13" t="str">
        <f>IFERROR(VLOOKUP($G10,scan!A:C,3,0),"**")</f>
        <v>**</v>
      </c>
      <c r="C10" s="47">
        <v>9</v>
      </c>
      <c r="F10" s="20"/>
      <c r="G10" s="58"/>
      <c r="H10" s="47" t="s">
        <v>4926</v>
      </c>
      <c r="I10" s="43">
        <v>6042070338</v>
      </c>
      <c r="J10" s="43" t="s">
        <v>4927</v>
      </c>
      <c r="K10" s="47" t="s">
        <v>4928</v>
      </c>
      <c r="L10" s="67" t="e">
        <f>VLOOKUP(G10,Input!C:Q,12,FALSE)</f>
        <v>#N/A</v>
      </c>
      <c r="M10" s="68" t="e">
        <f>VLOOKUP(G10,Input!C:Q,15,FALSE)</f>
        <v>#N/A</v>
      </c>
      <c r="N10" s="69" t="e">
        <f>VLOOKUP(G10,Input!C:Q,14,FALSE)</f>
        <v>#N/A</v>
      </c>
      <c r="Q10" s="48">
        <v>1</v>
      </c>
      <c r="R10" s="75" t="e">
        <f>VLOOKUP(G10,Input!C:H,5,FALSE)</f>
        <v>#N/A</v>
      </c>
      <c r="T10" s="47">
        <v>1</v>
      </c>
      <c r="U10" s="47" t="str">
        <f t="shared" si="0"/>
        <v>9,9,**,</v>
      </c>
      <c r="AC10" s="47">
        <v>9</v>
      </c>
      <c r="AD10" s="47">
        <v>9</v>
      </c>
    </row>
    <row r="11" spans="1:35 16311:16311" ht="15.75">
      <c r="A11" s="13" t="str">
        <f>IFERROR(VLOOKUP($G:$G,scan!$A:$B,2,0),"**")</f>
        <v>**</v>
      </c>
      <c r="B11" s="13" t="str">
        <f>IFERROR(VLOOKUP($G11,scan!A:C,3,0),"**")</f>
        <v>**</v>
      </c>
      <c r="C11" s="47">
        <v>10</v>
      </c>
      <c r="F11" s="20"/>
      <c r="G11" s="59"/>
      <c r="H11" s="47" t="s">
        <v>4926</v>
      </c>
      <c r="I11" s="43">
        <v>6042070338</v>
      </c>
      <c r="J11" s="43" t="s">
        <v>4927</v>
      </c>
      <c r="K11" s="47" t="s">
        <v>4928</v>
      </c>
      <c r="L11" s="67" t="e">
        <f>VLOOKUP(G11,Input!C:Q,12,FALSE)</f>
        <v>#N/A</v>
      </c>
      <c r="M11" s="68" t="e">
        <f>VLOOKUP(G11,Input!C:Q,15,FALSE)</f>
        <v>#N/A</v>
      </c>
      <c r="N11" s="69" t="e">
        <f>VLOOKUP(G11,Input!C:Q,14,FALSE)</f>
        <v>#N/A</v>
      </c>
      <c r="Q11" s="48">
        <v>1</v>
      </c>
      <c r="R11" s="75" t="e">
        <f>VLOOKUP(G11,Input!C:H,5,FALSE)</f>
        <v>#N/A</v>
      </c>
      <c r="T11" s="47">
        <v>1</v>
      </c>
      <c r="U11" s="47" t="str">
        <f t="shared" si="0"/>
        <v>10,10,**,</v>
      </c>
      <c r="AC11" s="47">
        <v>10</v>
      </c>
      <c r="AD11" s="47">
        <v>10</v>
      </c>
    </row>
    <row r="12" spans="1:35 16311:16311" ht="15.75">
      <c r="A12" s="13" t="str">
        <f>IFERROR(VLOOKUP($G:$G,scan!$A:$B,2,0),"**")</f>
        <v>**</v>
      </c>
      <c r="B12" s="13" t="str">
        <f>IFERROR(VLOOKUP($G12,scan!A:C,3,0),"**")</f>
        <v>**</v>
      </c>
      <c r="C12" s="47">
        <v>11</v>
      </c>
      <c r="F12" s="60"/>
      <c r="G12" s="61"/>
      <c r="H12" s="47" t="s">
        <v>4926</v>
      </c>
      <c r="I12" s="43">
        <v>6042070338</v>
      </c>
      <c r="J12" s="43" t="s">
        <v>4927</v>
      </c>
      <c r="K12" s="47" t="s">
        <v>4928</v>
      </c>
      <c r="L12" s="67" t="e">
        <f>VLOOKUP(G12,Input!C:Q,12,FALSE)</f>
        <v>#N/A</v>
      </c>
      <c r="M12" s="68" t="e">
        <f>VLOOKUP(G12,Input!C:Q,15,FALSE)</f>
        <v>#N/A</v>
      </c>
      <c r="N12" s="69" t="e">
        <f>VLOOKUP(G12,Input!C:Q,14,FALSE)</f>
        <v>#N/A</v>
      </c>
      <c r="Q12" s="48">
        <v>1</v>
      </c>
      <c r="R12" s="75" t="e">
        <f>VLOOKUP(G12,Input!C:H,5,FALSE)</f>
        <v>#N/A</v>
      </c>
      <c r="T12" s="47">
        <v>1</v>
      </c>
      <c r="U12" s="47" t="str">
        <f t="shared" si="0"/>
        <v>11,11,**,</v>
      </c>
      <c r="AC12" s="47">
        <v>11</v>
      </c>
      <c r="AD12" s="47">
        <v>11</v>
      </c>
    </row>
    <row r="13" spans="1:35 16311:16311" ht="15.75">
      <c r="A13" s="13" t="str">
        <f>IFERROR(VLOOKUP($G:$G,scan!$A:$B,2,0),"**")</f>
        <v>**</v>
      </c>
      <c r="B13" s="13" t="str">
        <f>IFERROR(VLOOKUP($G13,scan!A:C,3,0),"**")</f>
        <v>**</v>
      </c>
      <c r="C13" s="47">
        <v>12</v>
      </c>
      <c r="F13" s="60"/>
      <c r="G13" s="61"/>
      <c r="H13" s="47" t="s">
        <v>4926</v>
      </c>
      <c r="I13" s="43">
        <v>6042070338</v>
      </c>
      <c r="J13" s="43" t="s">
        <v>4927</v>
      </c>
      <c r="K13" s="47" t="s">
        <v>4928</v>
      </c>
      <c r="L13" s="67" t="e">
        <f>VLOOKUP(G13,Input!C:Q,12,FALSE)</f>
        <v>#N/A</v>
      </c>
      <c r="M13" s="68" t="e">
        <f>VLOOKUP(G13,Input!C:Q,15,FALSE)</f>
        <v>#N/A</v>
      </c>
      <c r="N13" s="69" t="e">
        <f>VLOOKUP(G13,Input!C:Q,14,FALSE)</f>
        <v>#N/A</v>
      </c>
      <c r="Q13" s="48">
        <v>1</v>
      </c>
      <c r="R13" s="75" t="e">
        <f>VLOOKUP(G13,Input!C:H,5,FALSE)</f>
        <v>#N/A</v>
      </c>
      <c r="T13" s="47">
        <v>1</v>
      </c>
      <c r="U13" s="47" t="str">
        <f t="shared" si="0"/>
        <v>12,12,**,</v>
      </c>
      <c r="AC13" s="47">
        <v>12</v>
      </c>
      <c r="AD13" s="47">
        <v>12</v>
      </c>
    </row>
    <row r="14" spans="1:35 16311:16311" ht="15.75">
      <c r="A14" s="13" t="str">
        <f>IFERROR(VLOOKUP($G:$G,scan!$A:$B,2,0),"**")</f>
        <v>**</v>
      </c>
      <c r="B14" s="13" t="str">
        <f>IFERROR(VLOOKUP($G14,scan!A:C,3,0),"**")</f>
        <v>**</v>
      </c>
      <c r="C14" s="47">
        <v>13</v>
      </c>
      <c r="F14" s="60"/>
      <c r="G14" s="59"/>
      <c r="H14" s="47" t="s">
        <v>4926</v>
      </c>
      <c r="I14" s="43">
        <v>6042070338</v>
      </c>
      <c r="J14" s="43" t="s">
        <v>4927</v>
      </c>
      <c r="K14" s="47" t="s">
        <v>4928</v>
      </c>
      <c r="L14" s="67" t="e">
        <f>VLOOKUP(G14,Input!C:Q,12,FALSE)</f>
        <v>#N/A</v>
      </c>
      <c r="M14" s="68" t="e">
        <f>VLOOKUP(G14,Input!C:Q,15,FALSE)</f>
        <v>#N/A</v>
      </c>
      <c r="N14" s="69" t="e">
        <f>VLOOKUP(G14,Input!C:Q,14,FALSE)</f>
        <v>#N/A</v>
      </c>
      <c r="Q14" s="48">
        <v>1</v>
      </c>
      <c r="R14" s="75" t="e">
        <f>VLOOKUP(G14,Input!C:H,5,FALSE)</f>
        <v>#N/A</v>
      </c>
      <c r="T14" s="47">
        <v>1</v>
      </c>
      <c r="U14" s="47" t="str">
        <f t="shared" si="0"/>
        <v>13,13,**,</v>
      </c>
      <c r="AC14" s="47">
        <v>13</v>
      </c>
      <c r="AD14" s="47">
        <v>13</v>
      </c>
    </row>
    <row r="15" spans="1:35 16311:16311" ht="15.75">
      <c r="A15" s="13" t="str">
        <f>IFERROR(VLOOKUP($G:$G,scan!$A:$B,2,0),"**")</f>
        <v>**</v>
      </c>
      <c r="B15" s="13" t="str">
        <f>IFERROR(VLOOKUP($G15,scan!A:C,3,0),"**")</f>
        <v>**</v>
      </c>
      <c r="C15" s="47">
        <v>14</v>
      </c>
      <c r="F15" s="60"/>
      <c r="G15" s="59"/>
      <c r="H15" s="47" t="s">
        <v>4926</v>
      </c>
      <c r="I15" s="43">
        <v>6042070338</v>
      </c>
      <c r="J15" s="43" t="s">
        <v>4927</v>
      </c>
      <c r="K15" s="47" t="s">
        <v>4928</v>
      </c>
      <c r="L15" s="67" t="e">
        <f>VLOOKUP(G15,Input!C:Q,12,FALSE)</f>
        <v>#N/A</v>
      </c>
      <c r="M15" s="68" t="e">
        <f>VLOOKUP(G15,Input!C:Q,15,FALSE)</f>
        <v>#N/A</v>
      </c>
      <c r="N15" s="69" t="e">
        <f>VLOOKUP(G15,Input!C:Q,14,FALSE)</f>
        <v>#N/A</v>
      </c>
      <c r="Q15" s="48">
        <v>1</v>
      </c>
      <c r="R15" s="75" t="e">
        <f>VLOOKUP(G15,Input!C:H,5,FALSE)</f>
        <v>#N/A</v>
      </c>
      <c r="T15" s="47">
        <v>1</v>
      </c>
      <c r="U15" s="47" t="str">
        <f t="shared" si="0"/>
        <v>14,14,**,</v>
      </c>
      <c r="AC15" s="47">
        <v>14</v>
      </c>
      <c r="AD15" s="47">
        <v>14</v>
      </c>
    </row>
    <row r="16" spans="1:35 16311:16311" ht="15.75">
      <c r="A16" s="13" t="str">
        <f>IFERROR(VLOOKUP($G:$G,scan!$A:$B,2,0),"**")</f>
        <v>**</v>
      </c>
      <c r="B16" s="13" t="str">
        <f>IFERROR(VLOOKUP($G16,scan!A:C,3,0),"**")</f>
        <v>**</v>
      </c>
      <c r="C16" s="47">
        <v>15</v>
      </c>
      <c r="F16" s="60"/>
      <c r="G16" s="58"/>
      <c r="H16" s="47" t="s">
        <v>4926</v>
      </c>
      <c r="I16" s="43">
        <v>6042070338</v>
      </c>
      <c r="J16" s="43" t="s">
        <v>4927</v>
      </c>
      <c r="K16" s="47" t="s">
        <v>4928</v>
      </c>
      <c r="L16" s="67" t="e">
        <f>VLOOKUP(G16,Input!C:Q,12,FALSE)</f>
        <v>#N/A</v>
      </c>
      <c r="M16" s="68" t="e">
        <f>VLOOKUP(G16,Input!C:Q,15,FALSE)</f>
        <v>#N/A</v>
      </c>
      <c r="N16" s="69" t="e">
        <f>VLOOKUP(G16,Input!C:Q,14,FALSE)</f>
        <v>#N/A</v>
      </c>
      <c r="Q16" s="48">
        <v>1</v>
      </c>
      <c r="R16" s="75" t="e">
        <f>VLOOKUP(G16,Input!C:H,5,FALSE)</f>
        <v>#N/A</v>
      </c>
      <c r="T16" s="47">
        <v>1</v>
      </c>
      <c r="U16" s="47" t="str">
        <f t="shared" si="0"/>
        <v>15,15,**,</v>
      </c>
      <c r="AC16" s="47">
        <v>15</v>
      </c>
      <c r="AD16" s="47">
        <v>15</v>
      </c>
    </row>
    <row r="17" spans="1:30" ht="15.75">
      <c r="A17" s="13" t="str">
        <f>IFERROR(VLOOKUP($G:$G,scan!$A:$B,2,0),"**")</f>
        <v>**</v>
      </c>
      <c r="B17" s="13" t="str">
        <f>IFERROR(VLOOKUP($G17,scan!A:C,3,0),"**")</f>
        <v>**</v>
      </c>
      <c r="C17" s="47">
        <v>16</v>
      </c>
      <c r="F17" s="60"/>
      <c r="G17" s="58"/>
      <c r="H17" s="47" t="s">
        <v>4926</v>
      </c>
      <c r="I17" s="43">
        <v>6042070338</v>
      </c>
      <c r="J17" s="43" t="s">
        <v>4927</v>
      </c>
      <c r="K17" s="47" t="s">
        <v>4928</v>
      </c>
      <c r="L17" s="67" t="e">
        <f>VLOOKUP(G17,Input!C:Q,12,FALSE)</f>
        <v>#N/A</v>
      </c>
      <c r="M17" s="68" t="e">
        <f>VLOOKUP(G17,Input!C:Q,15,FALSE)</f>
        <v>#N/A</v>
      </c>
      <c r="N17" s="69" t="e">
        <f>VLOOKUP(G17,Input!C:Q,14,FALSE)</f>
        <v>#N/A</v>
      </c>
      <c r="Q17" s="48">
        <v>1</v>
      </c>
      <c r="R17" s="75" t="e">
        <f>VLOOKUP(G17,Input!C:H,5,FALSE)</f>
        <v>#N/A</v>
      </c>
      <c r="T17" s="47">
        <v>1</v>
      </c>
      <c r="U17" s="47" t="str">
        <f t="shared" si="0"/>
        <v>16,16,**,</v>
      </c>
      <c r="AC17" s="47">
        <v>16</v>
      </c>
      <c r="AD17" s="47">
        <v>16</v>
      </c>
    </row>
    <row r="18" spans="1:30" ht="15.75">
      <c r="A18" s="13" t="str">
        <f>IFERROR(VLOOKUP($G:$G,scan!$A:$B,2,0),"**")</f>
        <v>**</v>
      </c>
      <c r="B18" s="13" t="str">
        <f>IFERROR(VLOOKUP($G18,scan!A:C,3,0),"**")</f>
        <v>**</v>
      </c>
      <c r="C18" s="47">
        <v>17</v>
      </c>
      <c r="F18" s="60"/>
      <c r="G18" s="58"/>
      <c r="H18" s="47" t="s">
        <v>4926</v>
      </c>
      <c r="I18" s="43">
        <v>6042070338</v>
      </c>
      <c r="J18" s="43" t="s">
        <v>4927</v>
      </c>
      <c r="K18" s="47" t="s">
        <v>4928</v>
      </c>
      <c r="L18" s="67" t="e">
        <f>VLOOKUP(G18,Input!C:Q,12,FALSE)</f>
        <v>#N/A</v>
      </c>
      <c r="M18" s="68" t="e">
        <f>VLOOKUP(G18,Input!C:Q,15,FALSE)</f>
        <v>#N/A</v>
      </c>
      <c r="N18" s="69" t="e">
        <f>VLOOKUP(G18,Input!C:Q,14,FALSE)</f>
        <v>#N/A</v>
      </c>
      <c r="Q18" s="48">
        <v>1</v>
      </c>
      <c r="R18" s="75" t="e">
        <f>VLOOKUP(G18,Input!C:H,5,FALSE)</f>
        <v>#N/A</v>
      </c>
      <c r="T18" s="47">
        <v>1</v>
      </c>
      <c r="U18" s="47" t="str">
        <f t="shared" si="0"/>
        <v>17,17,**,</v>
      </c>
      <c r="AC18" s="47">
        <v>17</v>
      </c>
      <c r="AD18" s="47">
        <v>17</v>
      </c>
    </row>
    <row r="19" spans="1:30" ht="15.75">
      <c r="A19" s="13" t="str">
        <f>IFERROR(VLOOKUP($G:$G,scan!$A:$B,2,0),"**")</f>
        <v>**</v>
      </c>
      <c r="B19" s="13" t="str">
        <f>IFERROR(VLOOKUP($G19,scan!A:C,3,0),"**")</f>
        <v>**</v>
      </c>
      <c r="C19" s="47">
        <v>18</v>
      </c>
      <c r="F19" s="60"/>
      <c r="G19" s="58"/>
      <c r="H19" s="47" t="s">
        <v>4926</v>
      </c>
      <c r="I19" s="43">
        <v>6042070338</v>
      </c>
      <c r="J19" s="43" t="s">
        <v>4927</v>
      </c>
      <c r="K19" s="47" t="s">
        <v>4928</v>
      </c>
      <c r="L19" s="67" t="e">
        <f>VLOOKUP(G19,Input!C:Q,12,FALSE)</f>
        <v>#N/A</v>
      </c>
      <c r="M19" s="68" t="e">
        <f>VLOOKUP(G19,Input!C:Q,15,FALSE)</f>
        <v>#N/A</v>
      </c>
      <c r="N19" s="69" t="e">
        <f>VLOOKUP(G19,Input!C:Q,14,FALSE)</f>
        <v>#N/A</v>
      </c>
      <c r="Q19" s="48">
        <v>1</v>
      </c>
      <c r="R19" s="75" t="e">
        <f>VLOOKUP(G19,Input!C:H,5,FALSE)</f>
        <v>#N/A</v>
      </c>
      <c r="T19" s="47">
        <v>1</v>
      </c>
      <c r="U19" s="47" t="str">
        <f t="shared" si="0"/>
        <v>18,18,**,</v>
      </c>
      <c r="AC19" s="47">
        <v>18</v>
      </c>
      <c r="AD19" s="47">
        <v>18</v>
      </c>
    </row>
    <row r="20" spans="1:30" ht="15.75">
      <c r="A20" s="13" t="str">
        <f>IFERROR(VLOOKUP($G:$G,scan!$A:$B,2,0),"**")</f>
        <v>**</v>
      </c>
      <c r="B20" s="13" t="str">
        <f>IFERROR(VLOOKUP($G20,scan!A:C,3,0),"**")</f>
        <v>**</v>
      </c>
      <c r="C20" s="47">
        <v>19</v>
      </c>
      <c r="F20" s="60"/>
      <c r="G20" s="61"/>
      <c r="H20" s="47" t="s">
        <v>4926</v>
      </c>
      <c r="I20" s="43">
        <v>6042070338</v>
      </c>
      <c r="J20" s="43" t="s">
        <v>4927</v>
      </c>
      <c r="K20" s="47" t="s">
        <v>4928</v>
      </c>
      <c r="L20" s="67" t="e">
        <f>VLOOKUP(G20,Input!C:Q,12,FALSE)</f>
        <v>#N/A</v>
      </c>
      <c r="M20" s="68" t="e">
        <f>VLOOKUP(G20,Input!C:Q,15,FALSE)</f>
        <v>#N/A</v>
      </c>
      <c r="N20" s="69" t="e">
        <f>VLOOKUP(G20,Input!C:Q,14,FALSE)</f>
        <v>#N/A</v>
      </c>
      <c r="Q20" s="48">
        <v>1</v>
      </c>
      <c r="R20" s="75" t="e">
        <f>VLOOKUP(G20,Input!C:H,5,FALSE)</f>
        <v>#N/A</v>
      </c>
      <c r="T20" s="47">
        <v>1</v>
      </c>
      <c r="U20" s="47" t="str">
        <f t="shared" si="0"/>
        <v>19,19,**,</v>
      </c>
      <c r="AC20" s="47">
        <v>19</v>
      </c>
      <c r="AD20" s="47">
        <v>19</v>
      </c>
    </row>
    <row r="21" spans="1:30" ht="15.75">
      <c r="A21" s="13" t="str">
        <f>IFERROR(VLOOKUP($G:$G,scan!$A:$B,2,0),"**")</f>
        <v>**</v>
      </c>
      <c r="B21" s="13" t="str">
        <f>IFERROR(VLOOKUP($G21,scan!A:C,3,0),"**")</f>
        <v>**</v>
      </c>
      <c r="C21" s="47">
        <v>20</v>
      </c>
      <c r="F21" s="60"/>
      <c r="G21" s="58"/>
      <c r="H21" s="47" t="s">
        <v>4926</v>
      </c>
      <c r="I21" s="43">
        <v>6042070338</v>
      </c>
      <c r="J21" s="43" t="s">
        <v>4927</v>
      </c>
      <c r="K21" s="47" t="s">
        <v>4928</v>
      </c>
      <c r="L21" s="67" t="e">
        <f>VLOOKUP(G21,Input!C:Q,12,FALSE)</f>
        <v>#N/A</v>
      </c>
      <c r="M21" s="68" t="e">
        <f>VLOOKUP(G21,Input!C:Q,15,FALSE)</f>
        <v>#N/A</v>
      </c>
      <c r="N21" s="69" t="e">
        <f>VLOOKUP(G21,Input!C:Q,14,FALSE)</f>
        <v>#N/A</v>
      </c>
      <c r="Q21" s="48">
        <v>1</v>
      </c>
      <c r="R21" s="75" t="e">
        <f>VLOOKUP(G21,Input!C:H,5,FALSE)</f>
        <v>#N/A</v>
      </c>
      <c r="T21" s="47">
        <v>1</v>
      </c>
      <c r="U21" s="47" t="str">
        <f t="shared" si="0"/>
        <v>20,20,**,</v>
      </c>
      <c r="AC21" s="47">
        <v>20</v>
      </c>
      <c r="AD21" s="47">
        <v>20</v>
      </c>
    </row>
    <row r="22" spans="1:30" ht="15.75">
      <c r="A22" s="13" t="str">
        <f>IFERROR(VLOOKUP($G:$G,scan!$A:$B,2,0),"**")</f>
        <v>**</v>
      </c>
      <c r="B22" s="13" t="str">
        <f>IFERROR(VLOOKUP($G22,scan!A:C,3,0),"**")</f>
        <v>**</v>
      </c>
      <c r="C22" s="47">
        <v>21</v>
      </c>
      <c r="F22" s="60"/>
      <c r="G22" s="61"/>
      <c r="H22" s="47" t="s">
        <v>4926</v>
      </c>
      <c r="I22" s="43">
        <v>6042070338</v>
      </c>
      <c r="J22" s="43" t="s">
        <v>4927</v>
      </c>
      <c r="K22" s="47" t="s">
        <v>4928</v>
      </c>
      <c r="L22" s="67" t="e">
        <f>VLOOKUP(G22,Input!C:Q,12,FALSE)</f>
        <v>#N/A</v>
      </c>
      <c r="M22" s="68" t="e">
        <f>VLOOKUP(G22,Input!C:Q,15,FALSE)</f>
        <v>#N/A</v>
      </c>
      <c r="N22" s="69" t="e">
        <f>VLOOKUP(G22,Input!C:Q,14,FALSE)</f>
        <v>#N/A</v>
      </c>
      <c r="Q22" s="48">
        <v>1</v>
      </c>
      <c r="R22" s="75" t="e">
        <f>VLOOKUP(G22,Input!C:H,5,FALSE)</f>
        <v>#N/A</v>
      </c>
      <c r="T22" s="47">
        <v>1</v>
      </c>
      <c r="U22" s="47" t="str">
        <f t="shared" si="0"/>
        <v>21,21,**,</v>
      </c>
      <c r="AC22" s="47">
        <v>21</v>
      </c>
      <c r="AD22" s="47">
        <v>21</v>
      </c>
    </row>
    <row r="23" spans="1:30" ht="15.75">
      <c r="A23" s="13" t="str">
        <f>IFERROR(VLOOKUP($G:$G,scan!$A:$B,2,0),"**")</f>
        <v>**</v>
      </c>
      <c r="B23" s="13" t="str">
        <f>IFERROR(VLOOKUP($G23,scan!A:C,3,0),"**")</f>
        <v>**</v>
      </c>
      <c r="C23" s="47">
        <v>22</v>
      </c>
      <c r="F23" s="60"/>
      <c r="G23" s="61"/>
      <c r="H23" s="47" t="s">
        <v>4926</v>
      </c>
      <c r="I23" s="43">
        <v>6042070338</v>
      </c>
      <c r="J23" s="43" t="s">
        <v>4927</v>
      </c>
      <c r="K23" s="47" t="s">
        <v>4928</v>
      </c>
      <c r="L23" s="67" t="e">
        <f>VLOOKUP(G23,Input!C:Q,12,FALSE)</f>
        <v>#N/A</v>
      </c>
      <c r="M23" s="68" t="e">
        <f>VLOOKUP(G23,Input!C:Q,15,FALSE)</f>
        <v>#N/A</v>
      </c>
      <c r="N23" s="69" t="e">
        <f>VLOOKUP(G23,Input!C:Q,14,FALSE)</f>
        <v>#N/A</v>
      </c>
      <c r="Q23" s="48">
        <v>1</v>
      </c>
      <c r="R23" s="75" t="e">
        <f>VLOOKUP(G23,Input!C:H,5,FALSE)</f>
        <v>#N/A</v>
      </c>
      <c r="T23" s="47">
        <v>1</v>
      </c>
      <c r="U23" s="47" t="str">
        <f t="shared" si="0"/>
        <v>22,22,**,</v>
      </c>
      <c r="AC23" s="47">
        <v>22</v>
      </c>
      <c r="AD23" s="47">
        <v>22</v>
      </c>
    </row>
    <row r="24" spans="1:30" ht="15.75">
      <c r="A24" s="13" t="str">
        <f>IFERROR(VLOOKUP($G:$G,scan!$A:$B,2,0),"**")</f>
        <v>**</v>
      </c>
      <c r="B24" s="13" t="str">
        <f>IFERROR(VLOOKUP($G24,scan!A:C,3,0),"**")</f>
        <v>**</v>
      </c>
      <c r="C24" s="47">
        <v>23</v>
      </c>
      <c r="F24" s="60"/>
      <c r="G24" s="58"/>
      <c r="H24" s="47" t="s">
        <v>4926</v>
      </c>
      <c r="I24" s="43">
        <v>6042070338</v>
      </c>
      <c r="J24" s="43" t="s">
        <v>4927</v>
      </c>
      <c r="K24" s="47" t="s">
        <v>4928</v>
      </c>
      <c r="L24" s="67" t="e">
        <f>VLOOKUP(G24,Input!C:Q,12,FALSE)</f>
        <v>#N/A</v>
      </c>
      <c r="M24" s="68" t="e">
        <f>VLOOKUP(G24,Input!C:Q,15,FALSE)</f>
        <v>#N/A</v>
      </c>
      <c r="N24" s="69" t="e">
        <f>VLOOKUP(G24,Input!C:Q,14,FALSE)</f>
        <v>#N/A</v>
      </c>
      <c r="Q24" s="48">
        <v>1</v>
      </c>
      <c r="R24" s="75" t="e">
        <f>VLOOKUP(G24,Input!C:H,5,FALSE)</f>
        <v>#N/A</v>
      </c>
      <c r="T24" s="47">
        <v>1</v>
      </c>
      <c r="U24" s="47" t="str">
        <f t="shared" si="0"/>
        <v>23,23,**,</v>
      </c>
      <c r="AC24" s="47">
        <v>23</v>
      </c>
      <c r="AD24" s="47">
        <v>23</v>
      </c>
    </row>
    <row r="25" spans="1:30" ht="15.75">
      <c r="A25" s="13" t="str">
        <f>IFERROR(VLOOKUP($G:$G,scan!$A:$B,2,0),"**")</f>
        <v>**</v>
      </c>
      <c r="B25" s="13" t="str">
        <f>IFERROR(VLOOKUP($G25,scan!A:C,3,0),"**")</f>
        <v>**</v>
      </c>
      <c r="C25" s="47">
        <v>24</v>
      </c>
      <c r="F25" s="60"/>
      <c r="G25" s="58"/>
      <c r="H25" s="47" t="s">
        <v>4926</v>
      </c>
      <c r="I25" s="43">
        <v>6042070338</v>
      </c>
      <c r="J25" s="43" t="s">
        <v>4927</v>
      </c>
      <c r="K25" s="47" t="s">
        <v>4928</v>
      </c>
      <c r="L25" s="67" t="e">
        <f>VLOOKUP(G25,Input!C:Q,12,FALSE)</f>
        <v>#N/A</v>
      </c>
      <c r="M25" s="68" t="e">
        <f>VLOOKUP(G25,Input!C:Q,15,FALSE)</f>
        <v>#N/A</v>
      </c>
      <c r="N25" s="69" t="e">
        <f>VLOOKUP(G25,Input!C:Q,14,FALSE)</f>
        <v>#N/A</v>
      </c>
      <c r="Q25" s="48">
        <v>1</v>
      </c>
      <c r="R25" s="75" t="e">
        <f>VLOOKUP(G25,Input!C:H,5,FALSE)</f>
        <v>#N/A</v>
      </c>
      <c r="T25" s="47">
        <v>1</v>
      </c>
      <c r="U25" s="47" t="str">
        <f t="shared" si="0"/>
        <v>24,24,**,</v>
      </c>
      <c r="AC25" s="47">
        <v>24</v>
      </c>
      <c r="AD25" s="47">
        <v>24</v>
      </c>
    </row>
    <row r="26" spans="1:30" ht="15.75">
      <c r="A26" s="13" t="str">
        <f>IFERROR(VLOOKUP($G:$G,scan!$A:$B,2,0),"**")</f>
        <v>**</v>
      </c>
      <c r="B26" s="13" t="str">
        <f>IFERROR(VLOOKUP($G26,scan!A:C,3,0),"**")</f>
        <v>**</v>
      </c>
      <c r="C26" s="47">
        <v>25</v>
      </c>
      <c r="F26" s="60"/>
      <c r="G26" s="58"/>
      <c r="H26" s="47" t="s">
        <v>4926</v>
      </c>
      <c r="I26" s="43">
        <v>6042070338</v>
      </c>
      <c r="J26" s="43" t="s">
        <v>4927</v>
      </c>
      <c r="K26" s="47" t="s">
        <v>4928</v>
      </c>
      <c r="L26" s="67" t="e">
        <f>VLOOKUP(G26,Input!C:Q,12,FALSE)</f>
        <v>#N/A</v>
      </c>
      <c r="M26" s="68" t="e">
        <f>VLOOKUP(G26,Input!C:Q,15,FALSE)</f>
        <v>#N/A</v>
      </c>
      <c r="N26" s="69" t="e">
        <f>VLOOKUP(G26,Input!C:Q,14,FALSE)</f>
        <v>#N/A</v>
      </c>
      <c r="Q26" s="48">
        <v>1</v>
      </c>
      <c r="R26" s="75" t="e">
        <f>VLOOKUP(G26,Input!C:H,5,FALSE)</f>
        <v>#N/A</v>
      </c>
      <c r="T26" s="47">
        <v>1</v>
      </c>
      <c r="U26" s="47" t="str">
        <f t="shared" si="0"/>
        <v>25,25,**,</v>
      </c>
      <c r="AC26" s="47">
        <v>25</v>
      </c>
      <c r="AD26" s="47">
        <v>25</v>
      </c>
    </row>
    <row r="27" spans="1:30" ht="15.75">
      <c r="A27" s="13" t="str">
        <f>IFERROR(VLOOKUP($G:$G,scan!$A:$B,2,0),"**")</f>
        <v>**</v>
      </c>
      <c r="B27" s="13" t="str">
        <f>IFERROR(VLOOKUP($G27,scan!A:C,3,0),"**")</f>
        <v>**</v>
      </c>
      <c r="C27" s="47">
        <v>26</v>
      </c>
      <c r="F27" s="60"/>
      <c r="G27" s="61"/>
      <c r="H27" s="47" t="s">
        <v>4926</v>
      </c>
      <c r="I27" s="43">
        <v>6042070338</v>
      </c>
      <c r="J27" s="43" t="s">
        <v>4927</v>
      </c>
      <c r="K27" s="47" t="s">
        <v>4928</v>
      </c>
      <c r="L27" s="67" t="e">
        <f>VLOOKUP(G27,Input!C:Q,12,FALSE)</f>
        <v>#N/A</v>
      </c>
      <c r="M27" s="68" t="e">
        <f>VLOOKUP(G27,Input!C:Q,15,FALSE)</f>
        <v>#N/A</v>
      </c>
      <c r="N27" s="69" t="e">
        <f>VLOOKUP(G27,Input!C:Q,14,FALSE)</f>
        <v>#N/A</v>
      </c>
      <c r="Q27" s="48">
        <v>1</v>
      </c>
      <c r="R27" s="75" t="e">
        <f>VLOOKUP(G27,Input!C:H,5,FALSE)</f>
        <v>#N/A</v>
      </c>
      <c r="T27" s="47">
        <v>1</v>
      </c>
      <c r="U27" s="47" t="str">
        <f t="shared" si="0"/>
        <v>26,26,**,</v>
      </c>
      <c r="AC27" s="47">
        <v>26</v>
      </c>
      <c r="AD27" s="47">
        <v>26</v>
      </c>
    </row>
    <row r="28" spans="1:30" ht="15.75">
      <c r="A28" s="13" t="str">
        <f>IFERROR(VLOOKUP($G:$G,scan!$A:$B,2,0),"**")</f>
        <v>**</v>
      </c>
      <c r="B28" s="13" t="str">
        <f>IFERROR(VLOOKUP($G28,scan!A:C,3,0),"**")</f>
        <v>**</v>
      </c>
      <c r="C28" s="47">
        <v>27</v>
      </c>
      <c r="F28" s="60"/>
      <c r="G28" s="61"/>
      <c r="H28" s="47" t="s">
        <v>4926</v>
      </c>
      <c r="I28" s="43">
        <v>6042070338</v>
      </c>
      <c r="J28" s="43" t="s">
        <v>4927</v>
      </c>
      <c r="K28" s="47" t="s">
        <v>4928</v>
      </c>
      <c r="L28" s="67" t="e">
        <f>VLOOKUP(G28,Input!C:Q,12,FALSE)</f>
        <v>#N/A</v>
      </c>
      <c r="M28" s="68" t="e">
        <f>VLOOKUP(G28,Input!C:Q,15,FALSE)</f>
        <v>#N/A</v>
      </c>
      <c r="N28" s="69" t="e">
        <f>VLOOKUP(G28,Input!C:Q,14,FALSE)</f>
        <v>#N/A</v>
      </c>
      <c r="Q28" s="48">
        <v>1</v>
      </c>
      <c r="R28" s="75" t="e">
        <f>VLOOKUP(G28,Input!C:H,5,FALSE)</f>
        <v>#N/A</v>
      </c>
      <c r="T28" s="47">
        <v>1</v>
      </c>
      <c r="U28" s="47" t="str">
        <f t="shared" si="0"/>
        <v>27,27,**,</v>
      </c>
      <c r="AC28" s="47">
        <v>27</v>
      </c>
      <c r="AD28" s="47">
        <v>27</v>
      </c>
    </row>
    <row r="29" spans="1:30" ht="15.75">
      <c r="A29" s="13" t="str">
        <f>IFERROR(VLOOKUP($G:$G,scan!$A:$B,2,0),"**")</f>
        <v>**</v>
      </c>
      <c r="B29" s="13" t="str">
        <f>IFERROR(VLOOKUP($G29,scan!A:C,3,0),"**")</f>
        <v>**</v>
      </c>
      <c r="C29" s="47">
        <v>28</v>
      </c>
      <c r="F29" s="60"/>
      <c r="G29" s="1"/>
      <c r="H29" s="47" t="s">
        <v>4926</v>
      </c>
      <c r="I29" s="43">
        <v>6042070338</v>
      </c>
      <c r="J29" s="43" t="s">
        <v>4927</v>
      </c>
      <c r="K29" s="47" t="s">
        <v>4928</v>
      </c>
      <c r="L29" s="67" t="e">
        <f>VLOOKUP(G29,Input!C:Q,12,FALSE)</f>
        <v>#N/A</v>
      </c>
      <c r="M29" s="68" t="e">
        <f>VLOOKUP(G29,Input!C:Q,15,FALSE)</f>
        <v>#N/A</v>
      </c>
      <c r="N29" s="69" t="e">
        <f>VLOOKUP(G29,Input!C:Q,14,FALSE)</f>
        <v>#N/A</v>
      </c>
      <c r="Q29" s="48">
        <v>1</v>
      </c>
      <c r="R29" s="75" t="e">
        <f>VLOOKUP(G29,Input!C:H,5,FALSE)</f>
        <v>#N/A</v>
      </c>
      <c r="T29" s="47">
        <v>1</v>
      </c>
      <c r="U29" s="47" t="str">
        <f t="shared" si="0"/>
        <v>28,28,**,</v>
      </c>
      <c r="AC29" s="47">
        <v>28</v>
      </c>
      <c r="AD29" s="47">
        <v>28</v>
      </c>
    </row>
    <row r="30" spans="1:30" ht="15.75">
      <c r="A30" s="13" t="str">
        <f>IFERROR(VLOOKUP($G:$G,scan!$A:$B,2,0),"**")</f>
        <v>**</v>
      </c>
      <c r="B30" s="13" t="str">
        <f>IFERROR(VLOOKUP($G30,scan!A:C,3,0),"**")</f>
        <v>**</v>
      </c>
      <c r="C30" s="47">
        <v>29</v>
      </c>
      <c r="F30" s="60"/>
      <c r="G30" s="1"/>
      <c r="H30" s="47" t="s">
        <v>4926</v>
      </c>
      <c r="I30" s="43">
        <v>6042070338</v>
      </c>
      <c r="J30" s="43" t="s">
        <v>4927</v>
      </c>
      <c r="K30" s="47" t="s">
        <v>4928</v>
      </c>
      <c r="L30" s="67" t="e">
        <f>VLOOKUP(G30,Input!C:Q,12,FALSE)</f>
        <v>#N/A</v>
      </c>
      <c r="M30" s="68" t="e">
        <f>VLOOKUP(G30,Input!C:Q,15,FALSE)</f>
        <v>#N/A</v>
      </c>
      <c r="N30" s="69" t="e">
        <f>VLOOKUP(G30,Input!C:Q,14,FALSE)</f>
        <v>#N/A</v>
      </c>
      <c r="Q30" s="48">
        <v>1</v>
      </c>
      <c r="R30" s="75" t="e">
        <f>VLOOKUP(G30,Input!C:H,5,FALSE)</f>
        <v>#N/A</v>
      </c>
      <c r="T30" s="47">
        <v>1</v>
      </c>
      <c r="U30" s="47" t="str">
        <f t="shared" si="0"/>
        <v>29,29,**,</v>
      </c>
      <c r="AC30" s="47">
        <v>29</v>
      </c>
      <c r="AD30" s="47">
        <v>29</v>
      </c>
    </row>
    <row r="31" spans="1:30" ht="15.75">
      <c r="A31" s="13" t="str">
        <f>IFERROR(VLOOKUP($G:$G,scan!$A:$B,2,0),"**")</f>
        <v>**</v>
      </c>
      <c r="B31" s="13" t="str">
        <f>IFERROR(VLOOKUP($G31,scan!A:C,3,0),"**")</f>
        <v>**</v>
      </c>
      <c r="C31" s="47">
        <v>30</v>
      </c>
      <c r="F31" s="60"/>
      <c r="G31" s="1"/>
      <c r="H31" s="47" t="s">
        <v>4926</v>
      </c>
      <c r="I31" s="43">
        <v>6042070338</v>
      </c>
      <c r="J31" s="43" t="s">
        <v>4927</v>
      </c>
      <c r="K31" s="47" t="s">
        <v>4928</v>
      </c>
      <c r="L31" s="67" t="e">
        <f>VLOOKUP(G31,Input!C:Q,12,FALSE)</f>
        <v>#N/A</v>
      </c>
      <c r="M31" s="68" t="e">
        <f>VLOOKUP(G31,Input!C:Q,15,FALSE)</f>
        <v>#N/A</v>
      </c>
      <c r="N31" s="69" t="e">
        <f>VLOOKUP(G31,Input!C:Q,14,FALSE)</f>
        <v>#N/A</v>
      </c>
      <c r="Q31" s="48">
        <v>1</v>
      </c>
      <c r="R31" s="75" t="e">
        <f>VLOOKUP(G31,Input!C:H,5,FALSE)</f>
        <v>#N/A</v>
      </c>
      <c r="T31" s="47">
        <v>1</v>
      </c>
      <c r="U31" s="47" t="str">
        <f t="shared" si="0"/>
        <v>30,30,**,</v>
      </c>
      <c r="AC31" s="47">
        <v>30</v>
      </c>
      <c r="AD31" s="47">
        <v>30</v>
      </c>
    </row>
    <row r="32" spans="1:30" ht="15.75">
      <c r="A32" s="13" t="str">
        <f>IFERROR(VLOOKUP($G:$G,scan!$A:$B,2,0),"**")</f>
        <v>**</v>
      </c>
      <c r="B32" s="13" t="str">
        <f>IFERROR(VLOOKUP($G32,scan!A:C,3,0),"**")</f>
        <v>**</v>
      </c>
      <c r="C32" s="47">
        <v>31</v>
      </c>
      <c r="F32" s="60"/>
      <c r="G32" s="1"/>
      <c r="H32" s="47" t="s">
        <v>4926</v>
      </c>
      <c r="I32" s="43">
        <v>6042070338</v>
      </c>
      <c r="J32" s="43" t="s">
        <v>4927</v>
      </c>
      <c r="K32" s="47" t="s">
        <v>4928</v>
      </c>
      <c r="L32" s="67" t="e">
        <f>VLOOKUP(G32,Input!C:Q,12,FALSE)</f>
        <v>#N/A</v>
      </c>
      <c r="M32" s="68" t="e">
        <f>VLOOKUP(G32,Input!C:Q,15,FALSE)</f>
        <v>#N/A</v>
      </c>
      <c r="N32" s="69" t="e">
        <f>VLOOKUP(G32,Input!C:Q,14,FALSE)</f>
        <v>#N/A</v>
      </c>
      <c r="Q32" s="48">
        <v>1</v>
      </c>
      <c r="R32" s="75" t="e">
        <f>VLOOKUP(G32,Input!C:H,5,FALSE)</f>
        <v>#N/A</v>
      </c>
      <c r="T32" s="47">
        <v>1</v>
      </c>
      <c r="U32" s="47" t="str">
        <f t="shared" si="0"/>
        <v>31,31,**,</v>
      </c>
      <c r="AC32" s="47">
        <v>31</v>
      </c>
      <c r="AD32" s="47">
        <v>31</v>
      </c>
    </row>
    <row r="33" spans="1:30" ht="15.75">
      <c r="A33" s="13" t="str">
        <f>IFERROR(VLOOKUP($G:$G,scan!$A:$B,2,0),"**")</f>
        <v>**</v>
      </c>
      <c r="B33" s="13" t="str">
        <f>IFERROR(VLOOKUP($G33,scan!A:C,3,0),"**")</f>
        <v>**</v>
      </c>
      <c r="C33" s="47">
        <v>32</v>
      </c>
      <c r="F33" s="60"/>
      <c r="G33" s="1"/>
      <c r="H33" s="47" t="s">
        <v>4926</v>
      </c>
      <c r="I33" s="43">
        <v>6042070338</v>
      </c>
      <c r="J33" s="43" t="s">
        <v>4927</v>
      </c>
      <c r="K33" s="47" t="s">
        <v>4928</v>
      </c>
      <c r="L33" s="67" t="e">
        <f>VLOOKUP(G33,Input!C:Q,12,FALSE)</f>
        <v>#N/A</v>
      </c>
      <c r="M33" s="68" t="e">
        <f>VLOOKUP(G33,Input!C:Q,15,FALSE)</f>
        <v>#N/A</v>
      </c>
      <c r="N33" s="69" t="e">
        <f>VLOOKUP(G33,Input!C:Q,14,FALSE)</f>
        <v>#N/A</v>
      </c>
      <c r="Q33" s="48">
        <v>1</v>
      </c>
      <c r="R33" s="75" t="e">
        <f>VLOOKUP(G33,Input!C:H,5,FALSE)</f>
        <v>#N/A</v>
      </c>
      <c r="T33" s="47">
        <v>1</v>
      </c>
      <c r="U33" s="47" t="str">
        <f t="shared" si="0"/>
        <v>32,32,**,</v>
      </c>
      <c r="AC33" s="47">
        <v>32</v>
      </c>
      <c r="AD33" s="47">
        <v>32</v>
      </c>
    </row>
    <row r="34" spans="1:30" ht="15.75">
      <c r="A34" s="13" t="str">
        <f>IFERROR(VLOOKUP($G:$G,scan!$A:$B,2,0),"**")</f>
        <v>**</v>
      </c>
      <c r="B34" s="13" t="str">
        <f>IFERROR(VLOOKUP($G34,scan!A:C,3,0),"**")</f>
        <v>**</v>
      </c>
      <c r="C34" s="47">
        <v>33</v>
      </c>
      <c r="F34" s="60"/>
      <c r="G34" s="1"/>
      <c r="H34" s="47" t="s">
        <v>4926</v>
      </c>
      <c r="I34" s="43">
        <v>6042070338</v>
      </c>
      <c r="J34" s="43" t="s">
        <v>4927</v>
      </c>
      <c r="K34" s="47" t="s">
        <v>4928</v>
      </c>
      <c r="L34" s="67" t="e">
        <f>VLOOKUP(G34,Input!C:Q,12,FALSE)</f>
        <v>#N/A</v>
      </c>
      <c r="M34" s="68" t="e">
        <f>VLOOKUP(G34,Input!C:Q,15,FALSE)</f>
        <v>#N/A</v>
      </c>
      <c r="N34" s="69" t="e">
        <f>VLOOKUP(G34,Input!C:Q,14,FALSE)</f>
        <v>#N/A</v>
      </c>
      <c r="Q34" s="48">
        <v>1</v>
      </c>
      <c r="R34" s="75" t="e">
        <f>VLOOKUP(G34,Input!C:H,5,FALSE)</f>
        <v>#N/A</v>
      </c>
      <c r="T34" s="47">
        <v>1</v>
      </c>
      <c r="U34" s="47" t="str">
        <f t="shared" si="0"/>
        <v>33,33,**,</v>
      </c>
      <c r="AC34" s="47">
        <v>33</v>
      </c>
      <c r="AD34" s="47">
        <v>33</v>
      </c>
    </row>
    <row r="35" spans="1:30" ht="15.75">
      <c r="A35" s="13" t="str">
        <f>IFERROR(VLOOKUP($G:$G,scan!$A:$B,2,0),"**")</f>
        <v>**</v>
      </c>
      <c r="B35" s="13" t="str">
        <f>IFERROR(VLOOKUP($G35,scan!A:C,3,0),"**")</f>
        <v>**</v>
      </c>
      <c r="C35" s="47">
        <v>34</v>
      </c>
      <c r="F35" s="60"/>
      <c r="G35" s="1"/>
      <c r="H35" s="47" t="s">
        <v>4926</v>
      </c>
      <c r="I35" s="43">
        <v>6042070338</v>
      </c>
      <c r="J35" s="43" t="s">
        <v>4927</v>
      </c>
      <c r="K35" s="47" t="s">
        <v>4928</v>
      </c>
      <c r="L35" s="67" t="e">
        <f>VLOOKUP(G35,Input!C:Q,12,FALSE)</f>
        <v>#N/A</v>
      </c>
      <c r="M35" s="68" t="e">
        <f>VLOOKUP(G35,Input!C:Q,15,FALSE)</f>
        <v>#N/A</v>
      </c>
      <c r="N35" s="69" t="e">
        <f>VLOOKUP(G35,Input!C:Q,14,FALSE)</f>
        <v>#N/A</v>
      </c>
      <c r="Q35" s="48">
        <v>1</v>
      </c>
      <c r="R35" s="75" t="e">
        <f>VLOOKUP(G35,Input!C:H,5,FALSE)</f>
        <v>#N/A</v>
      </c>
      <c r="T35" s="47">
        <v>1</v>
      </c>
      <c r="U35" s="47" t="str">
        <f t="shared" si="0"/>
        <v>34,34,**,</v>
      </c>
      <c r="AC35" s="47">
        <v>34</v>
      </c>
      <c r="AD35" s="47">
        <v>34</v>
      </c>
    </row>
    <row r="36" spans="1:30" ht="15.75">
      <c r="A36" s="13" t="str">
        <f>IFERROR(VLOOKUP($G:$G,scan!$A:$B,2,0),"**")</f>
        <v>**</v>
      </c>
      <c r="B36" s="13" t="str">
        <f>IFERROR(VLOOKUP($G36,scan!A:C,3,0),"**")</f>
        <v>**</v>
      </c>
      <c r="C36" s="47">
        <v>35</v>
      </c>
      <c r="F36" s="60"/>
      <c r="G36" s="1"/>
      <c r="H36" s="47" t="s">
        <v>4926</v>
      </c>
      <c r="I36" s="43">
        <v>6042070338</v>
      </c>
      <c r="J36" s="43" t="s">
        <v>4927</v>
      </c>
      <c r="K36" s="47" t="s">
        <v>4928</v>
      </c>
      <c r="L36" s="67" t="e">
        <f>VLOOKUP(G36,Input!C:Q,12,FALSE)</f>
        <v>#N/A</v>
      </c>
      <c r="M36" s="68" t="e">
        <f>VLOOKUP(G36,Input!C:Q,15,FALSE)</f>
        <v>#N/A</v>
      </c>
      <c r="N36" s="69" t="e">
        <f>VLOOKUP(G36,Input!C:Q,14,FALSE)</f>
        <v>#N/A</v>
      </c>
      <c r="Q36" s="48">
        <v>1</v>
      </c>
      <c r="R36" s="75" t="e">
        <f>VLOOKUP(G36,Input!C:H,5,FALSE)</f>
        <v>#N/A</v>
      </c>
      <c r="T36" s="47">
        <v>1</v>
      </c>
      <c r="U36" s="47" t="str">
        <f t="shared" si="0"/>
        <v>35,35,**,</v>
      </c>
      <c r="AC36" s="47">
        <v>35</v>
      </c>
      <c r="AD36" s="47">
        <v>35</v>
      </c>
    </row>
    <row r="37" spans="1:30" ht="15.75">
      <c r="A37" s="13" t="str">
        <f>IFERROR(VLOOKUP($G:$G,scan!$A:$B,2,0),"**")</f>
        <v>**</v>
      </c>
      <c r="B37" s="13" t="str">
        <f>IFERROR(VLOOKUP($G37,scan!A:C,3,0),"**")</f>
        <v>**</v>
      </c>
      <c r="C37" s="47">
        <v>36</v>
      </c>
      <c r="F37" s="60"/>
      <c r="G37" s="1"/>
      <c r="H37" s="47" t="s">
        <v>4926</v>
      </c>
      <c r="I37" s="43">
        <v>6042070338</v>
      </c>
      <c r="J37" s="43" t="s">
        <v>4927</v>
      </c>
      <c r="K37" s="47" t="s">
        <v>4928</v>
      </c>
      <c r="L37" s="67" t="e">
        <f>VLOOKUP(G37,Input!C:Q,12,FALSE)</f>
        <v>#N/A</v>
      </c>
      <c r="M37" s="68" t="e">
        <f>VLOOKUP(G37,Input!C:Q,15,FALSE)</f>
        <v>#N/A</v>
      </c>
      <c r="N37" s="69" t="e">
        <f>VLOOKUP(G37,Input!C:Q,14,FALSE)</f>
        <v>#N/A</v>
      </c>
      <c r="Q37" s="48">
        <v>1</v>
      </c>
      <c r="R37" s="75" t="e">
        <f>VLOOKUP(G37,Input!C:H,5,FALSE)</f>
        <v>#N/A</v>
      </c>
      <c r="T37" s="47">
        <v>1</v>
      </c>
      <c r="U37" s="47" t="str">
        <f t="shared" si="0"/>
        <v>36,36,**,</v>
      </c>
      <c r="AC37" s="47">
        <v>36</v>
      </c>
      <c r="AD37" s="47">
        <v>36</v>
      </c>
    </row>
    <row r="38" spans="1:30" ht="15.75">
      <c r="A38" s="13" t="str">
        <f>IFERROR(VLOOKUP($G:$G,scan!$A:$B,2,0),"**")</f>
        <v>**</v>
      </c>
      <c r="B38" s="13" t="str">
        <f>IFERROR(VLOOKUP($G38,scan!A:C,3,0),"**")</f>
        <v>**</v>
      </c>
      <c r="C38" s="47">
        <v>37</v>
      </c>
      <c r="F38" s="60"/>
      <c r="G38" s="1"/>
      <c r="H38" s="47" t="s">
        <v>4926</v>
      </c>
      <c r="I38" s="43">
        <v>6042070338</v>
      </c>
      <c r="J38" s="43" t="s">
        <v>4927</v>
      </c>
      <c r="K38" s="47" t="s">
        <v>4928</v>
      </c>
      <c r="L38" s="67" t="e">
        <f>VLOOKUP(G38,Input!C:Q,12,FALSE)</f>
        <v>#N/A</v>
      </c>
      <c r="M38" s="68" t="e">
        <f>VLOOKUP(G38,Input!C:Q,15,FALSE)</f>
        <v>#N/A</v>
      </c>
      <c r="N38" s="69" t="e">
        <f>VLOOKUP(G38,Input!C:Q,14,FALSE)</f>
        <v>#N/A</v>
      </c>
      <c r="Q38" s="48">
        <v>1</v>
      </c>
      <c r="R38" s="75" t="e">
        <f>VLOOKUP(G38,Input!C:H,5,FALSE)</f>
        <v>#N/A</v>
      </c>
      <c r="T38" s="47">
        <v>1</v>
      </c>
      <c r="U38" s="47" t="str">
        <f t="shared" si="0"/>
        <v>37,37,**,</v>
      </c>
      <c r="AC38" s="47">
        <v>37</v>
      </c>
      <c r="AD38" s="47">
        <v>37</v>
      </c>
    </row>
    <row r="39" spans="1:30" ht="15.75">
      <c r="A39" s="13" t="str">
        <f>IFERROR(VLOOKUP($G:$G,scan!$A:$B,2,0),"**")</f>
        <v>**</v>
      </c>
      <c r="B39" s="13" t="str">
        <f>IFERROR(VLOOKUP($G39,scan!A:C,3,0),"**")</f>
        <v>**</v>
      </c>
      <c r="C39" s="47">
        <v>38</v>
      </c>
      <c r="F39" s="60"/>
      <c r="G39" s="1"/>
      <c r="H39" s="47" t="s">
        <v>4926</v>
      </c>
      <c r="I39" s="43">
        <v>6042070338</v>
      </c>
      <c r="J39" s="43" t="s">
        <v>4927</v>
      </c>
      <c r="K39" s="47" t="s">
        <v>4928</v>
      </c>
      <c r="L39" s="67" t="e">
        <f>VLOOKUP(G39,Input!C:Q,12,FALSE)</f>
        <v>#N/A</v>
      </c>
      <c r="M39" s="68" t="e">
        <f>VLOOKUP(G39,Input!C:Q,15,FALSE)</f>
        <v>#N/A</v>
      </c>
      <c r="N39" s="69" t="e">
        <f>VLOOKUP(G39,Input!C:Q,14,FALSE)</f>
        <v>#N/A</v>
      </c>
      <c r="Q39" s="48">
        <v>1</v>
      </c>
      <c r="R39" s="75" t="e">
        <f>VLOOKUP(G39,Input!C:H,5,FALSE)</f>
        <v>#N/A</v>
      </c>
      <c r="T39" s="47">
        <v>1</v>
      </c>
      <c r="U39" s="47" t="str">
        <f t="shared" si="0"/>
        <v>38,38,**,</v>
      </c>
      <c r="AC39" s="47">
        <v>38</v>
      </c>
      <c r="AD39" s="47">
        <v>38</v>
      </c>
    </row>
    <row r="40" spans="1:30" ht="15.75">
      <c r="A40" s="13" t="str">
        <f>IFERROR(VLOOKUP($G:$G,scan!$A:$B,2,0),"**")</f>
        <v>**</v>
      </c>
      <c r="B40" s="13" t="str">
        <f>IFERROR(VLOOKUP($G40,scan!A:C,3,0),"**")</f>
        <v>**</v>
      </c>
      <c r="C40" s="47">
        <v>39</v>
      </c>
      <c r="F40" s="60"/>
      <c r="G40" s="1"/>
      <c r="H40" s="47" t="s">
        <v>4926</v>
      </c>
      <c r="I40" s="43">
        <v>6042070338</v>
      </c>
      <c r="J40" s="43" t="s">
        <v>4927</v>
      </c>
      <c r="K40" s="47" t="s">
        <v>4928</v>
      </c>
      <c r="L40" s="67" t="e">
        <f>VLOOKUP(G40,Input!C:Q,12,FALSE)</f>
        <v>#N/A</v>
      </c>
      <c r="M40" s="68" t="e">
        <f>VLOOKUP(G40,Input!C:Q,15,FALSE)</f>
        <v>#N/A</v>
      </c>
      <c r="N40" s="69" t="e">
        <f>VLOOKUP(G40,Input!C:Q,14,FALSE)</f>
        <v>#N/A</v>
      </c>
      <c r="Q40" s="48">
        <v>1</v>
      </c>
      <c r="R40" s="75" t="e">
        <f>VLOOKUP(G40,Input!C:H,5,FALSE)</f>
        <v>#N/A</v>
      </c>
      <c r="T40" s="47">
        <v>1</v>
      </c>
      <c r="U40" s="47" t="str">
        <f t="shared" si="0"/>
        <v>39,39,**,</v>
      </c>
      <c r="AC40" s="47">
        <v>39</v>
      </c>
      <c r="AD40" s="47">
        <v>39</v>
      </c>
    </row>
    <row r="41" spans="1:30" ht="15.75">
      <c r="A41" s="13" t="str">
        <f>IFERROR(VLOOKUP($G:$G,scan!$A:$B,2,0),"**")</f>
        <v>**</v>
      </c>
      <c r="B41" s="13" t="str">
        <f>IFERROR(VLOOKUP($G41,scan!A:C,3,0),"**")</f>
        <v>**</v>
      </c>
      <c r="C41" s="47">
        <v>40</v>
      </c>
      <c r="F41" s="60"/>
      <c r="G41" s="1"/>
      <c r="H41" s="47" t="s">
        <v>4926</v>
      </c>
      <c r="I41" s="43">
        <v>6042070338</v>
      </c>
      <c r="J41" s="43" t="s">
        <v>4927</v>
      </c>
      <c r="K41" s="47" t="s">
        <v>4928</v>
      </c>
      <c r="L41" s="67" t="e">
        <f>VLOOKUP(G41,Input!C:Q,12,FALSE)</f>
        <v>#N/A</v>
      </c>
      <c r="M41" s="68" t="e">
        <f>VLOOKUP(G41,Input!C:Q,15,FALSE)</f>
        <v>#N/A</v>
      </c>
      <c r="N41" s="69" t="e">
        <f>VLOOKUP(G41,Input!C:Q,14,FALSE)</f>
        <v>#N/A</v>
      </c>
      <c r="Q41" s="48">
        <v>1</v>
      </c>
      <c r="R41" s="75" t="e">
        <f>VLOOKUP(G41,Input!C:H,5,FALSE)</f>
        <v>#N/A</v>
      </c>
      <c r="T41" s="47">
        <v>1</v>
      </c>
      <c r="U41" s="47" t="str">
        <f t="shared" si="0"/>
        <v>40,40,**,</v>
      </c>
      <c r="AC41" s="47">
        <v>40</v>
      </c>
      <c r="AD41" s="47">
        <v>40</v>
      </c>
    </row>
    <row r="42" spans="1:30" ht="15.75">
      <c r="A42" s="13" t="str">
        <f>IFERROR(VLOOKUP($G:$G,scan!$A:$B,2,0),"**")</f>
        <v>**</v>
      </c>
      <c r="B42" s="13" t="str">
        <f>IFERROR(VLOOKUP($G42,scan!A:C,3,0),"**")</f>
        <v>**</v>
      </c>
      <c r="C42" s="47">
        <v>41</v>
      </c>
      <c r="F42" s="60"/>
      <c r="G42" s="1"/>
      <c r="H42" s="47" t="s">
        <v>4926</v>
      </c>
      <c r="I42" s="43">
        <v>6042070338</v>
      </c>
      <c r="J42" s="43" t="s">
        <v>4927</v>
      </c>
      <c r="K42" s="47" t="s">
        <v>4928</v>
      </c>
      <c r="L42" s="67" t="e">
        <f>VLOOKUP(G42,Input!C:Q,12,FALSE)</f>
        <v>#N/A</v>
      </c>
      <c r="M42" s="68" t="e">
        <f>VLOOKUP(G42,Input!C:Q,15,FALSE)</f>
        <v>#N/A</v>
      </c>
      <c r="N42" s="69" t="e">
        <f>VLOOKUP(G42,Input!C:Q,14,FALSE)</f>
        <v>#N/A</v>
      </c>
      <c r="Q42" s="48">
        <v>1</v>
      </c>
      <c r="R42" s="75" t="e">
        <f>VLOOKUP(G42,Input!C:H,5,FALSE)</f>
        <v>#N/A</v>
      </c>
      <c r="T42" s="47">
        <v>1</v>
      </c>
      <c r="U42" s="47" t="str">
        <f t="shared" si="0"/>
        <v>41,41,**,</v>
      </c>
      <c r="AC42" s="47">
        <v>41</v>
      </c>
      <c r="AD42" s="47">
        <v>41</v>
      </c>
    </row>
    <row r="43" spans="1:30" ht="15.75">
      <c r="A43" s="13" t="str">
        <f>IFERROR(VLOOKUP($G:$G,scan!$A:$B,2,0),"**")</f>
        <v>**</v>
      </c>
      <c r="B43" s="13" t="str">
        <f>IFERROR(VLOOKUP($G43,scan!A:C,3,0),"**")</f>
        <v>**</v>
      </c>
      <c r="C43" s="47">
        <v>42</v>
      </c>
      <c r="F43" s="60"/>
      <c r="G43" s="1"/>
      <c r="H43" s="47" t="s">
        <v>4926</v>
      </c>
      <c r="I43" s="43">
        <v>6042070338</v>
      </c>
      <c r="J43" s="43" t="s">
        <v>4927</v>
      </c>
      <c r="K43" s="47" t="s">
        <v>4928</v>
      </c>
      <c r="L43" s="67" t="e">
        <f>VLOOKUP(G43,Input!C:Q,12,FALSE)</f>
        <v>#N/A</v>
      </c>
      <c r="M43" s="68" t="e">
        <f>VLOOKUP(G43,Input!C:Q,15,FALSE)</f>
        <v>#N/A</v>
      </c>
      <c r="N43" s="69" t="e">
        <f>VLOOKUP(G43,Input!C:Q,14,FALSE)</f>
        <v>#N/A</v>
      </c>
      <c r="Q43" s="48">
        <v>1</v>
      </c>
      <c r="R43" s="75" t="e">
        <f>VLOOKUP(G43,Input!C:H,5,FALSE)</f>
        <v>#N/A</v>
      </c>
      <c r="T43" s="47">
        <v>1</v>
      </c>
      <c r="U43" s="47" t="str">
        <f t="shared" si="0"/>
        <v>42,42,**,</v>
      </c>
      <c r="AC43" s="47">
        <v>42</v>
      </c>
      <c r="AD43" s="47">
        <v>42</v>
      </c>
    </row>
    <row r="44" spans="1:30" ht="15.75">
      <c r="A44" s="13" t="str">
        <f>IFERROR(VLOOKUP($G:$G,scan!$A:$B,2,0),"**")</f>
        <v>**</v>
      </c>
      <c r="B44" s="13" t="str">
        <f>IFERROR(VLOOKUP($G44,scan!A:C,3,0),"**")</f>
        <v>**</v>
      </c>
      <c r="C44" s="47">
        <v>43</v>
      </c>
      <c r="F44" s="60"/>
      <c r="G44" s="1"/>
      <c r="H44" s="47" t="s">
        <v>4926</v>
      </c>
      <c r="I44" s="43">
        <v>6042070338</v>
      </c>
      <c r="J44" s="43" t="s">
        <v>4927</v>
      </c>
      <c r="K44" s="47" t="s">
        <v>4928</v>
      </c>
      <c r="L44" s="67" t="e">
        <f>VLOOKUP(G44,Input!C:Q,12,FALSE)</f>
        <v>#N/A</v>
      </c>
      <c r="M44" s="68" t="e">
        <f>VLOOKUP(G44,Input!C:Q,15,FALSE)</f>
        <v>#N/A</v>
      </c>
      <c r="N44" s="69" t="e">
        <f>VLOOKUP(G44,Input!C:Q,14,FALSE)</f>
        <v>#N/A</v>
      </c>
      <c r="Q44" s="48">
        <v>1</v>
      </c>
      <c r="R44" s="75" t="e">
        <f>VLOOKUP(G44,Input!C:H,5,FALSE)</f>
        <v>#N/A</v>
      </c>
      <c r="T44" s="47">
        <v>1</v>
      </c>
      <c r="U44" s="47" t="str">
        <f t="shared" si="0"/>
        <v>43,43,**,</v>
      </c>
      <c r="AC44" s="47">
        <v>43</v>
      </c>
      <c r="AD44" s="47">
        <v>43</v>
      </c>
    </row>
    <row r="45" spans="1:30" ht="15.75">
      <c r="A45" s="13" t="str">
        <f>IFERROR(VLOOKUP($G:$G,scan!$A:$B,2,0),"**")</f>
        <v>**</v>
      </c>
      <c r="B45" s="13" t="str">
        <f>IFERROR(VLOOKUP($G45,scan!A:C,3,0),"**")</f>
        <v>**</v>
      </c>
      <c r="C45" s="47">
        <v>44</v>
      </c>
      <c r="F45" s="60"/>
      <c r="G45" s="1"/>
      <c r="H45" s="47" t="s">
        <v>4926</v>
      </c>
      <c r="I45" s="43">
        <v>6042070338</v>
      </c>
      <c r="J45" s="43" t="s">
        <v>4927</v>
      </c>
      <c r="K45" s="47" t="s">
        <v>4928</v>
      </c>
      <c r="L45" s="67" t="e">
        <f>VLOOKUP(G45,Input!C:Q,12,FALSE)</f>
        <v>#N/A</v>
      </c>
      <c r="M45" s="68" t="e">
        <f>VLOOKUP(G45,Input!C:Q,15,FALSE)</f>
        <v>#N/A</v>
      </c>
      <c r="N45" s="69" t="e">
        <f>VLOOKUP(G45,Input!C:Q,14,FALSE)</f>
        <v>#N/A</v>
      </c>
      <c r="Q45" s="48">
        <v>1</v>
      </c>
      <c r="R45" s="75" t="e">
        <f>VLOOKUP(G45,Input!C:H,5,FALSE)</f>
        <v>#N/A</v>
      </c>
      <c r="T45" s="47">
        <v>1</v>
      </c>
      <c r="U45" s="47" t="str">
        <f t="shared" si="0"/>
        <v>44,44,**,</v>
      </c>
      <c r="AC45" s="47">
        <v>44</v>
      </c>
      <c r="AD45" s="47">
        <v>44</v>
      </c>
    </row>
    <row r="46" spans="1:30" ht="15.75">
      <c r="A46" s="13" t="str">
        <f>IFERROR(VLOOKUP($G:$G,scan!$A:$B,2,0),"**")</f>
        <v>**</v>
      </c>
      <c r="B46" s="13" t="str">
        <f>IFERROR(VLOOKUP($G46,scan!A:C,3,0),"**")</f>
        <v>**</v>
      </c>
      <c r="C46" s="47">
        <v>45</v>
      </c>
      <c r="F46" s="60"/>
      <c r="G46" s="1"/>
      <c r="H46" s="47" t="s">
        <v>4926</v>
      </c>
      <c r="I46" s="43">
        <v>6042070338</v>
      </c>
      <c r="J46" s="43" t="s">
        <v>4927</v>
      </c>
      <c r="K46" s="47" t="s">
        <v>4928</v>
      </c>
      <c r="L46" s="67" t="e">
        <f>VLOOKUP(G46,Input!C:Q,12,FALSE)</f>
        <v>#N/A</v>
      </c>
      <c r="M46" s="68" t="e">
        <f>VLOOKUP(G46,Input!C:Q,15,FALSE)</f>
        <v>#N/A</v>
      </c>
      <c r="N46" s="69" t="e">
        <f>VLOOKUP(G46,Input!C:Q,14,FALSE)</f>
        <v>#N/A</v>
      </c>
      <c r="Q46" s="48">
        <v>1</v>
      </c>
      <c r="R46" s="75" t="e">
        <f>VLOOKUP(G46,Input!C:H,5,FALSE)</f>
        <v>#N/A</v>
      </c>
      <c r="T46" s="47">
        <v>1</v>
      </c>
      <c r="U46" s="47" t="str">
        <f t="shared" si="0"/>
        <v>45,45,**,</v>
      </c>
      <c r="AC46" s="47">
        <v>45</v>
      </c>
      <c r="AD46" s="47">
        <v>45</v>
      </c>
    </row>
    <row r="47" spans="1:30" ht="15.75">
      <c r="A47" s="13" t="str">
        <f>IFERROR(VLOOKUP($G:$G,scan!$A:$B,2,0),"**")</f>
        <v>**</v>
      </c>
      <c r="B47" s="13" t="str">
        <f>IFERROR(VLOOKUP($G47,scan!A:C,3,0),"**")</f>
        <v>**</v>
      </c>
      <c r="C47" s="47">
        <v>46</v>
      </c>
      <c r="F47" s="60"/>
      <c r="G47" s="1"/>
      <c r="H47" s="47" t="s">
        <v>4926</v>
      </c>
      <c r="I47" s="43">
        <v>6042070338</v>
      </c>
      <c r="J47" s="43" t="s">
        <v>4927</v>
      </c>
      <c r="K47" s="47" t="s">
        <v>4928</v>
      </c>
      <c r="L47" s="67" t="e">
        <f>VLOOKUP(G47,Input!C:Q,12,FALSE)</f>
        <v>#N/A</v>
      </c>
      <c r="M47" s="68" t="e">
        <f>VLOOKUP(G47,Input!C:Q,15,FALSE)</f>
        <v>#N/A</v>
      </c>
      <c r="N47" s="69" t="e">
        <f>VLOOKUP(G47,Input!C:Q,14,FALSE)</f>
        <v>#N/A</v>
      </c>
      <c r="Q47" s="48">
        <v>1</v>
      </c>
      <c r="R47" s="75" t="e">
        <f>VLOOKUP(G47,Input!C:H,5,FALSE)</f>
        <v>#N/A</v>
      </c>
      <c r="T47" s="47">
        <v>1</v>
      </c>
      <c r="U47" s="47" t="str">
        <f t="shared" si="0"/>
        <v>46,46,**,</v>
      </c>
      <c r="AC47" s="47">
        <v>46</v>
      </c>
      <c r="AD47" s="47">
        <v>46</v>
      </c>
    </row>
    <row r="48" spans="1:30" ht="15.75">
      <c r="A48" s="13" t="str">
        <f>IFERROR(VLOOKUP($G:$G,scan!$A:$B,2,0),"**")</f>
        <v>**</v>
      </c>
      <c r="B48" s="13" t="str">
        <f>IFERROR(VLOOKUP($G48,scan!A:C,3,0),"**")</f>
        <v>**</v>
      </c>
      <c r="C48" s="47">
        <v>47</v>
      </c>
      <c r="F48" s="60"/>
      <c r="G48" s="1"/>
      <c r="H48" s="47" t="s">
        <v>4926</v>
      </c>
      <c r="I48" s="43">
        <v>6042070338</v>
      </c>
      <c r="J48" s="43" t="s">
        <v>4927</v>
      </c>
      <c r="K48" s="47" t="s">
        <v>4928</v>
      </c>
      <c r="L48" s="67" t="e">
        <f>VLOOKUP(G48,Input!C:Q,12,FALSE)</f>
        <v>#N/A</v>
      </c>
      <c r="M48" s="68" t="e">
        <f>VLOOKUP(G48,Input!C:Q,15,FALSE)</f>
        <v>#N/A</v>
      </c>
      <c r="N48" s="69" t="e">
        <f>VLOOKUP(G48,Input!C:Q,14,FALSE)</f>
        <v>#N/A</v>
      </c>
      <c r="Q48" s="48">
        <v>1</v>
      </c>
      <c r="R48" s="75" t="e">
        <f>VLOOKUP(G48,Input!C:H,5,FALSE)</f>
        <v>#N/A</v>
      </c>
      <c r="T48" s="47">
        <v>1</v>
      </c>
      <c r="U48" s="47" t="str">
        <f t="shared" si="0"/>
        <v>47,47,**,</v>
      </c>
      <c r="AC48" s="47">
        <v>47</v>
      </c>
      <c r="AD48" s="47">
        <v>47</v>
      </c>
    </row>
    <row r="49" spans="1:30" ht="15.75">
      <c r="A49" s="13" t="str">
        <f>IFERROR(VLOOKUP($G:$G,scan!$A:$B,2,0),"**")</f>
        <v>**</v>
      </c>
      <c r="B49" s="13" t="str">
        <f>IFERROR(VLOOKUP($G49,scan!A:C,3,0),"**")</f>
        <v>**</v>
      </c>
      <c r="C49" s="47">
        <v>48</v>
      </c>
      <c r="F49" s="60"/>
      <c r="G49" s="1"/>
      <c r="H49" s="47" t="s">
        <v>4926</v>
      </c>
      <c r="I49" s="43">
        <v>6042070338</v>
      </c>
      <c r="J49" s="43" t="s">
        <v>4927</v>
      </c>
      <c r="K49" s="47" t="s">
        <v>4928</v>
      </c>
      <c r="L49" s="67" t="e">
        <f>VLOOKUP(G49,Input!C:Q,12,FALSE)</f>
        <v>#N/A</v>
      </c>
      <c r="M49" s="68" t="e">
        <f>VLOOKUP(G49,Input!C:Q,15,FALSE)</f>
        <v>#N/A</v>
      </c>
      <c r="N49" s="69" t="e">
        <f>VLOOKUP(G49,Input!C:Q,14,FALSE)</f>
        <v>#N/A</v>
      </c>
      <c r="Q49" s="48">
        <v>1</v>
      </c>
      <c r="R49" s="75" t="e">
        <f>VLOOKUP(G49,Input!C:H,5,FALSE)</f>
        <v>#N/A</v>
      </c>
      <c r="T49" s="47">
        <v>1</v>
      </c>
      <c r="U49" s="47" t="str">
        <f t="shared" si="0"/>
        <v>48,48,**,</v>
      </c>
      <c r="AC49" s="47">
        <v>48</v>
      </c>
      <c r="AD49" s="47">
        <v>48</v>
      </c>
    </row>
    <row r="50" spans="1:30" ht="15.75">
      <c r="A50" s="13" t="str">
        <f>IFERROR(VLOOKUP($G:$G,scan!$A:$B,2,0),"**")</f>
        <v>**</v>
      </c>
      <c r="B50" s="13" t="str">
        <f>IFERROR(VLOOKUP($G50,scan!A:C,3,0),"**")</f>
        <v>**</v>
      </c>
      <c r="C50" s="47">
        <v>49</v>
      </c>
      <c r="F50" s="60"/>
      <c r="G50" s="1"/>
      <c r="H50" s="47" t="s">
        <v>4926</v>
      </c>
      <c r="I50" s="43">
        <v>6042070338</v>
      </c>
      <c r="J50" s="43" t="s">
        <v>4927</v>
      </c>
      <c r="K50" s="47" t="s">
        <v>4928</v>
      </c>
      <c r="L50" s="67" t="e">
        <f>VLOOKUP(G50,Input!C:Q,12,FALSE)</f>
        <v>#N/A</v>
      </c>
      <c r="M50" s="68" t="e">
        <f>VLOOKUP(G50,Input!C:Q,15,FALSE)</f>
        <v>#N/A</v>
      </c>
      <c r="N50" s="69" t="e">
        <f>VLOOKUP(G50,Input!C:Q,14,FALSE)</f>
        <v>#N/A</v>
      </c>
      <c r="Q50" s="48">
        <v>1</v>
      </c>
      <c r="R50" s="75" t="e">
        <f>VLOOKUP(G50,Input!C:H,5,FALSE)</f>
        <v>#N/A</v>
      </c>
      <c r="T50" s="47">
        <v>1</v>
      </c>
      <c r="U50" s="47" t="str">
        <f t="shared" si="0"/>
        <v>49,49,**,</v>
      </c>
      <c r="AC50" s="47">
        <v>49</v>
      </c>
      <c r="AD50" s="47">
        <v>49</v>
      </c>
    </row>
    <row r="51" spans="1:30" ht="15.75">
      <c r="A51" s="13" t="str">
        <f>IFERROR(VLOOKUP($G:$G,scan!$A:$B,2,0),"**")</f>
        <v>**</v>
      </c>
      <c r="B51" s="13" t="str">
        <f>IFERROR(VLOOKUP($G51,scan!A:C,3,0),"**")</f>
        <v>**</v>
      </c>
      <c r="C51" s="47">
        <v>50</v>
      </c>
      <c r="F51" s="60"/>
      <c r="G51" s="1"/>
      <c r="H51" s="47" t="s">
        <v>4926</v>
      </c>
      <c r="I51" s="43">
        <v>6042070338</v>
      </c>
      <c r="J51" s="43" t="s">
        <v>4927</v>
      </c>
      <c r="K51" s="47" t="s">
        <v>4928</v>
      </c>
      <c r="L51" s="67" t="e">
        <f>VLOOKUP(G51,Input!C:Q,12,FALSE)</f>
        <v>#N/A</v>
      </c>
      <c r="M51" s="68" t="e">
        <f>VLOOKUP(G51,Input!C:Q,15,FALSE)</f>
        <v>#N/A</v>
      </c>
      <c r="N51" s="69" t="e">
        <f>VLOOKUP(G51,Input!C:Q,14,FALSE)</f>
        <v>#N/A</v>
      </c>
      <c r="Q51" s="48">
        <v>1</v>
      </c>
      <c r="R51" s="75" t="e">
        <f>VLOOKUP(G51,Input!C:H,5,FALSE)</f>
        <v>#N/A</v>
      </c>
      <c r="T51" s="47">
        <v>1</v>
      </c>
      <c r="U51" s="47" t="str">
        <f t="shared" si="0"/>
        <v>50,50,**,</v>
      </c>
      <c r="AC51" s="47">
        <v>50</v>
      </c>
      <c r="AD51" s="47">
        <v>50</v>
      </c>
    </row>
    <row r="52" spans="1:30" ht="15.75">
      <c r="A52" s="13" t="str">
        <f>IFERROR(VLOOKUP($G:$G,scan!$A:$B,2,0),"**")</f>
        <v>**</v>
      </c>
      <c r="B52" s="13" t="str">
        <f>IFERROR(VLOOKUP($G52,scan!A:C,3,0),"**")</f>
        <v>**</v>
      </c>
      <c r="C52" s="47">
        <v>51</v>
      </c>
      <c r="F52" s="60"/>
      <c r="G52" s="1"/>
      <c r="H52" s="47" t="s">
        <v>4926</v>
      </c>
      <c r="I52" s="43">
        <v>6042070338</v>
      </c>
      <c r="J52" s="43" t="s">
        <v>4927</v>
      </c>
      <c r="K52" s="47" t="s">
        <v>4928</v>
      </c>
      <c r="L52" s="67" t="e">
        <f>VLOOKUP(G52,Input!C:Q,12,FALSE)</f>
        <v>#N/A</v>
      </c>
      <c r="M52" s="68" t="e">
        <f>VLOOKUP(G52,Input!C:Q,15,FALSE)</f>
        <v>#N/A</v>
      </c>
      <c r="N52" s="69" t="e">
        <f>VLOOKUP(G52,Input!C:Q,14,FALSE)</f>
        <v>#N/A</v>
      </c>
      <c r="Q52" s="48">
        <v>1</v>
      </c>
      <c r="R52" s="75" t="e">
        <f>VLOOKUP(G52,Input!C:H,5,FALSE)</f>
        <v>#N/A</v>
      </c>
      <c r="T52" s="47">
        <v>1</v>
      </c>
      <c r="U52" s="47" t="str">
        <f t="shared" si="0"/>
        <v>51,51,**,</v>
      </c>
      <c r="AC52" s="47">
        <v>51</v>
      </c>
      <c r="AD52" s="47">
        <v>51</v>
      </c>
    </row>
    <row r="53" spans="1:30" ht="15.75">
      <c r="A53" s="13" t="str">
        <f>IFERROR(VLOOKUP($G:$G,scan!$A:$B,2,0),"**")</f>
        <v>**</v>
      </c>
      <c r="B53" s="13" t="str">
        <f>IFERROR(VLOOKUP($G53,scan!A:C,3,0),"**")</f>
        <v>**</v>
      </c>
      <c r="C53" s="47">
        <v>52</v>
      </c>
      <c r="F53" s="60"/>
      <c r="G53" s="1"/>
      <c r="H53" s="47" t="s">
        <v>4926</v>
      </c>
      <c r="I53" s="43">
        <v>6042070338</v>
      </c>
      <c r="J53" s="43" t="s">
        <v>4927</v>
      </c>
      <c r="K53" s="47" t="s">
        <v>4928</v>
      </c>
      <c r="L53" s="67" t="e">
        <f>VLOOKUP(G53,Input!C:Q,12,FALSE)</f>
        <v>#N/A</v>
      </c>
      <c r="M53" s="68" t="e">
        <f>VLOOKUP(G53,Input!C:Q,15,FALSE)</f>
        <v>#N/A</v>
      </c>
      <c r="N53" s="69" t="e">
        <f>VLOOKUP(G53,Input!C:Q,14,FALSE)</f>
        <v>#N/A</v>
      </c>
      <c r="Q53" s="48">
        <v>1</v>
      </c>
      <c r="R53" s="75" t="e">
        <f>VLOOKUP(G53,Input!C:H,5,FALSE)</f>
        <v>#N/A</v>
      </c>
      <c r="T53" s="47">
        <v>1</v>
      </c>
      <c r="U53" s="47" t="str">
        <f t="shared" si="0"/>
        <v>52,52,**,</v>
      </c>
      <c r="AC53" s="47">
        <v>52</v>
      </c>
      <c r="AD53" s="47">
        <v>52</v>
      </c>
    </row>
    <row r="54" spans="1:30" ht="15.75">
      <c r="A54" s="13" t="str">
        <f>IFERROR(VLOOKUP($G:$G,scan!$A:$B,2,0),"**")</f>
        <v>**</v>
      </c>
      <c r="B54" s="13" t="str">
        <f>IFERROR(VLOOKUP($G54,scan!A:C,3,0),"**")</f>
        <v>**</v>
      </c>
      <c r="C54" s="47">
        <v>53</v>
      </c>
      <c r="F54" s="60"/>
      <c r="G54" s="1"/>
      <c r="H54" s="47" t="s">
        <v>4926</v>
      </c>
      <c r="I54" s="43">
        <v>6042070338</v>
      </c>
      <c r="J54" s="43" t="s">
        <v>4927</v>
      </c>
      <c r="K54" s="47" t="s">
        <v>4928</v>
      </c>
      <c r="L54" s="67" t="e">
        <f>VLOOKUP(G54,Input!C:Q,12,FALSE)</f>
        <v>#N/A</v>
      </c>
      <c r="M54" s="68" t="e">
        <f>VLOOKUP(G54,Input!C:Q,15,FALSE)</f>
        <v>#N/A</v>
      </c>
      <c r="N54" s="69" t="e">
        <f>VLOOKUP(G54,Input!C:Q,14,FALSE)</f>
        <v>#N/A</v>
      </c>
      <c r="Q54" s="48">
        <v>1</v>
      </c>
      <c r="R54" s="75" t="e">
        <f>VLOOKUP(G54,Input!C:H,5,FALSE)</f>
        <v>#N/A</v>
      </c>
      <c r="T54" s="47">
        <v>1</v>
      </c>
      <c r="U54" s="47" t="str">
        <f t="shared" si="0"/>
        <v>53,53,**,</v>
      </c>
      <c r="AC54" s="47">
        <v>53</v>
      </c>
      <c r="AD54" s="47">
        <v>53</v>
      </c>
    </row>
    <row r="55" spans="1:30" ht="15.75">
      <c r="A55" s="13" t="str">
        <f>IFERROR(VLOOKUP($G:$G,scan!$A:$B,2,0),"**")</f>
        <v>**</v>
      </c>
      <c r="B55" s="13" t="str">
        <f>IFERROR(VLOOKUP($G55,scan!A:C,3,0),"**")</f>
        <v>**</v>
      </c>
      <c r="C55" s="47">
        <v>54</v>
      </c>
      <c r="F55" s="60"/>
      <c r="G55" s="1"/>
      <c r="H55" s="47" t="s">
        <v>4926</v>
      </c>
      <c r="I55" s="43">
        <v>6042070338</v>
      </c>
      <c r="J55" s="43" t="s">
        <v>4927</v>
      </c>
      <c r="K55" s="47" t="s">
        <v>4928</v>
      </c>
      <c r="L55" s="67" t="e">
        <f>VLOOKUP(G55,Input!C:Q,12,FALSE)</f>
        <v>#N/A</v>
      </c>
      <c r="M55" s="68" t="e">
        <f>VLOOKUP(G55,Input!C:Q,15,FALSE)</f>
        <v>#N/A</v>
      </c>
      <c r="N55" s="69" t="e">
        <f>VLOOKUP(G55,Input!C:Q,14,FALSE)</f>
        <v>#N/A</v>
      </c>
      <c r="Q55" s="48">
        <v>1</v>
      </c>
      <c r="R55" s="75" t="e">
        <f>VLOOKUP(G55,Input!C:H,5,FALSE)</f>
        <v>#N/A</v>
      </c>
      <c r="T55" s="47">
        <v>1</v>
      </c>
      <c r="U55" s="47" t="str">
        <f t="shared" si="0"/>
        <v>54,54,**,</v>
      </c>
      <c r="AC55" s="47">
        <v>54</v>
      </c>
      <c r="AD55" s="47">
        <v>54</v>
      </c>
    </row>
    <row r="56" spans="1:30" ht="15.75">
      <c r="A56" s="13" t="str">
        <f>IFERROR(VLOOKUP($G:$G,scan!$A:$B,2,0),"**")</f>
        <v>**</v>
      </c>
      <c r="B56" s="13" t="str">
        <f>IFERROR(VLOOKUP($G56,scan!A:C,3,0),"**")</f>
        <v>**</v>
      </c>
      <c r="C56" s="47">
        <v>55</v>
      </c>
      <c r="F56" s="60"/>
      <c r="G56" s="1"/>
      <c r="H56" s="47" t="s">
        <v>4926</v>
      </c>
      <c r="I56" s="43">
        <v>6042070338</v>
      </c>
      <c r="J56" s="43" t="s">
        <v>4927</v>
      </c>
      <c r="K56" s="47" t="s">
        <v>4928</v>
      </c>
      <c r="L56" s="67" t="e">
        <f>VLOOKUP(G56,Input!C:Q,12,FALSE)</f>
        <v>#N/A</v>
      </c>
      <c r="M56" s="68" t="e">
        <f>VLOOKUP(G56,Input!C:Q,15,FALSE)</f>
        <v>#N/A</v>
      </c>
      <c r="N56" s="69" t="e">
        <f>VLOOKUP(G56,Input!C:Q,14,FALSE)</f>
        <v>#N/A</v>
      </c>
      <c r="Q56" s="48">
        <v>1</v>
      </c>
      <c r="R56" s="75" t="e">
        <f>VLOOKUP(G56,Input!C:H,5,FALSE)</f>
        <v>#N/A</v>
      </c>
      <c r="T56" s="47">
        <v>1</v>
      </c>
      <c r="U56" s="47" t="str">
        <f t="shared" si="0"/>
        <v>55,55,**,</v>
      </c>
      <c r="AC56" s="47">
        <v>55</v>
      </c>
      <c r="AD56" s="47">
        <v>55</v>
      </c>
    </row>
    <row r="57" spans="1:30" ht="15.75">
      <c r="A57" s="13" t="str">
        <f>IFERROR(VLOOKUP($G:$G,scan!$A:$B,2,0),"**")</f>
        <v>**</v>
      </c>
      <c r="B57" s="13" t="str">
        <f>IFERROR(VLOOKUP($G57,scan!A:C,3,0),"**")</f>
        <v>**</v>
      </c>
      <c r="C57" s="47">
        <v>56</v>
      </c>
      <c r="F57" s="60"/>
      <c r="G57" s="1"/>
      <c r="H57" s="47" t="s">
        <v>4926</v>
      </c>
      <c r="I57" s="43">
        <v>6042070338</v>
      </c>
      <c r="J57" s="43" t="s">
        <v>4927</v>
      </c>
      <c r="K57" s="47" t="s">
        <v>4928</v>
      </c>
      <c r="L57" s="67" t="e">
        <f>VLOOKUP(G57,Input!C:Q,12,FALSE)</f>
        <v>#N/A</v>
      </c>
      <c r="M57" s="68" t="e">
        <f>VLOOKUP(G57,Input!C:Q,15,FALSE)</f>
        <v>#N/A</v>
      </c>
      <c r="N57" s="69" t="e">
        <f>VLOOKUP(G57,Input!C:Q,14,FALSE)</f>
        <v>#N/A</v>
      </c>
      <c r="Q57" s="48">
        <v>1</v>
      </c>
      <c r="R57" s="75" t="e">
        <f>VLOOKUP(G57,Input!C:H,5,FALSE)</f>
        <v>#N/A</v>
      </c>
      <c r="T57" s="47">
        <v>1</v>
      </c>
      <c r="U57" s="47" t="str">
        <f t="shared" si="0"/>
        <v>56,56,**,</v>
      </c>
      <c r="AC57" s="47">
        <v>56</v>
      </c>
      <c r="AD57" s="47">
        <v>56</v>
      </c>
    </row>
    <row r="58" spans="1:30" ht="15.75">
      <c r="A58" s="13" t="str">
        <f>IFERROR(VLOOKUP($G:$G,scan!$A:$B,2,0),"**")</f>
        <v>**</v>
      </c>
      <c r="B58" s="13" t="str">
        <f>IFERROR(VLOOKUP($G58,scan!A:C,3,0),"**")</f>
        <v>**</v>
      </c>
      <c r="C58" s="47">
        <v>57</v>
      </c>
      <c r="F58" s="60"/>
      <c r="G58" s="1"/>
      <c r="H58" s="47" t="s">
        <v>4926</v>
      </c>
      <c r="I58" s="43">
        <v>6042070338</v>
      </c>
      <c r="J58" s="43" t="s">
        <v>4927</v>
      </c>
      <c r="K58" s="47" t="s">
        <v>4928</v>
      </c>
      <c r="L58" s="67" t="e">
        <f>VLOOKUP(G58,Input!C:Q,12,FALSE)</f>
        <v>#N/A</v>
      </c>
      <c r="M58" s="68" t="e">
        <f>VLOOKUP(G58,Input!C:Q,15,FALSE)</f>
        <v>#N/A</v>
      </c>
      <c r="N58" s="69" t="e">
        <f>VLOOKUP(G58,Input!C:Q,14,FALSE)</f>
        <v>#N/A</v>
      </c>
      <c r="Q58" s="48">
        <v>1</v>
      </c>
      <c r="R58" s="75" t="e">
        <f>VLOOKUP(G58,Input!C:H,5,FALSE)</f>
        <v>#N/A</v>
      </c>
      <c r="T58" s="47">
        <v>1</v>
      </c>
      <c r="U58" s="47" t="str">
        <f t="shared" si="0"/>
        <v>57,57,**,</v>
      </c>
      <c r="AC58" s="47">
        <v>57</v>
      </c>
      <c r="AD58" s="47">
        <v>57</v>
      </c>
    </row>
    <row r="59" spans="1:30" ht="15.75">
      <c r="A59" s="13" t="str">
        <f>IFERROR(VLOOKUP($G:$G,scan!$A:$B,2,0),"**")</f>
        <v>**</v>
      </c>
      <c r="B59" s="13" t="str">
        <f>IFERROR(VLOOKUP($G59,scan!A:C,3,0),"**")</f>
        <v>**</v>
      </c>
      <c r="C59" s="47">
        <v>58</v>
      </c>
      <c r="F59" s="60"/>
      <c r="G59" s="1"/>
      <c r="H59" s="47" t="s">
        <v>4926</v>
      </c>
      <c r="I59" s="43">
        <v>6042070338</v>
      </c>
      <c r="J59" s="43" t="s">
        <v>4927</v>
      </c>
      <c r="K59" s="47" t="s">
        <v>4928</v>
      </c>
      <c r="L59" s="67" t="e">
        <f>VLOOKUP(G59,Input!C:Q,12,FALSE)</f>
        <v>#N/A</v>
      </c>
      <c r="M59" s="68" t="e">
        <f>VLOOKUP(G59,Input!C:Q,15,FALSE)</f>
        <v>#N/A</v>
      </c>
      <c r="N59" s="69" t="e">
        <f>VLOOKUP(G59,Input!C:Q,14,FALSE)</f>
        <v>#N/A</v>
      </c>
      <c r="Q59" s="48">
        <v>1</v>
      </c>
      <c r="R59" s="75" t="e">
        <f>VLOOKUP(G59,Input!C:H,5,FALSE)</f>
        <v>#N/A</v>
      </c>
      <c r="T59" s="47">
        <v>1</v>
      </c>
      <c r="U59" s="47" t="str">
        <f t="shared" si="0"/>
        <v>58,58,**,</v>
      </c>
      <c r="AC59" s="47">
        <v>58</v>
      </c>
      <c r="AD59" s="47">
        <v>58</v>
      </c>
    </row>
    <row r="60" spans="1:30" ht="15.75">
      <c r="A60" s="13" t="str">
        <f>IFERROR(VLOOKUP($G:$G,scan!$A:$B,2,0),"**")</f>
        <v>**</v>
      </c>
      <c r="B60" s="13" t="str">
        <f>IFERROR(VLOOKUP($G60,scan!A:C,3,0),"**")</f>
        <v>**</v>
      </c>
      <c r="C60" s="47">
        <v>59</v>
      </c>
      <c r="F60" s="60"/>
      <c r="G60" s="1"/>
      <c r="H60" s="47" t="s">
        <v>4926</v>
      </c>
      <c r="I60" s="43">
        <v>6042070338</v>
      </c>
      <c r="J60" s="43" t="s">
        <v>4927</v>
      </c>
      <c r="K60" s="47" t="s">
        <v>4928</v>
      </c>
      <c r="L60" s="67" t="e">
        <f>VLOOKUP(G60,Input!C:Q,12,FALSE)</f>
        <v>#N/A</v>
      </c>
      <c r="M60" s="68" t="e">
        <f>VLOOKUP(G60,Input!C:Q,15,FALSE)</f>
        <v>#N/A</v>
      </c>
      <c r="N60" s="69" t="e">
        <f>VLOOKUP(G60,Input!C:Q,14,FALSE)</f>
        <v>#N/A</v>
      </c>
      <c r="Q60" s="48">
        <v>1</v>
      </c>
      <c r="R60" s="75" t="e">
        <f>VLOOKUP(G60,Input!C:H,5,FALSE)</f>
        <v>#N/A</v>
      </c>
      <c r="T60" s="47">
        <v>1</v>
      </c>
      <c r="U60" s="47" t="str">
        <f t="shared" si="0"/>
        <v>59,59,**,</v>
      </c>
      <c r="AC60" s="47">
        <v>59</v>
      </c>
      <c r="AD60" s="47">
        <v>59</v>
      </c>
    </row>
    <row r="61" spans="1:30" ht="15.75">
      <c r="A61" s="13" t="str">
        <f>IFERROR(VLOOKUP($G:$G,scan!$A:$B,2,0),"**")</f>
        <v>**</v>
      </c>
      <c r="B61" s="13" t="str">
        <f>IFERROR(VLOOKUP($G61,scan!A:C,3,0),"**")</f>
        <v>**</v>
      </c>
      <c r="C61" s="47">
        <v>60</v>
      </c>
      <c r="F61" s="60"/>
      <c r="G61" s="1"/>
      <c r="H61" s="47" t="s">
        <v>4926</v>
      </c>
      <c r="I61" s="43">
        <v>6042070338</v>
      </c>
      <c r="J61" s="43" t="s">
        <v>4927</v>
      </c>
      <c r="K61" s="47" t="s">
        <v>4928</v>
      </c>
      <c r="L61" s="67" t="e">
        <f>VLOOKUP(G61,Input!C:Q,12,FALSE)</f>
        <v>#N/A</v>
      </c>
      <c r="M61" s="68" t="e">
        <f>VLOOKUP(G61,Input!C:Q,15,FALSE)</f>
        <v>#N/A</v>
      </c>
      <c r="N61" s="69" t="e">
        <f>VLOOKUP(G61,Input!C:Q,14,FALSE)</f>
        <v>#N/A</v>
      </c>
      <c r="Q61" s="48">
        <v>1</v>
      </c>
      <c r="R61" s="75" t="e">
        <f>VLOOKUP(G61,Input!C:H,5,FALSE)</f>
        <v>#N/A</v>
      </c>
      <c r="T61" s="47">
        <v>1</v>
      </c>
      <c r="U61" s="47" t="str">
        <f t="shared" si="0"/>
        <v>60,60,**,</v>
      </c>
      <c r="AC61" s="47">
        <v>60</v>
      </c>
      <c r="AD61" s="47">
        <v>60</v>
      </c>
    </row>
    <row r="62" spans="1:30" ht="15.75">
      <c r="A62" s="13" t="str">
        <f>IFERROR(VLOOKUP($G:$G,scan!$A:$B,2,0),"**")</f>
        <v>**</v>
      </c>
      <c r="B62" s="13" t="str">
        <f>IFERROR(VLOOKUP($G62,scan!A:C,3,0),"**")</f>
        <v>**</v>
      </c>
      <c r="C62" s="47">
        <v>61</v>
      </c>
      <c r="F62" s="60"/>
      <c r="G62" s="1"/>
      <c r="H62" s="47" t="s">
        <v>4926</v>
      </c>
      <c r="I62" s="43">
        <v>6042070338</v>
      </c>
      <c r="J62" s="43" t="s">
        <v>4927</v>
      </c>
      <c r="K62" s="47" t="s">
        <v>4928</v>
      </c>
      <c r="L62" s="67" t="e">
        <f>VLOOKUP(G62,Input!C:Q,12,FALSE)</f>
        <v>#N/A</v>
      </c>
      <c r="M62" s="68" t="e">
        <f>VLOOKUP(G62,Input!C:Q,15,FALSE)</f>
        <v>#N/A</v>
      </c>
      <c r="N62" s="69" t="e">
        <f>VLOOKUP(G62,Input!C:Q,14,FALSE)</f>
        <v>#N/A</v>
      </c>
      <c r="Q62" s="48">
        <v>1</v>
      </c>
      <c r="R62" s="75" t="e">
        <f>VLOOKUP(G62,Input!C:H,5,FALSE)</f>
        <v>#N/A</v>
      </c>
      <c r="T62" s="47">
        <v>1</v>
      </c>
      <c r="U62" s="47" t="str">
        <f t="shared" si="0"/>
        <v>61,61,**,</v>
      </c>
      <c r="AC62" s="47">
        <v>61</v>
      </c>
      <c r="AD62" s="47">
        <v>61</v>
      </c>
    </row>
    <row r="63" spans="1:30" ht="15.75">
      <c r="A63" s="13" t="str">
        <f>IFERROR(VLOOKUP($G:$G,scan!$A:$B,2,0),"**")</f>
        <v>**</v>
      </c>
      <c r="B63" s="13" t="str">
        <f>IFERROR(VLOOKUP($G63,scan!A:C,3,0),"**")</f>
        <v>**</v>
      </c>
      <c r="C63" s="47">
        <v>62</v>
      </c>
      <c r="F63" s="60"/>
      <c r="G63" s="1"/>
      <c r="H63" s="47" t="s">
        <v>4926</v>
      </c>
      <c r="I63" s="43">
        <v>6042070338</v>
      </c>
      <c r="J63" s="43" t="s">
        <v>4927</v>
      </c>
      <c r="K63" s="47" t="s">
        <v>4928</v>
      </c>
      <c r="L63" s="67" t="e">
        <f>VLOOKUP(G63,Input!C:Q,12,FALSE)</f>
        <v>#N/A</v>
      </c>
      <c r="M63" s="68" t="e">
        <f>VLOOKUP(G63,Input!C:Q,15,FALSE)</f>
        <v>#N/A</v>
      </c>
      <c r="N63" s="69" t="e">
        <f>VLOOKUP(G63,Input!C:Q,14,FALSE)</f>
        <v>#N/A</v>
      </c>
      <c r="Q63" s="48">
        <v>1</v>
      </c>
      <c r="R63" s="75" t="e">
        <f>VLOOKUP(G63,Input!C:H,5,FALSE)</f>
        <v>#N/A</v>
      </c>
      <c r="T63" s="47">
        <v>1</v>
      </c>
      <c r="U63" s="47" t="str">
        <f t="shared" si="0"/>
        <v>62,62,**,</v>
      </c>
      <c r="AC63" s="47">
        <v>62</v>
      </c>
      <c r="AD63" s="47">
        <v>62</v>
      </c>
    </row>
    <row r="64" spans="1:30" ht="15.75">
      <c r="A64" s="13" t="str">
        <f>IFERROR(VLOOKUP($G:$G,scan!$A:$B,2,0),"**")</f>
        <v>**</v>
      </c>
      <c r="B64" s="13" t="str">
        <f>IFERROR(VLOOKUP($G64,scan!A:C,3,0),"**")</f>
        <v>**</v>
      </c>
      <c r="C64" s="47">
        <v>63</v>
      </c>
      <c r="F64" s="60"/>
      <c r="G64" s="1"/>
      <c r="H64" s="47" t="s">
        <v>4926</v>
      </c>
      <c r="I64" s="43">
        <v>6042070338</v>
      </c>
      <c r="J64" s="43" t="s">
        <v>4927</v>
      </c>
      <c r="K64" s="47" t="s">
        <v>4928</v>
      </c>
      <c r="L64" s="67" t="e">
        <f>VLOOKUP(G64,Input!C:Q,12,FALSE)</f>
        <v>#N/A</v>
      </c>
      <c r="M64" s="68" t="e">
        <f>VLOOKUP(G64,Input!C:Q,15,FALSE)</f>
        <v>#N/A</v>
      </c>
      <c r="N64" s="69" t="e">
        <f>VLOOKUP(G64,Input!C:Q,14,FALSE)</f>
        <v>#N/A</v>
      </c>
      <c r="Q64" s="48">
        <v>1</v>
      </c>
      <c r="R64" s="75" t="e">
        <f>VLOOKUP(G64,Input!C:H,5,FALSE)</f>
        <v>#N/A</v>
      </c>
      <c r="T64" s="47">
        <v>1</v>
      </c>
      <c r="U64" s="47" t="str">
        <f t="shared" si="0"/>
        <v>63,63,**,</v>
      </c>
      <c r="AC64" s="47">
        <v>63</v>
      </c>
      <c r="AD64" s="47">
        <v>63</v>
      </c>
    </row>
    <row r="65" spans="1:30" ht="15.75">
      <c r="A65" s="13" t="str">
        <f>IFERROR(VLOOKUP($G:$G,scan!$A:$B,2,0),"**")</f>
        <v>**</v>
      </c>
      <c r="B65" s="13" t="str">
        <f>IFERROR(VLOOKUP($G65,scan!A:C,3,0),"**")</f>
        <v>**</v>
      </c>
      <c r="C65" s="47">
        <v>64</v>
      </c>
      <c r="F65" s="60"/>
      <c r="G65" s="1"/>
      <c r="H65" s="47" t="s">
        <v>4926</v>
      </c>
      <c r="I65" s="43">
        <v>6042070338</v>
      </c>
      <c r="J65" s="43" t="s">
        <v>4927</v>
      </c>
      <c r="K65" s="47" t="s">
        <v>4928</v>
      </c>
      <c r="L65" s="67" t="e">
        <f>VLOOKUP(G65,Input!C:Q,12,FALSE)</f>
        <v>#N/A</v>
      </c>
      <c r="M65" s="68" t="e">
        <f>VLOOKUP(G65,Input!C:Q,15,FALSE)</f>
        <v>#N/A</v>
      </c>
      <c r="N65" s="69" t="e">
        <f>VLOOKUP(G65,Input!C:Q,14,FALSE)</f>
        <v>#N/A</v>
      </c>
      <c r="Q65" s="48">
        <v>1</v>
      </c>
      <c r="R65" s="75" t="e">
        <f>VLOOKUP(G65,Input!C:H,5,FALSE)</f>
        <v>#N/A</v>
      </c>
      <c r="T65" s="47">
        <v>1</v>
      </c>
      <c r="U65" s="47" t="str">
        <f t="shared" si="0"/>
        <v>64,64,**,</v>
      </c>
      <c r="AC65" s="47">
        <v>64</v>
      </c>
      <c r="AD65" s="47">
        <v>64</v>
      </c>
    </row>
    <row r="66" spans="1:30" ht="15.75">
      <c r="A66" s="13" t="str">
        <f>IFERROR(VLOOKUP($G:$G,scan!$A:$B,2,0),"**")</f>
        <v>**</v>
      </c>
      <c r="B66" s="13" t="str">
        <f>IFERROR(VLOOKUP($G66,scan!A:C,3,0),"**")</f>
        <v>**</v>
      </c>
      <c r="C66" s="47">
        <v>65</v>
      </c>
      <c r="F66" s="60"/>
      <c r="G66" s="1"/>
      <c r="H66" s="47" t="s">
        <v>4926</v>
      </c>
      <c r="I66" s="43">
        <v>6042070338</v>
      </c>
      <c r="J66" s="43" t="s">
        <v>4927</v>
      </c>
      <c r="K66" s="47" t="s">
        <v>4928</v>
      </c>
      <c r="L66" s="67" t="e">
        <f>VLOOKUP(G66,Input!C:Q,12,FALSE)</f>
        <v>#N/A</v>
      </c>
      <c r="M66" s="68" t="e">
        <f>VLOOKUP(G66,Input!C:Q,15,FALSE)</f>
        <v>#N/A</v>
      </c>
      <c r="N66" s="69" t="e">
        <f>VLOOKUP(G66,Input!C:Q,14,FALSE)</f>
        <v>#N/A</v>
      </c>
      <c r="Q66" s="48">
        <v>1</v>
      </c>
      <c r="R66" s="75" t="e">
        <f>VLOOKUP(G66,Input!C:H,5,FALSE)</f>
        <v>#N/A</v>
      </c>
      <c r="T66" s="47">
        <v>1</v>
      </c>
      <c r="U66" s="47" t="str">
        <f t="shared" ref="U66:U129" si="1">CONCATENATE(AC66,",",C66,",",B66,",",G66)</f>
        <v>65,65,**,</v>
      </c>
      <c r="AC66" s="47">
        <v>65</v>
      </c>
      <c r="AD66" s="47">
        <v>65</v>
      </c>
    </row>
    <row r="67" spans="1:30" ht="15.75">
      <c r="A67" s="13" t="str">
        <f>IFERROR(VLOOKUP($G:$G,scan!$A:$B,2,0),"**")</f>
        <v>**</v>
      </c>
      <c r="B67" s="13" t="str">
        <f>IFERROR(VLOOKUP($G67,scan!A:C,3,0),"**")</f>
        <v>**</v>
      </c>
      <c r="C67" s="47">
        <v>66</v>
      </c>
      <c r="F67" s="60"/>
      <c r="G67" s="1"/>
      <c r="H67" s="47" t="s">
        <v>4926</v>
      </c>
      <c r="I67" s="43">
        <v>6042070338</v>
      </c>
      <c r="J67" s="43" t="s">
        <v>4927</v>
      </c>
      <c r="K67" s="47" t="s">
        <v>4928</v>
      </c>
      <c r="L67" s="67" t="e">
        <f>VLOOKUP(G67,Input!C:Q,12,FALSE)</f>
        <v>#N/A</v>
      </c>
      <c r="M67" s="68" t="e">
        <f>VLOOKUP(G67,Input!C:Q,15,FALSE)</f>
        <v>#N/A</v>
      </c>
      <c r="N67" s="69" t="e">
        <f>VLOOKUP(G67,Input!C:Q,14,FALSE)</f>
        <v>#N/A</v>
      </c>
      <c r="Q67" s="48">
        <v>1</v>
      </c>
      <c r="R67" s="75" t="e">
        <f>VLOOKUP(G67,Input!C:H,5,FALSE)</f>
        <v>#N/A</v>
      </c>
      <c r="T67" s="47">
        <v>1</v>
      </c>
      <c r="U67" s="47" t="str">
        <f t="shared" si="1"/>
        <v>66,66,**,</v>
      </c>
      <c r="AC67" s="47">
        <v>66</v>
      </c>
      <c r="AD67" s="47">
        <v>66</v>
      </c>
    </row>
    <row r="68" spans="1:30" ht="15.75">
      <c r="A68" s="13" t="str">
        <f>IFERROR(VLOOKUP($G:$G,scan!$A:$B,2,0),"**")</f>
        <v>**</v>
      </c>
      <c r="B68" s="13" t="str">
        <f>IFERROR(VLOOKUP($G68,scan!A:C,3,0),"**")</f>
        <v>**</v>
      </c>
      <c r="C68" s="47">
        <v>67</v>
      </c>
      <c r="F68" s="60"/>
      <c r="G68" s="1"/>
      <c r="H68" s="47" t="s">
        <v>4926</v>
      </c>
      <c r="I68" s="43">
        <v>6042070338</v>
      </c>
      <c r="J68" s="43" t="s">
        <v>4927</v>
      </c>
      <c r="K68" s="47" t="s">
        <v>4928</v>
      </c>
      <c r="L68" s="67" t="e">
        <f>VLOOKUP(G68,Input!C:Q,12,FALSE)</f>
        <v>#N/A</v>
      </c>
      <c r="M68" s="68" t="e">
        <f>VLOOKUP(G68,Input!C:Q,15,FALSE)</f>
        <v>#N/A</v>
      </c>
      <c r="N68" s="69" t="e">
        <f>VLOOKUP(G68,Input!C:Q,14,FALSE)</f>
        <v>#N/A</v>
      </c>
      <c r="Q68" s="48">
        <v>1</v>
      </c>
      <c r="R68" s="75" t="e">
        <f>VLOOKUP(G68,Input!C:H,5,FALSE)</f>
        <v>#N/A</v>
      </c>
      <c r="T68" s="47">
        <v>1</v>
      </c>
      <c r="U68" s="47" t="str">
        <f t="shared" si="1"/>
        <v>67,67,**,</v>
      </c>
      <c r="AC68" s="47">
        <v>67</v>
      </c>
      <c r="AD68" s="47">
        <v>67</v>
      </c>
    </row>
    <row r="69" spans="1:30" ht="15.75">
      <c r="A69" s="13" t="str">
        <f>IFERROR(VLOOKUP($G:$G,scan!$A:$B,2,0),"**")</f>
        <v>**</v>
      </c>
      <c r="B69" s="13" t="str">
        <f>IFERROR(VLOOKUP($G69,scan!A:C,3,0),"**")</f>
        <v>**</v>
      </c>
      <c r="C69" s="47">
        <v>68</v>
      </c>
      <c r="F69" s="60"/>
      <c r="G69" s="1"/>
      <c r="H69" s="47" t="s">
        <v>4926</v>
      </c>
      <c r="I69" s="43">
        <v>6042070338</v>
      </c>
      <c r="J69" s="43" t="s">
        <v>4927</v>
      </c>
      <c r="K69" s="47" t="s">
        <v>4928</v>
      </c>
      <c r="L69" s="67" t="e">
        <f>VLOOKUP(G69,Input!C:Q,12,FALSE)</f>
        <v>#N/A</v>
      </c>
      <c r="M69" s="68" t="e">
        <f>VLOOKUP(G69,Input!C:Q,15,FALSE)</f>
        <v>#N/A</v>
      </c>
      <c r="N69" s="69" t="e">
        <f>VLOOKUP(G69,Input!C:Q,14,FALSE)</f>
        <v>#N/A</v>
      </c>
      <c r="Q69" s="48">
        <v>1</v>
      </c>
      <c r="R69" s="75" t="e">
        <f>VLOOKUP(G69,Input!C:H,5,FALSE)</f>
        <v>#N/A</v>
      </c>
      <c r="T69" s="47">
        <v>1</v>
      </c>
      <c r="U69" s="47" t="str">
        <f t="shared" si="1"/>
        <v>68,68,**,</v>
      </c>
      <c r="AC69" s="47">
        <v>68</v>
      </c>
      <c r="AD69" s="47">
        <v>68</v>
      </c>
    </row>
    <row r="70" spans="1:30" ht="15.75">
      <c r="A70" s="13" t="str">
        <f>IFERROR(VLOOKUP($G:$G,scan!$A:$B,2,0),"**")</f>
        <v>**</v>
      </c>
      <c r="B70" s="13" t="str">
        <f>IFERROR(VLOOKUP($G70,scan!A:C,3,0),"**")</f>
        <v>**</v>
      </c>
      <c r="C70" s="47">
        <v>69</v>
      </c>
      <c r="F70" s="60"/>
      <c r="G70" s="1"/>
      <c r="H70" s="47" t="s">
        <v>4926</v>
      </c>
      <c r="I70" s="43">
        <v>6042070338</v>
      </c>
      <c r="J70" s="43" t="s">
        <v>4927</v>
      </c>
      <c r="K70" s="47" t="s">
        <v>4928</v>
      </c>
      <c r="L70" s="67" t="e">
        <f>VLOOKUP(G70,Input!C:Q,12,FALSE)</f>
        <v>#N/A</v>
      </c>
      <c r="M70" s="68" t="e">
        <f>VLOOKUP(G70,Input!C:Q,15,FALSE)</f>
        <v>#N/A</v>
      </c>
      <c r="N70" s="69" t="e">
        <f>VLOOKUP(G70,Input!C:Q,14,FALSE)</f>
        <v>#N/A</v>
      </c>
      <c r="Q70" s="48">
        <v>1</v>
      </c>
      <c r="R70" s="75" t="e">
        <f>VLOOKUP(G70,Input!C:H,5,FALSE)</f>
        <v>#N/A</v>
      </c>
      <c r="T70" s="47">
        <v>1</v>
      </c>
      <c r="U70" s="47" t="str">
        <f t="shared" si="1"/>
        <v>69,69,**,</v>
      </c>
      <c r="AC70" s="47">
        <v>69</v>
      </c>
      <c r="AD70" s="47">
        <v>69</v>
      </c>
    </row>
    <row r="71" spans="1:30" ht="15.75">
      <c r="A71" s="13" t="str">
        <f>IFERROR(VLOOKUP($G:$G,scan!$A:$B,2,0),"**")</f>
        <v>**</v>
      </c>
      <c r="B71" s="13" t="str">
        <f>IFERROR(VLOOKUP($G71,scan!A:C,3,0),"**")</f>
        <v>**</v>
      </c>
      <c r="C71" s="47">
        <v>70</v>
      </c>
      <c r="F71" s="60"/>
      <c r="G71" s="1"/>
      <c r="H71" s="47" t="s">
        <v>4926</v>
      </c>
      <c r="I71" s="43">
        <v>6042070338</v>
      </c>
      <c r="J71" s="43" t="s">
        <v>4927</v>
      </c>
      <c r="K71" s="47" t="s">
        <v>4928</v>
      </c>
      <c r="L71" s="67" t="e">
        <f>VLOOKUP(G71,Input!C:Q,12,FALSE)</f>
        <v>#N/A</v>
      </c>
      <c r="M71" s="68" t="e">
        <f>VLOOKUP(G71,Input!C:Q,15,FALSE)</f>
        <v>#N/A</v>
      </c>
      <c r="N71" s="69" t="e">
        <f>VLOOKUP(G71,Input!C:Q,14,FALSE)</f>
        <v>#N/A</v>
      </c>
      <c r="Q71" s="48">
        <v>1</v>
      </c>
      <c r="R71" s="75" t="e">
        <f>VLOOKUP(G71,Input!C:H,5,FALSE)</f>
        <v>#N/A</v>
      </c>
      <c r="T71" s="47">
        <v>1</v>
      </c>
      <c r="U71" s="47" t="str">
        <f t="shared" si="1"/>
        <v>70,70,**,</v>
      </c>
      <c r="AC71" s="47">
        <v>70</v>
      </c>
      <c r="AD71" s="47">
        <v>70</v>
      </c>
    </row>
    <row r="72" spans="1:30" ht="15.75">
      <c r="A72" s="13" t="str">
        <f>IFERROR(VLOOKUP($G:$G,scan!$A:$B,2,0),"**")</f>
        <v>**</v>
      </c>
      <c r="B72" s="13" t="str">
        <f>IFERROR(VLOOKUP($G72,scan!A:C,3,0),"**")</f>
        <v>**</v>
      </c>
      <c r="C72" s="47">
        <v>71</v>
      </c>
      <c r="F72" s="60"/>
      <c r="G72" s="1"/>
      <c r="H72" s="47" t="s">
        <v>4926</v>
      </c>
      <c r="I72" s="43">
        <v>6042070338</v>
      </c>
      <c r="J72" s="43" t="s">
        <v>4927</v>
      </c>
      <c r="K72" s="47" t="s">
        <v>4928</v>
      </c>
      <c r="L72" s="67" t="e">
        <f>VLOOKUP(G72,Input!C:Q,12,FALSE)</f>
        <v>#N/A</v>
      </c>
      <c r="M72" s="68" t="e">
        <f>VLOOKUP(G72,Input!C:Q,15,FALSE)</f>
        <v>#N/A</v>
      </c>
      <c r="N72" s="69" t="e">
        <f>VLOOKUP(G72,Input!C:Q,14,FALSE)</f>
        <v>#N/A</v>
      </c>
      <c r="Q72" s="48">
        <v>1</v>
      </c>
      <c r="R72" s="75" t="e">
        <f>VLOOKUP(G72,Input!C:H,5,FALSE)</f>
        <v>#N/A</v>
      </c>
      <c r="T72" s="47">
        <v>1</v>
      </c>
      <c r="U72" s="47" t="str">
        <f t="shared" si="1"/>
        <v>71,71,**,</v>
      </c>
      <c r="AC72" s="47">
        <v>71</v>
      </c>
      <c r="AD72" s="47">
        <v>71</v>
      </c>
    </row>
    <row r="73" spans="1:30" ht="15.75">
      <c r="A73" s="13" t="str">
        <f>IFERROR(VLOOKUP($G:$G,scan!$A:$B,2,0),"**")</f>
        <v>**</v>
      </c>
      <c r="B73" s="13" t="str">
        <f>IFERROR(VLOOKUP($G73,scan!A:C,3,0),"**")</f>
        <v>**</v>
      </c>
      <c r="C73" s="47">
        <v>72</v>
      </c>
      <c r="F73" s="60"/>
      <c r="G73" s="1"/>
      <c r="H73" s="47" t="s">
        <v>4926</v>
      </c>
      <c r="I73" s="43">
        <v>6042070338</v>
      </c>
      <c r="J73" s="43" t="s">
        <v>4927</v>
      </c>
      <c r="K73" s="47" t="s">
        <v>4928</v>
      </c>
      <c r="L73" s="67" t="e">
        <f>VLOOKUP(G73,Input!C:Q,12,FALSE)</f>
        <v>#N/A</v>
      </c>
      <c r="M73" s="68" t="e">
        <f>VLOOKUP(G73,Input!C:Q,15,FALSE)</f>
        <v>#N/A</v>
      </c>
      <c r="N73" s="69" t="e">
        <f>VLOOKUP(G73,Input!C:Q,14,FALSE)</f>
        <v>#N/A</v>
      </c>
      <c r="Q73" s="48">
        <v>1</v>
      </c>
      <c r="R73" s="75" t="e">
        <f>VLOOKUP(G73,Input!C:H,5,FALSE)</f>
        <v>#N/A</v>
      </c>
      <c r="T73" s="47">
        <v>1</v>
      </c>
      <c r="U73" s="47" t="str">
        <f t="shared" si="1"/>
        <v>72,72,**,</v>
      </c>
      <c r="AC73" s="47">
        <v>72</v>
      </c>
      <c r="AD73" s="47">
        <v>72</v>
      </c>
    </row>
    <row r="74" spans="1:30" ht="15.75">
      <c r="A74" s="13" t="str">
        <f>IFERROR(VLOOKUP($G:$G,scan!$A:$B,2,0),"**")</f>
        <v>**</v>
      </c>
      <c r="B74" s="13" t="str">
        <f>IFERROR(VLOOKUP($G74,scan!A:C,3,0),"**")</f>
        <v>**</v>
      </c>
      <c r="C74" s="47">
        <v>73</v>
      </c>
      <c r="F74" s="60"/>
      <c r="G74" s="1"/>
      <c r="H74" s="47" t="s">
        <v>4926</v>
      </c>
      <c r="I74" s="43">
        <v>6042070338</v>
      </c>
      <c r="J74" s="43" t="s">
        <v>4927</v>
      </c>
      <c r="K74" s="47" t="s">
        <v>4928</v>
      </c>
      <c r="L74" s="67" t="e">
        <f>VLOOKUP(G74,Input!C:Q,12,FALSE)</f>
        <v>#N/A</v>
      </c>
      <c r="M74" s="68" t="e">
        <f>VLOOKUP(G74,Input!C:Q,15,FALSE)</f>
        <v>#N/A</v>
      </c>
      <c r="N74" s="69" t="e">
        <f>VLOOKUP(G74,Input!C:Q,14,FALSE)</f>
        <v>#N/A</v>
      </c>
      <c r="Q74" s="48">
        <v>1</v>
      </c>
      <c r="R74" s="75" t="e">
        <f>VLOOKUP(G74,Input!C:H,5,FALSE)</f>
        <v>#N/A</v>
      </c>
      <c r="T74" s="47">
        <v>1</v>
      </c>
      <c r="U74" s="47" t="str">
        <f t="shared" si="1"/>
        <v>73,73,**,</v>
      </c>
      <c r="AC74" s="47">
        <v>73</v>
      </c>
      <c r="AD74" s="47">
        <v>73</v>
      </c>
    </row>
    <row r="75" spans="1:30" ht="15.75">
      <c r="A75" s="13" t="str">
        <f>IFERROR(VLOOKUP($G:$G,scan!$A:$B,2,0),"**")</f>
        <v>**</v>
      </c>
      <c r="B75" s="13" t="str">
        <f>IFERROR(VLOOKUP($G75,scan!A:C,3,0),"**")</f>
        <v>**</v>
      </c>
      <c r="C75" s="47">
        <v>74</v>
      </c>
      <c r="F75" s="60"/>
      <c r="G75" s="1"/>
      <c r="H75" s="47" t="s">
        <v>4926</v>
      </c>
      <c r="I75" s="43">
        <v>6042070338</v>
      </c>
      <c r="J75" s="43" t="s">
        <v>4927</v>
      </c>
      <c r="K75" s="47" t="s">
        <v>4928</v>
      </c>
      <c r="L75" s="67" t="e">
        <f>VLOOKUP(G75,Input!C:Q,12,FALSE)</f>
        <v>#N/A</v>
      </c>
      <c r="M75" s="68" t="e">
        <f>VLOOKUP(G75,Input!C:Q,15,FALSE)</f>
        <v>#N/A</v>
      </c>
      <c r="N75" s="69" t="e">
        <f>VLOOKUP(G75,Input!C:Q,14,FALSE)</f>
        <v>#N/A</v>
      </c>
      <c r="Q75" s="48">
        <v>1</v>
      </c>
      <c r="R75" s="75" t="e">
        <f>VLOOKUP(G75,Input!C:H,5,FALSE)</f>
        <v>#N/A</v>
      </c>
      <c r="T75" s="47">
        <v>1</v>
      </c>
      <c r="U75" s="47" t="str">
        <f t="shared" si="1"/>
        <v>74,74,**,</v>
      </c>
      <c r="AC75" s="47">
        <v>74</v>
      </c>
      <c r="AD75" s="47">
        <v>74</v>
      </c>
    </row>
    <row r="76" spans="1:30" ht="15.75">
      <c r="A76" s="13" t="str">
        <f>IFERROR(VLOOKUP($G:$G,scan!$A:$B,2,0),"**")</f>
        <v>**</v>
      </c>
      <c r="B76" s="13" t="str">
        <f>IFERROR(VLOOKUP($G76,scan!A:C,3,0),"**")</f>
        <v>**</v>
      </c>
      <c r="C76" s="47">
        <v>75</v>
      </c>
      <c r="F76" s="60"/>
      <c r="G76" s="1"/>
      <c r="H76" s="47" t="s">
        <v>4926</v>
      </c>
      <c r="I76" s="43">
        <v>6042070338</v>
      </c>
      <c r="J76" s="43" t="s">
        <v>4927</v>
      </c>
      <c r="K76" s="47" t="s">
        <v>4928</v>
      </c>
      <c r="L76" s="67" t="e">
        <f>VLOOKUP(G76,Input!C:Q,12,FALSE)</f>
        <v>#N/A</v>
      </c>
      <c r="M76" s="68" t="e">
        <f>VLOOKUP(G76,Input!C:Q,15,FALSE)</f>
        <v>#N/A</v>
      </c>
      <c r="N76" s="69" t="e">
        <f>VLOOKUP(G76,Input!C:Q,14,FALSE)</f>
        <v>#N/A</v>
      </c>
      <c r="Q76" s="48">
        <v>1</v>
      </c>
      <c r="R76" s="75" t="e">
        <f>VLOOKUP(G76,Input!C:H,5,FALSE)</f>
        <v>#N/A</v>
      </c>
      <c r="T76" s="47">
        <v>1</v>
      </c>
      <c r="U76" s="47" t="str">
        <f t="shared" si="1"/>
        <v>75,75,**,</v>
      </c>
      <c r="AC76" s="47">
        <v>75</v>
      </c>
      <c r="AD76" s="47">
        <v>75</v>
      </c>
    </row>
    <row r="77" spans="1:30" ht="15.75">
      <c r="A77" s="13" t="str">
        <f>IFERROR(VLOOKUP($G:$G,scan!$A:$B,2,0),"**")</f>
        <v>**</v>
      </c>
      <c r="B77" s="13" t="str">
        <f>IFERROR(VLOOKUP($G77,scan!A:C,3,0),"**")</f>
        <v>**</v>
      </c>
      <c r="C77" s="47">
        <v>76</v>
      </c>
      <c r="F77" s="60"/>
      <c r="G77" s="1"/>
      <c r="H77" s="47" t="s">
        <v>4926</v>
      </c>
      <c r="I77" s="43">
        <v>6042070338</v>
      </c>
      <c r="J77" s="43" t="s">
        <v>4927</v>
      </c>
      <c r="K77" s="47" t="s">
        <v>4928</v>
      </c>
      <c r="L77" s="67" t="e">
        <f>VLOOKUP(G77,Input!C:Q,12,FALSE)</f>
        <v>#N/A</v>
      </c>
      <c r="M77" s="68" t="e">
        <f>VLOOKUP(G77,Input!C:Q,15,FALSE)</f>
        <v>#N/A</v>
      </c>
      <c r="N77" s="69" t="e">
        <f>VLOOKUP(G77,Input!C:Q,14,FALSE)</f>
        <v>#N/A</v>
      </c>
      <c r="Q77" s="48">
        <v>1</v>
      </c>
      <c r="R77" s="75" t="e">
        <f>VLOOKUP(G77,Input!C:H,5,FALSE)</f>
        <v>#N/A</v>
      </c>
      <c r="T77" s="47">
        <v>1</v>
      </c>
      <c r="U77" s="47" t="str">
        <f t="shared" si="1"/>
        <v>76,76,**,</v>
      </c>
      <c r="AC77" s="47">
        <v>76</v>
      </c>
      <c r="AD77" s="47">
        <v>76</v>
      </c>
    </row>
    <row r="78" spans="1:30" ht="15.75">
      <c r="A78" s="13" t="str">
        <f>IFERROR(VLOOKUP($G:$G,scan!$A:$B,2,0),"**")</f>
        <v>**</v>
      </c>
      <c r="B78" s="13" t="str">
        <f>IFERROR(VLOOKUP($G78,scan!A:C,3,0),"**")</f>
        <v>**</v>
      </c>
      <c r="C78" s="47">
        <v>77</v>
      </c>
      <c r="F78" s="60"/>
      <c r="G78" s="1"/>
      <c r="H78" s="47" t="s">
        <v>4926</v>
      </c>
      <c r="I78" s="43">
        <v>6042070338</v>
      </c>
      <c r="J78" s="43" t="s">
        <v>4927</v>
      </c>
      <c r="K78" s="47" t="s">
        <v>4928</v>
      </c>
      <c r="L78" s="67" t="e">
        <f>VLOOKUP(G78,Input!C:Q,12,FALSE)</f>
        <v>#N/A</v>
      </c>
      <c r="M78" s="68" t="e">
        <f>VLOOKUP(G78,Input!C:Q,15,FALSE)</f>
        <v>#N/A</v>
      </c>
      <c r="N78" s="69" t="e">
        <f>VLOOKUP(G78,Input!C:Q,14,FALSE)</f>
        <v>#N/A</v>
      </c>
      <c r="Q78" s="48">
        <v>1</v>
      </c>
      <c r="R78" s="75" t="e">
        <f>VLOOKUP(G78,Input!C:H,5,FALSE)</f>
        <v>#N/A</v>
      </c>
      <c r="T78" s="47">
        <v>1</v>
      </c>
      <c r="U78" s="47" t="str">
        <f t="shared" si="1"/>
        <v>77,77,**,</v>
      </c>
      <c r="AC78" s="47">
        <v>77</v>
      </c>
      <c r="AD78" s="47">
        <v>77</v>
      </c>
    </row>
    <row r="79" spans="1:30" ht="15.75">
      <c r="A79" s="13" t="str">
        <f>IFERROR(VLOOKUP($G:$G,scan!$A:$B,2,0),"**")</f>
        <v>**</v>
      </c>
      <c r="B79" s="13" t="str">
        <f>IFERROR(VLOOKUP($G79,scan!A:C,3,0),"**")</f>
        <v>**</v>
      </c>
      <c r="C79" s="47">
        <v>78</v>
      </c>
      <c r="F79" s="60"/>
      <c r="G79" s="1"/>
      <c r="H79" s="47" t="s">
        <v>4926</v>
      </c>
      <c r="I79" s="43">
        <v>6042070338</v>
      </c>
      <c r="J79" s="43" t="s">
        <v>4927</v>
      </c>
      <c r="K79" s="47" t="s">
        <v>4928</v>
      </c>
      <c r="L79" s="67" t="e">
        <f>VLOOKUP(G79,Input!C:Q,12,FALSE)</f>
        <v>#N/A</v>
      </c>
      <c r="M79" s="68" t="e">
        <f>VLOOKUP(G79,Input!C:Q,15,FALSE)</f>
        <v>#N/A</v>
      </c>
      <c r="N79" s="69" t="e">
        <f>VLOOKUP(G79,Input!C:Q,14,FALSE)</f>
        <v>#N/A</v>
      </c>
      <c r="Q79" s="48">
        <v>1</v>
      </c>
      <c r="R79" s="75" t="e">
        <f>VLOOKUP(G79,Input!C:H,5,FALSE)</f>
        <v>#N/A</v>
      </c>
      <c r="T79" s="47">
        <v>1</v>
      </c>
      <c r="U79" s="47" t="str">
        <f t="shared" si="1"/>
        <v>78,78,**,</v>
      </c>
      <c r="AC79" s="47">
        <v>78</v>
      </c>
      <c r="AD79" s="47">
        <v>78</v>
      </c>
    </row>
    <row r="80" spans="1:30" ht="15.75">
      <c r="A80" s="13" t="str">
        <f>IFERROR(VLOOKUP($G:$G,scan!$A:$B,2,0),"**")</f>
        <v>**</v>
      </c>
      <c r="B80" s="13" t="str">
        <f>IFERROR(VLOOKUP($G80,scan!A:C,3,0),"**")</f>
        <v>**</v>
      </c>
      <c r="C80" s="47">
        <v>79</v>
      </c>
      <c r="F80" s="60"/>
      <c r="G80" s="1"/>
      <c r="H80" s="47" t="s">
        <v>4926</v>
      </c>
      <c r="I80" s="43">
        <v>6042070338</v>
      </c>
      <c r="J80" s="43" t="s">
        <v>4927</v>
      </c>
      <c r="K80" s="47" t="s">
        <v>4928</v>
      </c>
      <c r="L80" s="67" t="e">
        <f>VLOOKUP(G80,Input!C:Q,12,FALSE)</f>
        <v>#N/A</v>
      </c>
      <c r="M80" s="68" t="e">
        <f>VLOOKUP(G80,Input!C:Q,15,FALSE)</f>
        <v>#N/A</v>
      </c>
      <c r="N80" s="69" t="e">
        <f>VLOOKUP(G80,Input!C:Q,14,FALSE)</f>
        <v>#N/A</v>
      </c>
      <c r="Q80" s="48">
        <v>1</v>
      </c>
      <c r="R80" s="75" t="e">
        <f>VLOOKUP(G80,Input!C:H,5,FALSE)</f>
        <v>#N/A</v>
      </c>
      <c r="T80" s="47">
        <v>1</v>
      </c>
      <c r="U80" s="47" t="str">
        <f t="shared" si="1"/>
        <v>79,79,**,</v>
      </c>
      <c r="AC80" s="47">
        <v>79</v>
      </c>
      <c r="AD80" s="47">
        <v>79</v>
      </c>
    </row>
    <row r="81" spans="1:30" ht="15.75">
      <c r="A81" s="13" t="str">
        <f>IFERROR(VLOOKUP($G:$G,scan!$A:$B,2,0),"**")</f>
        <v>**</v>
      </c>
      <c r="B81" s="13" t="str">
        <f>IFERROR(VLOOKUP($G81,scan!A:C,3,0),"**")</f>
        <v>**</v>
      </c>
      <c r="C81" s="47">
        <v>80</v>
      </c>
      <c r="F81" s="60"/>
      <c r="G81" s="1"/>
      <c r="H81" s="47" t="s">
        <v>4926</v>
      </c>
      <c r="I81" s="43">
        <v>6042070338</v>
      </c>
      <c r="J81" s="43" t="s">
        <v>4927</v>
      </c>
      <c r="K81" s="47" t="s">
        <v>4928</v>
      </c>
      <c r="L81" s="67" t="e">
        <f>VLOOKUP(G81,Input!C:Q,12,FALSE)</f>
        <v>#N/A</v>
      </c>
      <c r="M81" s="68" t="e">
        <f>VLOOKUP(G81,Input!C:Q,15,FALSE)</f>
        <v>#N/A</v>
      </c>
      <c r="N81" s="69" t="e">
        <f>VLOOKUP(G81,Input!C:Q,14,FALSE)</f>
        <v>#N/A</v>
      </c>
      <c r="Q81" s="48">
        <v>1</v>
      </c>
      <c r="R81" s="75" t="e">
        <f>VLOOKUP(G81,Input!C:H,5,FALSE)</f>
        <v>#N/A</v>
      </c>
      <c r="T81" s="47">
        <v>1</v>
      </c>
      <c r="U81" s="47" t="str">
        <f t="shared" si="1"/>
        <v>80,80,**,</v>
      </c>
      <c r="AC81" s="47">
        <v>80</v>
      </c>
      <c r="AD81" s="47">
        <v>80</v>
      </c>
    </row>
    <row r="82" spans="1:30" ht="15.75">
      <c r="A82" s="13" t="str">
        <f>IFERROR(VLOOKUP($G:$G,scan!$A:$B,2,0),"**")</f>
        <v>**</v>
      </c>
      <c r="B82" s="13" t="str">
        <f>IFERROR(VLOOKUP($G82,scan!A:C,3,0),"**")</f>
        <v>**</v>
      </c>
      <c r="C82" s="47">
        <v>81</v>
      </c>
      <c r="F82" s="60"/>
      <c r="G82" s="1"/>
      <c r="H82" s="47" t="s">
        <v>4926</v>
      </c>
      <c r="I82" s="43">
        <v>6042070338</v>
      </c>
      <c r="J82" s="43" t="s">
        <v>4927</v>
      </c>
      <c r="K82" s="47" t="s">
        <v>4928</v>
      </c>
      <c r="L82" s="67" t="e">
        <f>VLOOKUP(G82,Input!C:Q,12,FALSE)</f>
        <v>#N/A</v>
      </c>
      <c r="M82" s="68" t="e">
        <f>VLOOKUP(G82,Input!C:Q,15,FALSE)</f>
        <v>#N/A</v>
      </c>
      <c r="N82" s="69" t="e">
        <f>VLOOKUP(G82,Input!C:Q,14,FALSE)</f>
        <v>#N/A</v>
      </c>
      <c r="Q82" s="48">
        <v>1</v>
      </c>
      <c r="R82" s="75" t="e">
        <f>VLOOKUP(G82,Input!C:H,5,FALSE)</f>
        <v>#N/A</v>
      </c>
      <c r="T82" s="47">
        <v>1</v>
      </c>
      <c r="U82" s="47" t="str">
        <f t="shared" si="1"/>
        <v>81,81,**,</v>
      </c>
      <c r="AC82" s="47">
        <v>81</v>
      </c>
      <c r="AD82" s="47">
        <v>81</v>
      </c>
    </row>
    <row r="83" spans="1:30" ht="15.75">
      <c r="A83" s="13" t="str">
        <f>IFERROR(VLOOKUP($G:$G,scan!$A:$B,2,0),"**")</f>
        <v>**</v>
      </c>
      <c r="B83" s="13" t="str">
        <f>IFERROR(VLOOKUP($G83,scan!A:C,3,0),"**")</f>
        <v>**</v>
      </c>
      <c r="C83" s="47">
        <v>82</v>
      </c>
      <c r="F83" s="60"/>
      <c r="G83" s="1"/>
      <c r="H83" s="47" t="s">
        <v>4926</v>
      </c>
      <c r="I83" s="43">
        <v>6042070338</v>
      </c>
      <c r="J83" s="43" t="s">
        <v>4927</v>
      </c>
      <c r="K83" s="47" t="s">
        <v>4928</v>
      </c>
      <c r="L83" s="67" t="e">
        <f>VLOOKUP(G83,Input!C:Q,12,FALSE)</f>
        <v>#N/A</v>
      </c>
      <c r="M83" s="68" t="e">
        <f>VLOOKUP(G83,Input!C:Q,15,FALSE)</f>
        <v>#N/A</v>
      </c>
      <c r="N83" s="69" t="e">
        <f>VLOOKUP(G83,Input!C:Q,14,FALSE)</f>
        <v>#N/A</v>
      </c>
      <c r="Q83" s="48">
        <v>1</v>
      </c>
      <c r="R83" s="75" t="e">
        <f>VLOOKUP(G83,Input!C:H,5,FALSE)</f>
        <v>#N/A</v>
      </c>
      <c r="T83" s="47">
        <v>1</v>
      </c>
      <c r="U83" s="47" t="str">
        <f t="shared" si="1"/>
        <v>82,82,**,</v>
      </c>
      <c r="AC83" s="47">
        <v>82</v>
      </c>
      <c r="AD83" s="47">
        <v>82</v>
      </c>
    </row>
    <row r="84" spans="1:30" ht="15.75">
      <c r="A84" s="13" t="str">
        <f>IFERROR(VLOOKUP($G:$G,scan!$A:$B,2,0),"**")</f>
        <v>**</v>
      </c>
      <c r="B84" s="13" t="str">
        <f>IFERROR(VLOOKUP($G84,scan!A:C,3,0),"**")</f>
        <v>**</v>
      </c>
      <c r="C84" s="47">
        <v>83</v>
      </c>
      <c r="F84" s="60"/>
      <c r="G84" s="1"/>
      <c r="H84" s="47" t="s">
        <v>4926</v>
      </c>
      <c r="I84" s="43">
        <v>6042070338</v>
      </c>
      <c r="J84" s="43" t="s">
        <v>4927</v>
      </c>
      <c r="K84" s="47" t="s">
        <v>4928</v>
      </c>
      <c r="L84" s="67" t="e">
        <f>VLOOKUP(G84,Input!C:Q,12,FALSE)</f>
        <v>#N/A</v>
      </c>
      <c r="M84" s="68" t="e">
        <f>VLOOKUP(G84,Input!C:Q,15,FALSE)</f>
        <v>#N/A</v>
      </c>
      <c r="N84" s="69" t="e">
        <f>VLOOKUP(G84,Input!C:Q,14,FALSE)</f>
        <v>#N/A</v>
      </c>
      <c r="Q84" s="48">
        <v>1</v>
      </c>
      <c r="R84" s="75" t="e">
        <f>VLOOKUP(G84,Input!C:H,5,FALSE)</f>
        <v>#N/A</v>
      </c>
      <c r="T84" s="47">
        <v>1</v>
      </c>
      <c r="U84" s="47" t="str">
        <f t="shared" si="1"/>
        <v>83,83,**,</v>
      </c>
      <c r="AC84" s="47">
        <v>83</v>
      </c>
      <c r="AD84" s="47">
        <v>83</v>
      </c>
    </row>
    <row r="85" spans="1:30" ht="15.75">
      <c r="A85" s="13" t="str">
        <f>IFERROR(VLOOKUP($G:$G,scan!$A:$B,2,0),"**")</f>
        <v>**</v>
      </c>
      <c r="B85" s="13" t="str">
        <f>IFERROR(VLOOKUP($G85,scan!A:C,3,0),"**")</f>
        <v>**</v>
      </c>
      <c r="C85" s="47">
        <v>84</v>
      </c>
      <c r="F85" s="60"/>
      <c r="G85" s="1"/>
      <c r="H85" s="47" t="s">
        <v>4926</v>
      </c>
      <c r="I85" s="43">
        <v>6042070338</v>
      </c>
      <c r="J85" s="43" t="s">
        <v>4927</v>
      </c>
      <c r="K85" s="47" t="s">
        <v>4928</v>
      </c>
      <c r="L85" s="67" t="e">
        <f>VLOOKUP(G85,Input!C:Q,12,FALSE)</f>
        <v>#N/A</v>
      </c>
      <c r="M85" s="68" t="e">
        <f>VLOOKUP(G85,Input!C:Q,15,FALSE)</f>
        <v>#N/A</v>
      </c>
      <c r="N85" s="69" t="e">
        <f>VLOOKUP(G85,Input!C:Q,14,FALSE)</f>
        <v>#N/A</v>
      </c>
      <c r="Q85" s="48">
        <v>1</v>
      </c>
      <c r="R85" s="75" t="e">
        <f>VLOOKUP(G85,Input!C:H,5,FALSE)</f>
        <v>#N/A</v>
      </c>
      <c r="T85" s="47">
        <v>1</v>
      </c>
      <c r="U85" s="47" t="str">
        <f t="shared" si="1"/>
        <v>84,84,**,</v>
      </c>
      <c r="AC85" s="47">
        <v>84</v>
      </c>
      <c r="AD85" s="47">
        <v>84</v>
      </c>
    </row>
    <row r="86" spans="1:30" ht="15.75">
      <c r="A86" s="13" t="str">
        <f>IFERROR(VLOOKUP($G:$G,scan!$A:$B,2,0),"**")</f>
        <v>**</v>
      </c>
      <c r="B86" s="13" t="str">
        <f>IFERROR(VLOOKUP($G86,scan!A:C,3,0),"**")</f>
        <v>**</v>
      </c>
      <c r="C86" s="47">
        <v>85</v>
      </c>
      <c r="F86" s="60"/>
      <c r="G86" s="1"/>
      <c r="H86" s="47" t="s">
        <v>4926</v>
      </c>
      <c r="I86" s="43">
        <v>6042070338</v>
      </c>
      <c r="J86" s="43" t="s">
        <v>4927</v>
      </c>
      <c r="K86" s="47" t="s">
        <v>4928</v>
      </c>
      <c r="L86" s="67" t="e">
        <f>VLOOKUP(G86,Input!C:Q,12,FALSE)</f>
        <v>#N/A</v>
      </c>
      <c r="M86" s="68" t="e">
        <f>VLOOKUP(G86,Input!C:Q,15,FALSE)</f>
        <v>#N/A</v>
      </c>
      <c r="N86" s="69" t="e">
        <f>VLOOKUP(G86,Input!C:Q,14,FALSE)</f>
        <v>#N/A</v>
      </c>
      <c r="Q86" s="48">
        <v>1</v>
      </c>
      <c r="R86" s="75" t="e">
        <f>VLOOKUP(G86,Input!C:H,5,FALSE)</f>
        <v>#N/A</v>
      </c>
      <c r="T86" s="47">
        <v>1</v>
      </c>
      <c r="U86" s="47" t="str">
        <f t="shared" si="1"/>
        <v>85,85,**,</v>
      </c>
      <c r="AC86" s="47">
        <v>85</v>
      </c>
      <c r="AD86" s="47">
        <v>85</v>
      </c>
    </row>
    <row r="87" spans="1:30" ht="15.75">
      <c r="A87" s="13" t="str">
        <f>IFERROR(VLOOKUP($G:$G,scan!$A:$B,2,0),"**")</f>
        <v>**</v>
      </c>
      <c r="B87" s="13" t="str">
        <f>IFERROR(VLOOKUP($G87,scan!A:C,3,0),"**")</f>
        <v>**</v>
      </c>
      <c r="C87" s="47">
        <v>86</v>
      </c>
      <c r="F87" s="60"/>
      <c r="G87" s="1"/>
      <c r="H87" s="47" t="s">
        <v>4926</v>
      </c>
      <c r="I87" s="43">
        <v>6042070338</v>
      </c>
      <c r="J87" s="43" t="s">
        <v>4927</v>
      </c>
      <c r="K87" s="47" t="s">
        <v>4928</v>
      </c>
      <c r="L87" s="67" t="e">
        <f>VLOOKUP(G87,Input!C:Q,12,FALSE)</f>
        <v>#N/A</v>
      </c>
      <c r="M87" s="68" t="e">
        <f>VLOOKUP(G87,Input!C:Q,15,FALSE)</f>
        <v>#N/A</v>
      </c>
      <c r="N87" s="69" t="e">
        <f>VLOOKUP(G87,Input!C:Q,14,FALSE)</f>
        <v>#N/A</v>
      </c>
      <c r="Q87" s="48">
        <v>1</v>
      </c>
      <c r="R87" s="75" t="e">
        <f>VLOOKUP(G87,Input!C:H,5,FALSE)</f>
        <v>#N/A</v>
      </c>
      <c r="T87" s="47">
        <v>1</v>
      </c>
      <c r="U87" s="47" t="str">
        <f t="shared" si="1"/>
        <v>86,86,**,</v>
      </c>
      <c r="AC87" s="47">
        <v>86</v>
      </c>
      <c r="AD87" s="47">
        <v>86</v>
      </c>
    </row>
    <row r="88" spans="1:30" ht="15.75">
      <c r="A88" s="13" t="str">
        <f>IFERROR(VLOOKUP($G:$G,scan!$A:$B,2,0),"**")</f>
        <v>**</v>
      </c>
      <c r="B88" s="13" t="str">
        <f>IFERROR(VLOOKUP($G88,scan!A:C,3,0),"**")</f>
        <v>**</v>
      </c>
      <c r="C88" s="47">
        <v>87</v>
      </c>
      <c r="F88" s="60"/>
      <c r="G88" s="1"/>
      <c r="H88" s="47" t="s">
        <v>4926</v>
      </c>
      <c r="I88" s="43">
        <v>6042070338</v>
      </c>
      <c r="J88" s="43" t="s">
        <v>4927</v>
      </c>
      <c r="K88" s="47" t="s">
        <v>4928</v>
      </c>
      <c r="L88" s="67" t="e">
        <f>VLOOKUP(G88,Input!C:Q,12,FALSE)</f>
        <v>#N/A</v>
      </c>
      <c r="M88" s="68" t="e">
        <f>VLOOKUP(G88,Input!C:Q,15,FALSE)</f>
        <v>#N/A</v>
      </c>
      <c r="N88" s="69" t="e">
        <f>VLOOKUP(G88,Input!C:Q,14,FALSE)</f>
        <v>#N/A</v>
      </c>
      <c r="Q88" s="48">
        <v>1</v>
      </c>
      <c r="R88" s="75" t="e">
        <f>VLOOKUP(G88,Input!C:H,5,FALSE)</f>
        <v>#N/A</v>
      </c>
      <c r="T88" s="47">
        <v>1</v>
      </c>
      <c r="U88" s="47" t="str">
        <f t="shared" si="1"/>
        <v>87,87,**,</v>
      </c>
      <c r="AC88" s="47">
        <v>87</v>
      </c>
      <c r="AD88" s="47">
        <v>87</v>
      </c>
    </row>
    <row r="89" spans="1:30" ht="15.75">
      <c r="A89" s="13" t="str">
        <f>IFERROR(VLOOKUP($G:$G,scan!$A:$B,2,0),"**")</f>
        <v>**</v>
      </c>
      <c r="B89" s="13" t="str">
        <f>IFERROR(VLOOKUP($G89,scan!A:C,3,0),"**")</f>
        <v>**</v>
      </c>
      <c r="C89" s="47">
        <v>88</v>
      </c>
      <c r="F89" s="60"/>
      <c r="G89" s="1"/>
      <c r="H89" s="47" t="s">
        <v>4926</v>
      </c>
      <c r="I89" s="43">
        <v>6042070338</v>
      </c>
      <c r="J89" s="43" t="s">
        <v>4927</v>
      </c>
      <c r="K89" s="47" t="s">
        <v>4928</v>
      </c>
      <c r="L89" s="67" t="e">
        <f>VLOOKUP(G89,Input!C:Q,12,FALSE)</f>
        <v>#N/A</v>
      </c>
      <c r="M89" s="68" t="e">
        <f>VLOOKUP(G89,Input!C:Q,15,FALSE)</f>
        <v>#N/A</v>
      </c>
      <c r="N89" s="69" t="e">
        <f>VLOOKUP(G89,Input!C:Q,14,FALSE)</f>
        <v>#N/A</v>
      </c>
      <c r="Q89" s="48">
        <v>1</v>
      </c>
      <c r="R89" s="75" t="e">
        <f>VLOOKUP(G89,Input!C:H,5,FALSE)</f>
        <v>#N/A</v>
      </c>
      <c r="T89" s="47">
        <v>1</v>
      </c>
      <c r="U89" s="47" t="str">
        <f t="shared" si="1"/>
        <v>88,88,**,</v>
      </c>
      <c r="AC89" s="47">
        <v>88</v>
      </c>
      <c r="AD89" s="47">
        <v>88</v>
      </c>
    </row>
    <row r="90" spans="1:30" ht="15.75">
      <c r="A90" s="13" t="str">
        <f>IFERROR(VLOOKUP($G:$G,scan!$A:$B,2,0),"**")</f>
        <v>**</v>
      </c>
      <c r="B90" s="13" t="str">
        <f>IFERROR(VLOOKUP($G90,scan!A:C,3,0),"**")</f>
        <v>**</v>
      </c>
      <c r="C90" s="47">
        <v>89</v>
      </c>
      <c r="F90" s="60"/>
      <c r="G90" s="1"/>
      <c r="H90" s="47" t="s">
        <v>4926</v>
      </c>
      <c r="I90" s="43">
        <v>6042070338</v>
      </c>
      <c r="J90" s="43" t="s">
        <v>4927</v>
      </c>
      <c r="K90" s="47" t="s">
        <v>4928</v>
      </c>
      <c r="L90" s="67" t="e">
        <f>VLOOKUP(G90,Input!C:Q,12,FALSE)</f>
        <v>#N/A</v>
      </c>
      <c r="M90" s="68" t="e">
        <f>VLOOKUP(G90,Input!C:Q,15,FALSE)</f>
        <v>#N/A</v>
      </c>
      <c r="N90" s="69" t="e">
        <f>VLOOKUP(G90,Input!C:Q,14,FALSE)</f>
        <v>#N/A</v>
      </c>
      <c r="Q90" s="48">
        <v>1</v>
      </c>
      <c r="R90" s="75" t="e">
        <f>VLOOKUP(G90,Input!C:H,5,FALSE)</f>
        <v>#N/A</v>
      </c>
      <c r="T90" s="47">
        <v>1</v>
      </c>
      <c r="U90" s="47" t="str">
        <f t="shared" si="1"/>
        <v>89,89,**,</v>
      </c>
      <c r="AC90" s="47">
        <v>89</v>
      </c>
      <c r="AD90" s="47">
        <v>89</v>
      </c>
    </row>
    <row r="91" spans="1:30" ht="15.75">
      <c r="A91" s="13" t="str">
        <f>IFERROR(VLOOKUP($G:$G,scan!$A:$B,2,0),"**")</f>
        <v>**</v>
      </c>
      <c r="B91" s="13" t="str">
        <f>IFERROR(VLOOKUP($G91,scan!A:C,3,0),"**")</f>
        <v>**</v>
      </c>
      <c r="C91" s="47">
        <v>90</v>
      </c>
      <c r="F91" s="60"/>
      <c r="G91" s="1"/>
      <c r="H91" s="47" t="s">
        <v>4926</v>
      </c>
      <c r="I91" s="43">
        <v>6042070338</v>
      </c>
      <c r="J91" s="43" t="s">
        <v>4927</v>
      </c>
      <c r="K91" s="47" t="s">
        <v>4928</v>
      </c>
      <c r="L91" s="67" t="e">
        <f>VLOOKUP(G91,Input!C:Q,12,FALSE)</f>
        <v>#N/A</v>
      </c>
      <c r="M91" s="68" t="e">
        <f>VLOOKUP(G91,Input!C:Q,15,FALSE)</f>
        <v>#N/A</v>
      </c>
      <c r="N91" s="69" t="e">
        <f>VLOOKUP(G91,Input!C:Q,14,FALSE)</f>
        <v>#N/A</v>
      </c>
      <c r="Q91" s="48">
        <v>1</v>
      </c>
      <c r="R91" s="75" t="e">
        <f>VLOOKUP(G91,Input!C:H,5,FALSE)</f>
        <v>#N/A</v>
      </c>
      <c r="T91" s="47">
        <v>1</v>
      </c>
      <c r="U91" s="47" t="str">
        <f t="shared" si="1"/>
        <v>90,90,**,</v>
      </c>
      <c r="AC91" s="47">
        <v>90</v>
      </c>
      <c r="AD91" s="47">
        <v>90</v>
      </c>
    </row>
    <row r="92" spans="1:30" ht="15.75">
      <c r="A92" s="13" t="str">
        <f>IFERROR(VLOOKUP($G:$G,scan!$A:$B,2,0),"**")</f>
        <v>**</v>
      </c>
      <c r="B92" s="13" t="str">
        <f>IFERROR(VLOOKUP($G92,scan!A:C,3,0),"**")</f>
        <v>**</v>
      </c>
      <c r="C92" s="47">
        <v>91</v>
      </c>
      <c r="F92" s="60"/>
      <c r="G92" s="1"/>
      <c r="H92" s="47" t="s">
        <v>4926</v>
      </c>
      <c r="I92" s="43">
        <v>6042070338</v>
      </c>
      <c r="J92" s="43" t="s">
        <v>4927</v>
      </c>
      <c r="K92" s="47" t="s">
        <v>4928</v>
      </c>
      <c r="L92" s="67" t="e">
        <f>VLOOKUP(G92,Input!C:Q,12,FALSE)</f>
        <v>#N/A</v>
      </c>
      <c r="M92" s="68" t="e">
        <f>VLOOKUP(G92,Input!C:Q,15,FALSE)</f>
        <v>#N/A</v>
      </c>
      <c r="N92" s="69" t="e">
        <f>VLOOKUP(G92,Input!C:Q,14,FALSE)</f>
        <v>#N/A</v>
      </c>
      <c r="Q92" s="48">
        <v>1</v>
      </c>
      <c r="R92" s="75" t="e">
        <f>VLOOKUP(G92,Input!C:H,5,FALSE)</f>
        <v>#N/A</v>
      </c>
      <c r="T92" s="47">
        <v>1</v>
      </c>
      <c r="U92" s="47" t="str">
        <f t="shared" si="1"/>
        <v>91,91,**,</v>
      </c>
      <c r="AC92" s="47">
        <v>91</v>
      </c>
      <c r="AD92" s="47">
        <v>91</v>
      </c>
    </row>
    <row r="93" spans="1:30" ht="15.75">
      <c r="A93" s="13" t="str">
        <f>IFERROR(VLOOKUP($G:$G,scan!$A:$B,2,0),"**")</f>
        <v>**</v>
      </c>
      <c r="B93" s="13" t="str">
        <f>IFERROR(VLOOKUP($G93,scan!A:C,3,0),"**")</f>
        <v>**</v>
      </c>
      <c r="C93" s="47">
        <v>92</v>
      </c>
      <c r="F93" s="60"/>
      <c r="G93" s="1"/>
      <c r="H93" s="47" t="s">
        <v>4926</v>
      </c>
      <c r="I93" s="43">
        <v>6042070338</v>
      </c>
      <c r="J93" s="43" t="s">
        <v>4927</v>
      </c>
      <c r="K93" s="47" t="s">
        <v>4928</v>
      </c>
      <c r="L93" s="67" t="e">
        <f>VLOOKUP(G93,Input!C:Q,12,FALSE)</f>
        <v>#N/A</v>
      </c>
      <c r="M93" s="68" t="e">
        <f>VLOOKUP(G93,Input!C:Q,15,FALSE)</f>
        <v>#N/A</v>
      </c>
      <c r="N93" s="69" t="e">
        <f>VLOOKUP(G93,Input!C:Q,14,FALSE)</f>
        <v>#N/A</v>
      </c>
      <c r="Q93" s="48">
        <v>1</v>
      </c>
      <c r="R93" s="75" t="e">
        <f>VLOOKUP(G93,Input!C:H,5,FALSE)</f>
        <v>#N/A</v>
      </c>
      <c r="T93" s="47">
        <v>1</v>
      </c>
      <c r="U93" s="47" t="str">
        <f t="shared" si="1"/>
        <v>92,92,**,</v>
      </c>
      <c r="AC93" s="47">
        <v>92</v>
      </c>
      <c r="AD93" s="47">
        <v>92</v>
      </c>
    </row>
    <row r="94" spans="1:30" ht="15.75">
      <c r="A94" s="13" t="str">
        <f>IFERROR(VLOOKUP($G:$G,scan!$A:$B,2,0),"**")</f>
        <v>**</v>
      </c>
      <c r="B94" s="13" t="str">
        <f>IFERROR(VLOOKUP($G94,scan!A:C,3,0),"**")</f>
        <v>**</v>
      </c>
      <c r="C94" s="47">
        <v>93</v>
      </c>
      <c r="F94" s="60"/>
      <c r="G94" s="1"/>
      <c r="H94" s="47" t="s">
        <v>4926</v>
      </c>
      <c r="I94" s="43">
        <v>6042070338</v>
      </c>
      <c r="J94" s="43" t="s">
        <v>4927</v>
      </c>
      <c r="K94" s="47" t="s">
        <v>4928</v>
      </c>
      <c r="L94" s="67" t="e">
        <f>VLOOKUP(G94,Input!C:Q,12,FALSE)</f>
        <v>#N/A</v>
      </c>
      <c r="M94" s="68" t="e">
        <f>VLOOKUP(G94,Input!C:Q,15,FALSE)</f>
        <v>#N/A</v>
      </c>
      <c r="N94" s="69" t="e">
        <f>VLOOKUP(G94,Input!C:Q,14,FALSE)</f>
        <v>#N/A</v>
      </c>
      <c r="Q94" s="48">
        <v>1</v>
      </c>
      <c r="R94" s="75" t="e">
        <f>VLOOKUP(G94,Input!C:H,5,FALSE)</f>
        <v>#N/A</v>
      </c>
      <c r="T94" s="47">
        <v>1</v>
      </c>
      <c r="U94" s="47" t="str">
        <f t="shared" si="1"/>
        <v>93,93,**,</v>
      </c>
      <c r="AC94" s="47">
        <v>93</v>
      </c>
      <c r="AD94" s="47">
        <v>93</v>
      </c>
    </row>
    <row r="95" spans="1:30" ht="15.75">
      <c r="A95" s="13" t="str">
        <f>IFERROR(VLOOKUP($G:$G,scan!$A:$B,2,0),"**")</f>
        <v>**</v>
      </c>
      <c r="B95" s="13" t="str">
        <f>IFERROR(VLOOKUP($G95,scan!A:C,3,0),"**")</f>
        <v>**</v>
      </c>
      <c r="C95" s="47">
        <v>94</v>
      </c>
      <c r="F95" s="60"/>
      <c r="G95" s="1"/>
      <c r="H95" s="47" t="s">
        <v>4926</v>
      </c>
      <c r="I95" s="43">
        <v>6042070338</v>
      </c>
      <c r="J95" s="43" t="s">
        <v>4927</v>
      </c>
      <c r="K95" s="47" t="s">
        <v>4928</v>
      </c>
      <c r="L95" s="67" t="e">
        <f>VLOOKUP(G95,Input!C:Q,12,FALSE)</f>
        <v>#N/A</v>
      </c>
      <c r="M95" s="68" t="e">
        <f>VLOOKUP(G95,Input!C:Q,15,FALSE)</f>
        <v>#N/A</v>
      </c>
      <c r="N95" s="69" t="e">
        <f>VLOOKUP(G95,Input!C:Q,14,FALSE)</f>
        <v>#N/A</v>
      </c>
      <c r="Q95" s="48">
        <v>1</v>
      </c>
      <c r="R95" s="75" t="e">
        <f>VLOOKUP(G95,Input!C:H,5,FALSE)</f>
        <v>#N/A</v>
      </c>
      <c r="T95" s="47">
        <v>1</v>
      </c>
      <c r="U95" s="47" t="str">
        <f t="shared" si="1"/>
        <v>94,94,**,</v>
      </c>
      <c r="AC95" s="47">
        <v>94</v>
      </c>
      <c r="AD95" s="47">
        <v>94</v>
      </c>
    </row>
    <row r="96" spans="1:30" ht="15.75">
      <c r="A96" s="13" t="str">
        <f>IFERROR(VLOOKUP($G:$G,scan!$A:$B,2,0),"**")</f>
        <v>**</v>
      </c>
      <c r="B96" s="13" t="str">
        <f>IFERROR(VLOOKUP($G96,scan!A:C,3,0),"**")</f>
        <v>**</v>
      </c>
      <c r="C96" s="47">
        <v>95</v>
      </c>
      <c r="F96" s="60"/>
      <c r="G96" s="1"/>
      <c r="H96" s="47" t="s">
        <v>4926</v>
      </c>
      <c r="I96" s="43">
        <v>6042070338</v>
      </c>
      <c r="J96" s="43" t="s">
        <v>4927</v>
      </c>
      <c r="K96" s="47" t="s">
        <v>4928</v>
      </c>
      <c r="L96" s="67" t="e">
        <f>VLOOKUP(G96,Input!C:Q,12,FALSE)</f>
        <v>#N/A</v>
      </c>
      <c r="M96" s="68" t="e">
        <f>VLOOKUP(G96,Input!C:Q,15,FALSE)</f>
        <v>#N/A</v>
      </c>
      <c r="N96" s="69" t="e">
        <f>VLOOKUP(G96,Input!C:Q,14,FALSE)</f>
        <v>#N/A</v>
      </c>
      <c r="Q96" s="48">
        <v>1</v>
      </c>
      <c r="R96" s="75" t="e">
        <f>VLOOKUP(G96,Input!C:H,5,FALSE)</f>
        <v>#N/A</v>
      </c>
      <c r="T96" s="47">
        <v>1</v>
      </c>
      <c r="U96" s="47" t="str">
        <f t="shared" si="1"/>
        <v>95,95,**,</v>
      </c>
      <c r="AC96" s="47">
        <v>95</v>
      </c>
      <c r="AD96" s="47">
        <v>95</v>
      </c>
    </row>
    <row r="97" spans="1:30" ht="15.75">
      <c r="A97" s="13" t="str">
        <f>IFERROR(VLOOKUP($G:$G,scan!$A:$B,2,0),"**")</f>
        <v>**</v>
      </c>
      <c r="B97" s="13" t="str">
        <f>IFERROR(VLOOKUP($G97,scan!A:C,3,0),"**")</f>
        <v>**</v>
      </c>
      <c r="C97" s="47">
        <v>96</v>
      </c>
      <c r="F97" s="60"/>
      <c r="G97" s="1"/>
      <c r="H97" s="47" t="s">
        <v>4926</v>
      </c>
      <c r="I97" s="43">
        <v>6042070338</v>
      </c>
      <c r="J97" s="43" t="s">
        <v>4927</v>
      </c>
      <c r="K97" s="47" t="s">
        <v>4928</v>
      </c>
      <c r="L97" s="67" t="e">
        <f>VLOOKUP(G97,Input!C:Q,12,FALSE)</f>
        <v>#N/A</v>
      </c>
      <c r="M97" s="68" t="e">
        <f>VLOOKUP(G97,Input!C:Q,15,FALSE)</f>
        <v>#N/A</v>
      </c>
      <c r="N97" s="69" t="e">
        <f>VLOOKUP(G97,Input!C:Q,14,FALSE)</f>
        <v>#N/A</v>
      </c>
      <c r="Q97" s="48">
        <v>1</v>
      </c>
      <c r="R97" s="75" t="e">
        <f>VLOOKUP(G97,Input!C:H,5,FALSE)</f>
        <v>#N/A</v>
      </c>
      <c r="T97" s="47">
        <v>1</v>
      </c>
      <c r="U97" s="47" t="str">
        <f t="shared" si="1"/>
        <v>96,96,**,</v>
      </c>
      <c r="AC97" s="47">
        <v>96</v>
      </c>
      <c r="AD97" s="47">
        <v>96</v>
      </c>
    </row>
    <row r="98" spans="1:30" ht="15.75">
      <c r="A98" s="13" t="str">
        <f>IFERROR(VLOOKUP($G:$G,scan!$A:$B,2,0),"**")</f>
        <v>**</v>
      </c>
      <c r="B98" s="13" t="str">
        <f>IFERROR(VLOOKUP($G98,scan!A:C,3,0),"**")</f>
        <v>**</v>
      </c>
      <c r="C98" s="47">
        <v>97</v>
      </c>
      <c r="F98" s="60"/>
      <c r="G98" s="1"/>
      <c r="H98" s="47" t="s">
        <v>4926</v>
      </c>
      <c r="I98" s="43">
        <v>6042070338</v>
      </c>
      <c r="J98" s="43" t="s">
        <v>4927</v>
      </c>
      <c r="K98" s="47" t="s">
        <v>4928</v>
      </c>
      <c r="L98" s="67" t="e">
        <f>VLOOKUP(G98,Input!C:Q,12,FALSE)</f>
        <v>#N/A</v>
      </c>
      <c r="M98" s="68" t="e">
        <f>VLOOKUP(G98,Input!C:Q,15,FALSE)</f>
        <v>#N/A</v>
      </c>
      <c r="N98" s="69" t="e">
        <f>VLOOKUP(G98,Input!C:Q,14,FALSE)</f>
        <v>#N/A</v>
      </c>
      <c r="Q98" s="48">
        <v>1</v>
      </c>
      <c r="R98" s="75" t="e">
        <f>VLOOKUP(G98,Input!C:H,5,FALSE)</f>
        <v>#N/A</v>
      </c>
      <c r="T98" s="47">
        <v>1</v>
      </c>
      <c r="U98" s="47" t="str">
        <f t="shared" si="1"/>
        <v>97,97,**,</v>
      </c>
      <c r="AC98" s="47">
        <v>97</v>
      </c>
      <c r="AD98" s="47">
        <v>97</v>
      </c>
    </row>
    <row r="99" spans="1:30" ht="15.75">
      <c r="A99" s="13" t="str">
        <f>IFERROR(VLOOKUP($G:$G,scan!$A:$B,2,0),"**")</f>
        <v>**</v>
      </c>
      <c r="B99" s="13" t="str">
        <f>IFERROR(VLOOKUP($G99,scan!A:C,3,0),"**")</f>
        <v>**</v>
      </c>
      <c r="C99" s="47">
        <v>98</v>
      </c>
      <c r="F99" s="60"/>
      <c r="G99" s="1"/>
      <c r="H99" s="47" t="s">
        <v>4926</v>
      </c>
      <c r="I99" s="43">
        <v>6042070338</v>
      </c>
      <c r="J99" s="43" t="s">
        <v>4927</v>
      </c>
      <c r="K99" s="47" t="s">
        <v>4928</v>
      </c>
      <c r="L99" s="67" t="e">
        <f>VLOOKUP(G99,Input!C:Q,12,FALSE)</f>
        <v>#N/A</v>
      </c>
      <c r="M99" s="68" t="e">
        <f>VLOOKUP(G99,Input!C:Q,15,FALSE)</f>
        <v>#N/A</v>
      </c>
      <c r="N99" s="69" t="e">
        <f>VLOOKUP(G99,Input!C:Q,14,FALSE)</f>
        <v>#N/A</v>
      </c>
      <c r="Q99" s="48">
        <v>1</v>
      </c>
      <c r="R99" s="75" t="e">
        <f>VLOOKUP(G99,Input!C:H,5,FALSE)</f>
        <v>#N/A</v>
      </c>
      <c r="T99" s="47">
        <v>1</v>
      </c>
      <c r="U99" s="47" t="str">
        <f t="shared" si="1"/>
        <v>98,98,**,</v>
      </c>
      <c r="AC99" s="47">
        <v>98</v>
      </c>
      <c r="AD99" s="47">
        <v>98</v>
      </c>
    </row>
    <row r="100" spans="1:30" ht="15.75">
      <c r="A100" s="13" t="str">
        <f>IFERROR(VLOOKUP($G:$G,scan!$A:$B,2,0),"**")</f>
        <v>**</v>
      </c>
      <c r="B100" s="13" t="str">
        <f>IFERROR(VLOOKUP($G100,scan!A:C,3,0),"**")</f>
        <v>**</v>
      </c>
      <c r="C100" s="47">
        <v>99</v>
      </c>
      <c r="F100" s="60"/>
      <c r="G100" s="1"/>
      <c r="H100" s="47" t="s">
        <v>4926</v>
      </c>
      <c r="I100" s="43">
        <v>6042070338</v>
      </c>
      <c r="J100" s="43" t="s">
        <v>4927</v>
      </c>
      <c r="K100" s="47" t="s">
        <v>4928</v>
      </c>
      <c r="L100" s="67" t="e">
        <f>VLOOKUP(G100,Input!C:Q,12,FALSE)</f>
        <v>#N/A</v>
      </c>
      <c r="M100" s="68" t="e">
        <f>VLOOKUP(G100,Input!C:Q,15,FALSE)</f>
        <v>#N/A</v>
      </c>
      <c r="N100" s="69" t="e">
        <f>VLOOKUP(G100,Input!C:Q,14,FALSE)</f>
        <v>#N/A</v>
      </c>
      <c r="Q100" s="48">
        <v>1</v>
      </c>
      <c r="R100" s="75" t="e">
        <f>VLOOKUP(G100,Input!C:H,5,FALSE)</f>
        <v>#N/A</v>
      </c>
      <c r="T100" s="47">
        <v>1</v>
      </c>
      <c r="U100" s="47" t="str">
        <f t="shared" si="1"/>
        <v>99,99,**,</v>
      </c>
      <c r="AC100" s="47">
        <v>99</v>
      </c>
      <c r="AD100" s="47">
        <v>99</v>
      </c>
    </row>
    <row r="101" spans="1:30" ht="15.75">
      <c r="A101" s="13" t="str">
        <f>IFERROR(VLOOKUP($G:$G,scan!$A:$B,2,0),"**")</f>
        <v>**</v>
      </c>
      <c r="B101" s="13" t="str">
        <f>IFERROR(VLOOKUP($G101,scan!A:C,3,0),"**")</f>
        <v>**</v>
      </c>
      <c r="C101" s="47">
        <v>100</v>
      </c>
      <c r="F101" s="60"/>
      <c r="G101" s="1"/>
      <c r="H101" s="47" t="s">
        <v>4926</v>
      </c>
      <c r="I101" s="43">
        <v>6042070338</v>
      </c>
      <c r="J101" s="43" t="s">
        <v>4927</v>
      </c>
      <c r="K101" s="47" t="s">
        <v>4928</v>
      </c>
      <c r="L101" s="67" t="e">
        <f>VLOOKUP(G101,Input!C:Q,12,FALSE)</f>
        <v>#N/A</v>
      </c>
      <c r="M101" s="68" t="e">
        <f>VLOOKUP(G101,Input!C:Q,15,FALSE)</f>
        <v>#N/A</v>
      </c>
      <c r="N101" s="69" t="e">
        <f>VLOOKUP(G101,Input!C:Q,14,FALSE)</f>
        <v>#N/A</v>
      </c>
      <c r="Q101" s="48">
        <v>1</v>
      </c>
      <c r="R101" s="75" t="e">
        <f>VLOOKUP(G101,Input!C:H,5,FALSE)</f>
        <v>#N/A</v>
      </c>
      <c r="T101" s="47">
        <v>1</v>
      </c>
      <c r="U101" s="47" t="str">
        <f t="shared" si="1"/>
        <v>100,100,**,</v>
      </c>
      <c r="AC101" s="47">
        <v>100</v>
      </c>
      <c r="AD101" s="47">
        <v>100</v>
      </c>
    </row>
    <row r="102" spans="1:30" ht="15.75">
      <c r="A102" s="13" t="str">
        <f>IFERROR(VLOOKUP($G:$G,scan!$A:$B,2,0),"**")</f>
        <v>**</v>
      </c>
      <c r="B102" s="13" t="str">
        <f>IFERROR(VLOOKUP($G102,scan!A:C,3,0),"**")</f>
        <v>**</v>
      </c>
      <c r="C102" s="47">
        <v>101</v>
      </c>
      <c r="F102" s="60"/>
      <c r="G102" s="1"/>
      <c r="H102" s="47" t="s">
        <v>4926</v>
      </c>
      <c r="I102" s="43">
        <v>6042070338</v>
      </c>
      <c r="J102" s="43" t="s">
        <v>4927</v>
      </c>
      <c r="K102" s="47" t="s">
        <v>4928</v>
      </c>
      <c r="L102" s="67" t="e">
        <f>VLOOKUP(G102,Input!C:Q,12,FALSE)</f>
        <v>#N/A</v>
      </c>
      <c r="M102" s="68" t="e">
        <f>VLOOKUP(G102,Input!C:Q,15,FALSE)</f>
        <v>#N/A</v>
      </c>
      <c r="N102" s="69" t="e">
        <f>VLOOKUP(G102,Input!C:Q,14,FALSE)</f>
        <v>#N/A</v>
      </c>
      <c r="Q102" s="48">
        <v>1</v>
      </c>
      <c r="R102" s="75" t="e">
        <f>VLOOKUP(G102,Input!C:H,5,FALSE)</f>
        <v>#N/A</v>
      </c>
      <c r="T102" s="47">
        <v>1</v>
      </c>
      <c r="U102" s="47" t="str">
        <f t="shared" si="1"/>
        <v>101,101,**,</v>
      </c>
      <c r="AC102" s="47">
        <v>101</v>
      </c>
      <c r="AD102" s="47">
        <v>101</v>
      </c>
    </row>
    <row r="103" spans="1:30" ht="15.75">
      <c r="A103" s="13" t="str">
        <f>IFERROR(VLOOKUP($G:$G,scan!$A:$B,2,0),"**")</f>
        <v>**</v>
      </c>
      <c r="B103" s="13" t="str">
        <f>IFERROR(VLOOKUP($G103,scan!A:C,3,0),"**")</f>
        <v>**</v>
      </c>
      <c r="C103" s="47">
        <v>102</v>
      </c>
      <c r="F103" s="60"/>
      <c r="G103" s="1"/>
      <c r="H103" s="47" t="s">
        <v>4926</v>
      </c>
      <c r="I103" s="43">
        <v>6042070338</v>
      </c>
      <c r="J103" s="43" t="s">
        <v>4927</v>
      </c>
      <c r="K103" s="47" t="s">
        <v>4928</v>
      </c>
      <c r="L103" s="67" t="e">
        <f>VLOOKUP(G103,Input!C:Q,12,FALSE)</f>
        <v>#N/A</v>
      </c>
      <c r="M103" s="68" t="e">
        <f>VLOOKUP(G103,Input!C:Q,15,FALSE)</f>
        <v>#N/A</v>
      </c>
      <c r="N103" s="69" t="e">
        <f>VLOOKUP(G103,Input!C:Q,14,FALSE)</f>
        <v>#N/A</v>
      </c>
      <c r="Q103" s="48">
        <v>1</v>
      </c>
      <c r="R103" s="75" t="e">
        <f>VLOOKUP(G103,Input!C:H,5,FALSE)</f>
        <v>#N/A</v>
      </c>
      <c r="T103" s="47">
        <v>1</v>
      </c>
      <c r="U103" s="47" t="str">
        <f t="shared" si="1"/>
        <v>102,102,**,</v>
      </c>
      <c r="AC103" s="47">
        <v>102</v>
      </c>
      <c r="AD103" s="47">
        <v>102</v>
      </c>
    </row>
    <row r="104" spans="1:30" ht="15.75">
      <c r="A104" s="13" t="str">
        <f>IFERROR(VLOOKUP($G:$G,scan!$A:$B,2,0),"**")</f>
        <v>**</v>
      </c>
      <c r="B104" s="13" t="str">
        <f>IFERROR(VLOOKUP($G104,scan!A:C,3,0),"**")</f>
        <v>**</v>
      </c>
      <c r="C104" s="47">
        <v>103</v>
      </c>
      <c r="F104" s="60"/>
      <c r="G104" s="1"/>
      <c r="H104" s="47" t="s">
        <v>4926</v>
      </c>
      <c r="I104" s="43">
        <v>6042070338</v>
      </c>
      <c r="J104" s="43" t="s">
        <v>4927</v>
      </c>
      <c r="K104" s="47" t="s">
        <v>4928</v>
      </c>
      <c r="L104" s="67" t="e">
        <f>VLOOKUP(G104,Input!C:Q,12,FALSE)</f>
        <v>#N/A</v>
      </c>
      <c r="M104" s="68" t="e">
        <f>VLOOKUP(G104,Input!C:Q,15,FALSE)</f>
        <v>#N/A</v>
      </c>
      <c r="N104" s="69" t="e">
        <f>VLOOKUP(G104,Input!C:Q,14,FALSE)</f>
        <v>#N/A</v>
      </c>
      <c r="Q104" s="48">
        <v>1</v>
      </c>
      <c r="R104" s="75" t="e">
        <f>VLOOKUP(G104,Input!C:H,5,FALSE)</f>
        <v>#N/A</v>
      </c>
      <c r="T104" s="47">
        <v>1</v>
      </c>
      <c r="U104" s="47" t="str">
        <f t="shared" si="1"/>
        <v>103,103,**,</v>
      </c>
      <c r="AC104" s="47">
        <v>103</v>
      </c>
      <c r="AD104" s="47">
        <v>103</v>
      </c>
    </row>
    <row r="105" spans="1:30" ht="15.75">
      <c r="A105" s="13" t="str">
        <f>IFERROR(VLOOKUP($G:$G,scan!$A:$B,2,0),"**")</f>
        <v>**</v>
      </c>
      <c r="B105" s="13" t="str">
        <f>IFERROR(VLOOKUP($G105,scan!A:C,3,0),"**")</f>
        <v>**</v>
      </c>
      <c r="C105" s="47">
        <v>104</v>
      </c>
      <c r="F105" s="60"/>
      <c r="G105" s="1"/>
      <c r="H105" s="47" t="s">
        <v>4926</v>
      </c>
      <c r="I105" s="43">
        <v>6042070338</v>
      </c>
      <c r="J105" s="43" t="s">
        <v>4927</v>
      </c>
      <c r="K105" s="47" t="s">
        <v>4928</v>
      </c>
      <c r="L105" s="67" t="e">
        <f>VLOOKUP(G105,Input!C:Q,12,FALSE)</f>
        <v>#N/A</v>
      </c>
      <c r="M105" s="68" t="e">
        <f>VLOOKUP(G105,Input!C:Q,15,FALSE)</f>
        <v>#N/A</v>
      </c>
      <c r="N105" s="69" t="e">
        <f>VLOOKUP(G105,Input!C:Q,14,FALSE)</f>
        <v>#N/A</v>
      </c>
      <c r="Q105" s="48">
        <v>1</v>
      </c>
      <c r="R105" s="75" t="e">
        <f>VLOOKUP(G105,Input!C:H,5,FALSE)</f>
        <v>#N/A</v>
      </c>
      <c r="T105" s="47">
        <v>1</v>
      </c>
      <c r="U105" s="47" t="str">
        <f t="shared" si="1"/>
        <v>104,104,**,</v>
      </c>
      <c r="AC105" s="47">
        <v>104</v>
      </c>
      <c r="AD105" s="47">
        <v>104</v>
      </c>
    </row>
    <row r="106" spans="1:30" ht="15.75">
      <c r="A106" s="13" t="str">
        <f>IFERROR(VLOOKUP($G:$G,scan!$A:$B,2,0),"**")</f>
        <v>**</v>
      </c>
      <c r="B106" s="13" t="str">
        <f>IFERROR(VLOOKUP($G106,scan!A:C,3,0),"**")</f>
        <v>**</v>
      </c>
      <c r="C106" s="47">
        <v>105</v>
      </c>
      <c r="F106" s="60"/>
      <c r="G106" s="1"/>
      <c r="H106" s="47" t="s">
        <v>4926</v>
      </c>
      <c r="I106" s="43">
        <v>6042070338</v>
      </c>
      <c r="J106" s="43" t="s">
        <v>4927</v>
      </c>
      <c r="K106" s="47" t="s">
        <v>4928</v>
      </c>
      <c r="L106" s="67" t="e">
        <f>VLOOKUP(G106,Input!C:Q,12,FALSE)</f>
        <v>#N/A</v>
      </c>
      <c r="M106" s="68" t="e">
        <f>VLOOKUP(G106,Input!C:Q,15,FALSE)</f>
        <v>#N/A</v>
      </c>
      <c r="N106" s="69" t="e">
        <f>VLOOKUP(G106,Input!C:Q,14,FALSE)</f>
        <v>#N/A</v>
      </c>
      <c r="Q106" s="48">
        <v>1</v>
      </c>
      <c r="R106" s="75" t="e">
        <f>VLOOKUP(G106,Input!C:H,5,FALSE)</f>
        <v>#N/A</v>
      </c>
      <c r="T106" s="47">
        <v>1</v>
      </c>
      <c r="U106" s="47" t="str">
        <f t="shared" si="1"/>
        <v>105,105,**,</v>
      </c>
      <c r="AC106" s="47">
        <v>105</v>
      </c>
      <c r="AD106" s="47">
        <v>105</v>
      </c>
    </row>
    <row r="107" spans="1:30" ht="15.75">
      <c r="A107" s="13" t="str">
        <f>IFERROR(VLOOKUP($G:$G,scan!$A:$B,2,0),"**")</f>
        <v>**</v>
      </c>
      <c r="B107" s="13" t="str">
        <f>IFERROR(VLOOKUP($G107,scan!A:C,3,0),"**")</f>
        <v>**</v>
      </c>
      <c r="C107" s="47">
        <v>106</v>
      </c>
      <c r="F107" s="60"/>
      <c r="G107" s="1"/>
      <c r="H107" s="47" t="s">
        <v>4926</v>
      </c>
      <c r="I107" s="43">
        <v>6042070338</v>
      </c>
      <c r="J107" s="43" t="s">
        <v>4927</v>
      </c>
      <c r="K107" s="47" t="s">
        <v>4928</v>
      </c>
      <c r="L107" s="67" t="e">
        <f>VLOOKUP(G107,Input!C:Q,12,FALSE)</f>
        <v>#N/A</v>
      </c>
      <c r="M107" s="68" t="e">
        <f>VLOOKUP(G107,Input!C:Q,15,FALSE)</f>
        <v>#N/A</v>
      </c>
      <c r="N107" s="69" t="e">
        <f>VLOOKUP(G107,Input!C:Q,14,FALSE)</f>
        <v>#N/A</v>
      </c>
      <c r="Q107" s="48">
        <v>1</v>
      </c>
      <c r="R107" s="75" t="e">
        <f>VLOOKUP(G107,Input!C:H,5,FALSE)</f>
        <v>#N/A</v>
      </c>
      <c r="T107" s="47">
        <v>1</v>
      </c>
      <c r="U107" s="47" t="str">
        <f t="shared" si="1"/>
        <v>106,106,**,</v>
      </c>
      <c r="AC107" s="47">
        <v>106</v>
      </c>
      <c r="AD107" s="47">
        <v>106</v>
      </c>
    </row>
    <row r="108" spans="1:30" ht="15.75">
      <c r="A108" s="13" t="str">
        <f>IFERROR(VLOOKUP($G:$G,scan!$A:$B,2,0),"**")</f>
        <v>**</v>
      </c>
      <c r="B108" s="13" t="str">
        <f>IFERROR(VLOOKUP($G108,scan!A:C,3,0),"**")</f>
        <v>**</v>
      </c>
      <c r="C108" s="47">
        <v>107</v>
      </c>
      <c r="F108" s="60"/>
      <c r="G108" s="1"/>
      <c r="H108" s="47" t="s">
        <v>4926</v>
      </c>
      <c r="I108" s="43">
        <v>6042070338</v>
      </c>
      <c r="J108" s="43" t="s">
        <v>4927</v>
      </c>
      <c r="K108" s="47" t="s">
        <v>4928</v>
      </c>
      <c r="L108" s="67" t="e">
        <f>VLOOKUP(G108,Input!C:Q,12,FALSE)</f>
        <v>#N/A</v>
      </c>
      <c r="M108" s="68" t="e">
        <f>VLOOKUP(G108,Input!C:Q,15,FALSE)</f>
        <v>#N/A</v>
      </c>
      <c r="N108" s="69" t="e">
        <f>VLOOKUP(G108,Input!C:Q,14,FALSE)</f>
        <v>#N/A</v>
      </c>
      <c r="Q108" s="48">
        <v>1</v>
      </c>
      <c r="R108" s="75" t="e">
        <f>VLOOKUP(G108,Input!C:H,5,FALSE)</f>
        <v>#N/A</v>
      </c>
      <c r="T108" s="47">
        <v>1</v>
      </c>
      <c r="U108" s="47" t="str">
        <f t="shared" si="1"/>
        <v>107,107,**,</v>
      </c>
      <c r="AC108" s="47">
        <v>107</v>
      </c>
      <c r="AD108" s="47">
        <v>107</v>
      </c>
    </row>
    <row r="109" spans="1:30" ht="15.75">
      <c r="A109" s="13" t="str">
        <f>IFERROR(VLOOKUP($G:$G,scan!$A:$B,2,0),"**")</f>
        <v>**</v>
      </c>
      <c r="B109" s="13" t="str">
        <f>IFERROR(VLOOKUP($G109,scan!A:C,3,0),"**")</f>
        <v>**</v>
      </c>
      <c r="C109" s="47">
        <v>108</v>
      </c>
      <c r="F109" s="60"/>
      <c r="G109" s="1"/>
      <c r="H109" s="47" t="s">
        <v>4926</v>
      </c>
      <c r="I109" s="43">
        <v>6042070338</v>
      </c>
      <c r="J109" s="43" t="s">
        <v>4927</v>
      </c>
      <c r="K109" s="47" t="s">
        <v>4928</v>
      </c>
      <c r="L109" s="67" t="e">
        <f>VLOOKUP(G109,Input!C:Q,12,FALSE)</f>
        <v>#N/A</v>
      </c>
      <c r="M109" s="68" t="e">
        <f>VLOOKUP(G109,Input!C:Q,15,FALSE)</f>
        <v>#N/A</v>
      </c>
      <c r="N109" s="69" t="e">
        <f>VLOOKUP(G109,Input!C:Q,14,FALSE)</f>
        <v>#N/A</v>
      </c>
      <c r="Q109" s="48">
        <v>1</v>
      </c>
      <c r="R109" s="75" t="e">
        <f>VLOOKUP(G109,Input!C:H,5,FALSE)</f>
        <v>#N/A</v>
      </c>
      <c r="T109" s="47">
        <v>1</v>
      </c>
      <c r="U109" s="47" t="str">
        <f t="shared" si="1"/>
        <v>108,108,**,</v>
      </c>
      <c r="AC109" s="47">
        <v>108</v>
      </c>
      <c r="AD109" s="47">
        <v>108</v>
      </c>
    </row>
    <row r="110" spans="1:30" ht="15.75">
      <c r="A110" s="13" t="str">
        <f>IFERROR(VLOOKUP($G:$G,scan!$A:$B,2,0),"**")</f>
        <v>**</v>
      </c>
      <c r="B110" s="13" t="str">
        <f>IFERROR(VLOOKUP($G110,scan!A:C,3,0),"**")</f>
        <v>**</v>
      </c>
      <c r="C110" s="47">
        <v>109</v>
      </c>
      <c r="F110" s="60"/>
      <c r="G110" s="1"/>
      <c r="H110" s="47" t="s">
        <v>4926</v>
      </c>
      <c r="I110" s="43">
        <v>6042070338</v>
      </c>
      <c r="J110" s="43" t="s">
        <v>4927</v>
      </c>
      <c r="K110" s="47" t="s">
        <v>4928</v>
      </c>
      <c r="L110" s="67" t="e">
        <f>VLOOKUP(G110,Input!C:Q,12,FALSE)</f>
        <v>#N/A</v>
      </c>
      <c r="M110" s="68" t="e">
        <f>VLOOKUP(G110,Input!C:Q,15,FALSE)</f>
        <v>#N/A</v>
      </c>
      <c r="N110" s="69" t="e">
        <f>VLOOKUP(G110,Input!C:Q,14,FALSE)</f>
        <v>#N/A</v>
      </c>
      <c r="Q110" s="48">
        <v>1</v>
      </c>
      <c r="R110" s="75" t="e">
        <f>VLOOKUP(G110,Input!C:H,5,FALSE)</f>
        <v>#N/A</v>
      </c>
      <c r="T110" s="47">
        <v>1</v>
      </c>
      <c r="U110" s="47" t="str">
        <f t="shared" si="1"/>
        <v>109,109,**,</v>
      </c>
      <c r="AC110" s="47">
        <v>109</v>
      </c>
      <c r="AD110" s="47">
        <v>109</v>
      </c>
    </row>
    <row r="111" spans="1:30" ht="15.75">
      <c r="A111" s="13" t="str">
        <f>IFERROR(VLOOKUP($G:$G,scan!$A:$B,2,0),"**")</f>
        <v>**</v>
      </c>
      <c r="B111" s="13" t="str">
        <f>IFERROR(VLOOKUP($G111,scan!A:C,3,0),"**")</f>
        <v>**</v>
      </c>
      <c r="C111" s="47">
        <v>110</v>
      </c>
      <c r="F111" s="60"/>
      <c r="G111" s="1"/>
      <c r="H111" s="47" t="s">
        <v>4926</v>
      </c>
      <c r="I111" s="43">
        <v>6042070338</v>
      </c>
      <c r="J111" s="43" t="s">
        <v>4927</v>
      </c>
      <c r="K111" s="47" t="s">
        <v>4928</v>
      </c>
      <c r="L111" s="67" t="e">
        <f>VLOOKUP(G111,Input!C:Q,12,FALSE)</f>
        <v>#N/A</v>
      </c>
      <c r="M111" s="68" t="e">
        <f>VLOOKUP(G111,Input!C:Q,15,FALSE)</f>
        <v>#N/A</v>
      </c>
      <c r="N111" s="69" t="e">
        <f>VLOOKUP(G111,Input!C:Q,14,FALSE)</f>
        <v>#N/A</v>
      </c>
      <c r="Q111" s="48">
        <v>1</v>
      </c>
      <c r="R111" s="75" t="e">
        <f>VLOOKUP(G111,Input!C:H,5,FALSE)</f>
        <v>#N/A</v>
      </c>
      <c r="T111" s="47">
        <v>1</v>
      </c>
      <c r="U111" s="47" t="str">
        <f t="shared" si="1"/>
        <v>110,110,**,</v>
      </c>
      <c r="AC111" s="47">
        <v>110</v>
      </c>
      <c r="AD111" s="47">
        <v>110</v>
      </c>
    </row>
    <row r="112" spans="1:30" ht="15.75">
      <c r="A112" s="13" t="str">
        <f>IFERROR(VLOOKUP($G:$G,scan!$A:$B,2,0),"**")</f>
        <v>**</v>
      </c>
      <c r="B112" s="13" t="str">
        <f>IFERROR(VLOOKUP($G112,scan!A:C,3,0),"**")</f>
        <v>**</v>
      </c>
      <c r="C112" s="47">
        <v>111</v>
      </c>
      <c r="F112" s="60"/>
      <c r="G112" s="1"/>
      <c r="H112" s="47" t="s">
        <v>4926</v>
      </c>
      <c r="I112" s="43">
        <v>6042070338</v>
      </c>
      <c r="J112" s="43" t="s">
        <v>4927</v>
      </c>
      <c r="K112" s="47" t="s">
        <v>4928</v>
      </c>
      <c r="L112" s="67" t="e">
        <f>VLOOKUP(G112,Input!C:Q,12,FALSE)</f>
        <v>#N/A</v>
      </c>
      <c r="M112" s="68" t="e">
        <f>VLOOKUP(G112,Input!C:Q,15,FALSE)</f>
        <v>#N/A</v>
      </c>
      <c r="N112" s="69" t="e">
        <f>VLOOKUP(G112,Input!C:Q,14,FALSE)</f>
        <v>#N/A</v>
      </c>
      <c r="Q112" s="48">
        <v>1</v>
      </c>
      <c r="R112" s="75" t="e">
        <f>VLOOKUP(G112,Input!C:H,5,FALSE)</f>
        <v>#N/A</v>
      </c>
      <c r="T112" s="47">
        <v>1</v>
      </c>
      <c r="U112" s="47" t="str">
        <f t="shared" si="1"/>
        <v>111,111,**,</v>
      </c>
      <c r="AC112" s="47">
        <v>111</v>
      </c>
      <c r="AD112" s="47">
        <v>111</v>
      </c>
    </row>
    <row r="113" spans="1:30" ht="15.75">
      <c r="A113" s="13" t="str">
        <f>IFERROR(VLOOKUP($G:$G,scan!$A:$B,2,0),"**")</f>
        <v>**</v>
      </c>
      <c r="B113" s="13" t="str">
        <f>IFERROR(VLOOKUP($G113,scan!A:C,3,0),"**")</f>
        <v>**</v>
      </c>
      <c r="C113" s="47">
        <v>112</v>
      </c>
      <c r="F113" s="60"/>
      <c r="G113" s="1"/>
      <c r="H113" s="47" t="s">
        <v>4926</v>
      </c>
      <c r="I113" s="43">
        <v>6042070338</v>
      </c>
      <c r="J113" s="43" t="s">
        <v>4927</v>
      </c>
      <c r="K113" s="47" t="s">
        <v>4928</v>
      </c>
      <c r="L113" s="67" t="e">
        <f>VLOOKUP(G113,Input!C:Q,12,FALSE)</f>
        <v>#N/A</v>
      </c>
      <c r="M113" s="68" t="e">
        <f>VLOOKUP(G113,Input!C:Q,15,FALSE)</f>
        <v>#N/A</v>
      </c>
      <c r="N113" s="69" t="e">
        <f>VLOOKUP(G113,Input!C:Q,14,FALSE)</f>
        <v>#N/A</v>
      </c>
      <c r="Q113" s="48">
        <v>1</v>
      </c>
      <c r="R113" s="75" t="e">
        <f>VLOOKUP(G113,Input!C:H,5,FALSE)</f>
        <v>#N/A</v>
      </c>
      <c r="T113" s="47">
        <v>1</v>
      </c>
      <c r="U113" s="47" t="str">
        <f t="shared" si="1"/>
        <v>112,112,**,</v>
      </c>
      <c r="AC113" s="47">
        <v>112</v>
      </c>
      <c r="AD113" s="47">
        <v>112</v>
      </c>
    </row>
    <row r="114" spans="1:30" ht="15.75">
      <c r="A114" s="13" t="str">
        <f>IFERROR(VLOOKUP($G:$G,scan!$A:$B,2,0),"**")</f>
        <v>**</v>
      </c>
      <c r="B114" s="13" t="str">
        <f>IFERROR(VLOOKUP($G114,scan!A:C,3,0),"**")</f>
        <v>**</v>
      </c>
      <c r="C114" s="47">
        <v>113</v>
      </c>
      <c r="F114" s="60"/>
      <c r="G114" s="1"/>
      <c r="H114" s="47" t="s">
        <v>4926</v>
      </c>
      <c r="I114" s="43">
        <v>6042070338</v>
      </c>
      <c r="J114" s="43" t="s">
        <v>4927</v>
      </c>
      <c r="K114" s="47" t="s">
        <v>4928</v>
      </c>
      <c r="L114" s="67" t="e">
        <f>VLOOKUP(G114,Input!C:Q,12,FALSE)</f>
        <v>#N/A</v>
      </c>
      <c r="M114" s="68" t="e">
        <f>VLOOKUP(G114,Input!C:Q,15,FALSE)</f>
        <v>#N/A</v>
      </c>
      <c r="N114" s="69" t="e">
        <f>VLOOKUP(G114,Input!C:Q,14,FALSE)</f>
        <v>#N/A</v>
      </c>
      <c r="Q114" s="48">
        <v>1</v>
      </c>
      <c r="R114" s="75" t="e">
        <f>VLOOKUP(G114,Input!C:H,5,FALSE)</f>
        <v>#N/A</v>
      </c>
      <c r="T114" s="47">
        <v>1</v>
      </c>
      <c r="U114" s="47" t="str">
        <f t="shared" si="1"/>
        <v>113,113,**,</v>
      </c>
      <c r="AC114" s="47">
        <v>113</v>
      </c>
      <c r="AD114" s="47">
        <v>113</v>
      </c>
    </row>
    <row r="115" spans="1:30" ht="15.75">
      <c r="A115" s="13" t="str">
        <f>IFERROR(VLOOKUP($G:$G,scan!$A:$B,2,0),"**")</f>
        <v>**</v>
      </c>
      <c r="B115" s="13" t="str">
        <f>IFERROR(VLOOKUP($G115,scan!A:C,3,0),"**")</f>
        <v>**</v>
      </c>
      <c r="C115" s="47">
        <v>114</v>
      </c>
      <c r="F115" s="60"/>
      <c r="G115" s="1"/>
      <c r="H115" s="47" t="s">
        <v>4926</v>
      </c>
      <c r="I115" s="43">
        <v>6042070338</v>
      </c>
      <c r="J115" s="43" t="s">
        <v>4927</v>
      </c>
      <c r="K115" s="47" t="s">
        <v>4928</v>
      </c>
      <c r="L115" s="67" t="e">
        <f>VLOOKUP(G115,Input!C:Q,12,FALSE)</f>
        <v>#N/A</v>
      </c>
      <c r="M115" s="68" t="e">
        <f>VLOOKUP(G115,Input!C:Q,15,FALSE)</f>
        <v>#N/A</v>
      </c>
      <c r="N115" s="69" t="e">
        <f>VLOOKUP(G115,Input!C:Q,14,FALSE)</f>
        <v>#N/A</v>
      </c>
      <c r="Q115" s="48">
        <v>1</v>
      </c>
      <c r="R115" s="75" t="e">
        <f>VLOOKUP(G115,Input!C:H,5,FALSE)</f>
        <v>#N/A</v>
      </c>
      <c r="T115" s="47">
        <v>1</v>
      </c>
      <c r="U115" s="47" t="str">
        <f t="shared" si="1"/>
        <v>114,114,**,</v>
      </c>
      <c r="AC115" s="47">
        <v>114</v>
      </c>
      <c r="AD115" s="47">
        <v>114</v>
      </c>
    </row>
    <row r="116" spans="1:30" ht="15.75">
      <c r="A116" s="13" t="str">
        <f>IFERROR(VLOOKUP($G:$G,scan!$A:$B,2,0),"**")</f>
        <v>**</v>
      </c>
      <c r="B116" s="13" t="str">
        <f>IFERROR(VLOOKUP($G116,scan!A:C,3,0),"**")</f>
        <v>**</v>
      </c>
      <c r="C116" s="47">
        <v>115</v>
      </c>
      <c r="F116" s="60"/>
      <c r="G116" s="1"/>
      <c r="H116" s="47" t="s">
        <v>4926</v>
      </c>
      <c r="I116" s="43">
        <v>6042070338</v>
      </c>
      <c r="J116" s="43" t="s">
        <v>4927</v>
      </c>
      <c r="K116" s="47" t="s">
        <v>4928</v>
      </c>
      <c r="L116" s="67" t="e">
        <f>VLOOKUP(G116,Input!C:Q,12,FALSE)</f>
        <v>#N/A</v>
      </c>
      <c r="M116" s="68" t="e">
        <f>VLOOKUP(G116,Input!C:Q,15,FALSE)</f>
        <v>#N/A</v>
      </c>
      <c r="N116" s="69" t="e">
        <f>VLOOKUP(G116,Input!C:Q,14,FALSE)</f>
        <v>#N/A</v>
      </c>
      <c r="Q116" s="48">
        <v>1</v>
      </c>
      <c r="R116" s="75" t="e">
        <f>VLOOKUP(G116,Input!C:H,5,FALSE)</f>
        <v>#N/A</v>
      </c>
      <c r="T116" s="47">
        <v>1</v>
      </c>
      <c r="U116" s="47" t="str">
        <f t="shared" si="1"/>
        <v>115,115,**,</v>
      </c>
      <c r="AC116" s="47">
        <v>115</v>
      </c>
      <c r="AD116" s="47">
        <v>115</v>
      </c>
    </row>
    <row r="117" spans="1:30" ht="15.75">
      <c r="A117" s="13" t="str">
        <f>IFERROR(VLOOKUP($G:$G,scan!$A:$B,2,0),"**")</f>
        <v>**</v>
      </c>
      <c r="B117" s="13" t="str">
        <f>IFERROR(VLOOKUP($G117,scan!A:C,3,0),"**")</f>
        <v>**</v>
      </c>
      <c r="C117" s="47">
        <v>116</v>
      </c>
      <c r="F117" s="60"/>
      <c r="G117" s="1"/>
      <c r="H117" s="47" t="s">
        <v>4926</v>
      </c>
      <c r="I117" s="43">
        <v>6042070338</v>
      </c>
      <c r="J117" s="43" t="s">
        <v>4927</v>
      </c>
      <c r="K117" s="47" t="s">
        <v>4928</v>
      </c>
      <c r="L117" s="67" t="e">
        <f>VLOOKUP(G117,Input!C:Q,12,FALSE)</f>
        <v>#N/A</v>
      </c>
      <c r="M117" s="68" t="e">
        <f>VLOOKUP(G117,Input!C:Q,15,FALSE)</f>
        <v>#N/A</v>
      </c>
      <c r="N117" s="69" t="e">
        <f>VLOOKUP(G117,Input!C:Q,14,FALSE)</f>
        <v>#N/A</v>
      </c>
      <c r="Q117" s="48">
        <v>1</v>
      </c>
      <c r="R117" s="75" t="e">
        <f>VLOOKUP(G117,Input!C:H,5,FALSE)</f>
        <v>#N/A</v>
      </c>
      <c r="T117" s="47">
        <v>1</v>
      </c>
      <c r="U117" s="47" t="str">
        <f t="shared" si="1"/>
        <v>116,116,**,</v>
      </c>
      <c r="AC117" s="47">
        <v>116</v>
      </c>
      <c r="AD117" s="47">
        <v>116</v>
      </c>
    </row>
    <row r="118" spans="1:30" ht="15.75">
      <c r="A118" s="13" t="str">
        <f>IFERROR(VLOOKUP($G:$G,scan!$A:$B,2,0),"**")</f>
        <v>**</v>
      </c>
      <c r="B118" s="13" t="str">
        <f>IFERROR(VLOOKUP($G118,scan!A:C,3,0),"**")</f>
        <v>**</v>
      </c>
      <c r="C118" s="47">
        <v>117</v>
      </c>
      <c r="F118" s="60"/>
      <c r="G118" s="1"/>
      <c r="H118" s="47" t="s">
        <v>4926</v>
      </c>
      <c r="I118" s="43">
        <v>6042070338</v>
      </c>
      <c r="J118" s="43" t="s">
        <v>4927</v>
      </c>
      <c r="K118" s="47" t="s">
        <v>4928</v>
      </c>
      <c r="L118" s="67" t="e">
        <f>VLOOKUP(G118,Input!C:Q,12,FALSE)</f>
        <v>#N/A</v>
      </c>
      <c r="M118" s="68" t="e">
        <f>VLOOKUP(G118,Input!C:Q,15,FALSE)</f>
        <v>#N/A</v>
      </c>
      <c r="N118" s="69" t="e">
        <f>VLOOKUP(G118,Input!C:Q,14,FALSE)</f>
        <v>#N/A</v>
      </c>
      <c r="Q118" s="48">
        <v>1</v>
      </c>
      <c r="R118" s="75" t="e">
        <f>VLOOKUP(G118,Input!C:H,5,FALSE)</f>
        <v>#N/A</v>
      </c>
      <c r="T118" s="47">
        <v>1</v>
      </c>
      <c r="U118" s="47" t="str">
        <f t="shared" si="1"/>
        <v>117,117,**,</v>
      </c>
      <c r="AC118" s="47">
        <v>117</v>
      </c>
      <c r="AD118" s="47">
        <v>117</v>
      </c>
    </row>
    <row r="119" spans="1:30" ht="15.75">
      <c r="A119" s="13" t="str">
        <f>IFERROR(VLOOKUP($G:$G,scan!$A:$B,2,0),"**")</f>
        <v>**</v>
      </c>
      <c r="B119" s="13" t="str">
        <f>IFERROR(VLOOKUP($G119,scan!A:C,3,0),"**")</f>
        <v>**</v>
      </c>
      <c r="C119" s="47">
        <v>118</v>
      </c>
      <c r="F119" s="60"/>
      <c r="G119" s="1"/>
      <c r="H119" s="47" t="s">
        <v>4926</v>
      </c>
      <c r="I119" s="43">
        <v>6042070338</v>
      </c>
      <c r="J119" s="43" t="s">
        <v>4927</v>
      </c>
      <c r="K119" s="47" t="s">
        <v>4928</v>
      </c>
      <c r="L119" s="67" t="e">
        <f>VLOOKUP(G119,Input!C:Q,12,FALSE)</f>
        <v>#N/A</v>
      </c>
      <c r="M119" s="68" t="e">
        <f>VLOOKUP(G119,Input!C:Q,15,FALSE)</f>
        <v>#N/A</v>
      </c>
      <c r="N119" s="69" t="e">
        <f>VLOOKUP(G119,Input!C:Q,14,FALSE)</f>
        <v>#N/A</v>
      </c>
      <c r="Q119" s="48">
        <v>1</v>
      </c>
      <c r="R119" s="75" t="e">
        <f>VLOOKUP(G119,Input!C:H,5,FALSE)</f>
        <v>#N/A</v>
      </c>
      <c r="T119" s="47">
        <v>1</v>
      </c>
      <c r="U119" s="47" t="str">
        <f t="shared" si="1"/>
        <v>118,118,**,</v>
      </c>
      <c r="AC119" s="47">
        <v>118</v>
      </c>
      <c r="AD119" s="47">
        <v>118</v>
      </c>
    </row>
    <row r="120" spans="1:30" ht="15.75">
      <c r="A120" s="13" t="str">
        <f>IFERROR(VLOOKUP($G:$G,scan!$A:$B,2,0),"**")</f>
        <v>**</v>
      </c>
      <c r="B120" s="13" t="str">
        <f>IFERROR(VLOOKUP($G120,scan!A:C,3,0),"**")</f>
        <v>**</v>
      </c>
      <c r="C120" s="47">
        <v>119</v>
      </c>
      <c r="F120" s="60"/>
      <c r="G120" s="1"/>
      <c r="H120" s="47" t="s">
        <v>4926</v>
      </c>
      <c r="I120" s="43">
        <v>6042070338</v>
      </c>
      <c r="J120" s="43" t="s">
        <v>4927</v>
      </c>
      <c r="K120" s="47" t="s">
        <v>4928</v>
      </c>
      <c r="L120" s="67" t="e">
        <f>VLOOKUP(G120,Input!C:Q,12,FALSE)</f>
        <v>#N/A</v>
      </c>
      <c r="M120" s="68" t="e">
        <f>VLOOKUP(G120,Input!C:Q,15,FALSE)</f>
        <v>#N/A</v>
      </c>
      <c r="N120" s="69" t="e">
        <f>VLOOKUP(G120,Input!C:Q,14,FALSE)</f>
        <v>#N/A</v>
      </c>
      <c r="Q120" s="48">
        <v>1</v>
      </c>
      <c r="R120" s="75" t="e">
        <f>VLOOKUP(G120,Input!C:H,5,FALSE)</f>
        <v>#N/A</v>
      </c>
      <c r="T120" s="47">
        <v>1</v>
      </c>
      <c r="U120" s="47" t="str">
        <f t="shared" si="1"/>
        <v>119,119,**,</v>
      </c>
      <c r="AC120" s="47">
        <v>119</v>
      </c>
      <c r="AD120" s="47">
        <v>119</v>
      </c>
    </row>
    <row r="121" spans="1:30" ht="15.75">
      <c r="A121" s="13" t="str">
        <f>IFERROR(VLOOKUP($G:$G,scan!$A:$B,2,0),"**")</f>
        <v>**</v>
      </c>
      <c r="B121" s="13" t="str">
        <f>IFERROR(VLOOKUP($G121,scan!A:C,3,0),"**")</f>
        <v>**</v>
      </c>
      <c r="C121" s="47">
        <v>120</v>
      </c>
      <c r="F121" s="60"/>
      <c r="G121" s="1"/>
      <c r="H121" s="47" t="s">
        <v>4926</v>
      </c>
      <c r="I121" s="43">
        <v>6042070338</v>
      </c>
      <c r="J121" s="43" t="s">
        <v>4927</v>
      </c>
      <c r="K121" s="47" t="s">
        <v>4928</v>
      </c>
      <c r="L121" s="67" t="e">
        <f>VLOOKUP(G121,Input!C:Q,12,FALSE)</f>
        <v>#N/A</v>
      </c>
      <c r="M121" s="68" t="e">
        <f>VLOOKUP(G121,Input!C:Q,15,FALSE)</f>
        <v>#N/A</v>
      </c>
      <c r="N121" s="69" t="e">
        <f>VLOOKUP(G121,Input!C:Q,14,FALSE)</f>
        <v>#N/A</v>
      </c>
      <c r="Q121" s="48">
        <v>1</v>
      </c>
      <c r="R121" s="75" t="e">
        <f>VLOOKUP(G121,Input!C:H,5,FALSE)</f>
        <v>#N/A</v>
      </c>
      <c r="T121" s="47">
        <v>1</v>
      </c>
      <c r="U121" s="47" t="str">
        <f t="shared" si="1"/>
        <v>120,120,**,</v>
      </c>
      <c r="AC121" s="47">
        <v>120</v>
      </c>
      <c r="AD121" s="47">
        <v>120</v>
      </c>
    </row>
    <row r="122" spans="1:30" ht="15.75">
      <c r="A122" s="13" t="str">
        <f>IFERROR(VLOOKUP($G:$G,scan!$A:$B,2,0),"**")</f>
        <v>**</v>
      </c>
      <c r="B122" s="13" t="str">
        <f>IFERROR(VLOOKUP($G122,scan!A:C,3,0),"**")</f>
        <v>**</v>
      </c>
      <c r="C122" s="47">
        <v>121</v>
      </c>
      <c r="F122" s="60"/>
      <c r="G122" s="1"/>
      <c r="H122" s="47" t="s">
        <v>4926</v>
      </c>
      <c r="I122" s="43">
        <v>6042070338</v>
      </c>
      <c r="J122" s="43" t="s">
        <v>4927</v>
      </c>
      <c r="K122" s="47" t="s">
        <v>4928</v>
      </c>
      <c r="L122" s="67" t="e">
        <f>VLOOKUP(G122,Input!C:Q,12,FALSE)</f>
        <v>#N/A</v>
      </c>
      <c r="M122" s="68" t="e">
        <f>VLOOKUP(G122,Input!C:Q,15,FALSE)</f>
        <v>#N/A</v>
      </c>
      <c r="N122" s="69" t="e">
        <f>VLOOKUP(G122,Input!C:Q,14,FALSE)</f>
        <v>#N/A</v>
      </c>
      <c r="Q122" s="48">
        <v>1</v>
      </c>
      <c r="R122" s="75" t="e">
        <f>VLOOKUP(G122,Input!C:H,5,FALSE)</f>
        <v>#N/A</v>
      </c>
      <c r="T122" s="47">
        <v>1</v>
      </c>
      <c r="U122" s="47" t="str">
        <f t="shared" si="1"/>
        <v>121,121,**,</v>
      </c>
      <c r="AC122" s="47">
        <v>121</v>
      </c>
      <c r="AD122" s="47">
        <v>121</v>
      </c>
    </row>
    <row r="123" spans="1:30" ht="15.75">
      <c r="A123" s="13" t="str">
        <f>IFERROR(VLOOKUP($G:$G,scan!$A:$B,2,0),"**")</f>
        <v>**</v>
      </c>
      <c r="B123" s="13" t="str">
        <f>IFERROR(VLOOKUP($G123,scan!A:C,3,0),"**")</f>
        <v>**</v>
      </c>
      <c r="C123" s="47">
        <v>122</v>
      </c>
      <c r="F123" s="60"/>
      <c r="G123" s="1"/>
      <c r="H123" s="47" t="s">
        <v>4926</v>
      </c>
      <c r="I123" s="43">
        <v>6042070338</v>
      </c>
      <c r="J123" s="43" t="s">
        <v>4927</v>
      </c>
      <c r="K123" s="47" t="s">
        <v>4928</v>
      </c>
      <c r="L123" s="67" t="e">
        <f>VLOOKUP(G123,Input!C:Q,12,FALSE)</f>
        <v>#N/A</v>
      </c>
      <c r="M123" s="68" t="e">
        <f>VLOOKUP(G123,Input!C:Q,15,FALSE)</f>
        <v>#N/A</v>
      </c>
      <c r="N123" s="69" t="e">
        <f>VLOOKUP(G123,Input!C:Q,14,FALSE)</f>
        <v>#N/A</v>
      </c>
      <c r="Q123" s="48">
        <v>1</v>
      </c>
      <c r="R123" s="75" t="e">
        <f>VLOOKUP(G123,Input!C:H,5,FALSE)</f>
        <v>#N/A</v>
      </c>
      <c r="T123" s="47">
        <v>1</v>
      </c>
      <c r="U123" s="47" t="str">
        <f t="shared" si="1"/>
        <v>122,122,**,</v>
      </c>
      <c r="AC123" s="47">
        <v>122</v>
      </c>
      <c r="AD123" s="47">
        <v>122</v>
      </c>
    </row>
    <row r="124" spans="1:30" ht="15.75">
      <c r="A124" s="13" t="str">
        <f>IFERROR(VLOOKUP($G:$G,scan!$A:$B,2,0),"**")</f>
        <v>**</v>
      </c>
      <c r="B124" s="13" t="str">
        <f>IFERROR(VLOOKUP($G124,scan!A:C,3,0),"**")</f>
        <v>**</v>
      </c>
      <c r="C124" s="47">
        <v>123</v>
      </c>
      <c r="F124" s="60"/>
      <c r="G124" s="1"/>
      <c r="H124" s="47" t="s">
        <v>4926</v>
      </c>
      <c r="I124" s="43">
        <v>6042070338</v>
      </c>
      <c r="J124" s="43" t="s">
        <v>4927</v>
      </c>
      <c r="K124" s="47" t="s">
        <v>4928</v>
      </c>
      <c r="L124" s="67" t="e">
        <f>VLOOKUP(G124,Input!C:Q,12,FALSE)</f>
        <v>#N/A</v>
      </c>
      <c r="M124" s="68" t="e">
        <f>VLOOKUP(G124,Input!C:Q,15,FALSE)</f>
        <v>#N/A</v>
      </c>
      <c r="N124" s="69" t="e">
        <f>VLOOKUP(G124,Input!C:Q,14,FALSE)</f>
        <v>#N/A</v>
      </c>
      <c r="Q124" s="48">
        <v>1</v>
      </c>
      <c r="R124" s="75" t="e">
        <f>VLOOKUP(G124,Input!C:H,5,FALSE)</f>
        <v>#N/A</v>
      </c>
      <c r="T124" s="47">
        <v>1</v>
      </c>
      <c r="U124" s="47" t="str">
        <f t="shared" si="1"/>
        <v>123,123,**,</v>
      </c>
      <c r="AC124" s="47">
        <v>123</v>
      </c>
      <c r="AD124" s="47">
        <v>123</v>
      </c>
    </row>
    <row r="125" spans="1:30" ht="15.75">
      <c r="A125" s="13" t="str">
        <f>IFERROR(VLOOKUP($G:$G,scan!$A:$B,2,0),"**")</f>
        <v>**</v>
      </c>
      <c r="B125" s="13" t="str">
        <f>IFERROR(VLOOKUP($G125,scan!A:C,3,0),"**")</f>
        <v>**</v>
      </c>
      <c r="C125" s="47">
        <v>124</v>
      </c>
      <c r="F125" s="60"/>
      <c r="G125" s="1"/>
      <c r="H125" s="47" t="s">
        <v>4926</v>
      </c>
      <c r="I125" s="43">
        <v>6042070338</v>
      </c>
      <c r="J125" s="43" t="s">
        <v>4927</v>
      </c>
      <c r="K125" s="47" t="s">
        <v>4928</v>
      </c>
      <c r="L125" s="67" t="e">
        <f>VLOOKUP(G125,Input!C:Q,12,FALSE)</f>
        <v>#N/A</v>
      </c>
      <c r="M125" s="68" t="e">
        <f>VLOOKUP(G125,Input!C:Q,15,FALSE)</f>
        <v>#N/A</v>
      </c>
      <c r="N125" s="69" t="e">
        <f>VLOOKUP(G125,Input!C:Q,14,FALSE)</f>
        <v>#N/A</v>
      </c>
      <c r="Q125" s="48">
        <v>1</v>
      </c>
      <c r="R125" s="75" t="e">
        <f>VLOOKUP(G125,Input!C:H,5,FALSE)</f>
        <v>#N/A</v>
      </c>
      <c r="T125" s="47">
        <v>1</v>
      </c>
      <c r="U125" s="47" t="str">
        <f t="shared" si="1"/>
        <v>124,124,**,</v>
      </c>
      <c r="AC125" s="47">
        <v>124</v>
      </c>
      <c r="AD125" s="47">
        <v>124</v>
      </c>
    </row>
    <row r="126" spans="1:30" ht="15.75">
      <c r="A126" s="13" t="str">
        <f>IFERROR(VLOOKUP($G:$G,scan!$A:$B,2,0),"**")</f>
        <v>**</v>
      </c>
      <c r="B126" s="13" t="str">
        <f>IFERROR(VLOOKUP($G126,scan!A:C,3,0),"**")</f>
        <v>**</v>
      </c>
      <c r="C126" s="47">
        <v>125</v>
      </c>
      <c r="F126" s="60"/>
      <c r="G126" s="1"/>
      <c r="H126" s="47" t="s">
        <v>4926</v>
      </c>
      <c r="I126" s="43">
        <v>6042070338</v>
      </c>
      <c r="J126" s="43" t="s">
        <v>4927</v>
      </c>
      <c r="K126" s="47" t="s">
        <v>4928</v>
      </c>
      <c r="L126" s="67" t="e">
        <f>VLOOKUP(G126,Input!C:Q,12,FALSE)</f>
        <v>#N/A</v>
      </c>
      <c r="M126" s="68" t="e">
        <f>VLOOKUP(G126,Input!C:Q,15,FALSE)</f>
        <v>#N/A</v>
      </c>
      <c r="N126" s="69" t="e">
        <f>VLOOKUP(G126,Input!C:Q,14,FALSE)</f>
        <v>#N/A</v>
      </c>
      <c r="Q126" s="48">
        <v>1</v>
      </c>
      <c r="R126" s="75" t="e">
        <f>VLOOKUP(G126,Input!C:H,5,FALSE)</f>
        <v>#N/A</v>
      </c>
      <c r="T126" s="47">
        <v>1</v>
      </c>
      <c r="U126" s="47" t="str">
        <f t="shared" si="1"/>
        <v>125,125,**,</v>
      </c>
      <c r="AC126" s="47">
        <v>125</v>
      </c>
      <c r="AD126" s="47">
        <v>125</v>
      </c>
    </row>
    <row r="127" spans="1:30" ht="15.75">
      <c r="A127" s="13" t="str">
        <f>IFERROR(VLOOKUP($G:$G,scan!$A:$B,2,0),"**")</f>
        <v>**</v>
      </c>
      <c r="B127" s="13" t="str">
        <f>IFERROR(VLOOKUP($G127,scan!A:C,3,0),"**")</f>
        <v>**</v>
      </c>
      <c r="C127" s="47">
        <v>126</v>
      </c>
      <c r="F127" s="60"/>
      <c r="G127" s="1"/>
      <c r="H127" s="47" t="s">
        <v>4926</v>
      </c>
      <c r="I127" s="43">
        <v>6042070338</v>
      </c>
      <c r="J127" s="43" t="s">
        <v>4927</v>
      </c>
      <c r="K127" s="47" t="s">
        <v>4928</v>
      </c>
      <c r="L127" s="67" t="e">
        <f>VLOOKUP(G127,Input!C:Q,12,FALSE)</f>
        <v>#N/A</v>
      </c>
      <c r="M127" s="68" t="e">
        <f>VLOOKUP(G127,Input!C:Q,15,FALSE)</f>
        <v>#N/A</v>
      </c>
      <c r="N127" s="69" t="e">
        <f>VLOOKUP(G127,Input!C:Q,14,FALSE)</f>
        <v>#N/A</v>
      </c>
      <c r="Q127" s="48">
        <v>1</v>
      </c>
      <c r="R127" s="75" t="e">
        <f>VLOOKUP(G127,Input!C:H,5,FALSE)</f>
        <v>#N/A</v>
      </c>
      <c r="T127" s="47">
        <v>1</v>
      </c>
      <c r="U127" s="47" t="str">
        <f t="shared" si="1"/>
        <v>126,126,**,</v>
      </c>
      <c r="AC127" s="47">
        <v>126</v>
      </c>
      <c r="AD127" s="47">
        <v>126</v>
      </c>
    </row>
    <row r="128" spans="1:30" ht="15.75">
      <c r="A128" s="13" t="str">
        <f>IFERROR(VLOOKUP($G:$G,scan!$A:$B,2,0),"**")</f>
        <v>**</v>
      </c>
      <c r="B128" s="13" t="str">
        <f>IFERROR(VLOOKUP($G128,scan!A:C,3,0),"**")</f>
        <v>**</v>
      </c>
      <c r="C128" s="47">
        <v>127</v>
      </c>
      <c r="F128" s="60"/>
      <c r="G128" s="1"/>
      <c r="H128" s="47" t="s">
        <v>4926</v>
      </c>
      <c r="I128" s="43">
        <v>6042070338</v>
      </c>
      <c r="J128" s="43" t="s">
        <v>4927</v>
      </c>
      <c r="K128" s="47" t="s">
        <v>4928</v>
      </c>
      <c r="L128" s="67" t="e">
        <f>VLOOKUP(G128,Input!C:Q,12,FALSE)</f>
        <v>#N/A</v>
      </c>
      <c r="M128" s="68" t="e">
        <f>VLOOKUP(G128,Input!C:Q,15,FALSE)</f>
        <v>#N/A</v>
      </c>
      <c r="N128" s="69" t="e">
        <f>VLOOKUP(G128,Input!C:Q,14,FALSE)</f>
        <v>#N/A</v>
      </c>
      <c r="Q128" s="48">
        <v>1</v>
      </c>
      <c r="R128" s="75" t="e">
        <f>VLOOKUP(G128,Input!C:H,5,FALSE)</f>
        <v>#N/A</v>
      </c>
      <c r="T128" s="47">
        <v>1</v>
      </c>
      <c r="U128" s="47" t="str">
        <f t="shared" si="1"/>
        <v>127,127,**,</v>
      </c>
      <c r="AC128" s="47">
        <v>127</v>
      </c>
      <c r="AD128" s="47">
        <v>127</v>
      </c>
    </row>
    <row r="129" spans="1:30" ht="15.75">
      <c r="A129" s="13" t="str">
        <f>IFERROR(VLOOKUP($G:$G,scan!$A:$B,2,0),"**")</f>
        <v>**</v>
      </c>
      <c r="B129" s="13" t="str">
        <f>IFERROR(VLOOKUP($G129,scan!A:C,3,0),"**")</f>
        <v>**</v>
      </c>
      <c r="C129" s="47">
        <v>128</v>
      </c>
      <c r="F129" s="60"/>
      <c r="G129" s="1"/>
      <c r="H129" s="47" t="s">
        <v>4926</v>
      </c>
      <c r="I129" s="43">
        <v>6042070338</v>
      </c>
      <c r="J129" s="43" t="s">
        <v>4927</v>
      </c>
      <c r="K129" s="47" t="s">
        <v>4928</v>
      </c>
      <c r="L129" s="67" t="e">
        <f>VLOOKUP(G129,Input!C:Q,12,FALSE)</f>
        <v>#N/A</v>
      </c>
      <c r="M129" s="68" t="e">
        <f>VLOOKUP(G129,Input!C:Q,15,FALSE)</f>
        <v>#N/A</v>
      </c>
      <c r="N129" s="69" t="e">
        <f>VLOOKUP(G129,Input!C:Q,14,FALSE)</f>
        <v>#N/A</v>
      </c>
      <c r="Q129" s="48">
        <v>1</v>
      </c>
      <c r="R129" s="75" t="e">
        <f>VLOOKUP(G129,Input!C:H,5,FALSE)</f>
        <v>#N/A</v>
      </c>
      <c r="T129" s="47">
        <v>1</v>
      </c>
      <c r="U129" s="47" t="str">
        <f t="shared" si="1"/>
        <v>128,128,**,</v>
      </c>
      <c r="AC129" s="47">
        <v>128</v>
      </c>
      <c r="AD129" s="47">
        <v>128</v>
      </c>
    </row>
    <row r="130" spans="1:30" ht="15.75">
      <c r="A130" s="13" t="str">
        <f>IFERROR(VLOOKUP($G:$G,scan!$A:$B,2,0),"**")</f>
        <v>**</v>
      </c>
      <c r="B130" s="13" t="str">
        <f>IFERROR(VLOOKUP($G130,scan!A:C,3,0),"**")</f>
        <v>**</v>
      </c>
      <c r="C130" s="47">
        <v>129</v>
      </c>
      <c r="F130" s="60"/>
      <c r="G130" s="1"/>
      <c r="H130" s="47" t="s">
        <v>4926</v>
      </c>
      <c r="I130" s="43">
        <v>6042070338</v>
      </c>
      <c r="J130" s="43" t="s">
        <v>4927</v>
      </c>
      <c r="K130" s="47" t="s">
        <v>4928</v>
      </c>
      <c r="L130" s="67" t="e">
        <f>VLOOKUP(G130,Input!C:Q,12,FALSE)</f>
        <v>#N/A</v>
      </c>
      <c r="M130" s="68" t="e">
        <f>VLOOKUP(G130,Input!C:Q,15,FALSE)</f>
        <v>#N/A</v>
      </c>
      <c r="N130" s="69" t="e">
        <f>VLOOKUP(G130,Input!C:Q,14,FALSE)</f>
        <v>#N/A</v>
      </c>
      <c r="Q130" s="48">
        <v>1</v>
      </c>
      <c r="R130" s="75" t="e">
        <f>VLOOKUP(G130,Input!C:H,5,FALSE)</f>
        <v>#N/A</v>
      </c>
      <c r="T130" s="47">
        <v>1</v>
      </c>
      <c r="U130" s="47" t="str">
        <f t="shared" ref="U130:U193" si="2">CONCATENATE(AC130,",",C130,",",B130,",",G130)</f>
        <v>129,129,**,</v>
      </c>
      <c r="AC130" s="47">
        <v>129</v>
      </c>
      <c r="AD130" s="47">
        <v>129</v>
      </c>
    </row>
    <row r="131" spans="1:30" ht="15.75">
      <c r="A131" s="13" t="str">
        <f>IFERROR(VLOOKUP($G:$G,scan!$A:$B,2,0),"**")</f>
        <v>**</v>
      </c>
      <c r="B131" s="13" t="str">
        <f>IFERROR(VLOOKUP($G131,scan!A:C,3,0),"**")</f>
        <v>**</v>
      </c>
      <c r="C131" s="47">
        <v>130</v>
      </c>
      <c r="F131" s="60"/>
      <c r="G131" s="1"/>
      <c r="H131" s="47" t="s">
        <v>4926</v>
      </c>
      <c r="I131" s="43">
        <v>6042070338</v>
      </c>
      <c r="J131" s="43" t="s">
        <v>4927</v>
      </c>
      <c r="K131" s="47" t="s">
        <v>4928</v>
      </c>
      <c r="L131" s="67" t="e">
        <f>VLOOKUP(G131,Input!C:Q,12,FALSE)</f>
        <v>#N/A</v>
      </c>
      <c r="M131" s="68" t="e">
        <f>VLOOKUP(G131,Input!C:Q,15,FALSE)</f>
        <v>#N/A</v>
      </c>
      <c r="N131" s="69" t="e">
        <f>VLOOKUP(G131,Input!C:Q,14,FALSE)</f>
        <v>#N/A</v>
      </c>
      <c r="Q131" s="48">
        <v>1</v>
      </c>
      <c r="R131" s="75" t="e">
        <f>VLOOKUP(G131,Input!C:H,5,FALSE)</f>
        <v>#N/A</v>
      </c>
      <c r="T131" s="47">
        <v>1</v>
      </c>
      <c r="U131" s="47" t="str">
        <f t="shared" si="2"/>
        <v>130,130,**,</v>
      </c>
      <c r="AC131" s="47">
        <v>130</v>
      </c>
      <c r="AD131" s="47">
        <v>130</v>
      </c>
    </row>
    <row r="132" spans="1:30" ht="15.75">
      <c r="A132" s="13" t="str">
        <f>IFERROR(VLOOKUP($G:$G,scan!$A:$B,2,0),"**")</f>
        <v>**</v>
      </c>
      <c r="B132" s="13" t="str">
        <f>IFERROR(VLOOKUP($G132,scan!A:C,3,0),"**")</f>
        <v>**</v>
      </c>
      <c r="C132" s="47">
        <v>131</v>
      </c>
      <c r="F132" s="60"/>
      <c r="G132" s="1"/>
      <c r="H132" s="47" t="s">
        <v>4926</v>
      </c>
      <c r="I132" s="43">
        <v>6042070338</v>
      </c>
      <c r="J132" s="43" t="s">
        <v>4927</v>
      </c>
      <c r="K132" s="47" t="s">
        <v>4928</v>
      </c>
      <c r="L132" s="67" t="e">
        <f>VLOOKUP(G132,Input!C:Q,12,FALSE)</f>
        <v>#N/A</v>
      </c>
      <c r="M132" s="68" t="e">
        <f>VLOOKUP(G132,Input!C:Q,15,FALSE)</f>
        <v>#N/A</v>
      </c>
      <c r="N132" s="69" t="e">
        <f>VLOOKUP(G132,Input!C:Q,14,FALSE)</f>
        <v>#N/A</v>
      </c>
      <c r="Q132" s="48">
        <v>1</v>
      </c>
      <c r="R132" s="75" t="e">
        <f>VLOOKUP(G132,Input!C:H,5,FALSE)</f>
        <v>#N/A</v>
      </c>
      <c r="T132" s="47">
        <v>1</v>
      </c>
      <c r="U132" s="47" t="str">
        <f t="shared" si="2"/>
        <v>131,131,**,</v>
      </c>
      <c r="AC132" s="47">
        <v>131</v>
      </c>
      <c r="AD132" s="47">
        <v>131</v>
      </c>
    </row>
    <row r="133" spans="1:30" ht="15.75">
      <c r="A133" s="13" t="str">
        <f>IFERROR(VLOOKUP($G:$G,scan!$A:$B,2,0),"**")</f>
        <v>**</v>
      </c>
      <c r="B133" s="13" t="str">
        <f>IFERROR(VLOOKUP($G133,scan!A:C,3,0),"**")</f>
        <v>**</v>
      </c>
      <c r="C133" s="47">
        <v>132</v>
      </c>
      <c r="F133" s="60"/>
      <c r="G133" s="1"/>
      <c r="H133" s="47" t="s">
        <v>4926</v>
      </c>
      <c r="I133" s="43">
        <v>6042070338</v>
      </c>
      <c r="J133" s="43" t="s">
        <v>4927</v>
      </c>
      <c r="K133" s="47" t="s">
        <v>4928</v>
      </c>
      <c r="L133" s="67" t="e">
        <f>VLOOKUP(G133,Input!C:Q,12,FALSE)</f>
        <v>#N/A</v>
      </c>
      <c r="M133" s="68" t="e">
        <f>VLOOKUP(G133,Input!C:Q,15,FALSE)</f>
        <v>#N/A</v>
      </c>
      <c r="N133" s="69" t="e">
        <f>VLOOKUP(G133,Input!C:Q,14,FALSE)</f>
        <v>#N/A</v>
      </c>
      <c r="Q133" s="48">
        <v>1</v>
      </c>
      <c r="R133" s="75" t="e">
        <f>VLOOKUP(G133,Input!C:H,5,FALSE)</f>
        <v>#N/A</v>
      </c>
      <c r="T133" s="47">
        <v>1</v>
      </c>
      <c r="U133" s="47" t="str">
        <f t="shared" si="2"/>
        <v>132,132,**,</v>
      </c>
      <c r="AC133" s="47">
        <v>132</v>
      </c>
      <c r="AD133" s="47">
        <v>132</v>
      </c>
    </row>
    <row r="134" spans="1:30" ht="15.75">
      <c r="A134" s="13" t="str">
        <f>IFERROR(VLOOKUP($G:$G,scan!$A:$B,2,0),"**")</f>
        <v>**</v>
      </c>
      <c r="B134" s="13" t="str">
        <f>IFERROR(VLOOKUP($G134,scan!A:C,3,0),"**")</f>
        <v>**</v>
      </c>
      <c r="C134" s="47">
        <v>133</v>
      </c>
      <c r="F134" s="60"/>
      <c r="G134" s="1"/>
      <c r="H134" s="47" t="s">
        <v>4926</v>
      </c>
      <c r="I134" s="43">
        <v>6042070338</v>
      </c>
      <c r="J134" s="43" t="s">
        <v>4927</v>
      </c>
      <c r="K134" s="47" t="s">
        <v>4928</v>
      </c>
      <c r="L134" s="67" t="e">
        <f>VLOOKUP(G134,Input!C:Q,12,FALSE)</f>
        <v>#N/A</v>
      </c>
      <c r="M134" s="68" t="e">
        <f>VLOOKUP(G134,Input!C:Q,15,FALSE)</f>
        <v>#N/A</v>
      </c>
      <c r="N134" s="69" t="e">
        <f>VLOOKUP(G134,Input!C:Q,14,FALSE)</f>
        <v>#N/A</v>
      </c>
      <c r="Q134" s="48">
        <v>1</v>
      </c>
      <c r="R134" s="75" t="e">
        <f>VLOOKUP(G134,Input!C:H,5,FALSE)</f>
        <v>#N/A</v>
      </c>
      <c r="T134" s="47">
        <v>1</v>
      </c>
      <c r="U134" s="47" t="str">
        <f t="shared" si="2"/>
        <v>133,133,**,</v>
      </c>
      <c r="AC134" s="47">
        <v>133</v>
      </c>
      <c r="AD134" s="47">
        <v>133</v>
      </c>
    </row>
    <row r="135" spans="1:30" ht="15.75">
      <c r="A135" s="13" t="str">
        <f>IFERROR(VLOOKUP($G:$G,scan!$A:$B,2,0),"**")</f>
        <v>**</v>
      </c>
      <c r="B135" s="13" t="str">
        <f>IFERROR(VLOOKUP($G135,scan!A:C,3,0),"**")</f>
        <v>**</v>
      </c>
      <c r="C135" s="47">
        <v>134</v>
      </c>
      <c r="F135" s="60"/>
      <c r="G135" s="1"/>
      <c r="H135" s="47" t="s">
        <v>4926</v>
      </c>
      <c r="I135" s="43">
        <v>6042070338</v>
      </c>
      <c r="J135" s="43" t="s">
        <v>4927</v>
      </c>
      <c r="K135" s="47" t="s">
        <v>4928</v>
      </c>
      <c r="L135" s="67" t="e">
        <f>VLOOKUP(G135,Input!C:Q,12,FALSE)</f>
        <v>#N/A</v>
      </c>
      <c r="M135" s="68" t="e">
        <f>VLOOKUP(G135,Input!C:Q,15,FALSE)</f>
        <v>#N/A</v>
      </c>
      <c r="N135" s="69" t="e">
        <f>VLOOKUP(G135,Input!C:Q,14,FALSE)</f>
        <v>#N/A</v>
      </c>
      <c r="Q135" s="48">
        <v>1</v>
      </c>
      <c r="R135" s="75" t="e">
        <f>VLOOKUP(G135,Input!C:H,5,FALSE)</f>
        <v>#N/A</v>
      </c>
      <c r="T135" s="47">
        <v>1</v>
      </c>
      <c r="U135" s="47" t="str">
        <f t="shared" si="2"/>
        <v>134,134,**,</v>
      </c>
      <c r="AC135" s="47">
        <v>134</v>
      </c>
      <c r="AD135" s="47">
        <v>134</v>
      </c>
    </row>
    <row r="136" spans="1:30" ht="15.75">
      <c r="A136" s="13" t="str">
        <f>IFERROR(VLOOKUP($G:$G,scan!$A:$B,2,0),"**")</f>
        <v>**</v>
      </c>
      <c r="B136" s="13" t="str">
        <f>IFERROR(VLOOKUP($G136,scan!A:C,3,0),"**")</f>
        <v>**</v>
      </c>
      <c r="C136" s="47">
        <v>135</v>
      </c>
      <c r="F136" s="60"/>
      <c r="G136" s="1"/>
      <c r="H136" s="47" t="s">
        <v>4926</v>
      </c>
      <c r="I136" s="43">
        <v>6042070338</v>
      </c>
      <c r="J136" s="43" t="s">
        <v>4927</v>
      </c>
      <c r="K136" s="47" t="s">
        <v>4928</v>
      </c>
      <c r="L136" s="67" t="e">
        <f>VLOOKUP(G136,Input!C:Q,12,FALSE)</f>
        <v>#N/A</v>
      </c>
      <c r="M136" s="68" t="e">
        <f>VLOOKUP(G136,Input!C:Q,15,FALSE)</f>
        <v>#N/A</v>
      </c>
      <c r="N136" s="69" t="e">
        <f>VLOOKUP(G136,Input!C:Q,14,FALSE)</f>
        <v>#N/A</v>
      </c>
      <c r="Q136" s="48">
        <v>1</v>
      </c>
      <c r="R136" s="75" t="e">
        <f>VLOOKUP(G136,Input!C:H,5,FALSE)</f>
        <v>#N/A</v>
      </c>
      <c r="T136" s="47">
        <v>1</v>
      </c>
      <c r="U136" s="47" t="str">
        <f t="shared" si="2"/>
        <v>135,135,**,</v>
      </c>
      <c r="AC136" s="47">
        <v>135</v>
      </c>
      <c r="AD136" s="47">
        <v>135</v>
      </c>
    </row>
    <row r="137" spans="1:30" ht="15.75">
      <c r="A137" s="13" t="str">
        <f>IFERROR(VLOOKUP($G:$G,scan!$A:$B,2,0),"**")</f>
        <v>**</v>
      </c>
      <c r="B137" s="13" t="str">
        <f>IFERROR(VLOOKUP($G137,scan!A:C,3,0),"**")</f>
        <v>**</v>
      </c>
      <c r="C137" s="47">
        <v>136</v>
      </c>
      <c r="F137" s="60"/>
      <c r="G137" s="1"/>
      <c r="H137" s="47" t="s">
        <v>4926</v>
      </c>
      <c r="I137" s="43">
        <v>6042070338</v>
      </c>
      <c r="J137" s="43" t="s">
        <v>4927</v>
      </c>
      <c r="K137" s="47" t="s">
        <v>4928</v>
      </c>
      <c r="L137" s="67" t="e">
        <f>VLOOKUP(G137,Input!C:Q,12,FALSE)</f>
        <v>#N/A</v>
      </c>
      <c r="M137" s="68" t="e">
        <f>VLOOKUP(G137,Input!C:Q,15,FALSE)</f>
        <v>#N/A</v>
      </c>
      <c r="N137" s="69" t="e">
        <f>VLOOKUP(G137,Input!C:Q,14,FALSE)</f>
        <v>#N/A</v>
      </c>
      <c r="Q137" s="48">
        <v>1</v>
      </c>
      <c r="R137" s="75" t="e">
        <f>VLOOKUP(G137,Input!C:H,5,FALSE)</f>
        <v>#N/A</v>
      </c>
      <c r="T137" s="47">
        <v>1</v>
      </c>
      <c r="U137" s="47" t="str">
        <f t="shared" si="2"/>
        <v>136,136,**,</v>
      </c>
      <c r="AC137" s="47">
        <v>136</v>
      </c>
      <c r="AD137" s="47">
        <v>136</v>
      </c>
    </row>
    <row r="138" spans="1:30" ht="15.75">
      <c r="A138" s="13" t="str">
        <f>IFERROR(VLOOKUP($G:$G,scan!$A:$B,2,0),"**")</f>
        <v>**</v>
      </c>
      <c r="B138" s="13" t="str">
        <f>IFERROR(VLOOKUP($G138,scan!A:C,3,0),"**")</f>
        <v>**</v>
      </c>
      <c r="C138" s="47">
        <v>137</v>
      </c>
      <c r="F138" s="60"/>
      <c r="G138" s="1"/>
      <c r="H138" s="47" t="s">
        <v>4926</v>
      </c>
      <c r="I138" s="43">
        <v>6042070338</v>
      </c>
      <c r="J138" s="43" t="s">
        <v>4927</v>
      </c>
      <c r="K138" s="47" t="s">
        <v>4928</v>
      </c>
      <c r="L138" s="67" t="e">
        <f>VLOOKUP(G138,Input!C:Q,12,FALSE)</f>
        <v>#N/A</v>
      </c>
      <c r="M138" s="68" t="e">
        <f>VLOOKUP(G138,Input!C:Q,15,FALSE)</f>
        <v>#N/A</v>
      </c>
      <c r="N138" s="69" t="e">
        <f>VLOOKUP(G138,Input!C:Q,14,FALSE)</f>
        <v>#N/A</v>
      </c>
      <c r="Q138" s="48">
        <v>1</v>
      </c>
      <c r="R138" s="75" t="e">
        <f>VLOOKUP(G138,Input!C:H,5,FALSE)</f>
        <v>#N/A</v>
      </c>
      <c r="T138" s="47">
        <v>1</v>
      </c>
      <c r="U138" s="47" t="str">
        <f t="shared" si="2"/>
        <v>137,137,**,</v>
      </c>
      <c r="AC138" s="47">
        <v>137</v>
      </c>
      <c r="AD138" s="47">
        <v>137</v>
      </c>
    </row>
    <row r="139" spans="1:30" ht="15.75">
      <c r="A139" s="13" t="str">
        <f>IFERROR(VLOOKUP($G:$G,scan!$A:$B,2,0),"**")</f>
        <v>**</v>
      </c>
      <c r="B139" s="13" t="str">
        <f>IFERROR(VLOOKUP($G139,scan!A:C,3,0),"**")</f>
        <v>**</v>
      </c>
      <c r="C139" s="47">
        <v>138</v>
      </c>
      <c r="F139" s="60"/>
      <c r="G139" s="1"/>
      <c r="H139" s="47" t="s">
        <v>4926</v>
      </c>
      <c r="I139" s="43">
        <v>6042070338</v>
      </c>
      <c r="J139" s="43" t="s">
        <v>4927</v>
      </c>
      <c r="K139" s="47" t="s">
        <v>4928</v>
      </c>
      <c r="L139" s="67" t="e">
        <f>VLOOKUP(G139,Input!C:Q,12,FALSE)</f>
        <v>#N/A</v>
      </c>
      <c r="M139" s="68" t="e">
        <f>VLOOKUP(G139,Input!C:Q,15,FALSE)</f>
        <v>#N/A</v>
      </c>
      <c r="N139" s="69" t="e">
        <f>VLOOKUP(G139,Input!C:Q,14,FALSE)</f>
        <v>#N/A</v>
      </c>
      <c r="Q139" s="48">
        <v>1</v>
      </c>
      <c r="R139" s="75" t="e">
        <f>VLOOKUP(G139,Input!C:H,5,FALSE)</f>
        <v>#N/A</v>
      </c>
      <c r="T139" s="47">
        <v>1</v>
      </c>
      <c r="U139" s="47" t="str">
        <f t="shared" si="2"/>
        <v>138,138,**,</v>
      </c>
      <c r="AC139" s="47">
        <v>138</v>
      </c>
      <c r="AD139" s="47">
        <v>138</v>
      </c>
    </row>
    <row r="140" spans="1:30" ht="15.75">
      <c r="A140" s="13" t="str">
        <f>IFERROR(VLOOKUP($G:$G,scan!$A:$B,2,0),"**")</f>
        <v>**</v>
      </c>
      <c r="B140" s="13" t="str">
        <f>IFERROR(VLOOKUP($G140,scan!A:C,3,0),"**")</f>
        <v>**</v>
      </c>
      <c r="C140" s="47">
        <v>139</v>
      </c>
      <c r="F140" s="60"/>
      <c r="G140" s="1"/>
      <c r="H140" s="47" t="s">
        <v>4926</v>
      </c>
      <c r="I140" s="43">
        <v>6042070338</v>
      </c>
      <c r="J140" s="43" t="s">
        <v>4927</v>
      </c>
      <c r="K140" s="47" t="s">
        <v>4928</v>
      </c>
      <c r="L140" s="67" t="e">
        <f>VLOOKUP(G140,Input!C:Q,12,FALSE)</f>
        <v>#N/A</v>
      </c>
      <c r="M140" s="68" t="e">
        <f>VLOOKUP(G140,Input!C:Q,15,FALSE)</f>
        <v>#N/A</v>
      </c>
      <c r="N140" s="69" t="e">
        <f>VLOOKUP(G140,Input!C:Q,14,FALSE)</f>
        <v>#N/A</v>
      </c>
      <c r="Q140" s="48">
        <v>1</v>
      </c>
      <c r="R140" s="75" t="e">
        <f>VLOOKUP(G140,Input!C:H,5,FALSE)</f>
        <v>#N/A</v>
      </c>
      <c r="T140" s="47">
        <v>1</v>
      </c>
      <c r="U140" s="47" t="str">
        <f t="shared" si="2"/>
        <v>139,139,**,</v>
      </c>
      <c r="AC140" s="47">
        <v>139</v>
      </c>
      <c r="AD140" s="47">
        <v>139</v>
      </c>
    </row>
    <row r="141" spans="1:30" ht="15.75">
      <c r="A141" s="13" t="str">
        <f>IFERROR(VLOOKUP($G:$G,scan!$A:$B,2,0),"**")</f>
        <v>**</v>
      </c>
      <c r="B141" s="13" t="str">
        <f>IFERROR(VLOOKUP($G141,scan!A:C,3,0),"**")</f>
        <v>**</v>
      </c>
      <c r="C141" s="47">
        <v>140</v>
      </c>
      <c r="F141" s="60"/>
      <c r="G141" s="1"/>
      <c r="H141" s="47" t="s">
        <v>4926</v>
      </c>
      <c r="I141" s="43">
        <v>6042070338</v>
      </c>
      <c r="J141" s="43" t="s">
        <v>4927</v>
      </c>
      <c r="K141" s="47" t="s">
        <v>4928</v>
      </c>
      <c r="L141" s="67" t="e">
        <f>VLOOKUP(G141,Input!C:Q,12,FALSE)</f>
        <v>#N/A</v>
      </c>
      <c r="M141" s="68" t="e">
        <f>VLOOKUP(G141,Input!C:Q,15,FALSE)</f>
        <v>#N/A</v>
      </c>
      <c r="N141" s="69" t="e">
        <f>VLOOKUP(G141,Input!C:Q,14,FALSE)</f>
        <v>#N/A</v>
      </c>
      <c r="Q141" s="48">
        <v>1</v>
      </c>
      <c r="R141" s="75" t="e">
        <f>VLOOKUP(G141,Input!C:H,5,FALSE)</f>
        <v>#N/A</v>
      </c>
      <c r="T141" s="47">
        <v>1</v>
      </c>
      <c r="U141" s="47" t="str">
        <f t="shared" si="2"/>
        <v>140,140,**,</v>
      </c>
      <c r="AC141" s="47">
        <v>140</v>
      </c>
      <c r="AD141" s="47">
        <v>140</v>
      </c>
    </row>
    <row r="142" spans="1:30" ht="15.75">
      <c r="A142" s="13" t="str">
        <f>IFERROR(VLOOKUP($G:$G,scan!$A:$B,2,0),"**")</f>
        <v>**</v>
      </c>
      <c r="B142" s="13" t="str">
        <f>IFERROR(VLOOKUP($G142,scan!A:C,3,0),"**")</f>
        <v>**</v>
      </c>
      <c r="C142" s="47">
        <v>141</v>
      </c>
      <c r="F142" s="60"/>
      <c r="G142" s="1"/>
      <c r="H142" s="47" t="s">
        <v>4926</v>
      </c>
      <c r="I142" s="43">
        <v>6042070338</v>
      </c>
      <c r="J142" s="43" t="s">
        <v>4927</v>
      </c>
      <c r="K142" s="47" t="s">
        <v>4928</v>
      </c>
      <c r="L142" s="67" t="e">
        <f>VLOOKUP(G142,Input!C:Q,12,FALSE)</f>
        <v>#N/A</v>
      </c>
      <c r="M142" s="68" t="e">
        <f>VLOOKUP(G142,Input!C:Q,15,FALSE)</f>
        <v>#N/A</v>
      </c>
      <c r="N142" s="69" t="e">
        <f>VLOOKUP(G142,Input!C:Q,14,FALSE)</f>
        <v>#N/A</v>
      </c>
      <c r="Q142" s="48">
        <v>1</v>
      </c>
      <c r="R142" s="75" t="e">
        <f>VLOOKUP(G142,Input!C:H,5,FALSE)</f>
        <v>#N/A</v>
      </c>
      <c r="T142" s="47">
        <v>1</v>
      </c>
      <c r="U142" s="47" t="str">
        <f t="shared" si="2"/>
        <v>141,141,**,</v>
      </c>
      <c r="AC142" s="47">
        <v>141</v>
      </c>
      <c r="AD142" s="47">
        <v>141</v>
      </c>
    </row>
    <row r="143" spans="1:30" ht="15.75">
      <c r="A143" s="13" t="str">
        <f>IFERROR(VLOOKUP($G:$G,scan!$A:$B,2,0),"**")</f>
        <v>**</v>
      </c>
      <c r="B143" s="13" t="str">
        <f>IFERROR(VLOOKUP($G143,scan!A:C,3,0),"**")</f>
        <v>**</v>
      </c>
      <c r="C143" s="47">
        <v>142</v>
      </c>
      <c r="F143" s="60"/>
      <c r="G143" s="1"/>
      <c r="H143" s="47" t="s">
        <v>4926</v>
      </c>
      <c r="I143" s="43">
        <v>6042070338</v>
      </c>
      <c r="J143" s="43" t="s">
        <v>4927</v>
      </c>
      <c r="K143" s="47" t="s">
        <v>4928</v>
      </c>
      <c r="L143" s="67" t="e">
        <f>VLOOKUP(G143,Input!C:Q,12,FALSE)</f>
        <v>#N/A</v>
      </c>
      <c r="M143" s="68" t="e">
        <f>VLOOKUP(G143,Input!C:Q,15,FALSE)</f>
        <v>#N/A</v>
      </c>
      <c r="N143" s="69" t="e">
        <f>VLOOKUP(G143,Input!C:Q,14,FALSE)</f>
        <v>#N/A</v>
      </c>
      <c r="Q143" s="48">
        <v>1</v>
      </c>
      <c r="R143" s="75" t="e">
        <f>VLOOKUP(G143,Input!C:H,5,FALSE)</f>
        <v>#N/A</v>
      </c>
      <c r="T143" s="47">
        <v>1</v>
      </c>
      <c r="U143" s="47" t="str">
        <f t="shared" si="2"/>
        <v>142,142,**,</v>
      </c>
      <c r="AC143" s="47">
        <v>142</v>
      </c>
      <c r="AD143" s="47">
        <v>142</v>
      </c>
    </row>
    <row r="144" spans="1:30" ht="15.75">
      <c r="A144" s="13" t="str">
        <f>IFERROR(VLOOKUP($G:$G,scan!$A:$B,2,0),"**")</f>
        <v>**</v>
      </c>
      <c r="B144" s="13" t="str">
        <f>IFERROR(VLOOKUP($G144,scan!A:C,3,0),"**")</f>
        <v>**</v>
      </c>
      <c r="C144" s="47">
        <v>143</v>
      </c>
      <c r="F144" s="60"/>
      <c r="G144" s="1"/>
      <c r="H144" s="47" t="s">
        <v>4926</v>
      </c>
      <c r="I144" s="43">
        <v>6042070338</v>
      </c>
      <c r="J144" s="43" t="s">
        <v>4927</v>
      </c>
      <c r="K144" s="47" t="s">
        <v>4928</v>
      </c>
      <c r="L144" s="67" t="e">
        <f>VLOOKUP(G144,Input!C:Q,12,FALSE)</f>
        <v>#N/A</v>
      </c>
      <c r="M144" s="68" t="e">
        <f>VLOOKUP(G144,Input!C:Q,15,FALSE)</f>
        <v>#N/A</v>
      </c>
      <c r="N144" s="69" t="e">
        <f>VLOOKUP(G144,Input!C:Q,14,FALSE)</f>
        <v>#N/A</v>
      </c>
      <c r="Q144" s="48">
        <v>1</v>
      </c>
      <c r="R144" s="75" t="e">
        <f>VLOOKUP(G144,Input!C:H,5,FALSE)</f>
        <v>#N/A</v>
      </c>
      <c r="T144" s="47">
        <v>1</v>
      </c>
      <c r="U144" s="47" t="str">
        <f t="shared" si="2"/>
        <v>143,143,**,</v>
      </c>
      <c r="AC144" s="47">
        <v>143</v>
      </c>
      <c r="AD144" s="47">
        <v>143</v>
      </c>
    </row>
    <row r="145" spans="1:30" ht="15.75">
      <c r="A145" s="13" t="str">
        <f>IFERROR(VLOOKUP($G:$G,scan!$A:$B,2,0),"**")</f>
        <v>**</v>
      </c>
      <c r="B145" s="13" t="str">
        <f>IFERROR(VLOOKUP($G145,scan!A:C,3,0),"**")</f>
        <v>**</v>
      </c>
      <c r="C145" s="47">
        <v>144</v>
      </c>
      <c r="F145" s="60"/>
      <c r="G145" s="1"/>
      <c r="H145" s="47" t="s">
        <v>4926</v>
      </c>
      <c r="I145" s="43">
        <v>6042070338</v>
      </c>
      <c r="J145" s="43" t="s">
        <v>4927</v>
      </c>
      <c r="K145" s="47" t="s">
        <v>4928</v>
      </c>
      <c r="L145" s="67" t="e">
        <f>VLOOKUP(G145,Input!C:Q,12,FALSE)</f>
        <v>#N/A</v>
      </c>
      <c r="M145" s="68" t="e">
        <f>VLOOKUP(G145,Input!C:Q,15,FALSE)</f>
        <v>#N/A</v>
      </c>
      <c r="N145" s="69" t="e">
        <f>VLOOKUP(G145,Input!C:Q,14,FALSE)</f>
        <v>#N/A</v>
      </c>
      <c r="Q145" s="48">
        <v>1</v>
      </c>
      <c r="R145" s="75" t="e">
        <f>VLOOKUP(G145,Input!C:H,5,FALSE)</f>
        <v>#N/A</v>
      </c>
      <c r="T145" s="47">
        <v>1</v>
      </c>
      <c r="U145" s="47" t="str">
        <f t="shared" si="2"/>
        <v>144,144,**,</v>
      </c>
      <c r="AC145" s="47">
        <v>144</v>
      </c>
      <c r="AD145" s="47">
        <v>144</v>
      </c>
    </row>
    <row r="146" spans="1:30" ht="15.75">
      <c r="A146" s="13" t="str">
        <f>IFERROR(VLOOKUP($G:$G,scan!$A:$B,2,0),"**")</f>
        <v>**</v>
      </c>
      <c r="B146" s="13" t="str">
        <f>IFERROR(VLOOKUP($G146,scan!A:C,3,0),"**")</f>
        <v>**</v>
      </c>
      <c r="C146" s="47">
        <v>145</v>
      </c>
      <c r="F146" s="60"/>
      <c r="G146" s="1"/>
      <c r="H146" s="47" t="s">
        <v>4926</v>
      </c>
      <c r="I146" s="43">
        <v>6042070338</v>
      </c>
      <c r="J146" s="43" t="s">
        <v>4927</v>
      </c>
      <c r="K146" s="47" t="s">
        <v>4928</v>
      </c>
      <c r="L146" s="67" t="e">
        <f>VLOOKUP(G146,Input!C:Q,12,FALSE)</f>
        <v>#N/A</v>
      </c>
      <c r="M146" s="68" t="e">
        <f>VLOOKUP(G146,Input!C:Q,15,FALSE)</f>
        <v>#N/A</v>
      </c>
      <c r="N146" s="69" t="e">
        <f>VLOOKUP(G146,Input!C:Q,14,FALSE)</f>
        <v>#N/A</v>
      </c>
      <c r="Q146" s="48">
        <v>1</v>
      </c>
      <c r="R146" s="75" t="e">
        <f>VLOOKUP(G146,Input!C:H,5,FALSE)</f>
        <v>#N/A</v>
      </c>
      <c r="T146" s="47">
        <v>1</v>
      </c>
      <c r="U146" s="47" t="str">
        <f t="shared" si="2"/>
        <v>145,145,**,</v>
      </c>
      <c r="AC146" s="47">
        <v>145</v>
      </c>
      <c r="AD146" s="47">
        <v>145</v>
      </c>
    </row>
    <row r="147" spans="1:30" ht="15.75">
      <c r="A147" s="13" t="str">
        <f>IFERROR(VLOOKUP($G:$G,scan!$A:$B,2,0),"**")</f>
        <v>**</v>
      </c>
      <c r="B147" s="13" t="str">
        <f>IFERROR(VLOOKUP($G147,scan!A:C,3,0),"**")</f>
        <v>**</v>
      </c>
      <c r="C147" s="47">
        <v>146</v>
      </c>
      <c r="F147" s="60"/>
      <c r="G147" s="1"/>
      <c r="H147" s="47" t="s">
        <v>4926</v>
      </c>
      <c r="I147" s="43">
        <v>6042070338</v>
      </c>
      <c r="J147" s="43" t="s">
        <v>4927</v>
      </c>
      <c r="K147" s="47" t="s">
        <v>4928</v>
      </c>
      <c r="L147" s="67" t="e">
        <f>VLOOKUP(G147,Input!C:Q,12,FALSE)</f>
        <v>#N/A</v>
      </c>
      <c r="M147" s="68" t="e">
        <f>VLOOKUP(G147,Input!C:Q,15,FALSE)</f>
        <v>#N/A</v>
      </c>
      <c r="N147" s="69" t="e">
        <f>VLOOKUP(G147,Input!C:Q,14,FALSE)</f>
        <v>#N/A</v>
      </c>
      <c r="Q147" s="48">
        <v>1</v>
      </c>
      <c r="R147" s="75" t="e">
        <f>VLOOKUP(G147,Input!C:H,5,FALSE)</f>
        <v>#N/A</v>
      </c>
      <c r="T147" s="47">
        <v>1</v>
      </c>
      <c r="U147" s="47" t="str">
        <f t="shared" si="2"/>
        <v>146,146,**,</v>
      </c>
      <c r="AC147" s="47">
        <v>146</v>
      </c>
      <c r="AD147" s="47">
        <v>146</v>
      </c>
    </row>
    <row r="148" spans="1:30" ht="15.75">
      <c r="A148" s="13" t="str">
        <f>IFERROR(VLOOKUP($G:$G,scan!$A:$B,2,0),"**")</f>
        <v>**</v>
      </c>
      <c r="B148" s="13" t="str">
        <f>IFERROR(VLOOKUP($G148,scan!A:C,3,0),"**")</f>
        <v>**</v>
      </c>
      <c r="C148" s="47">
        <v>147</v>
      </c>
      <c r="F148" s="60"/>
      <c r="G148" s="1"/>
      <c r="H148" s="47" t="s">
        <v>4926</v>
      </c>
      <c r="I148" s="43">
        <v>6042070338</v>
      </c>
      <c r="J148" s="43" t="s">
        <v>4927</v>
      </c>
      <c r="K148" s="47" t="s">
        <v>4928</v>
      </c>
      <c r="L148" s="67" t="e">
        <f>VLOOKUP(G148,Input!C:Q,12,FALSE)</f>
        <v>#N/A</v>
      </c>
      <c r="M148" s="68" t="e">
        <f>VLOOKUP(G148,Input!C:Q,15,FALSE)</f>
        <v>#N/A</v>
      </c>
      <c r="N148" s="69" t="e">
        <f>VLOOKUP(G148,Input!C:Q,14,FALSE)</f>
        <v>#N/A</v>
      </c>
      <c r="Q148" s="48">
        <v>1</v>
      </c>
      <c r="R148" s="75" t="e">
        <f>VLOOKUP(G148,Input!C:H,5,FALSE)</f>
        <v>#N/A</v>
      </c>
      <c r="T148" s="47">
        <v>1</v>
      </c>
      <c r="U148" s="47" t="str">
        <f t="shared" si="2"/>
        <v>147,147,**,</v>
      </c>
      <c r="AC148" s="47">
        <v>147</v>
      </c>
      <c r="AD148" s="47">
        <v>147</v>
      </c>
    </row>
    <row r="149" spans="1:30" ht="15.75">
      <c r="A149" s="13" t="str">
        <f>IFERROR(VLOOKUP($G:$G,scan!$A:$B,2,0),"**")</f>
        <v>**</v>
      </c>
      <c r="B149" s="13" t="str">
        <f>IFERROR(VLOOKUP($G149,scan!A:C,3,0),"**")</f>
        <v>**</v>
      </c>
      <c r="C149" s="47">
        <v>148</v>
      </c>
      <c r="F149" s="60"/>
      <c r="G149" s="1"/>
      <c r="H149" s="47" t="s">
        <v>4926</v>
      </c>
      <c r="I149" s="43">
        <v>6042070338</v>
      </c>
      <c r="J149" s="43" t="s">
        <v>4927</v>
      </c>
      <c r="K149" s="47" t="s">
        <v>4928</v>
      </c>
      <c r="L149" s="67" t="e">
        <f>VLOOKUP(G149,Input!C:Q,12,FALSE)</f>
        <v>#N/A</v>
      </c>
      <c r="M149" s="68" t="e">
        <f>VLOOKUP(G149,Input!C:Q,15,FALSE)</f>
        <v>#N/A</v>
      </c>
      <c r="N149" s="69" t="e">
        <f>VLOOKUP(G149,Input!C:Q,14,FALSE)</f>
        <v>#N/A</v>
      </c>
      <c r="Q149" s="48">
        <v>1</v>
      </c>
      <c r="R149" s="75" t="e">
        <f>VLOOKUP(G149,Input!C:H,5,FALSE)</f>
        <v>#N/A</v>
      </c>
      <c r="T149" s="47">
        <v>1</v>
      </c>
      <c r="U149" s="47" t="str">
        <f t="shared" si="2"/>
        <v>148,148,**,</v>
      </c>
      <c r="AC149" s="47">
        <v>148</v>
      </c>
      <c r="AD149" s="47">
        <v>148</v>
      </c>
    </row>
    <row r="150" spans="1:30" ht="15.75">
      <c r="A150" s="13" t="str">
        <f>IFERROR(VLOOKUP($G:$G,scan!$A:$B,2,0),"**")</f>
        <v>**</v>
      </c>
      <c r="B150" s="13" t="str">
        <f>IFERROR(VLOOKUP($G150,scan!A:C,3,0),"**")</f>
        <v>**</v>
      </c>
      <c r="C150" s="47">
        <v>149</v>
      </c>
      <c r="F150" s="60"/>
      <c r="G150" s="1"/>
      <c r="H150" s="47" t="s">
        <v>4926</v>
      </c>
      <c r="I150" s="43">
        <v>6042070338</v>
      </c>
      <c r="J150" s="43" t="s">
        <v>4927</v>
      </c>
      <c r="K150" s="47" t="s">
        <v>4928</v>
      </c>
      <c r="L150" s="67" t="e">
        <f>VLOOKUP(G150,Input!C:Q,12,FALSE)</f>
        <v>#N/A</v>
      </c>
      <c r="M150" s="68" t="e">
        <f>VLOOKUP(G150,Input!C:Q,15,FALSE)</f>
        <v>#N/A</v>
      </c>
      <c r="N150" s="69" t="e">
        <f>VLOOKUP(G150,Input!C:Q,14,FALSE)</f>
        <v>#N/A</v>
      </c>
      <c r="Q150" s="48">
        <v>1</v>
      </c>
      <c r="R150" s="75" t="e">
        <f>VLOOKUP(G150,Input!C:H,5,FALSE)</f>
        <v>#N/A</v>
      </c>
      <c r="T150" s="47">
        <v>1</v>
      </c>
      <c r="U150" s="47" t="str">
        <f t="shared" si="2"/>
        <v>149,149,**,</v>
      </c>
      <c r="AC150" s="47">
        <v>149</v>
      </c>
      <c r="AD150" s="47">
        <v>149</v>
      </c>
    </row>
    <row r="151" spans="1:30" ht="15.75">
      <c r="A151" s="13" t="str">
        <f>IFERROR(VLOOKUP($G:$G,scan!$A:$B,2,0),"**")</f>
        <v>**</v>
      </c>
      <c r="B151" s="13" t="str">
        <f>IFERROR(VLOOKUP($G151,scan!A:C,3,0),"**")</f>
        <v>**</v>
      </c>
      <c r="C151" s="47">
        <v>150</v>
      </c>
      <c r="F151" s="60"/>
      <c r="G151" s="1"/>
      <c r="H151" s="47" t="s">
        <v>4926</v>
      </c>
      <c r="I151" s="43">
        <v>6042070338</v>
      </c>
      <c r="J151" s="43" t="s">
        <v>4927</v>
      </c>
      <c r="K151" s="47" t="s">
        <v>4928</v>
      </c>
      <c r="L151" s="67" t="e">
        <f>VLOOKUP(G151,Input!C:Q,12,FALSE)</f>
        <v>#N/A</v>
      </c>
      <c r="M151" s="68" t="e">
        <f>VLOOKUP(G151,Input!C:Q,15,FALSE)</f>
        <v>#N/A</v>
      </c>
      <c r="N151" s="69" t="e">
        <f>VLOOKUP(G151,Input!C:Q,14,FALSE)</f>
        <v>#N/A</v>
      </c>
      <c r="Q151" s="48">
        <v>1</v>
      </c>
      <c r="R151" s="75" t="e">
        <f>VLOOKUP(G151,Input!C:H,5,FALSE)</f>
        <v>#N/A</v>
      </c>
      <c r="T151" s="47">
        <v>1</v>
      </c>
      <c r="U151" s="47" t="str">
        <f t="shared" si="2"/>
        <v>150,150,**,</v>
      </c>
      <c r="AC151" s="47">
        <v>150</v>
      </c>
      <c r="AD151" s="47">
        <v>150</v>
      </c>
    </row>
    <row r="152" spans="1:30" ht="15.75">
      <c r="A152" s="13" t="str">
        <f>IFERROR(VLOOKUP($G:$G,scan!$A:$B,2,0),"**")</f>
        <v>**</v>
      </c>
      <c r="B152" s="13" t="str">
        <f>IFERROR(VLOOKUP($G152,scan!A:C,3,0),"**")</f>
        <v>**</v>
      </c>
      <c r="C152" s="47">
        <v>151</v>
      </c>
      <c r="F152" s="60"/>
      <c r="G152" s="1"/>
      <c r="H152" s="47" t="s">
        <v>4926</v>
      </c>
      <c r="I152" s="43">
        <v>6042070338</v>
      </c>
      <c r="J152" s="43" t="s">
        <v>4927</v>
      </c>
      <c r="K152" s="47" t="s">
        <v>4928</v>
      </c>
      <c r="L152" s="67" t="e">
        <f>VLOOKUP(G152,Input!C:Q,12,FALSE)</f>
        <v>#N/A</v>
      </c>
      <c r="M152" s="68" t="e">
        <f>VLOOKUP(G152,Input!C:Q,15,FALSE)</f>
        <v>#N/A</v>
      </c>
      <c r="N152" s="69" t="e">
        <f>VLOOKUP(G152,Input!C:Q,14,FALSE)</f>
        <v>#N/A</v>
      </c>
      <c r="Q152" s="48">
        <v>1</v>
      </c>
      <c r="R152" s="75" t="e">
        <f>VLOOKUP(G152,Input!C:H,5,FALSE)</f>
        <v>#N/A</v>
      </c>
      <c r="T152" s="47">
        <v>1</v>
      </c>
      <c r="U152" s="47" t="str">
        <f t="shared" si="2"/>
        <v>151,151,**,</v>
      </c>
      <c r="AC152" s="47">
        <v>151</v>
      </c>
      <c r="AD152" s="47">
        <v>151</v>
      </c>
    </row>
    <row r="153" spans="1:30" ht="15.75">
      <c r="A153" s="13" t="str">
        <f>IFERROR(VLOOKUP($G:$G,scan!$A:$B,2,0),"**")</f>
        <v>**</v>
      </c>
      <c r="B153" s="13" t="str">
        <f>IFERROR(VLOOKUP($G153,scan!A:C,3,0),"**")</f>
        <v>**</v>
      </c>
      <c r="C153" s="47">
        <v>152</v>
      </c>
      <c r="F153" s="60"/>
      <c r="G153" s="1"/>
      <c r="H153" s="47" t="s">
        <v>4926</v>
      </c>
      <c r="I153" s="43">
        <v>6042070338</v>
      </c>
      <c r="J153" s="43" t="s">
        <v>4927</v>
      </c>
      <c r="K153" s="47" t="s">
        <v>4928</v>
      </c>
      <c r="L153" s="67" t="e">
        <f>VLOOKUP(G153,Input!C:Q,12,FALSE)</f>
        <v>#N/A</v>
      </c>
      <c r="M153" s="68" t="e">
        <f>VLOOKUP(G153,Input!C:Q,15,FALSE)</f>
        <v>#N/A</v>
      </c>
      <c r="N153" s="69" t="e">
        <f>VLOOKUP(G153,Input!C:Q,14,FALSE)</f>
        <v>#N/A</v>
      </c>
      <c r="Q153" s="48">
        <v>1</v>
      </c>
      <c r="R153" s="75" t="e">
        <f>VLOOKUP(G153,Input!C:H,5,FALSE)</f>
        <v>#N/A</v>
      </c>
      <c r="T153" s="47">
        <v>1</v>
      </c>
      <c r="U153" s="47" t="str">
        <f t="shared" si="2"/>
        <v>152,152,**,</v>
      </c>
      <c r="AC153" s="47">
        <v>152</v>
      </c>
      <c r="AD153" s="47">
        <v>152</v>
      </c>
    </row>
    <row r="154" spans="1:30" ht="15.75">
      <c r="A154" s="13" t="str">
        <f>IFERROR(VLOOKUP($G:$G,scan!$A:$B,2,0),"**")</f>
        <v>**</v>
      </c>
      <c r="B154" s="13" t="str">
        <f>IFERROR(VLOOKUP($G154,scan!A:C,3,0),"**")</f>
        <v>**</v>
      </c>
      <c r="C154" s="47">
        <v>153</v>
      </c>
      <c r="F154" s="60"/>
      <c r="G154" s="1"/>
      <c r="H154" s="47" t="s">
        <v>4926</v>
      </c>
      <c r="I154" s="43">
        <v>6042070338</v>
      </c>
      <c r="J154" s="43" t="s">
        <v>4927</v>
      </c>
      <c r="K154" s="47" t="s">
        <v>4928</v>
      </c>
      <c r="L154" s="67" t="e">
        <f>VLOOKUP(G154,Input!C:Q,12,FALSE)</f>
        <v>#N/A</v>
      </c>
      <c r="M154" s="68" t="e">
        <f>VLOOKUP(G154,Input!C:Q,15,FALSE)</f>
        <v>#N/A</v>
      </c>
      <c r="N154" s="69" t="e">
        <f>VLOOKUP(G154,Input!C:Q,14,FALSE)</f>
        <v>#N/A</v>
      </c>
      <c r="Q154" s="48">
        <v>1</v>
      </c>
      <c r="R154" s="75" t="e">
        <f>VLOOKUP(G154,Input!C:H,5,FALSE)</f>
        <v>#N/A</v>
      </c>
      <c r="T154" s="47">
        <v>1</v>
      </c>
      <c r="U154" s="47" t="str">
        <f t="shared" si="2"/>
        <v>153,153,**,</v>
      </c>
      <c r="AC154" s="47">
        <v>153</v>
      </c>
      <c r="AD154" s="47">
        <v>153</v>
      </c>
    </row>
    <row r="155" spans="1:30" ht="15.75">
      <c r="A155" s="13" t="str">
        <f>IFERROR(VLOOKUP($G:$G,scan!$A:$B,2,0),"**")</f>
        <v>**</v>
      </c>
      <c r="B155" s="13" t="str">
        <f>IFERROR(VLOOKUP($G155,scan!A:C,3,0),"**")</f>
        <v>**</v>
      </c>
      <c r="C155" s="47">
        <v>154</v>
      </c>
      <c r="F155" s="60"/>
      <c r="G155" s="1"/>
      <c r="H155" s="47" t="s">
        <v>4926</v>
      </c>
      <c r="I155" s="43">
        <v>6042070338</v>
      </c>
      <c r="J155" s="43" t="s">
        <v>4927</v>
      </c>
      <c r="K155" s="47" t="s">
        <v>4928</v>
      </c>
      <c r="L155" s="67" t="e">
        <f>VLOOKUP(G155,Input!C:Q,12,FALSE)</f>
        <v>#N/A</v>
      </c>
      <c r="M155" s="68" t="e">
        <f>VLOOKUP(G155,Input!C:Q,15,FALSE)</f>
        <v>#N/A</v>
      </c>
      <c r="N155" s="69" t="e">
        <f>VLOOKUP(G155,Input!C:Q,14,FALSE)</f>
        <v>#N/A</v>
      </c>
      <c r="Q155" s="48">
        <v>1</v>
      </c>
      <c r="R155" s="75" t="e">
        <f>VLOOKUP(G155,Input!C:H,5,FALSE)</f>
        <v>#N/A</v>
      </c>
      <c r="T155" s="47">
        <v>1</v>
      </c>
      <c r="U155" s="47" t="str">
        <f t="shared" si="2"/>
        <v>154,154,**,</v>
      </c>
      <c r="AC155" s="47">
        <v>154</v>
      </c>
      <c r="AD155" s="47">
        <v>154</v>
      </c>
    </row>
    <row r="156" spans="1:30" ht="15.75">
      <c r="A156" s="13" t="str">
        <f>IFERROR(VLOOKUP($G:$G,scan!$A:$B,2,0),"**")</f>
        <v>**</v>
      </c>
      <c r="B156" s="13" t="str">
        <f>IFERROR(VLOOKUP($G156,scan!A:C,3,0),"**")</f>
        <v>**</v>
      </c>
      <c r="C156" s="47">
        <v>155</v>
      </c>
      <c r="F156" s="60"/>
      <c r="G156" s="1"/>
      <c r="H156" s="47" t="s">
        <v>4926</v>
      </c>
      <c r="I156" s="43">
        <v>6042070338</v>
      </c>
      <c r="J156" s="43" t="s">
        <v>4927</v>
      </c>
      <c r="K156" s="47" t="s">
        <v>4928</v>
      </c>
      <c r="L156" s="67" t="e">
        <f>VLOOKUP(G156,Input!C:Q,12,FALSE)</f>
        <v>#N/A</v>
      </c>
      <c r="M156" s="68" t="e">
        <f>VLOOKUP(G156,Input!C:Q,15,FALSE)</f>
        <v>#N/A</v>
      </c>
      <c r="N156" s="69" t="e">
        <f>VLOOKUP(G156,Input!C:Q,14,FALSE)</f>
        <v>#N/A</v>
      </c>
      <c r="Q156" s="48">
        <v>1</v>
      </c>
      <c r="R156" s="75" t="e">
        <f>VLOOKUP(G156,Input!C:H,5,FALSE)</f>
        <v>#N/A</v>
      </c>
      <c r="T156" s="47">
        <v>1</v>
      </c>
      <c r="U156" s="47" t="str">
        <f t="shared" si="2"/>
        <v>155,155,**,</v>
      </c>
      <c r="AC156" s="47">
        <v>155</v>
      </c>
      <c r="AD156" s="47">
        <v>155</v>
      </c>
    </row>
    <row r="157" spans="1:30" ht="15.75">
      <c r="A157" s="13" t="str">
        <f>IFERROR(VLOOKUP($G:$G,scan!$A:$B,2,0),"**")</f>
        <v>**</v>
      </c>
      <c r="B157" s="13" t="str">
        <f>IFERROR(VLOOKUP($G157,scan!A:C,3,0),"**")</f>
        <v>**</v>
      </c>
      <c r="C157" s="47">
        <v>156</v>
      </c>
      <c r="F157" s="60"/>
      <c r="G157" s="1"/>
      <c r="H157" s="47" t="s">
        <v>4926</v>
      </c>
      <c r="I157" s="43">
        <v>6042070338</v>
      </c>
      <c r="J157" s="43" t="s">
        <v>4927</v>
      </c>
      <c r="K157" s="47" t="s">
        <v>4928</v>
      </c>
      <c r="L157" s="67" t="e">
        <f>VLOOKUP(G157,Input!C:Q,12,FALSE)</f>
        <v>#N/A</v>
      </c>
      <c r="M157" s="68" t="e">
        <f>VLOOKUP(G157,Input!C:Q,15,FALSE)</f>
        <v>#N/A</v>
      </c>
      <c r="N157" s="69" t="e">
        <f>VLOOKUP(G157,Input!C:Q,14,FALSE)</f>
        <v>#N/A</v>
      </c>
      <c r="Q157" s="48">
        <v>1</v>
      </c>
      <c r="R157" s="75" t="e">
        <f>VLOOKUP(G157,Input!C:H,5,FALSE)</f>
        <v>#N/A</v>
      </c>
      <c r="T157" s="47">
        <v>1</v>
      </c>
      <c r="U157" s="47" t="str">
        <f t="shared" si="2"/>
        <v>156,156,**,</v>
      </c>
      <c r="AC157" s="47">
        <v>156</v>
      </c>
      <c r="AD157" s="47">
        <v>156</v>
      </c>
    </row>
    <row r="158" spans="1:30" ht="15.75">
      <c r="A158" s="13" t="str">
        <f>IFERROR(VLOOKUP($G:$G,scan!$A:$B,2,0),"**")</f>
        <v>**</v>
      </c>
      <c r="B158" s="13" t="str">
        <f>IFERROR(VLOOKUP($G158,scan!A:C,3,0),"**")</f>
        <v>**</v>
      </c>
      <c r="C158" s="47">
        <v>157</v>
      </c>
      <c r="F158" s="60"/>
      <c r="G158" s="1"/>
      <c r="H158" s="47" t="s">
        <v>4926</v>
      </c>
      <c r="I158" s="43">
        <v>6042070338</v>
      </c>
      <c r="J158" s="43" t="s">
        <v>4927</v>
      </c>
      <c r="K158" s="47" t="s">
        <v>4928</v>
      </c>
      <c r="L158" s="67" t="e">
        <f>VLOOKUP(G158,Input!C:Q,12,FALSE)</f>
        <v>#N/A</v>
      </c>
      <c r="M158" s="68" t="e">
        <f>VLOOKUP(G158,Input!C:Q,15,FALSE)</f>
        <v>#N/A</v>
      </c>
      <c r="N158" s="69" t="e">
        <f>VLOOKUP(G158,Input!C:Q,14,FALSE)</f>
        <v>#N/A</v>
      </c>
      <c r="Q158" s="48">
        <v>1</v>
      </c>
      <c r="R158" s="75" t="e">
        <f>VLOOKUP(G158,Input!C:H,5,FALSE)</f>
        <v>#N/A</v>
      </c>
      <c r="T158" s="47">
        <v>1</v>
      </c>
      <c r="U158" s="47" t="str">
        <f t="shared" si="2"/>
        <v>157,157,**,</v>
      </c>
      <c r="AC158" s="47">
        <v>157</v>
      </c>
      <c r="AD158" s="47">
        <v>157</v>
      </c>
    </row>
    <row r="159" spans="1:30" ht="15.75">
      <c r="A159" s="13" t="str">
        <f>IFERROR(VLOOKUP($G:$G,scan!$A:$B,2,0),"**")</f>
        <v>**</v>
      </c>
      <c r="B159" s="13" t="str">
        <f>IFERROR(VLOOKUP($G159,scan!A:C,3,0),"**")</f>
        <v>**</v>
      </c>
      <c r="C159" s="47">
        <v>158</v>
      </c>
      <c r="F159" s="60"/>
      <c r="G159" s="1"/>
      <c r="H159" s="47" t="s">
        <v>4926</v>
      </c>
      <c r="I159" s="43">
        <v>6042070338</v>
      </c>
      <c r="J159" s="43" t="s">
        <v>4927</v>
      </c>
      <c r="K159" s="47" t="s">
        <v>4928</v>
      </c>
      <c r="L159" s="67" t="e">
        <f>VLOOKUP(G159,Input!C:Q,12,FALSE)</f>
        <v>#N/A</v>
      </c>
      <c r="M159" s="68" t="e">
        <f>VLOOKUP(G159,Input!C:Q,15,FALSE)</f>
        <v>#N/A</v>
      </c>
      <c r="N159" s="69" t="e">
        <f>VLOOKUP(G159,Input!C:Q,14,FALSE)</f>
        <v>#N/A</v>
      </c>
      <c r="Q159" s="48">
        <v>1</v>
      </c>
      <c r="R159" s="75" t="e">
        <f>VLOOKUP(G159,Input!C:H,5,FALSE)</f>
        <v>#N/A</v>
      </c>
      <c r="T159" s="47">
        <v>1</v>
      </c>
      <c r="U159" s="47" t="str">
        <f t="shared" si="2"/>
        <v>158,158,**,</v>
      </c>
      <c r="AC159" s="47">
        <v>158</v>
      </c>
      <c r="AD159" s="47">
        <v>158</v>
      </c>
    </row>
    <row r="160" spans="1:30" ht="15.75">
      <c r="A160" s="13" t="str">
        <f>IFERROR(VLOOKUP($G:$G,scan!$A:$B,2,0),"**")</f>
        <v>**</v>
      </c>
      <c r="B160" s="13" t="str">
        <f>IFERROR(VLOOKUP($G160,scan!A:C,3,0),"**")</f>
        <v>**</v>
      </c>
      <c r="C160" s="47">
        <v>159</v>
      </c>
      <c r="F160" s="60"/>
      <c r="G160" s="1"/>
      <c r="H160" s="47" t="s">
        <v>4926</v>
      </c>
      <c r="I160" s="43">
        <v>6042070338</v>
      </c>
      <c r="J160" s="43" t="s">
        <v>4927</v>
      </c>
      <c r="K160" s="47" t="s">
        <v>4928</v>
      </c>
      <c r="L160" s="67" t="e">
        <f>VLOOKUP(G160,Input!C:Q,12,FALSE)</f>
        <v>#N/A</v>
      </c>
      <c r="M160" s="68" t="e">
        <f>VLOOKUP(G160,Input!C:Q,15,FALSE)</f>
        <v>#N/A</v>
      </c>
      <c r="N160" s="69" t="e">
        <f>VLOOKUP(G160,Input!C:Q,14,FALSE)</f>
        <v>#N/A</v>
      </c>
      <c r="Q160" s="48">
        <v>1</v>
      </c>
      <c r="R160" s="75" t="e">
        <f>VLOOKUP(G160,Input!C:H,5,FALSE)</f>
        <v>#N/A</v>
      </c>
      <c r="T160" s="47">
        <v>1</v>
      </c>
      <c r="U160" s="47" t="str">
        <f t="shared" si="2"/>
        <v>159,159,**,</v>
      </c>
      <c r="AC160" s="47">
        <v>159</v>
      </c>
      <c r="AD160" s="47">
        <v>159</v>
      </c>
    </row>
    <row r="161" spans="1:30" ht="15.75">
      <c r="A161" s="13" t="str">
        <f>IFERROR(VLOOKUP($G:$G,scan!$A:$B,2,0),"**")</f>
        <v>**</v>
      </c>
      <c r="B161" s="13" t="str">
        <f>IFERROR(VLOOKUP($G161,scan!A:C,3,0),"**")</f>
        <v>**</v>
      </c>
      <c r="C161" s="47">
        <v>160</v>
      </c>
      <c r="F161" s="60"/>
      <c r="G161" s="1"/>
      <c r="H161" s="47" t="s">
        <v>4926</v>
      </c>
      <c r="I161" s="43">
        <v>6042070338</v>
      </c>
      <c r="J161" s="43" t="s">
        <v>4927</v>
      </c>
      <c r="K161" s="47" t="s">
        <v>4928</v>
      </c>
      <c r="L161" s="67" t="e">
        <f>VLOOKUP(G161,Input!C:Q,12,FALSE)</f>
        <v>#N/A</v>
      </c>
      <c r="M161" s="68" t="e">
        <f>VLOOKUP(G161,Input!C:Q,15,FALSE)</f>
        <v>#N/A</v>
      </c>
      <c r="N161" s="69" t="e">
        <f>VLOOKUP(G161,Input!C:Q,14,FALSE)</f>
        <v>#N/A</v>
      </c>
      <c r="Q161" s="48">
        <v>1</v>
      </c>
      <c r="R161" s="75" t="e">
        <f>VLOOKUP(G161,Input!C:H,5,FALSE)</f>
        <v>#N/A</v>
      </c>
      <c r="T161" s="47">
        <v>1</v>
      </c>
      <c r="U161" s="47" t="str">
        <f t="shared" si="2"/>
        <v>160,160,**,</v>
      </c>
      <c r="AC161" s="47">
        <v>160</v>
      </c>
      <c r="AD161" s="47">
        <v>160</v>
      </c>
    </row>
    <row r="162" spans="1:30" ht="15.75">
      <c r="A162" s="13" t="str">
        <f>IFERROR(VLOOKUP($G:$G,scan!$A:$B,2,0),"**")</f>
        <v>**</v>
      </c>
      <c r="B162" s="13" t="str">
        <f>IFERROR(VLOOKUP($G162,scan!A:C,3,0),"**")</f>
        <v>**</v>
      </c>
      <c r="C162" s="47">
        <v>161</v>
      </c>
      <c r="F162" s="60"/>
      <c r="G162" s="1"/>
      <c r="H162" s="47" t="s">
        <v>4926</v>
      </c>
      <c r="I162" s="43">
        <v>6042070338</v>
      </c>
      <c r="J162" s="43" t="s">
        <v>4927</v>
      </c>
      <c r="K162" s="47" t="s">
        <v>4928</v>
      </c>
      <c r="L162" s="67" t="e">
        <f>VLOOKUP(G162,Input!C:Q,12,FALSE)</f>
        <v>#N/A</v>
      </c>
      <c r="M162" s="68" t="e">
        <f>VLOOKUP(G162,Input!C:Q,15,FALSE)</f>
        <v>#N/A</v>
      </c>
      <c r="N162" s="69" t="e">
        <f>VLOOKUP(G162,Input!C:Q,14,FALSE)</f>
        <v>#N/A</v>
      </c>
      <c r="Q162" s="48">
        <v>1</v>
      </c>
      <c r="R162" s="75" t="e">
        <f>VLOOKUP(G162,Input!C:H,5,FALSE)</f>
        <v>#N/A</v>
      </c>
      <c r="T162" s="47">
        <v>1</v>
      </c>
      <c r="U162" s="47" t="str">
        <f t="shared" si="2"/>
        <v>161,161,**,</v>
      </c>
      <c r="AC162" s="47">
        <v>161</v>
      </c>
      <c r="AD162" s="47">
        <v>161</v>
      </c>
    </row>
    <row r="163" spans="1:30" ht="15.75">
      <c r="A163" s="13" t="str">
        <f>IFERROR(VLOOKUP($G:$G,scan!$A:$B,2,0),"**")</f>
        <v>**</v>
      </c>
      <c r="B163" s="13" t="str">
        <f>IFERROR(VLOOKUP($G163,scan!A:C,3,0),"**")</f>
        <v>**</v>
      </c>
      <c r="C163" s="47">
        <v>162</v>
      </c>
      <c r="F163" s="60"/>
      <c r="G163" s="1"/>
      <c r="H163" s="47" t="s">
        <v>4926</v>
      </c>
      <c r="I163" s="43">
        <v>6042070338</v>
      </c>
      <c r="J163" s="43" t="s">
        <v>4927</v>
      </c>
      <c r="K163" s="47" t="s">
        <v>4928</v>
      </c>
      <c r="L163" s="67" t="e">
        <f>VLOOKUP(G163,Input!C:Q,12,FALSE)</f>
        <v>#N/A</v>
      </c>
      <c r="M163" s="68" t="e">
        <f>VLOOKUP(G163,Input!C:Q,15,FALSE)</f>
        <v>#N/A</v>
      </c>
      <c r="N163" s="69" t="e">
        <f>VLOOKUP(G163,Input!C:Q,14,FALSE)</f>
        <v>#N/A</v>
      </c>
      <c r="Q163" s="48">
        <v>1</v>
      </c>
      <c r="R163" s="75" t="e">
        <f>VLOOKUP(G163,Input!C:H,5,FALSE)</f>
        <v>#N/A</v>
      </c>
      <c r="T163" s="47">
        <v>1</v>
      </c>
      <c r="U163" s="47" t="str">
        <f t="shared" si="2"/>
        <v>162,162,**,</v>
      </c>
      <c r="AC163" s="47">
        <v>162</v>
      </c>
      <c r="AD163" s="47">
        <v>162</v>
      </c>
    </row>
    <row r="164" spans="1:30" ht="15.75">
      <c r="A164" s="13" t="str">
        <f>IFERROR(VLOOKUP($G:$G,scan!$A:$B,2,0),"**")</f>
        <v>**</v>
      </c>
      <c r="B164" s="13" t="str">
        <f>IFERROR(VLOOKUP($G164,scan!A:C,3,0),"**")</f>
        <v>**</v>
      </c>
      <c r="C164" s="47">
        <v>163</v>
      </c>
      <c r="F164" s="60"/>
      <c r="G164" s="1"/>
      <c r="H164" s="47" t="s">
        <v>4926</v>
      </c>
      <c r="I164" s="43">
        <v>6042070338</v>
      </c>
      <c r="J164" s="43" t="s">
        <v>4927</v>
      </c>
      <c r="K164" s="47" t="s">
        <v>4928</v>
      </c>
      <c r="L164" s="67" t="e">
        <f>VLOOKUP(G164,Input!C:Q,12,FALSE)</f>
        <v>#N/A</v>
      </c>
      <c r="M164" s="68" t="e">
        <f>VLOOKUP(G164,Input!C:Q,15,FALSE)</f>
        <v>#N/A</v>
      </c>
      <c r="N164" s="69" t="e">
        <f>VLOOKUP(G164,Input!C:Q,14,FALSE)</f>
        <v>#N/A</v>
      </c>
      <c r="Q164" s="48">
        <v>1</v>
      </c>
      <c r="R164" s="75" t="e">
        <f>VLOOKUP(G164,Input!C:H,5,FALSE)</f>
        <v>#N/A</v>
      </c>
      <c r="T164" s="47">
        <v>1</v>
      </c>
      <c r="U164" s="47" t="str">
        <f t="shared" si="2"/>
        <v>163,163,**,</v>
      </c>
      <c r="AC164" s="47">
        <v>163</v>
      </c>
      <c r="AD164" s="47">
        <v>163</v>
      </c>
    </row>
    <row r="165" spans="1:30" ht="15.75">
      <c r="A165" s="13" t="str">
        <f>IFERROR(VLOOKUP($G:$G,scan!$A:$B,2,0),"**")</f>
        <v>**</v>
      </c>
      <c r="B165" s="13" t="str">
        <f>IFERROR(VLOOKUP($G165,scan!A:C,3,0),"**")</f>
        <v>**</v>
      </c>
      <c r="C165" s="47">
        <v>164</v>
      </c>
      <c r="F165" s="60"/>
      <c r="G165" s="1"/>
      <c r="H165" s="47" t="s">
        <v>4926</v>
      </c>
      <c r="I165" s="43">
        <v>6042070338</v>
      </c>
      <c r="J165" s="43" t="s">
        <v>4927</v>
      </c>
      <c r="K165" s="47" t="s">
        <v>4928</v>
      </c>
      <c r="L165" s="67" t="e">
        <f>VLOOKUP(G165,Input!C:Q,12,FALSE)</f>
        <v>#N/A</v>
      </c>
      <c r="M165" s="68" t="e">
        <f>VLOOKUP(G165,Input!C:Q,15,FALSE)</f>
        <v>#N/A</v>
      </c>
      <c r="N165" s="69" t="e">
        <f>VLOOKUP(G165,Input!C:Q,14,FALSE)</f>
        <v>#N/A</v>
      </c>
      <c r="Q165" s="48">
        <v>1</v>
      </c>
      <c r="R165" s="75" t="e">
        <f>VLOOKUP(G165,Input!C:H,5,FALSE)</f>
        <v>#N/A</v>
      </c>
      <c r="T165" s="47">
        <v>1</v>
      </c>
      <c r="U165" s="47" t="str">
        <f t="shared" si="2"/>
        <v>164,164,**,</v>
      </c>
      <c r="AC165" s="47">
        <v>164</v>
      </c>
      <c r="AD165" s="47">
        <v>164</v>
      </c>
    </row>
    <row r="166" spans="1:30" ht="15.75">
      <c r="A166" s="13" t="str">
        <f>IFERROR(VLOOKUP($G:$G,scan!$A:$B,2,0),"**")</f>
        <v>**</v>
      </c>
      <c r="B166" s="13" t="str">
        <f>IFERROR(VLOOKUP($G166,scan!A:C,3,0),"**")</f>
        <v>**</v>
      </c>
      <c r="C166" s="47">
        <v>165</v>
      </c>
      <c r="F166" s="60"/>
      <c r="G166" s="1"/>
      <c r="H166" s="47" t="s">
        <v>4926</v>
      </c>
      <c r="I166" s="43">
        <v>6042070338</v>
      </c>
      <c r="J166" s="43" t="s">
        <v>4927</v>
      </c>
      <c r="K166" s="47" t="s">
        <v>4928</v>
      </c>
      <c r="L166" s="67" t="e">
        <f>VLOOKUP(G166,Input!C:Q,12,FALSE)</f>
        <v>#N/A</v>
      </c>
      <c r="M166" s="68" t="e">
        <f>VLOOKUP(G166,Input!C:Q,15,FALSE)</f>
        <v>#N/A</v>
      </c>
      <c r="N166" s="69" t="e">
        <f>VLOOKUP(G166,Input!C:Q,14,FALSE)</f>
        <v>#N/A</v>
      </c>
      <c r="Q166" s="48">
        <v>1</v>
      </c>
      <c r="R166" s="75" t="e">
        <f>VLOOKUP(G166,Input!C:H,5,FALSE)</f>
        <v>#N/A</v>
      </c>
      <c r="T166" s="47">
        <v>1</v>
      </c>
      <c r="U166" s="47" t="str">
        <f t="shared" si="2"/>
        <v>165,165,**,</v>
      </c>
      <c r="AC166" s="47">
        <v>165</v>
      </c>
      <c r="AD166" s="47">
        <v>165</v>
      </c>
    </row>
    <row r="167" spans="1:30" ht="15.75">
      <c r="A167" s="13" t="str">
        <f>IFERROR(VLOOKUP($G:$G,scan!$A:$B,2,0),"**")</f>
        <v>**</v>
      </c>
      <c r="B167" s="13" t="str">
        <f>IFERROR(VLOOKUP($G167,scan!A:C,3,0),"**")</f>
        <v>**</v>
      </c>
      <c r="C167" s="47">
        <v>166</v>
      </c>
      <c r="F167" s="60"/>
      <c r="G167" s="1"/>
      <c r="H167" s="47" t="s">
        <v>4926</v>
      </c>
      <c r="I167" s="43">
        <v>6042070338</v>
      </c>
      <c r="J167" s="43" t="s">
        <v>4927</v>
      </c>
      <c r="K167" s="47" t="s">
        <v>4928</v>
      </c>
      <c r="L167" s="67" t="e">
        <f>VLOOKUP(G167,Input!C:Q,12,FALSE)</f>
        <v>#N/A</v>
      </c>
      <c r="M167" s="68" t="e">
        <f>VLOOKUP(G167,Input!C:Q,15,FALSE)</f>
        <v>#N/A</v>
      </c>
      <c r="N167" s="69" t="e">
        <f>VLOOKUP(G167,Input!C:Q,14,FALSE)</f>
        <v>#N/A</v>
      </c>
      <c r="Q167" s="48">
        <v>1</v>
      </c>
      <c r="R167" s="75" t="e">
        <f>VLOOKUP(G167,Input!C:H,5,FALSE)</f>
        <v>#N/A</v>
      </c>
      <c r="T167" s="47">
        <v>1</v>
      </c>
      <c r="U167" s="47" t="str">
        <f t="shared" si="2"/>
        <v>166,166,**,</v>
      </c>
      <c r="AC167" s="47">
        <v>166</v>
      </c>
      <c r="AD167" s="47">
        <v>166</v>
      </c>
    </row>
    <row r="168" spans="1:30" ht="15.75">
      <c r="A168" s="13" t="str">
        <f>IFERROR(VLOOKUP($G:$G,scan!$A:$B,2,0),"**")</f>
        <v>**</v>
      </c>
      <c r="B168" s="13" t="str">
        <f>IFERROR(VLOOKUP($G168,scan!A:C,3,0),"**")</f>
        <v>**</v>
      </c>
      <c r="C168" s="47">
        <v>167</v>
      </c>
      <c r="F168" s="60"/>
      <c r="G168" s="1"/>
      <c r="H168" s="47" t="s">
        <v>4926</v>
      </c>
      <c r="I168" s="43">
        <v>6042070338</v>
      </c>
      <c r="J168" s="43" t="s">
        <v>4927</v>
      </c>
      <c r="K168" s="47" t="s">
        <v>4928</v>
      </c>
      <c r="L168" s="67" t="e">
        <f>VLOOKUP(G168,Input!C:Q,12,FALSE)</f>
        <v>#N/A</v>
      </c>
      <c r="M168" s="68" t="e">
        <f>VLOOKUP(G168,Input!C:Q,15,FALSE)</f>
        <v>#N/A</v>
      </c>
      <c r="N168" s="69" t="e">
        <f>VLOOKUP(G168,Input!C:Q,14,FALSE)</f>
        <v>#N/A</v>
      </c>
      <c r="Q168" s="48">
        <v>1</v>
      </c>
      <c r="R168" s="75" t="e">
        <f>VLOOKUP(G168,Input!C:H,5,FALSE)</f>
        <v>#N/A</v>
      </c>
      <c r="T168" s="47">
        <v>1</v>
      </c>
      <c r="U168" s="47" t="str">
        <f t="shared" si="2"/>
        <v>167,167,**,</v>
      </c>
      <c r="AC168" s="47">
        <v>167</v>
      </c>
      <c r="AD168" s="47">
        <v>167</v>
      </c>
    </row>
    <row r="169" spans="1:30" ht="15.75">
      <c r="A169" s="13" t="str">
        <f>IFERROR(VLOOKUP($G:$G,scan!$A:$B,2,0),"**")</f>
        <v>**</v>
      </c>
      <c r="B169" s="13" t="str">
        <f>IFERROR(VLOOKUP($G169,scan!A:C,3,0),"**")</f>
        <v>**</v>
      </c>
      <c r="C169" s="47">
        <v>168</v>
      </c>
      <c r="F169" s="60"/>
      <c r="G169" s="1"/>
      <c r="H169" s="47" t="s">
        <v>4926</v>
      </c>
      <c r="I169" s="43">
        <v>6042070338</v>
      </c>
      <c r="J169" s="43" t="s">
        <v>4927</v>
      </c>
      <c r="K169" s="47" t="s">
        <v>4928</v>
      </c>
      <c r="L169" s="67" t="e">
        <f>VLOOKUP(G169,Input!C:Q,12,FALSE)</f>
        <v>#N/A</v>
      </c>
      <c r="M169" s="68" t="e">
        <f>VLOOKUP(G169,Input!C:Q,15,FALSE)</f>
        <v>#N/A</v>
      </c>
      <c r="N169" s="69" t="e">
        <f>VLOOKUP(G169,Input!C:Q,14,FALSE)</f>
        <v>#N/A</v>
      </c>
      <c r="Q169" s="48">
        <v>1</v>
      </c>
      <c r="R169" s="75" t="e">
        <f>VLOOKUP(G169,Input!C:H,5,FALSE)</f>
        <v>#N/A</v>
      </c>
      <c r="T169" s="47">
        <v>1</v>
      </c>
      <c r="U169" s="47" t="str">
        <f t="shared" si="2"/>
        <v>168,168,**,</v>
      </c>
      <c r="AC169" s="47">
        <v>168</v>
      </c>
      <c r="AD169" s="47">
        <v>168</v>
      </c>
    </row>
    <row r="170" spans="1:30" ht="15.75">
      <c r="A170" s="13" t="str">
        <f>IFERROR(VLOOKUP($G:$G,scan!$A:$B,2,0),"**")</f>
        <v>**</v>
      </c>
      <c r="B170" s="13" t="str">
        <f>IFERROR(VLOOKUP($G170,scan!A:C,3,0),"**")</f>
        <v>**</v>
      </c>
      <c r="C170" s="47">
        <v>169</v>
      </c>
      <c r="F170" s="60"/>
      <c r="G170" s="1"/>
      <c r="H170" s="47" t="s">
        <v>4926</v>
      </c>
      <c r="I170" s="43">
        <v>6042070338</v>
      </c>
      <c r="J170" s="43" t="s">
        <v>4927</v>
      </c>
      <c r="K170" s="47" t="s">
        <v>4928</v>
      </c>
      <c r="L170" s="67" t="e">
        <f>VLOOKUP(G170,Input!C:Q,12,FALSE)</f>
        <v>#N/A</v>
      </c>
      <c r="M170" s="68" t="e">
        <f>VLOOKUP(G170,Input!C:Q,15,FALSE)</f>
        <v>#N/A</v>
      </c>
      <c r="N170" s="69" t="e">
        <f>VLOOKUP(G170,Input!C:Q,14,FALSE)</f>
        <v>#N/A</v>
      </c>
      <c r="Q170" s="48">
        <v>1</v>
      </c>
      <c r="R170" s="75" t="e">
        <f>VLOOKUP(G170,Input!C:H,5,FALSE)</f>
        <v>#N/A</v>
      </c>
      <c r="T170" s="47">
        <v>1</v>
      </c>
      <c r="U170" s="47" t="str">
        <f t="shared" si="2"/>
        <v>169,169,**,</v>
      </c>
      <c r="AC170" s="47">
        <v>169</v>
      </c>
      <c r="AD170" s="47">
        <v>169</v>
      </c>
    </row>
    <row r="171" spans="1:30" ht="15.75">
      <c r="A171" s="13" t="str">
        <f>IFERROR(VLOOKUP($G:$G,scan!$A:$B,2,0),"**")</f>
        <v>**</v>
      </c>
      <c r="B171" s="13" t="str">
        <f>IFERROR(VLOOKUP($G171,scan!A:C,3,0),"**")</f>
        <v>**</v>
      </c>
      <c r="C171" s="47">
        <v>170</v>
      </c>
      <c r="F171" s="60"/>
      <c r="G171" s="1"/>
      <c r="H171" s="47" t="s">
        <v>4926</v>
      </c>
      <c r="I171" s="43">
        <v>6042070338</v>
      </c>
      <c r="J171" s="43" t="s">
        <v>4927</v>
      </c>
      <c r="K171" s="47" t="s">
        <v>4928</v>
      </c>
      <c r="L171" s="67" t="e">
        <f>VLOOKUP(G171,Input!C:Q,12,FALSE)</f>
        <v>#N/A</v>
      </c>
      <c r="M171" s="68" t="e">
        <f>VLOOKUP(G171,Input!C:Q,15,FALSE)</f>
        <v>#N/A</v>
      </c>
      <c r="N171" s="69" t="e">
        <f>VLOOKUP(G171,Input!C:Q,14,FALSE)</f>
        <v>#N/A</v>
      </c>
      <c r="Q171" s="48">
        <v>1</v>
      </c>
      <c r="R171" s="75" t="e">
        <f>VLOOKUP(G171,Input!C:H,5,FALSE)</f>
        <v>#N/A</v>
      </c>
      <c r="T171" s="47">
        <v>1</v>
      </c>
      <c r="U171" s="47" t="str">
        <f t="shared" si="2"/>
        <v>170,170,**,</v>
      </c>
      <c r="AC171" s="47">
        <v>170</v>
      </c>
      <c r="AD171" s="47">
        <v>170</v>
      </c>
    </row>
    <row r="172" spans="1:30" ht="15.75">
      <c r="A172" s="13" t="str">
        <f>IFERROR(VLOOKUP($G:$G,scan!$A:$B,2,0),"**")</f>
        <v>**</v>
      </c>
      <c r="B172" s="13" t="str">
        <f>IFERROR(VLOOKUP($G172,scan!A:C,3,0),"**")</f>
        <v>**</v>
      </c>
      <c r="C172" s="47">
        <v>171</v>
      </c>
      <c r="F172" s="60"/>
      <c r="G172" s="1"/>
      <c r="H172" s="47" t="s">
        <v>4926</v>
      </c>
      <c r="I172" s="43">
        <v>6042070338</v>
      </c>
      <c r="J172" s="43" t="s">
        <v>4927</v>
      </c>
      <c r="K172" s="47" t="s">
        <v>4928</v>
      </c>
      <c r="L172" s="67" t="e">
        <f>VLOOKUP(G172,Input!C:Q,12,FALSE)</f>
        <v>#N/A</v>
      </c>
      <c r="M172" s="68" t="e">
        <f>VLOOKUP(G172,Input!C:Q,15,FALSE)</f>
        <v>#N/A</v>
      </c>
      <c r="N172" s="69" t="e">
        <f>VLOOKUP(G172,Input!C:Q,14,FALSE)</f>
        <v>#N/A</v>
      </c>
      <c r="Q172" s="48">
        <v>1</v>
      </c>
      <c r="R172" s="75" t="e">
        <f>VLOOKUP(G172,Input!C:H,5,FALSE)</f>
        <v>#N/A</v>
      </c>
      <c r="T172" s="47">
        <v>1</v>
      </c>
      <c r="U172" s="47" t="str">
        <f t="shared" si="2"/>
        <v>171,171,**,</v>
      </c>
      <c r="AC172" s="47">
        <v>171</v>
      </c>
      <c r="AD172" s="47">
        <v>171</v>
      </c>
    </row>
    <row r="173" spans="1:30" ht="15.75">
      <c r="A173" s="13" t="str">
        <f>IFERROR(VLOOKUP($G:$G,scan!$A:$B,2,0),"**")</f>
        <v>**</v>
      </c>
      <c r="B173" s="13" t="str">
        <f>IFERROR(VLOOKUP($G173,scan!A:C,3,0),"**")</f>
        <v>**</v>
      </c>
      <c r="C173" s="47">
        <v>172</v>
      </c>
      <c r="F173" s="60"/>
      <c r="G173" s="1"/>
      <c r="H173" s="47" t="s">
        <v>4926</v>
      </c>
      <c r="I173" s="43">
        <v>6042070338</v>
      </c>
      <c r="J173" s="43" t="s">
        <v>4927</v>
      </c>
      <c r="K173" s="47" t="s">
        <v>4928</v>
      </c>
      <c r="L173" s="67" t="e">
        <f>VLOOKUP(G173,Input!C:Q,12,FALSE)</f>
        <v>#N/A</v>
      </c>
      <c r="M173" s="68" t="e">
        <f>VLOOKUP(G173,Input!C:Q,15,FALSE)</f>
        <v>#N/A</v>
      </c>
      <c r="N173" s="69" t="e">
        <f>VLOOKUP(G173,Input!C:Q,14,FALSE)</f>
        <v>#N/A</v>
      </c>
      <c r="Q173" s="48">
        <v>1</v>
      </c>
      <c r="R173" s="75" t="e">
        <f>VLOOKUP(G173,Input!C:H,5,FALSE)</f>
        <v>#N/A</v>
      </c>
      <c r="T173" s="47">
        <v>1</v>
      </c>
      <c r="U173" s="47" t="str">
        <f t="shared" si="2"/>
        <v>172,172,**,</v>
      </c>
      <c r="AC173" s="47">
        <v>172</v>
      </c>
      <c r="AD173" s="47">
        <v>172</v>
      </c>
    </row>
    <row r="174" spans="1:30" ht="15.75">
      <c r="A174" s="13" t="str">
        <f>IFERROR(VLOOKUP($G:$G,scan!$A:$B,2,0),"**")</f>
        <v>**</v>
      </c>
      <c r="B174" s="13" t="str">
        <f>IFERROR(VLOOKUP($G174,scan!A:C,3,0),"**")</f>
        <v>**</v>
      </c>
      <c r="C174" s="47">
        <v>173</v>
      </c>
      <c r="F174" s="60"/>
      <c r="G174" s="1"/>
      <c r="H174" s="47" t="s">
        <v>4926</v>
      </c>
      <c r="I174" s="43">
        <v>6042070338</v>
      </c>
      <c r="J174" s="43" t="s">
        <v>4927</v>
      </c>
      <c r="K174" s="47" t="s">
        <v>4928</v>
      </c>
      <c r="L174" s="67" t="e">
        <f>VLOOKUP(G174,Input!C:Q,12,FALSE)</f>
        <v>#N/A</v>
      </c>
      <c r="M174" s="68" t="e">
        <f>VLOOKUP(G174,Input!C:Q,15,FALSE)</f>
        <v>#N/A</v>
      </c>
      <c r="N174" s="69" t="e">
        <f>VLOOKUP(G174,Input!C:Q,14,FALSE)</f>
        <v>#N/A</v>
      </c>
      <c r="Q174" s="48">
        <v>1</v>
      </c>
      <c r="R174" s="75" t="e">
        <f>VLOOKUP(G174,Input!C:H,5,FALSE)</f>
        <v>#N/A</v>
      </c>
      <c r="T174" s="47">
        <v>1</v>
      </c>
      <c r="U174" s="47" t="str">
        <f t="shared" si="2"/>
        <v>173,173,**,</v>
      </c>
      <c r="AC174" s="47">
        <v>173</v>
      </c>
      <c r="AD174" s="47">
        <v>173</v>
      </c>
    </row>
    <row r="175" spans="1:30" ht="15.75">
      <c r="A175" s="13" t="str">
        <f>IFERROR(VLOOKUP($G:$G,scan!$A:$B,2,0),"**")</f>
        <v>**</v>
      </c>
      <c r="B175" s="13" t="str">
        <f>IFERROR(VLOOKUP($G175,scan!A:C,3,0),"**")</f>
        <v>**</v>
      </c>
      <c r="C175" s="47">
        <v>174</v>
      </c>
      <c r="F175" s="60"/>
      <c r="G175" s="1"/>
      <c r="H175" s="47" t="s">
        <v>4926</v>
      </c>
      <c r="I175" s="43">
        <v>6042070338</v>
      </c>
      <c r="J175" s="43" t="s">
        <v>4927</v>
      </c>
      <c r="K175" s="47" t="s">
        <v>4928</v>
      </c>
      <c r="L175" s="67" t="e">
        <f>VLOOKUP(G175,Input!C:Q,12,FALSE)</f>
        <v>#N/A</v>
      </c>
      <c r="M175" s="68" t="e">
        <f>VLOOKUP(G175,Input!C:Q,15,FALSE)</f>
        <v>#N/A</v>
      </c>
      <c r="N175" s="69" t="e">
        <f>VLOOKUP(G175,Input!C:Q,14,FALSE)</f>
        <v>#N/A</v>
      </c>
      <c r="Q175" s="48">
        <v>1</v>
      </c>
      <c r="R175" s="75" t="e">
        <f>VLOOKUP(G175,Input!C:H,5,FALSE)</f>
        <v>#N/A</v>
      </c>
      <c r="T175" s="47">
        <v>1</v>
      </c>
      <c r="U175" s="47" t="str">
        <f t="shared" si="2"/>
        <v>174,174,**,</v>
      </c>
      <c r="AC175" s="47">
        <v>174</v>
      </c>
      <c r="AD175" s="47">
        <v>174</v>
      </c>
    </row>
    <row r="176" spans="1:30" ht="15.75">
      <c r="A176" s="13" t="str">
        <f>IFERROR(VLOOKUP($G:$G,scan!$A:$B,2,0),"**")</f>
        <v>**</v>
      </c>
      <c r="B176" s="13" t="str">
        <f>IFERROR(VLOOKUP($G176,scan!A:C,3,0),"**")</f>
        <v>**</v>
      </c>
      <c r="C176" s="47">
        <v>175</v>
      </c>
      <c r="F176" s="60"/>
      <c r="G176" s="1"/>
      <c r="H176" s="47" t="s">
        <v>4926</v>
      </c>
      <c r="I176" s="43">
        <v>6042070338</v>
      </c>
      <c r="J176" s="43" t="s">
        <v>4927</v>
      </c>
      <c r="K176" s="47" t="s">
        <v>4928</v>
      </c>
      <c r="L176" s="67" t="e">
        <f>VLOOKUP(G176,Input!C:Q,12,FALSE)</f>
        <v>#N/A</v>
      </c>
      <c r="M176" s="68" t="e">
        <f>VLOOKUP(G176,Input!C:Q,15,FALSE)</f>
        <v>#N/A</v>
      </c>
      <c r="N176" s="69" t="e">
        <f>VLOOKUP(G176,Input!C:Q,14,FALSE)</f>
        <v>#N/A</v>
      </c>
      <c r="Q176" s="48">
        <v>1</v>
      </c>
      <c r="R176" s="75" t="e">
        <f>VLOOKUP(G176,Input!C:H,5,FALSE)</f>
        <v>#N/A</v>
      </c>
      <c r="T176" s="47">
        <v>1</v>
      </c>
      <c r="U176" s="47" t="str">
        <f t="shared" si="2"/>
        <v>175,175,**,</v>
      </c>
      <c r="AC176" s="47">
        <v>175</v>
      </c>
      <c r="AD176" s="47">
        <v>175</v>
      </c>
    </row>
    <row r="177" spans="1:30" ht="15.75">
      <c r="A177" s="13" t="str">
        <f>IFERROR(VLOOKUP($G:$G,scan!$A:$B,2,0),"**")</f>
        <v>**</v>
      </c>
      <c r="B177" s="13" t="str">
        <f>IFERROR(VLOOKUP($G177,scan!A:C,3,0),"**")</f>
        <v>**</v>
      </c>
      <c r="C177" s="47">
        <v>176</v>
      </c>
      <c r="F177" s="60"/>
      <c r="G177" s="1"/>
      <c r="H177" s="47" t="s">
        <v>4926</v>
      </c>
      <c r="I177" s="43">
        <v>6042070338</v>
      </c>
      <c r="J177" s="43" t="s">
        <v>4927</v>
      </c>
      <c r="K177" s="47" t="s">
        <v>4928</v>
      </c>
      <c r="L177" s="67" t="e">
        <f>VLOOKUP(G177,Input!C:Q,12,FALSE)</f>
        <v>#N/A</v>
      </c>
      <c r="M177" s="68" t="e">
        <f>VLOOKUP(G177,Input!C:Q,15,FALSE)</f>
        <v>#N/A</v>
      </c>
      <c r="N177" s="69" t="e">
        <f>VLOOKUP(G177,Input!C:Q,14,FALSE)</f>
        <v>#N/A</v>
      </c>
      <c r="Q177" s="48">
        <v>1</v>
      </c>
      <c r="R177" s="75" t="e">
        <f>VLOOKUP(G177,Input!C:H,5,FALSE)</f>
        <v>#N/A</v>
      </c>
      <c r="T177" s="47">
        <v>1</v>
      </c>
      <c r="U177" s="47" t="str">
        <f t="shared" si="2"/>
        <v>176,176,**,</v>
      </c>
      <c r="AC177" s="47">
        <v>176</v>
      </c>
      <c r="AD177" s="47">
        <v>176</v>
      </c>
    </row>
    <row r="178" spans="1:30" ht="15.75">
      <c r="A178" s="13" t="str">
        <f>IFERROR(VLOOKUP($G:$G,scan!$A:$B,2,0),"**")</f>
        <v>**</v>
      </c>
      <c r="B178" s="13" t="str">
        <f>IFERROR(VLOOKUP($G178,scan!A:C,3,0),"**")</f>
        <v>**</v>
      </c>
      <c r="C178" s="47">
        <v>177</v>
      </c>
      <c r="F178" s="60"/>
      <c r="G178" s="1"/>
      <c r="H178" s="47" t="s">
        <v>4926</v>
      </c>
      <c r="I178" s="43">
        <v>6042070338</v>
      </c>
      <c r="J178" s="43" t="s">
        <v>4927</v>
      </c>
      <c r="K178" s="47" t="s">
        <v>4928</v>
      </c>
      <c r="L178" s="67" t="e">
        <f>VLOOKUP(G178,Input!C:Q,12,FALSE)</f>
        <v>#N/A</v>
      </c>
      <c r="M178" s="68" t="e">
        <f>VLOOKUP(G178,Input!C:Q,15,FALSE)</f>
        <v>#N/A</v>
      </c>
      <c r="N178" s="69" t="e">
        <f>VLOOKUP(G178,Input!C:Q,14,FALSE)</f>
        <v>#N/A</v>
      </c>
      <c r="Q178" s="48">
        <v>1</v>
      </c>
      <c r="R178" s="75" t="e">
        <f>VLOOKUP(G178,Input!C:H,5,FALSE)</f>
        <v>#N/A</v>
      </c>
      <c r="T178" s="47">
        <v>1</v>
      </c>
      <c r="U178" s="47" t="str">
        <f t="shared" si="2"/>
        <v>177,177,**,</v>
      </c>
      <c r="AC178" s="47">
        <v>177</v>
      </c>
      <c r="AD178" s="47">
        <v>177</v>
      </c>
    </row>
    <row r="179" spans="1:30" ht="15.75">
      <c r="A179" s="13" t="str">
        <f>IFERROR(VLOOKUP($G:$G,scan!$A:$B,2,0),"**")</f>
        <v>**</v>
      </c>
      <c r="B179" s="13" t="str">
        <f>IFERROR(VLOOKUP($G179,scan!A:C,3,0),"**")</f>
        <v>**</v>
      </c>
      <c r="C179" s="47">
        <v>178</v>
      </c>
      <c r="F179" s="60"/>
      <c r="G179" s="1"/>
      <c r="H179" s="47" t="s">
        <v>4926</v>
      </c>
      <c r="I179" s="43">
        <v>6042070338</v>
      </c>
      <c r="J179" s="43" t="s">
        <v>4927</v>
      </c>
      <c r="K179" s="47" t="s">
        <v>4928</v>
      </c>
      <c r="L179" s="67" t="e">
        <f>VLOOKUP(G179,Input!C:Q,12,FALSE)</f>
        <v>#N/A</v>
      </c>
      <c r="M179" s="68" t="e">
        <f>VLOOKUP(G179,Input!C:Q,15,FALSE)</f>
        <v>#N/A</v>
      </c>
      <c r="N179" s="69" t="e">
        <f>VLOOKUP(G179,Input!C:Q,14,FALSE)</f>
        <v>#N/A</v>
      </c>
      <c r="Q179" s="48">
        <v>1</v>
      </c>
      <c r="R179" s="75" t="e">
        <f>VLOOKUP(G179,Input!C:H,5,FALSE)</f>
        <v>#N/A</v>
      </c>
      <c r="T179" s="47">
        <v>1</v>
      </c>
      <c r="U179" s="47" t="str">
        <f t="shared" si="2"/>
        <v>178,178,**,</v>
      </c>
      <c r="AC179" s="47">
        <v>178</v>
      </c>
      <c r="AD179" s="47">
        <v>178</v>
      </c>
    </row>
    <row r="180" spans="1:30" ht="15.75">
      <c r="A180" s="13" t="str">
        <f>IFERROR(VLOOKUP($G:$G,scan!$A:$B,2,0),"**")</f>
        <v>**</v>
      </c>
      <c r="B180" s="13" t="str">
        <f>IFERROR(VLOOKUP($G180,scan!A:C,3,0),"**")</f>
        <v>**</v>
      </c>
      <c r="C180" s="47">
        <v>179</v>
      </c>
      <c r="F180" s="60"/>
      <c r="G180" s="1"/>
      <c r="H180" s="47" t="s">
        <v>4926</v>
      </c>
      <c r="I180" s="43">
        <v>6042070338</v>
      </c>
      <c r="J180" s="43" t="s">
        <v>4927</v>
      </c>
      <c r="K180" s="47" t="s">
        <v>4928</v>
      </c>
      <c r="L180" s="67" t="e">
        <f>VLOOKUP(G180,Input!C:Q,12,FALSE)</f>
        <v>#N/A</v>
      </c>
      <c r="M180" s="68" t="e">
        <f>VLOOKUP(G180,Input!C:Q,15,FALSE)</f>
        <v>#N/A</v>
      </c>
      <c r="N180" s="69" t="e">
        <f>VLOOKUP(G180,Input!C:Q,14,FALSE)</f>
        <v>#N/A</v>
      </c>
      <c r="Q180" s="48">
        <v>1</v>
      </c>
      <c r="R180" s="75" t="e">
        <f>VLOOKUP(G180,Input!C:H,5,FALSE)</f>
        <v>#N/A</v>
      </c>
      <c r="T180" s="47">
        <v>1</v>
      </c>
      <c r="U180" s="47" t="str">
        <f t="shared" si="2"/>
        <v>179,179,**,</v>
      </c>
      <c r="AC180" s="47">
        <v>179</v>
      </c>
      <c r="AD180" s="47">
        <v>179</v>
      </c>
    </row>
    <row r="181" spans="1:30" ht="15.75">
      <c r="A181" s="13" t="str">
        <f>IFERROR(VLOOKUP($G:$G,scan!$A:$B,2,0),"**")</f>
        <v>**</v>
      </c>
      <c r="B181" s="13" t="str">
        <f>IFERROR(VLOOKUP($G181,scan!A:C,3,0),"**")</f>
        <v>**</v>
      </c>
      <c r="C181" s="47">
        <v>180</v>
      </c>
      <c r="F181" s="60"/>
      <c r="G181" s="1"/>
      <c r="H181" s="47" t="s">
        <v>4926</v>
      </c>
      <c r="I181" s="43">
        <v>6042070338</v>
      </c>
      <c r="J181" s="43" t="s">
        <v>4927</v>
      </c>
      <c r="K181" s="47" t="s">
        <v>4928</v>
      </c>
      <c r="L181" s="67" t="e">
        <f>VLOOKUP(G181,Input!C:Q,12,FALSE)</f>
        <v>#N/A</v>
      </c>
      <c r="M181" s="68" t="e">
        <f>VLOOKUP(G181,Input!C:Q,15,FALSE)</f>
        <v>#N/A</v>
      </c>
      <c r="N181" s="69" t="e">
        <f>VLOOKUP(G181,Input!C:Q,14,FALSE)</f>
        <v>#N/A</v>
      </c>
      <c r="Q181" s="48">
        <v>1</v>
      </c>
      <c r="R181" s="75" t="e">
        <f>VLOOKUP(G181,Input!C:H,5,FALSE)</f>
        <v>#N/A</v>
      </c>
      <c r="T181" s="47">
        <v>1</v>
      </c>
      <c r="U181" s="47" t="str">
        <f t="shared" si="2"/>
        <v>180,180,**,</v>
      </c>
      <c r="AC181" s="47">
        <v>180</v>
      </c>
      <c r="AD181" s="47">
        <v>180</v>
      </c>
    </row>
    <row r="182" spans="1:30" ht="15.75">
      <c r="A182" s="13" t="str">
        <f>IFERROR(VLOOKUP($G:$G,scan!$A:$B,2,0),"**")</f>
        <v>**</v>
      </c>
      <c r="B182" s="13" t="str">
        <f>IFERROR(VLOOKUP($G182,scan!A:C,3,0),"**")</f>
        <v>**</v>
      </c>
      <c r="C182" s="47">
        <v>181</v>
      </c>
      <c r="F182" s="60"/>
      <c r="G182" s="1"/>
      <c r="H182" s="47" t="s">
        <v>4926</v>
      </c>
      <c r="I182" s="43">
        <v>6042070338</v>
      </c>
      <c r="J182" s="43" t="s">
        <v>4927</v>
      </c>
      <c r="K182" s="47" t="s">
        <v>4928</v>
      </c>
      <c r="L182" s="67" t="e">
        <f>VLOOKUP(G182,Input!C:Q,12,FALSE)</f>
        <v>#N/A</v>
      </c>
      <c r="M182" s="68" t="e">
        <f>VLOOKUP(G182,Input!C:Q,15,FALSE)</f>
        <v>#N/A</v>
      </c>
      <c r="N182" s="69" t="e">
        <f>VLOOKUP(G182,Input!C:Q,14,FALSE)</f>
        <v>#N/A</v>
      </c>
      <c r="Q182" s="48">
        <v>1</v>
      </c>
      <c r="R182" s="75" t="e">
        <f>VLOOKUP(G182,Input!C:H,5,FALSE)</f>
        <v>#N/A</v>
      </c>
      <c r="T182" s="47">
        <v>1</v>
      </c>
      <c r="U182" s="47" t="str">
        <f t="shared" si="2"/>
        <v>181,181,**,</v>
      </c>
      <c r="AC182" s="47">
        <v>181</v>
      </c>
      <c r="AD182" s="47">
        <v>181</v>
      </c>
    </row>
    <row r="183" spans="1:30" ht="15.75">
      <c r="A183" s="13" t="str">
        <f>IFERROR(VLOOKUP($G:$G,scan!$A:$B,2,0),"**")</f>
        <v>**</v>
      </c>
      <c r="B183" s="13" t="str">
        <f>IFERROR(VLOOKUP($G183,scan!A:C,3,0),"**")</f>
        <v>**</v>
      </c>
      <c r="C183" s="47">
        <v>182</v>
      </c>
      <c r="F183" s="60"/>
      <c r="G183" s="1"/>
      <c r="H183" s="47" t="s">
        <v>4926</v>
      </c>
      <c r="I183" s="43">
        <v>6042070338</v>
      </c>
      <c r="J183" s="43" t="s">
        <v>4927</v>
      </c>
      <c r="K183" s="47" t="s">
        <v>4928</v>
      </c>
      <c r="L183" s="67" t="e">
        <f>VLOOKUP(G183,Input!C:Q,12,FALSE)</f>
        <v>#N/A</v>
      </c>
      <c r="M183" s="68" t="e">
        <f>VLOOKUP(G183,Input!C:Q,15,FALSE)</f>
        <v>#N/A</v>
      </c>
      <c r="N183" s="69" t="e">
        <f>VLOOKUP(G183,Input!C:Q,14,FALSE)</f>
        <v>#N/A</v>
      </c>
      <c r="Q183" s="48">
        <v>1</v>
      </c>
      <c r="R183" s="75" t="e">
        <f>VLOOKUP(G183,Input!C:H,5,FALSE)</f>
        <v>#N/A</v>
      </c>
      <c r="T183" s="47">
        <v>1</v>
      </c>
      <c r="U183" s="47" t="str">
        <f t="shared" si="2"/>
        <v>182,182,**,</v>
      </c>
      <c r="AC183" s="47">
        <v>182</v>
      </c>
      <c r="AD183" s="47">
        <v>182</v>
      </c>
    </row>
    <row r="184" spans="1:30" ht="15.75">
      <c r="A184" s="13" t="str">
        <f>IFERROR(VLOOKUP($G:$G,scan!$A:$B,2,0),"**")</f>
        <v>**</v>
      </c>
      <c r="B184" s="13" t="str">
        <f>IFERROR(VLOOKUP($G184,scan!A:C,3,0),"**")</f>
        <v>**</v>
      </c>
      <c r="C184" s="47">
        <v>183</v>
      </c>
      <c r="F184" s="60"/>
      <c r="G184" s="1"/>
      <c r="H184" s="47" t="s">
        <v>4926</v>
      </c>
      <c r="I184" s="43">
        <v>6042070338</v>
      </c>
      <c r="J184" s="43" t="s">
        <v>4927</v>
      </c>
      <c r="K184" s="47" t="s">
        <v>4928</v>
      </c>
      <c r="L184" s="67" t="e">
        <f>VLOOKUP(G184,Input!C:Q,12,FALSE)</f>
        <v>#N/A</v>
      </c>
      <c r="M184" s="68" t="e">
        <f>VLOOKUP(G184,Input!C:Q,15,FALSE)</f>
        <v>#N/A</v>
      </c>
      <c r="N184" s="69" t="e">
        <f>VLOOKUP(G184,Input!C:Q,14,FALSE)</f>
        <v>#N/A</v>
      </c>
      <c r="Q184" s="48">
        <v>1</v>
      </c>
      <c r="R184" s="75" t="e">
        <f>VLOOKUP(G184,Input!C:H,5,FALSE)</f>
        <v>#N/A</v>
      </c>
      <c r="T184" s="47">
        <v>1</v>
      </c>
      <c r="U184" s="47" t="str">
        <f t="shared" si="2"/>
        <v>183,183,**,</v>
      </c>
      <c r="AC184" s="47">
        <v>183</v>
      </c>
      <c r="AD184" s="47">
        <v>183</v>
      </c>
    </row>
    <row r="185" spans="1:30" ht="15.75">
      <c r="A185" s="13" t="str">
        <f>IFERROR(VLOOKUP($G:$G,scan!$A:$B,2,0),"**")</f>
        <v>**</v>
      </c>
      <c r="B185" s="13" t="str">
        <f>IFERROR(VLOOKUP($G185,scan!A:C,3,0),"**")</f>
        <v>**</v>
      </c>
      <c r="C185" s="47">
        <v>184</v>
      </c>
      <c r="F185" s="60"/>
      <c r="G185" s="1"/>
      <c r="H185" s="47" t="s">
        <v>4926</v>
      </c>
      <c r="I185" s="43">
        <v>6042070338</v>
      </c>
      <c r="J185" s="43" t="s">
        <v>4927</v>
      </c>
      <c r="K185" s="47" t="s">
        <v>4928</v>
      </c>
      <c r="L185" s="67" t="e">
        <f>VLOOKUP(G185,Input!C:Q,12,FALSE)</f>
        <v>#N/A</v>
      </c>
      <c r="M185" s="68" t="e">
        <f>VLOOKUP(G185,Input!C:Q,15,FALSE)</f>
        <v>#N/A</v>
      </c>
      <c r="N185" s="69" t="e">
        <f>VLOOKUP(G185,Input!C:Q,14,FALSE)</f>
        <v>#N/A</v>
      </c>
      <c r="Q185" s="48">
        <v>1</v>
      </c>
      <c r="R185" s="75" t="e">
        <f>VLOOKUP(G185,Input!C:H,5,FALSE)</f>
        <v>#N/A</v>
      </c>
      <c r="T185" s="47">
        <v>1</v>
      </c>
      <c r="U185" s="47" t="str">
        <f t="shared" si="2"/>
        <v>184,184,**,</v>
      </c>
      <c r="AC185" s="47">
        <v>184</v>
      </c>
      <c r="AD185" s="47">
        <v>184</v>
      </c>
    </row>
    <row r="186" spans="1:30" ht="15.75">
      <c r="A186" s="13" t="str">
        <f>IFERROR(VLOOKUP($G:$G,scan!$A:$B,2,0),"**")</f>
        <v>**</v>
      </c>
      <c r="B186" s="13" t="str">
        <f>IFERROR(VLOOKUP($G186,scan!A:C,3,0),"**")</f>
        <v>**</v>
      </c>
      <c r="C186" s="47">
        <v>185</v>
      </c>
      <c r="F186" s="60"/>
      <c r="G186" s="1"/>
      <c r="H186" s="47" t="s">
        <v>4926</v>
      </c>
      <c r="I186" s="43">
        <v>6042070338</v>
      </c>
      <c r="J186" s="43" t="s">
        <v>4927</v>
      </c>
      <c r="K186" s="47" t="s">
        <v>4928</v>
      </c>
      <c r="L186" s="67" t="e">
        <f>VLOOKUP(G186,Input!C:Q,12,FALSE)</f>
        <v>#N/A</v>
      </c>
      <c r="M186" s="68" t="e">
        <f>VLOOKUP(G186,Input!C:Q,15,FALSE)</f>
        <v>#N/A</v>
      </c>
      <c r="N186" s="69" t="e">
        <f>VLOOKUP(G186,Input!C:Q,14,FALSE)</f>
        <v>#N/A</v>
      </c>
      <c r="Q186" s="48">
        <v>1</v>
      </c>
      <c r="R186" s="75" t="e">
        <f>VLOOKUP(G186,Input!C:H,5,FALSE)</f>
        <v>#N/A</v>
      </c>
      <c r="T186" s="47">
        <v>1</v>
      </c>
      <c r="U186" s="47" t="str">
        <f t="shared" si="2"/>
        <v>185,185,**,</v>
      </c>
      <c r="AC186" s="47">
        <v>185</v>
      </c>
      <c r="AD186" s="47">
        <v>185</v>
      </c>
    </row>
    <row r="187" spans="1:30" ht="15.75">
      <c r="A187" s="13" t="str">
        <f>IFERROR(VLOOKUP($G:$G,scan!$A:$B,2,0),"**")</f>
        <v>**</v>
      </c>
      <c r="B187" s="13" t="str">
        <f>IFERROR(VLOOKUP($G187,scan!A:C,3,0),"**")</f>
        <v>**</v>
      </c>
      <c r="C187" s="47">
        <v>186</v>
      </c>
      <c r="F187" s="60"/>
      <c r="G187" s="1"/>
      <c r="H187" s="47" t="s">
        <v>4926</v>
      </c>
      <c r="I187" s="43">
        <v>6042070338</v>
      </c>
      <c r="J187" s="43" t="s">
        <v>4927</v>
      </c>
      <c r="K187" s="47" t="s">
        <v>4928</v>
      </c>
      <c r="L187" s="67" t="e">
        <f>VLOOKUP(G187,Input!C:Q,12,FALSE)</f>
        <v>#N/A</v>
      </c>
      <c r="M187" s="68" t="e">
        <f>VLOOKUP(G187,Input!C:Q,15,FALSE)</f>
        <v>#N/A</v>
      </c>
      <c r="N187" s="69" t="e">
        <f>VLOOKUP(G187,Input!C:Q,14,FALSE)</f>
        <v>#N/A</v>
      </c>
      <c r="Q187" s="48">
        <v>1</v>
      </c>
      <c r="R187" s="75" t="e">
        <f>VLOOKUP(G187,Input!C:H,5,FALSE)</f>
        <v>#N/A</v>
      </c>
      <c r="T187" s="47">
        <v>1</v>
      </c>
      <c r="U187" s="47" t="str">
        <f t="shared" si="2"/>
        <v>186,186,**,</v>
      </c>
      <c r="AC187" s="47">
        <v>186</v>
      </c>
      <c r="AD187" s="47">
        <v>186</v>
      </c>
    </row>
    <row r="188" spans="1:30" ht="15.75">
      <c r="A188" s="13" t="str">
        <f>IFERROR(VLOOKUP($G:$G,scan!$A:$B,2,0),"**")</f>
        <v>**</v>
      </c>
      <c r="B188" s="13" t="str">
        <f>IFERROR(VLOOKUP($G188,scan!A:C,3,0),"**")</f>
        <v>**</v>
      </c>
      <c r="C188" s="47">
        <v>187</v>
      </c>
      <c r="F188" s="60"/>
      <c r="G188" s="1"/>
      <c r="H188" s="47" t="s">
        <v>4926</v>
      </c>
      <c r="I188" s="43">
        <v>6042070338</v>
      </c>
      <c r="J188" s="43" t="s">
        <v>4927</v>
      </c>
      <c r="K188" s="47" t="s">
        <v>4928</v>
      </c>
      <c r="L188" s="67" t="e">
        <f>VLOOKUP(G188,Input!C:Q,12,FALSE)</f>
        <v>#N/A</v>
      </c>
      <c r="M188" s="68" t="e">
        <f>VLOOKUP(G188,Input!C:Q,15,FALSE)</f>
        <v>#N/A</v>
      </c>
      <c r="N188" s="69" t="e">
        <f>VLOOKUP(G188,Input!C:Q,14,FALSE)</f>
        <v>#N/A</v>
      </c>
      <c r="Q188" s="48">
        <v>1</v>
      </c>
      <c r="R188" s="75" t="e">
        <f>VLOOKUP(G188,Input!C:H,5,FALSE)</f>
        <v>#N/A</v>
      </c>
      <c r="T188" s="47">
        <v>1</v>
      </c>
      <c r="U188" s="47" t="str">
        <f t="shared" si="2"/>
        <v>187,187,**,</v>
      </c>
      <c r="AC188" s="47">
        <v>187</v>
      </c>
      <c r="AD188" s="47">
        <v>187</v>
      </c>
    </row>
    <row r="189" spans="1:30" ht="15.75">
      <c r="A189" s="13" t="str">
        <f>IFERROR(VLOOKUP($G:$G,scan!$A:$B,2,0),"**")</f>
        <v>**</v>
      </c>
      <c r="B189" s="13" t="str">
        <f>IFERROR(VLOOKUP($G189,scan!A:C,3,0),"**")</f>
        <v>**</v>
      </c>
      <c r="C189" s="47">
        <v>188</v>
      </c>
      <c r="F189" s="60"/>
      <c r="G189" s="1"/>
      <c r="H189" s="47" t="s">
        <v>4926</v>
      </c>
      <c r="I189" s="43">
        <v>6042070338</v>
      </c>
      <c r="J189" s="43" t="s">
        <v>4927</v>
      </c>
      <c r="K189" s="47" t="s">
        <v>4928</v>
      </c>
      <c r="L189" s="67" t="e">
        <f>VLOOKUP(G189,Input!C:Q,12,FALSE)</f>
        <v>#N/A</v>
      </c>
      <c r="M189" s="68" t="e">
        <f>VLOOKUP(G189,Input!C:Q,15,FALSE)</f>
        <v>#N/A</v>
      </c>
      <c r="N189" s="69" t="e">
        <f>VLOOKUP(G189,Input!C:Q,14,FALSE)</f>
        <v>#N/A</v>
      </c>
      <c r="Q189" s="48">
        <v>1</v>
      </c>
      <c r="R189" s="75" t="e">
        <f>VLOOKUP(G189,Input!C:H,5,FALSE)</f>
        <v>#N/A</v>
      </c>
      <c r="T189" s="47">
        <v>1</v>
      </c>
      <c r="U189" s="47" t="str">
        <f t="shared" si="2"/>
        <v>188,188,**,</v>
      </c>
      <c r="AC189" s="47">
        <v>188</v>
      </c>
      <c r="AD189" s="47">
        <v>188</v>
      </c>
    </row>
    <row r="190" spans="1:30" ht="15.75">
      <c r="A190" s="13" t="str">
        <f>IFERROR(VLOOKUP($G:$G,scan!$A:$B,2,0),"**")</f>
        <v>**</v>
      </c>
      <c r="B190" s="13" t="str">
        <f>IFERROR(VLOOKUP($G190,scan!A:C,3,0),"**")</f>
        <v>**</v>
      </c>
      <c r="C190" s="47">
        <v>189</v>
      </c>
      <c r="F190" s="60"/>
      <c r="G190" s="1"/>
      <c r="H190" s="47" t="s">
        <v>4926</v>
      </c>
      <c r="I190" s="43">
        <v>6042070338</v>
      </c>
      <c r="J190" s="43" t="s">
        <v>4927</v>
      </c>
      <c r="K190" s="47" t="s">
        <v>4928</v>
      </c>
      <c r="L190" s="67" t="e">
        <f>VLOOKUP(G190,Input!C:Q,12,FALSE)</f>
        <v>#N/A</v>
      </c>
      <c r="M190" s="68" t="e">
        <f>VLOOKUP(G190,Input!C:Q,15,FALSE)</f>
        <v>#N/A</v>
      </c>
      <c r="N190" s="69" t="e">
        <f>VLOOKUP(G190,Input!C:Q,14,FALSE)</f>
        <v>#N/A</v>
      </c>
      <c r="Q190" s="48">
        <v>1</v>
      </c>
      <c r="R190" s="75" t="e">
        <f>VLOOKUP(G190,Input!C:H,5,FALSE)</f>
        <v>#N/A</v>
      </c>
      <c r="T190" s="47">
        <v>1</v>
      </c>
      <c r="U190" s="47" t="str">
        <f t="shared" si="2"/>
        <v>189,189,**,</v>
      </c>
      <c r="AC190" s="47">
        <v>189</v>
      </c>
      <c r="AD190" s="47">
        <v>189</v>
      </c>
    </row>
    <row r="191" spans="1:30" ht="15.75">
      <c r="A191" s="13" t="str">
        <f>IFERROR(VLOOKUP($G:$G,scan!$A:$B,2,0),"**")</f>
        <v>**</v>
      </c>
      <c r="B191" s="13" t="str">
        <f>IFERROR(VLOOKUP($G191,scan!A:C,3,0),"**")</f>
        <v>**</v>
      </c>
      <c r="C191" s="47">
        <v>190</v>
      </c>
      <c r="F191" s="60"/>
      <c r="G191" s="1"/>
      <c r="H191" s="47" t="s">
        <v>4926</v>
      </c>
      <c r="I191" s="43">
        <v>6042070338</v>
      </c>
      <c r="J191" s="43" t="s">
        <v>4927</v>
      </c>
      <c r="K191" s="47" t="s">
        <v>4928</v>
      </c>
      <c r="L191" s="67" t="e">
        <f>VLOOKUP(G191,Input!C:Q,12,FALSE)</f>
        <v>#N/A</v>
      </c>
      <c r="M191" s="68" t="e">
        <f>VLOOKUP(G191,Input!C:Q,15,FALSE)</f>
        <v>#N/A</v>
      </c>
      <c r="N191" s="69" t="e">
        <f>VLOOKUP(G191,Input!C:Q,14,FALSE)</f>
        <v>#N/A</v>
      </c>
      <c r="Q191" s="48">
        <v>1</v>
      </c>
      <c r="R191" s="75" t="e">
        <f>VLOOKUP(G191,Input!C:H,5,FALSE)</f>
        <v>#N/A</v>
      </c>
      <c r="T191" s="47">
        <v>1</v>
      </c>
      <c r="U191" s="47" t="str">
        <f t="shared" si="2"/>
        <v>190,190,**,</v>
      </c>
      <c r="AC191" s="47">
        <v>190</v>
      </c>
      <c r="AD191" s="47">
        <v>190</v>
      </c>
    </row>
    <row r="192" spans="1:30" ht="15.75">
      <c r="A192" s="13" t="str">
        <f>IFERROR(VLOOKUP($G:$G,scan!$A:$B,2,0),"**")</f>
        <v>**</v>
      </c>
      <c r="B192" s="13" t="str">
        <f>IFERROR(VLOOKUP($G192,scan!A:C,3,0),"**")</f>
        <v>**</v>
      </c>
      <c r="C192" s="47">
        <v>191</v>
      </c>
      <c r="F192" s="60"/>
      <c r="G192" s="1"/>
      <c r="H192" s="47" t="s">
        <v>4926</v>
      </c>
      <c r="I192" s="43">
        <v>6042070338</v>
      </c>
      <c r="J192" s="43" t="s">
        <v>4927</v>
      </c>
      <c r="K192" s="47" t="s">
        <v>4928</v>
      </c>
      <c r="L192" s="67" t="e">
        <f>VLOOKUP(G192,Input!C:Q,12,FALSE)</f>
        <v>#N/A</v>
      </c>
      <c r="M192" s="68" t="e">
        <f>VLOOKUP(G192,Input!C:Q,15,FALSE)</f>
        <v>#N/A</v>
      </c>
      <c r="N192" s="69" t="e">
        <f>VLOOKUP(G192,Input!C:Q,14,FALSE)</f>
        <v>#N/A</v>
      </c>
      <c r="Q192" s="48">
        <v>1</v>
      </c>
      <c r="R192" s="75" t="e">
        <f>VLOOKUP(G192,Input!C:H,5,FALSE)</f>
        <v>#N/A</v>
      </c>
      <c r="T192" s="47">
        <v>1</v>
      </c>
      <c r="U192" s="47" t="str">
        <f t="shared" si="2"/>
        <v>191,191,**,</v>
      </c>
      <c r="AC192" s="47">
        <v>191</v>
      </c>
      <c r="AD192" s="47">
        <v>191</v>
      </c>
    </row>
    <row r="193" spans="1:30" ht="15.75">
      <c r="A193" s="13" t="str">
        <f>IFERROR(VLOOKUP($G:$G,scan!$A:$B,2,0),"**")</f>
        <v>**</v>
      </c>
      <c r="B193" s="13" t="str">
        <f>IFERROR(VLOOKUP($G193,scan!A:C,3,0),"**")</f>
        <v>**</v>
      </c>
      <c r="C193" s="47">
        <v>192</v>
      </c>
      <c r="F193" s="60"/>
      <c r="G193" s="1"/>
      <c r="H193" s="47" t="s">
        <v>4926</v>
      </c>
      <c r="I193" s="43">
        <v>6042070338</v>
      </c>
      <c r="J193" s="43" t="s">
        <v>4927</v>
      </c>
      <c r="K193" s="47" t="s">
        <v>4928</v>
      </c>
      <c r="L193" s="67" t="e">
        <f>VLOOKUP(G193,Input!C:Q,12,FALSE)</f>
        <v>#N/A</v>
      </c>
      <c r="M193" s="68" t="e">
        <f>VLOOKUP(G193,Input!C:Q,15,FALSE)</f>
        <v>#N/A</v>
      </c>
      <c r="N193" s="69" t="e">
        <f>VLOOKUP(G193,Input!C:Q,14,FALSE)</f>
        <v>#N/A</v>
      </c>
      <c r="Q193" s="48">
        <v>1</v>
      </c>
      <c r="R193" s="75" t="e">
        <f>VLOOKUP(G193,Input!C:H,5,FALSE)</f>
        <v>#N/A</v>
      </c>
      <c r="T193" s="47">
        <v>1</v>
      </c>
      <c r="U193" s="47" t="str">
        <f t="shared" si="2"/>
        <v>192,192,**,</v>
      </c>
      <c r="AC193" s="47">
        <v>192</v>
      </c>
      <c r="AD193" s="47">
        <v>192</v>
      </c>
    </row>
    <row r="194" spans="1:30" ht="15.75">
      <c r="A194" s="13" t="str">
        <f>IFERROR(VLOOKUP($G:$G,scan!$A:$B,2,0),"**")</f>
        <v>**</v>
      </c>
      <c r="B194" s="13" t="str">
        <f>IFERROR(VLOOKUP($G194,scan!A:C,3,0),"**")</f>
        <v>**</v>
      </c>
      <c r="C194" s="47">
        <v>193</v>
      </c>
      <c r="F194" s="60"/>
      <c r="G194" s="1"/>
      <c r="H194" s="47" t="s">
        <v>4926</v>
      </c>
      <c r="I194" s="43">
        <v>6042070338</v>
      </c>
      <c r="J194" s="43" t="s">
        <v>4927</v>
      </c>
      <c r="K194" s="47" t="s">
        <v>4928</v>
      </c>
      <c r="L194" s="67" t="e">
        <f>VLOOKUP(G194,Input!C:Q,12,FALSE)</f>
        <v>#N/A</v>
      </c>
      <c r="M194" s="68" t="e">
        <f>VLOOKUP(G194,Input!C:Q,15,FALSE)</f>
        <v>#N/A</v>
      </c>
      <c r="N194" s="69" t="e">
        <f>VLOOKUP(G194,Input!C:Q,14,FALSE)</f>
        <v>#N/A</v>
      </c>
      <c r="Q194" s="48">
        <v>1</v>
      </c>
      <c r="R194" s="75" t="e">
        <f>VLOOKUP(G194,Input!C:H,5,FALSE)</f>
        <v>#N/A</v>
      </c>
      <c r="T194" s="47">
        <v>1</v>
      </c>
      <c r="U194" s="47" t="str">
        <f t="shared" ref="U194:U257" si="3">CONCATENATE(AC194,",",C194,",",B194,",",G194)</f>
        <v>193,193,**,</v>
      </c>
      <c r="AC194" s="47">
        <v>193</v>
      </c>
      <c r="AD194" s="47">
        <v>193</v>
      </c>
    </row>
    <row r="195" spans="1:30" ht="15.75">
      <c r="A195" s="13" t="str">
        <f>IFERROR(VLOOKUP($G:$G,scan!$A:$B,2,0),"**")</f>
        <v>**</v>
      </c>
      <c r="B195" s="13" t="str">
        <f>IFERROR(VLOOKUP($G195,scan!A:C,3,0),"**")</f>
        <v>**</v>
      </c>
      <c r="C195" s="47">
        <v>194</v>
      </c>
      <c r="F195" s="60"/>
      <c r="G195" s="1"/>
      <c r="H195" s="47" t="s">
        <v>4926</v>
      </c>
      <c r="I195" s="43">
        <v>6042070338</v>
      </c>
      <c r="J195" s="43" t="s">
        <v>4927</v>
      </c>
      <c r="K195" s="47" t="s">
        <v>4928</v>
      </c>
      <c r="L195" s="67" t="e">
        <f>VLOOKUP(G195,Input!C:Q,12,FALSE)</f>
        <v>#N/A</v>
      </c>
      <c r="M195" s="68" t="e">
        <f>VLOOKUP(G195,Input!C:Q,15,FALSE)</f>
        <v>#N/A</v>
      </c>
      <c r="N195" s="69" t="e">
        <f>VLOOKUP(G195,Input!C:Q,14,FALSE)</f>
        <v>#N/A</v>
      </c>
      <c r="Q195" s="48">
        <v>1</v>
      </c>
      <c r="R195" s="75" t="e">
        <f>VLOOKUP(G195,Input!C:H,5,FALSE)</f>
        <v>#N/A</v>
      </c>
      <c r="T195" s="47">
        <v>1</v>
      </c>
      <c r="U195" s="47" t="str">
        <f t="shared" si="3"/>
        <v>194,194,**,</v>
      </c>
      <c r="AC195" s="47">
        <v>194</v>
      </c>
      <c r="AD195" s="47">
        <v>194</v>
      </c>
    </row>
    <row r="196" spans="1:30" ht="15.75">
      <c r="A196" s="13" t="str">
        <f>IFERROR(VLOOKUP($G:$G,scan!$A:$B,2,0),"**")</f>
        <v>**</v>
      </c>
      <c r="B196" s="13" t="str">
        <f>IFERROR(VLOOKUP($G196,scan!A:C,3,0),"**")</f>
        <v>**</v>
      </c>
      <c r="C196" s="47">
        <v>195</v>
      </c>
      <c r="F196" s="60"/>
      <c r="G196" s="1"/>
      <c r="H196" s="47" t="s">
        <v>4926</v>
      </c>
      <c r="I196" s="43">
        <v>6042070338</v>
      </c>
      <c r="J196" s="43" t="s">
        <v>4927</v>
      </c>
      <c r="K196" s="47" t="s">
        <v>4928</v>
      </c>
      <c r="L196" s="67" t="e">
        <f>VLOOKUP(G196,Input!C:Q,12,FALSE)</f>
        <v>#N/A</v>
      </c>
      <c r="M196" s="68" t="e">
        <f>VLOOKUP(G196,Input!C:Q,15,FALSE)</f>
        <v>#N/A</v>
      </c>
      <c r="N196" s="69" t="e">
        <f>VLOOKUP(G196,Input!C:Q,14,FALSE)</f>
        <v>#N/A</v>
      </c>
      <c r="Q196" s="48">
        <v>1</v>
      </c>
      <c r="R196" s="75" t="e">
        <f>VLOOKUP(G196,Input!C:H,5,FALSE)</f>
        <v>#N/A</v>
      </c>
      <c r="T196" s="47">
        <v>1</v>
      </c>
      <c r="U196" s="47" t="str">
        <f t="shared" si="3"/>
        <v>195,195,**,</v>
      </c>
      <c r="AC196" s="47">
        <v>195</v>
      </c>
      <c r="AD196" s="47">
        <v>195</v>
      </c>
    </row>
    <row r="197" spans="1:30" ht="15.75">
      <c r="A197" s="13" t="str">
        <f>IFERROR(VLOOKUP($G:$G,scan!$A:$B,2,0),"**")</f>
        <v>**</v>
      </c>
      <c r="B197" s="13" t="str">
        <f>IFERROR(VLOOKUP($G197,scan!A:C,3,0),"**")</f>
        <v>**</v>
      </c>
      <c r="C197" s="47">
        <v>196</v>
      </c>
      <c r="F197" s="60"/>
      <c r="G197" s="1"/>
      <c r="H197" s="47" t="s">
        <v>4926</v>
      </c>
      <c r="I197" s="43">
        <v>6042070338</v>
      </c>
      <c r="J197" s="43" t="s">
        <v>4927</v>
      </c>
      <c r="K197" s="47" t="s">
        <v>4928</v>
      </c>
      <c r="L197" s="67" t="e">
        <f>VLOOKUP(G197,Input!C:Q,12,FALSE)</f>
        <v>#N/A</v>
      </c>
      <c r="M197" s="68" t="e">
        <f>VLOOKUP(G197,Input!C:Q,15,FALSE)</f>
        <v>#N/A</v>
      </c>
      <c r="N197" s="69" t="e">
        <f>VLOOKUP(G197,Input!C:Q,14,FALSE)</f>
        <v>#N/A</v>
      </c>
      <c r="Q197" s="48">
        <v>1</v>
      </c>
      <c r="R197" s="75" t="e">
        <f>VLOOKUP(G197,Input!C:H,5,FALSE)</f>
        <v>#N/A</v>
      </c>
      <c r="T197" s="47">
        <v>1</v>
      </c>
      <c r="U197" s="47" t="str">
        <f t="shared" si="3"/>
        <v>196,196,**,</v>
      </c>
      <c r="AC197" s="47">
        <v>196</v>
      </c>
      <c r="AD197" s="47">
        <v>196</v>
      </c>
    </row>
    <row r="198" spans="1:30" ht="15.75">
      <c r="A198" s="13" t="str">
        <f>IFERROR(VLOOKUP($G:$G,scan!$A:$B,2,0),"**")</f>
        <v>**</v>
      </c>
      <c r="B198" s="13" t="str">
        <f>IFERROR(VLOOKUP($G198,scan!A:C,3,0),"**")</f>
        <v>**</v>
      </c>
      <c r="C198" s="47">
        <v>197</v>
      </c>
      <c r="F198" s="60"/>
      <c r="G198" s="1"/>
      <c r="H198" s="47" t="s">
        <v>4926</v>
      </c>
      <c r="I198" s="43">
        <v>6042070338</v>
      </c>
      <c r="J198" s="43" t="s">
        <v>4927</v>
      </c>
      <c r="K198" s="47" t="s">
        <v>4928</v>
      </c>
      <c r="L198" s="67" t="e">
        <f>VLOOKUP(G198,Input!C:Q,12,FALSE)</f>
        <v>#N/A</v>
      </c>
      <c r="M198" s="68" t="e">
        <f>VLOOKUP(G198,Input!C:Q,15,FALSE)</f>
        <v>#N/A</v>
      </c>
      <c r="N198" s="69" t="e">
        <f>VLOOKUP(G198,Input!C:Q,14,FALSE)</f>
        <v>#N/A</v>
      </c>
      <c r="Q198" s="48">
        <v>1</v>
      </c>
      <c r="R198" s="75" t="e">
        <f>VLOOKUP(G198,Input!C:H,5,FALSE)</f>
        <v>#N/A</v>
      </c>
      <c r="T198" s="47">
        <v>1</v>
      </c>
      <c r="U198" s="47" t="str">
        <f t="shared" si="3"/>
        <v>197,197,**,</v>
      </c>
      <c r="AC198" s="47">
        <v>197</v>
      </c>
      <c r="AD198" s="47">
        <v>197</v>
      </c>
    </row>
    <row r="199" spans="1:30" ht="15.75">
      <c r="A199" s="13" t="str">
        <f>IFERROR(VLOOKUP($G:$G,scan!$A:$B,2,0),"**")</f>
        <v>**</v>
      </c>
      <c r="B199" s="13" t="str">
        <f>IFERROR(VLOOKUP($G199,scan!A:C,3,0),"**")</f>
        <v>**</v>
      </c>
      <c r="C199" s="47">
        <v>198</v>
      </c>
      <c r="F199" s="60"/>
      <c r="G199" s="1"/>
      <c r="H199" s="47" t="s">
        <v>4926</v>
      </c>
      <c r="I199" s="43">
        <v>6042070338</v>
      </c>
      <c r="J199" s="43" t="s">
        <v>4927</v>
      </c>
      <c r="K199" s="47" t="s">
        <v>4928</v>
      </c>
      <c r="L199" s="67" t="e">
        <f>VLOOKUP(G199,Input!C:Q,12,FALSE)</f>
        <v>#N/A</v>
      </c>
      <c r="M199" s="68" t="e">
        <f>VLOOKUP(G199,Input!C:Q,15,FALSE)</f>
        <v>#N/A</v>
      </c>
      <c r="N199" s="69" t="e">
        <f>VLOOKUP(G199,Input!C:Q,14,FALSE)</f>
        <v>#N/A</v>
      </c>
      <c r="Q199" s="48">
        <v>1</v>
      </c>
      <c r="R199" s="75" t="e">
        <f>VLOOKUP(G199,Input!C:H,5,FALSE)</f>
        <v>#N/A</v>
      </c>
      <c r="T199" s="47">
        <v>1</v>
      </c>
      <c r="U199" s="47" t="str">
        <f t="shared" si="3"/>
        <v>198,198,**,</v>
      </c>
      <c r="AC199" s="47">
        <v>198</v>
      </c>
      <c r="AD199" s="47">
        <v>198</v>
      </c>
    </row>
    <row r="200" spans="1:30" ht="15.75">
      <c r="A200" s="13" t="str">
        <f>IFERROR(VLOOKUP($G:$G,scan!$A:$B,2,0),"**")</f>
        <v>**</v>
      </c>
      <c r="B200" s="13" t="str">
        <f>IFERROR(VLOOKUP($G200,scan!A:C,3,0),"**")</f>
        <v>**</v>
      </c>
      <c r="C200" s="47">
        <v>199</v>
      </c>
      <c r="F200" s="60"/>
      <c r="G200" s="1"/>
      <c r="H200" s="47" t="s">
        <v>4926</v>
      </c>
      <c r="I200" s="43">
        <v>6042070338</v>
      </c>
      <c r="J200" s="43" t="s">
        <v>4927</v>
      </c>
      <c r="K200" s="47" t="s">
        <v>4928</v>
      </c>
      <c r="L200" s="67" t="e">
        <f>VLOOKUP(G200,Input!C:Q,12,FALSE)</f>
        <v>#N/A</v>
      </c>
      <c r="M200" s="68" t="e">
        <f>VLOOKUP(G200,Input!C:Q,15,FALSE)</f>
        <v>#N/A</v>
      </c>
      <c r="N200" s="69" t="e">
        <f>VLOOKUP(G200,Input!C:Q,14,FALSE)</f>
        <v>#N/A</v>
      </c>
      <c r="Q200" s="48">
        <v>1</v>
      </c>
      <c r="R200" s="75" t="e">
        <f>VLOOKUP(G200,Input!C:H,5,FALSE)</f>
        <v>#N/A</v>
      </c>
      <c r="T200" s="47">
        <v>1</v>
      </c>
      <c r="U200" s="47" t="str">
        <f t="shared" si="3"/>
        <v>199,199,**,</v>
      </c>
      <c r="AC200" s="47">
        <v>199</v>
      </c>
      <c r="AD200" s="47">
        <v>199</v>
      </c>
    </row>
    <row r="201" spans="1:30" ht="15.75">
      <c r="A201" s="13" t="str">
        <f>IFERROR(VLOOKUP($G:$G,scan!$A:$B,2,0),"**")</f>
        <v>**</v>
      </c>
      <c r="B201" s="13" t="str">
        <f>IFERROR(VLOOKUP($G201,scan!A:C,3,0),"**")</f>
        <v>**</v>
      </c>
      <c r="C201" s="47">
        <v>200</v>
      </c>
      <c r="F201" s="60"/>
      <c r="G201" s="1"/>
      <c r="H201" s="47" t="s">
        <v>4926</v>
      </c>
      <c r="I201" s="43">
        <v>6042070338</v>
      </c>
      <c r="J201" s="43" t="s">
        <v>4927</v>
      </c>
      <c r="K201" s="47" t="s">
        <v>4928</v>
      </c>
      <c r="L201" s="67" t="e">
        <f>VLOOKUP(G201,Input!C:Q,12,FALSE)</f>
        <v>#N/A</v>
      </c>
      <c r="M201" s="68" t="e">
        <f>VLOOKUP(G201,Input!C:Q,15,FALSE)</f>
        <v>#N/A</v>
      </c>
      <c r="N201" s="69" t="e">
        <f>VLOOKUP(G201,Input!C:Q,14,FALSE)</f>
        <v>#N/A</v>
      </c>
      <c r="Q201" s="48">
        <v>1</v>
      </c>
      <c r="R201" s="75" t="e">
        <f>VLOOKUP(G201,Input!C:H,5,FALSE)</f>
        <v>#N/A</v>
      </c>
      <c r="T201" s="47">
        <v>1</v>
      </c>
      <c r="U201" s="47" t="str">
        <f t="shared" si="3"/>
        <v>200,200,**,</v>
      </c>
      <c r="AC201" s="47">
        <v>200</v>
      </c>
      <c r="AD201" s="47">
        <v>200</v>
      </c>
    </row>
    <row r="202" spans="1:30" ht="15.75">
      <c r="A202" s="13" t="str">
        <f>IFERROR(VLOOKUP($G:$G,scan!$A:$B,2,0),"**")</f>
        <v>**</v>
      </c>
      <c r="B202" s="13" t="str">
        <f>IFERROR(VLOOKUP($G202,scan!A:C,3,0),"**")</f>
        <v>**</v>
      </c>
      <c r="C202" s="47">
        <v>201</v>
      </c>
      <c r="F202" s="60"/>
      <c r="G202" s="1"/>
      <c r="H202" s="47" t="s">
        <v>4926</v>
      </c>
      <c r="I202" s="43">
        <v>6042070338</v>
      </c>
      <c r="J202" s="43" t="s">
        <v>4927</v>
      </c>
      <c r="K202" s="47" t="s">
        <v>4928</v>
      </c>
      <c r="L202" s="67" t="e">
        <f>VLOOKUP(G202,Input!C:Q,12,FALSE)</f>
        <v>#N/A</v>
      </c>
      <c r="M202" s="68" t="e">
        <f>VLOOKUP(G202,Input!C:Q,15,FALSE)</f>
        <v>#N/A</v>
      </c>
      <c r="N202" s="69" t="e">
        <f>VLOOKUP(G202,Input!C:Q,14,FALSE)</f>
        <v>#N/A</v>
      </c>
      <c r="Q202" s="48">
        <v>1</v>
      </c>
      <c r="R202" s="75" t="e">
        <f>VLOOKUP(G202,Input!C:H,5,FALSE)</f>
        <v>#N/A</v>
      </c>
      <c r="T202" s="47">
        <v>1</v>
      </c>
      <c r="U202" s="47" t="str">
        <f t="shared" si="3"/>
        <v>201,201,**,</v>
      </c>
      <c r="AC202" s="47">
        <v>201</v>
      </c>
      <c r="AD202" s="47">
        <v>201</v>
      </c>
    </row>
    <row r="203" spans="1:30" ht="15.75">
      <c r="A203" s="13" t="str">
        <f>IFERROR(VLOOKUP($G:$G,scan!$A:$B,2,0),"**")</f>
        <v>**</v>
      </c>
      <c r="B203" s="13" t="str">
        <f>IFERROR(VLOOKUP($G203,scan!A:C,3,0),"**")</f>
        <v>**</v>
      </c>
      <c r="C203" s="47">
        <v>202</v>
      </c>
      <c r="F203" s="60"/>
      <c r="G203" s="1"/>
      <c r="H203" s="47" t="s">
        <v>4926</v>
      </c>
      <c r="I203" s="43">
        <v>6042070338</v>
      </c>
      <c r="J203" s="43" t="s">
        <v>4927</v>
      </c>
      <c r="K203" s="47" t="s">
        <v>4928</v>
      </c>
      <c r="L203" s="67" t="e">
        <f>VLOOKUP(G203,Input!C:Q,12,FALSE)</f>
        <v>#N/A</v>
      </c>
      <c r="M203" s="68" t="e">
        <f>VLOOKUP(G203,Input!C:Q,15,FALSE)</f>
        <v>#N/A</v>
      </c>
      <c r="N203" s="69" t="e">
        <f>VLOOKUP(G203,Input!C:Q,14,FALSE)</f>
        <v>#N/A</v>
      </c>
      <c r="Q203" s="48">
        <v>1</v>
      </c>
      <c r="R203" s="75" t="e">
        <f>VLOOKUP(G203,Input!C:H,5,FALSE)</f>
        <v>#N/A</v>
      </c>
      <c r="T203" s="47">
        <v>1</v>
      </c>
      <c r="U203" s="47" t="str">
        <f t="shared" si="3"/>
        <v>202,202,**,</v>
      </c>
      <c r="AC203" s="47">
        <v>202</v>
      </c>
      <c r="AD203" s="47">
        <v>202</v>
      </c>
    </row>
    <row r="204" spans="1:30" ht="15.75">
      <c r="A204" s="13" t="str">
        <f>IFERROR(VLOOKUP($G:$G,scan!$A:$B,2,0),"**")</f>
        <v>**</v>
      </c>
      <c r="B204" s="13" t="str">
        <f>IFERROR(VLOOKUP($G204,scan!A:C,3,0),"**")</f>
        <v>**</v>
      </c>
      <c r="C204" s="47">
        <v>203</v>
      </c>
      <c r="F204" s="60"/>
      <c r="G204" s="1"/>
      <c r="H204" s="47" t="s">
        <v>4926</v>
      </c>
      <c r="I204" s="43">
        <v>6042070338</v>
      </c>
      <c r="J204" s="43" t="s">
        <v>4927</v>
      </c>
      <c r="K204" s="47" t="s">
        <v>4928</v>
      </c>
      <c r="L204" s="67" t="e">
        <f>VLOOKUP(G204,Input!C:Q,12,FALSE)</f>
        <v>#N/A</v>
      </c>
      <c r="M204" s="68" t="e">
        <f>VLOOKUP(G204,Input!C:Q,15,FALSE)</f>
        <v>#N/A</v>
      </c>
      <c r="N204" s="69" t="e">
        <f>VLOOKUP(G204,Input!C:Q,14,FALSE)</f>
        <v>#N/A</v>
      </c>
      <c r="Q204" s="48">
        <v>1</v>
      </c>
      <c r="R204" s="75" t="e">
        <f>VLOOKUP(G204,Input!C:H,5,FALSE)</f>
        <v>#N/A</v>
      </c>
      <c r="T204" s="47">
        <v>1</v>
      </c>
      <c r="U204" s="47" t="str">
        <f t="shared" si="3"/>
        <v>203,203,**,</v>
      </c>
      <c r="AC204" s="47">
        <v>203</v>
      </c>
      <c r="AD204" s="47">
        <v>203</v>
      </c>
    </row>
    <row r="205" spans="1:30" ht="15.75">
      <c r="A205" s="13" t="str">
        <f>IFERROR(VLOOKUP($G:$G,scan!$A:$B,2,0),"**")</f>
        <v>**</v>
      </c>
      <c r="B205" s="13" t="str">
        <f>IFERROR(VLOOKUP($G205,scan!A:C,3,0),"**")</f>
        <v>**</v>
      </c>
      <c r="C205" s="47">
        <v>204</v>
      </c>
      <c r="F205" s="60"/>
      <c r="G205" s="1"/>
      <c r="H205" s="47" t="s">
        <v>4926</v>
      </c>
      <c r="I205" s="43">
        <v>6042070338</v>
      </c>
      <c r="J205" s="43" t="s">
        <v>4927</v>
      </c>
      <c r="K205" s="47" t="s">
        <v>4928</v>
      </c>
      <c r="L205" s="67" t="e">
        <f>VLOOKUP(G205,Input!C:Q,12,FALSE)</f>
        <v>#N/A</v>
      </c>
      <c r="M205" s="68" t="e">
        <f>VLOOKUP(G205,Input!C:Q,15,FALSE)</f>
        <v>#N/A</v>
      </c>
      <c r="N205" s="69" t="e">
        <f>VLOOKUP(G205,Input!C:Q,14,FALSE)</f>
        <v>#N/A</v>
      </c>
      <c r="Q205" s="48">
        <v>1</v>
      </c>
      <c r="R205" s="75" t="e">
        <f>VLOOKUP(G205,Input!C:H,5,FALSE)</f>
        <v>#N/A</v>
      </c>
      <c r="T205" s="47">
        <v>1</v>
      </c>
      <c r="U205" s="47" t="str">
        <f t="shared" si="3"/>
        <v>204,204,**,</v>
      </c>
      <c r="AC205" s="47">
        <v>204</v>
      </c>
      <c r="AD205" s="47">
        <v>204</v>
      </c>
    </row>
    <row r="206" spans="1:30" ht="15.75">
      <c r="A206" s="13" t="str">
        <f>IFERROR(VLOOKUP($G:$G,scan!$A:$B,2,0),"**")</f>
        <v>**</v>
      </c>
      <c r="B206" s="13" t="str">
        <f>IFERROR(VLOOKUP($G206,scan!A:C,3,0),"**")</f>
        <v>**</v>
      </c>
      <c r="C206" s="47">
        <v>205</v>
      </c>
      <c r="F206" s="60"/>
      <c r="G206" s="1"/>
      <c r="H206" s="47" t="s">
        <v>4926</v>
      </c>
      <c r="I206" s="43">
        <v>6042070338</v>
      </c>
      <c r="J206" s="43" t="s">
        <v>4927</v>
      </c>
      <c r="K206" s="47" t="s">
        <v>4928</v>
      </c>
      <c r="L206" s="67" t="e">
        <f>VLOOKUP(G206,Input!C:Q,12,FALSE)</f>
        <v>#N/A</v>
      </c>
      <c r="M206" s="68" t="e">
        <f>VLOOKUP(G206,Input!C:Q,15,FALSE)</f>
        <v>#N/A</v>
      </c>
      <c r="N206" s="69" t="e">
        <f>VLOOKUP(G206,Input!C:Q,14,FALSE)</f>
        <v>#N/A</v>
      </c>
      <c r="Q206" s="48">
        <v>1</v>
      </c>
      <c r="R206" s="75" t="e">
        <f>VLOOKUP(G206,Input!C:H,5,FALSE)</f>
        <v>#N/A</v>
      </c>
      <c r="T206" s="47">
        <v>1</v>
      </c>
      <c r="U206" s="47" t="str">
        <f t="shared" si="3"/>
        <v>205,205,**,</v>
      </c>
      <c r="AC206" s="47">
        <v>205</v>
      </c>
      <c r="AD206" s="47">
        <v>205</v>
      </c>
    </row>
    <row r="207" spans="1:30" ht="15.75">
      <c r="A207" s="13" t="str">
        <f>IFERROR(VLOOKUP($G:$G,scan!$A:$B,2,0),"**")</f>
        <v>**</v>
      </c>
      <c r="B207" s="13" t="str">
        <f>IFERROR(VLOOKUP($G207,scan!A:C,3,0),"**")</f>
        <v>**</v>
      </c>
      <c r="C207" s="47">
        <v>206</v>
      </c>
      <c r="F207" s="60"/>
      <c r="G207" s="1"/>
      <c r="H207" s="47" t="s">
        <v>4926</v>
      </c>
      <c r="I207" s="43">
        <v>6042070338</v>
      </c>
      <c r="J207" s="43" t="s">
        <v>4927</v>
      </c>
      <c r="K207" s="47" t="s">
        <v>4928</v>
      </c>
      <c r="L207" s="67" t="e">
        <f>VLOOKUP(G207,Input!C:Q,12,FALSE)</f>
        <v>#N/A</v>
      </c>
      <c r="M207" s="68" t="e">
        <f>VLOOKUP(G207,Input!C:Q,15,FALSE)</f>
        <v>#N/A</v>
      </c>
      <c r="N207" s="69" t="e">
        <f>VLOOKUP(G207,Input!C:Q,14,FALSE)</f>
        <v>#N/A</v>
      </c>
      <c r="Q207" s="48">
        <v>1</v>
      </c>
      <c r="R207" s="75" t="e">
        <f>VLOOKUP(G207,Input!C:H,5,FALSE)</f>
        <v>#N/A</v>
      </c>
      <c r="T207" s="47">
        <v>1</v>
      </c>
      <c r="U207" s="47" t="str">
        <f t="shared" si="3"/>
        <v>206,206,**,</v>
      </c>
      <c r="AC207" s="47">
        <v>206</v>
      </c>
      <c r="AD207" s="47">
        <v>206</v>
      </c>
    </row>
    <row r="208" spans="1:30" ht="15.75">
      <c r="A208" s="13" t="str">
        <f>IFERROR(VLOOKUP($G:$G,scan!$A:$B,2,0),"**")</f>
        <v>**</v>
      </c>
      <c r="B208" s="13" t="str">
        <f>IFERROR(VLOOKUP($G208,scan!A:C,3,0),"**")</f>
        <v>**</v>
      </c>
      <c r="C208" s="47">
        <v>207</v>
      </c>
      <c r="F208" s="60"/>
      <c r="G208" s="1"/>
      <c r="H208" s="47" t="s">
        <v>4926</v>
      </c>
      <c r="I208" s="43">
        <v>6042070338</v>
      </c>
      <c r="J208" s="43" t="s">
        <v>4927</v>
      </c>
      <c r="K208" s="47" t="s">
        <v>4928</v>
      </c>
      <c r="L208" s="67" t="e">
        <f>VLOOKUP(G208,Input!C:Q,12,FALSE)</f>
        <v>#N/A</v>
      </c>
      <c r="M208" s="68" t="e">
        <f>VLOOKUP(G208,Input!C:Q,15,FALSE)</f>
        <v>#N/A</v>
      </c>
      <c r="N208" s="69" t="e">
        <f>VLOOKUP(G208,Input!C:Q,14,FALSE)</f>
        <v>#N/A</v>
      </c>
      <c r="Q208" s="48">
        <v>1</v>
      </c>
      <c r="R208" s="75" t="e">
        <f>VLOOKUP(G208,Input!C:H,5,FALSE)</f>
        <v>#N/A</v>
      </c>
      <c r="T208" s="47">
        <v>1</v>
      </c>
      <c r="U208" s="47" t="str">
        <f t="shared" si="3"/>
        <v>207,207,**,</v>
      </c>
      <c r="AC208" s="47">
        <v>207</v>
      </c>
      <c r="AD208" s="47">
        <v>207</v>
      </c>
    </row>
    <row r="209" spans="1:30" ht="15.75">
      <c r="A209" s="13" t="str">
        <f>IFERROR(VLOOKUP($G:$G,scan!$A:$B,2,0),"**")</f>
        <v>**</v>
      </c>
      <c r="B209" s="13" t="str">
        <f>IFERROR(VLOOKUP($G209,scan!A:C,3,0),"**")</f>
        <v>**</v>
      </c>
      <c r="C209" s="47">
        <v>208</v>
      </c>
      <c r="F209" s="60"/>
      <c r="G209" s="1"/>
      <c r="H209" s="47" t="s">
        <v>4926</v>
      </c>
      <c r="I209" s="43">
        <v>6042070338</v>
      </c>
      <c r="J209" s="43" t="s">
        <v>4927</v>
      </c>
      <c r="K209" s="47" t="s">
        <v>4928</v>
      </c>
      <c r="L209" s="67" t="e">
        <f>VLOOKUP(G209,Input!C:Q,12,FALSE)</f>
        <v>#N/A</v>
      </c>
      <c r="M209" s="68" t="e">
        <f>VLOOKUP(G209,Input!C:Q,15,FALSE)</f>
        <v>#N/A</v>
      </c>
      <c r="N209" s="69" t="e">
        <f>VLOOKUP(G209,Input!C:Q,14,FALSE)</f>
        <v>#N/A</v>
      </c>
      <c r="Q209" s="48">
        <v>1</v>
      </c>
      <c r="R209" s="75" t="e">
        <f>VLOOKUP(G209,Input!C:H,5,FALSE)</f>
        <v>#N/A</v>
      </c>
      <c r="T209" s="47">
        <v>1</v>
      </c>
      <c r="U209" s="47" t="str">
        <f t="shared" si="3"/>
        <v>208,208,**,</v>
      </c>
      <c r="AC209" s="47">
        <v>208</v>
      </c>
      <c r="AD209" s="47">
        <v>208</v>
      </c>
    </row>
    <row r="210" spans="1:30" ht="15.75">
      <c r="A210" s="13" t="str">
        <f>IFERROR(VLOOKUP($G:$G,scan!$A:$B,2,0),"**")</f>
        <v>**</v>
      </c>
      <c r="B210" s="13" t="str">
        <f>IFERROR(VLOOKUP($G210,scan!A:C,3,0),"**")</f>
        <v>**</v>
      </c>
      <c r="C210" s="47">
        <v>209</v>
      </c>
      <c r="F210" s="60"/>
      <c r="G210" s="1"/>
      <c r="H210" s="47" t="s">
        <v>4926</v>
      </c>
      <c r="I210" s="43">
        <v>6042070338</v>
      </c>
      <c r="J210" s="43" t="s">
        <v>4927</v>
      </c>
      <c r="K210" s="47" t="s">
        <v>4928</v>
      </c>
      <c r="L210" s="67" t="e">
        <f>VLOOKUP(G210,Input!C:Q,12,FALSE)</f>
        <v>#N/A</v>
      </c>
      <c r="M210" s="68" t="e">
        <f>VLOOKUP(G210,Input!C:Q,15,FALSE)</f>
        <v>#N/A</v>
      </c>
      <c r="N210" s="69" t="e">
        <f>VLOOKUP(G210,Input!C:Q,14,FALSE)</f>
        <v>#N/A</v>
      </c>
      <c r="Q210" s="48">
        <v>1</v>
      </c>
      <c r="R210" s="75" t="e">
        <f>VLOOKUP(G210,Input!C:H,5,FALSE)</f>
        <v>#N/A</v>
      </c>
      <c r="T210" s="47">
        <v>1</v>
      </c>
      <c r="U210" s="47" t="str">
        <f t="shared" si="3"/>
        <v>209,209,**,</v>
      </c>
      <c r="AC210" s="47">
        <v>209</v>
      </c>
      <c r="AD210" s="47">
        <v>209</v>
      </c>
    </row>
    <row r="211" spans="1:30" ht="15.75">
      <c r="A211" s="13" t="str">
        <f>IFERROR(VLOOKUP($G:$G,scan!$A:$B,2,0),"**")</f>
        <v>**</v>
      </c>
      <c r="B211" s="13" t="str">
        <f>IFERROR(VLOOKUP($G211,scan!A:C,3,0),"**")</f>
        <v>**</v>
      </c>
      <c r="C211" s="47">
        <v>210</v>
      </c>
      <c r="F211" s="60"/>
      <c r="G211" s="1"/>
      <c r="H211" s="47" t="s">
        <v>4926</v>
      </c>
      <c r="I211" s="43">
        <v>6042070338</v>
      </c>
      <c r="J211" s="43" t="s">
        <v>4927</v>
      </c>
      <c r="K211" s="47" t="s">
        <v>4928</v>
      </c>
      <c r="L211" s="67" t="e">
        <f>VLOOKUP(G211,Input!C:Q,12,FALSE)</f>
        <v>#N/A</v>
      </c>
      <c r="M211" s="68" t="e">
        <f>VLOOKUP(G211,Input!C:Q,15,FALSE)</f>
        <v>#N/A</v>
      </c>
      <c r="N211" s="69" t="e">
        <f>VLOOKUP(G211,Input!C:Q,14,FALSE)</f>
        <v>#N/A</v>
      </c>
      <c r="Q211" s="48">
        <v>1</v>
      </c>
      <c r="R211" s="75" t="e">
        <f>VLOOKUP(G211,Input!C:H,5,FALSE)</f>
        <v>#N/A</v>
      </c>
      <c r="T211" s="47">
        <v>1</v>
      </c>
      <c r="U211" s="47" t="str">
        <f t="shared" si="3"/>
        <v>210,210,**,</v>
      </c>
      <c r="AC211" s="47">
        <v>210</v>
      </c>
      <c r="AD211" s="47">
        <v>210</v>
      </c>
    </row>
    <row r="212" spans="1:30" ht="15.75">
      <c r="A212" s="13" t="str">
        <f>IFERROR(VLOOKUP($G:$G,scan!$A:$B,2,0),"**")</f>
        <v>**</v>
      </c>
      <c r="B212" s="13" t="str">
        <f>IFERROR(VLOOKUP($G212,scan!A:C,3,0),"**")</f>
        <v>**</v>
      </c>
      <c r="C212" s="47">
        <v>211</v>
      </c>
      <c r="F212" s="60"/>
      <c r="G212" s="1"/>
      <c r="H212" s="47" t="s">
        <v>4926</v>
      </c>
      <c r="I212" s="43">
        <v>6042070338</v>
      </c>
      <c r="J212" s="43" t="s">
        <v>4927</v>
      </c>
      <c r="K212" s="47" t="s">
        <v>4928</v>
      </c>
      <c r="L212" s="67" t="e">
        <f>VLOOKUP(G212,Input!C:Q,12,FALSE)</f>
        <v>#N/A</v>
      </c>
      <c r="M212" s="68" t="e">
        <f>VLOOKUP(G212,Input!C:Q,15,FALSE)</f>
        <v>#N/A</v>
      </c>
      <c r="N212" s="69" t="e">
        <f>VLOOKUP(G212,Input!C:Q,14,FALSE)</f>
        <v>#N/A</v>
      </c>
      <c r="Q212" s="48">
        <v>1</v>
      </c>
      <c r="R212" s="75" t="e">
        <f>VLOOKUP(G212,Input!C:H,5,FALSE)</f>
        <v>#N/A</v>
      </c>
      <c r="T212" s="47">
        <v>1</v>
      </c>
      <c r="U212" s="47" t="str">
        <f t="shared" si="3"/>
        <v>211,211,**,</v>
      </c>
      <c r="AC212" s="47">
        <v>211</v>
      </c>
      <c r="AD212" s="47">
        <v>211</v>
      </c>
    </row>
    <row r="213" spans="1:30" ht="15.75">
      <c r="A213" s="13" t="str">
        <f>IFERROR(VLOOKUP($G:$G,scan!$A:$B,2,0),"**")</f>
        <v>**</v>
      </c>
      <c r="B213" s="13" t="str">
        <f>IFERROR(VLOOKUP($G213,scan!A:C,3,0),"**")</f>
        <v>**</v>
      </c>
      <c r="C213" s="47">
        <v>212</v>
      </c>
      <c r="F213" s="60"/>
      <c r="G213" s="1"/>
      <c r="H213" s="47" t="s">
        <v>4926</v>
      </c>
      <c r="I213" s="43">
        <v>6042070338</v>
      </c>
      <c r="J213" s="43" t="s">
        <v>4927</v>
      </c>
      <c r="K213" s="47" t="s">
        <v>4928</v>
      </c>
      <c r="L213" s="67" t="e">
        <f>VLOOKUP(G213,Input!C:Q,12,FALSE)</f>
        <v>#N/A</v>
      </c>
      <c r="M213" s="68" t="e">
        <f>VLOOKUP(G213,Input!C:Q,15,FALSE)</f>
        <v>#N/A</v>
      </c>
      <c r="N213" s="69" t="e">
        <f>VLOOKUP(G213,Input!C:Q,14,FALSE)</f>
        <v>#N/A</v>
      </c>
      <c r="Q213" s="48">
        <v>1</v>
      </c>
      <c r="R213" s="75" t="e">
        <f>VLOOKUP(G213,Input!C:H,5,FALSE)</f>
        <v>#N/A</v>
      </c>
      <c r="T213" s="47">
        <v>1</v>
      </c>
      <c r="U213" s="47" t="str">
        <f t="shared" si="3"/>
        <v>212,212,**,</v>
      </c>
      <c r="AC213" s="47">
        <v>212</v>
      </c>
      <c r="AD213" s="47">
        <v>212</v>
      </c>
    </row>
    <row r="214" spans="1:30" ht="15.75">
      <c r="A214" s="13" t="str">
        <f>IFERROR(VLOOKUP($G:$G,scan!$A:$B,2,0),"**")</f>
        <v>**</v>
      </c>
      <c r="B214" s="13" t="str">
        <f>IFERROR(VLOOKUP($G214,scan!A:C,3,0),"**")</f>
        <v>**</v>
      </c>
      <c r="C214" s="47">
        <v>213</v>
      </c>
      <c r="F214" s="60"/>
      <c r="G214" s="1"/>
      <c r="H214" s="47" t="s">
        <v>4926</v>
      </c>
      <c r="I214" s="43">
        <v>6042070338</v>
      </c>
      <c r="J214" s="43" t="s">
        <v>4927</v>
      </c>
      <c r="K214" s="47" t="s">
        <v>4928</v>
      </c>
      <c r="L214" s="67" t="e">
        <f>VLOOKUP(G214,Input!C:Q,12,FALSE)</f>
        <v>#N/A</v>
      </c>
      <c r="M214" s="68" t="e">
        <f>VLOOKUP(G214,Input!C:Q,15,FALSE)</f>
        <v>#N/A</v>
      </c>
      <c r="N214" s="69" t="e">
        <f>VLOOKUP(G214,Input!C:Q,14,FALSE)</f>
        <v>#N/A</v>
      </c>
      <c r="Q214" s="48">
        <v>1</v>
      </c>
      <c r="R214" s="75" t="e">
        <f>VLOOKUP(G214,Input!C:H,5,FALSE)</f>
        <v>#N/A</v>
      </c>
      <c r="T214" s="47">
        <v>1</v>
      </c>
      <c r="U214" s="47" t="str">
        <f t="shared" si="3"/>
        <v>213,213,**,</v>
      </c>
      <c r="AC214" s="47">
        <v>213</v>
      </c>
      <c r="AD214" s="47">
        <v>213</v>
      </c>
    </row>
    <row r="215" spans="1:30" ht="15.75">
      <c r="A215" s="13" t="str">
        <f>IFERROR(VLOOKUP($G:$G,scan!$A:$B,2,0),"**")</f>
        <v>**</v>
      </c>
      <c r="B215" s="13" t="str">
        <f>IFERROR(VLOOKUP($G215,scan!A:C,3,0),"**")</f>
        <v>**</v>
      </c>
      <c r="C215" s="47">
        <v>214</v>
      </c>
      <c r="F215" s="60"/>
      <c r="G215" s="1"/>
      <c r="H215" s="47" t="s">
        <v>4926</v>
      </c>
      <c r="I215" s="43">
        <v>6042070338</v>
      </c>
      <c r="J215" s="43" t="s">
        <v>4927</v>
      </c>
      <c r="K215" s="47" t="s">
        <v>4928</v>
      </c>
      <c r="L215" s="67" t="e">
        <f>VLOOKUP(G215,Input!C:Q,12,FALSE)</f>
        <v>#N/A</v>
      </c>
      <c r="M215" s="68" t="e">
        <f>VLOOKUP(G215,Input!C:Q,15,FALSE)</f>
        <v>#N/A</v>
      </c>
      <c r="N215" s="69" t="e">
        <f>VLOOKUP(G215,Input!C:Q,14,FALSE)</f>
        <v>#N/A</v>
      </c>
      <c r="Q215" s="48">
        <v>1</v>
      </c>
      <c r="R215" s="75" t="e">
        <f>VLOOKUP(G215,Input!C:H,5,FALSE)</f>
        <v>#N/A</v>
      </c>
      <c r="T215" s="47">
        <v>1</v>
      </c>
      <c r="U215" s="47" t="str">
        <f t="shared" si="3"/>
        <v>214,214,**,</v>
      </c>
      <c r="AC215" s="47">
        <v>214</v>
      </c>
      <c r="AD215" s="47">
        <v>214</v>
      </c>
    </row>
    <row r="216" spans="1:30" ht="15.75">
      <c r="A216" s="13" t="str">
        <f>IFERROR(VLOOKUP($G:$G,scan!$A:$B,2,0),"**")</f>
        <v>**</v>
      </c>
      <c r="B216" s="13" t="str">
        <f>IFERROR(VLOOKUP($G216,scan!A:C,3,0),"**")</f>
        <v>**</v>
      </c>
      <c r="C216" s="47">
        <v>215</v>
      </c>
      <c r="F216" s="60"/>
      <c r="G216" s="1"/>
      <c r="H216" s="47" t="s">
        <v>4926</v>
      </c>
      <c r="I216" s="43">
        <v>6042070338</v>
      </c>
      <c r="J216" s="43" t="s">
        <v>4927</v>
      </c>
      <c r="K216" s="47" t="s">
        <v>4928</v>
      </c>
      <c r="L216" s="67" t="e">
        <f>VLOOKUP(G216,Input!C:Q,12,FALSE)</f>
        <v>#N/A</v>
      </c>
      <c r="M216" s="68" t="e">
        <f>VLOOKUP(G216,Input!C:Q,15,FALSE)</f>
        <v>#N/A</v>
      </c>
      <c r="N216" s="69" t="e">
        <f>VLOOKUP(G216,Input!C:Q,14,FALSE)</f>
        <v>#N/A</v>
      </c>
      <c r="Q216" s="48">
        <v>1</v>
      </c>
      <c r="R216" s="75" t="e">
        <f>VLOOKUP(G216,Input!C:H,5,FALSE)</f>
        <v>#N/A</v>
      </c>
      <c r="T216" s="47">
        <v>1</v>
      </c>
      <c r="U216" s="47" t="str">
        <f t="shared" si="3"/>
        <v>215,215,**,</v>
      </c>
      <c r="AC216" s="47">
        <v>215</v>
      </c>
      <c r="AD216" s="47">
        <v>215</v>
      </c>
    </row>
    <row r="217" spans="1:30" ht="15.75">
      <c r="A217" s="13" t="str">
        <f>IFERROR(VLOOKUP($G:$G,scan!$A:$B,2,0),"**")</f>
        <v>**</v>
      </c>
      <c r="B217" s="13" t="str">
        <f>IFERROR(VLOOKUP($G217,scan!A:C,3,0),"**")</f>
        <v>**</v>
      </c>
      <c r="C217" s="47">
        <v>216</v>
      </c>
      <c r="F217" s="60"/>
      <c r="G217" s="1"/>
      <c r="H217" s="47" t="s">
        <v>4926</v>
      </c>
      <c r="I217" s="43">
        <v>6042070338</v>
      </c>
      <c r="J217" s="43" t="s">
        <v>4927</v>
      </c>
      <c r="K217" s="47" t="s">
        <v>4928</v>
      </c>
      <c r="L217" s="67" t="e">
        <f>VLOOKUP(G217,Input!C:Q,12,FALSE)</f>
        <v>#N/A</v>
      </c>
      <c r="M217" s="68" t="e">
        <f>VLOOKUP(G217,Input!C:Q,15,FALSE)</f>
        <v>#N/A</v>
      </c>
      <c r="N217" s="69" t="e">
        <f>VLOOKUP(G217,Input!C:Q,14,FALSE)</f>
        <v>#N/A</v>
      </c>
      <c r="Q217" s="48">
        <v>1</v>
      </c>
      <c r="R217" s="75" t="e">
        <f>VLOOKUP(G217,Input!C:H,5,FALSE)</f>
        <v>#N/A</v>
      </c>
      <c r="T217" s="47">
        <v>1</v>
      </c>
      <c r="U217" s="47" t="str">
        <f t="shared" si="3"/>
        <v>216,216,**,</v>
      </c>
      <c r="AC217" s="47">
        <v>216</v>
      </c>
      <c r="AD217" s="47">
        <v>216</v>
      </c>
    </row>
    <row r="218" spans="1:30" ht="15.75">
      <c r="A218" s="13" t="str">
        <f>IFERROR(VLOOKUP($G:$G,scan!$A:$B,2,0),"**")</f>
        <v>**</v>
      </c>
      <c r="B218" s="13" t="str">
        <f>IFERROR(VLOOKUP($G218,scan!A:C,3,0),"**")</f>
        <v>**</v>
      </c>
      <c r="C218" s="47">
        <v>217</v>
      </c>
      <c r="F218" s="60"/>
      <c r="G218" s="1"/>
      <c r="H218" s="47" t="s">
        <v>4926</v>
      </c>
      <c r="I218" s="43">
        <v>6042070338</v>
      </c>
      <c r="J218" s="43" t="s">
        <v>4927</v>
      </c>
      <c r="K218" s="47" t="s">
        <v>4928</v>
      </c>
      <c r="L218" s="67" t="e">
        <f>VLOOKUP(G218,Input!C:Q,12,FALSE)</f>
        <v>#N/A</v>
      </c>
      <c r="M218" s="68" t="e">
        <f>VLOOKUP(G218,Input!C:Q,15,FALSE)</f>
        <v>#N/A</v>
      </c>
      <c r="N218" s="69" t="e">
        <f>VLOOKUP(G218,Input!C:Q,14,FALSE)</f>
        <v>#N/A</v>
      </c>
      <c r="Q218" s="48">
        <v>1</v>
      </c>
      <c r="R218" s="75" t="e">
        <f>VLOOKUP(G218,Input!C:H,5,FALSE)</f>
        <v>#N/A</v>
      </c>
      <c r="T218" s="47">
        <v>1</v>
      </c>
      <c r="U218" s="47" t="str">
        <f t="shared" si="3"/>
        <v>217,217,**,</v>
      </c>
      <c r="AC218" s="47">
        <v>217</v>
      </c>
      <c r="AD218" s="47">
        <v>217</v>
      </c>
    </row>
    <row r="219" spans="1:30" ht="15.75">
      <c r="A219" s="13" t="str">
        <f>IFERROR(VLOOKUP($G:$G,scan!$A:$B,2,0),"**")</f>
        <v>**</v>
      </c>
      <c r="B219" s="13" t="str">
        <f>IFERROR(VLOOKUP($G219,scan!A:C,3,0),"**")</f>
        <v>**</v>
      </c>
      <c r="C219" s="47">
        <v>218</v>
      </c>
      <c r="F219" s="60"/>
      <c r="G219" s="1"/>
      <c r="H219" s="47" t="s">
        <v>4926</v>
      </c>
      <c r="I219" s="43">
        <v>6042070338</v>
      </c>
      <c r="J219" s="43" t="s">
        <v>4927</v>
      </c>
      <c r="K219" s="47" t="s">
        <v>4928</v>
      </c>
      <c r="L219" s="67" t="e">
        <f>VLOOKUP(G219,Input!C:Q,12,FALSE)</f>
        <v>#N/A</v>
      </c>
      <c r="M219" s="68" t="e">
        <f>VLOOKUP(G219,Input!C:Q,15,FALSE)</f>
        <v>#N/A</v>
      </c>
      <c r="N219" s="69" t="e">
        <f>VLOOKUP(G219,Input!C:Q,14,FALSE)</f>
        <v>#N/A</v>
      </c>
      <c r="Q219" s="48">
        <v>1</v>
      </c>
      <c r="R219" s="75" t="e">
        <f>VLOOKUP(G219,Input!C:H,5,FALSE)</f>
        <v>#N/A</v>
      </c>
      <c r="T219" s="47">
        <v>1</v>
      </c>
      <c r="U219" s="47" t="str">
        <f t="shared" si="3"/>
        <v>218,218,**,</v>
      </c>
      <c r="AC219" s="47">
        <v>218</v>
      </c>
      <c r="AD219" s="47">
        <v>218</v>
      </c>
    </row>
    <row r="220" spans="1:30" ht="15.75">
      <c r="A220" s="13" t="str">
        <f>IFERROR(VLOOKUP($G:$G,scan!$A:$B,2,0),"**")</f>
        <v>**</v>
      </c>
      <c r="B220" s="13" t="str">
        <f>IFERROR(VLOOKUP($G220,scan!A:C,3,0),"**")</f>
        <v>**</v>
      </c>
      <c r="C220" s="47">
        <v>219</v>
      </c>
      <c r="F220" s="60"/>
      <c r="G220" s="1"/>
      <c r="H220" s="47" t="s">
        <v>4926</v>
      </c>
      <c r="I220" s="43">
        <v>6042070338</v>
      </c>
      <c r="J220" s="43" t="s">
        <v>4927</v>
      </c>
      <c r="K220" s="47" t="s">
        <v>4928</v>
      </c>
      <c r="L220" s="67" t="e">
        <f>VLOOKUP(G220,Input!C:Q,12,FALSE)</f>
        <v>#N/A</v>
      </c>
      <c r="M220" s="68" t="e">
        <f>VLOOKUP(G220,Input!C:Q,15,FALSE)</f>
        <v>#N/A</v>
      </c>
      <c r="N220" s="69" t="e">
        <f>VLOOKUP(G220,Input!C:Q,14,FALSE)</f>
        <v>#N/A</v>
      </c>
      <c r="Q220" s="48">
        <v>1</v>
      </c>
      <c r="R220" s="75" t="e">
        <f>VLOOKUP(G220,Input!C:H,5,FALSE)</f>
        <v>#N/A</v>
      </c>
      <c r="T220" s="47">
        <v>1</v>
      </c>
      <c r="U220" s="47" t="str">
        <f t="shared" si="3"/>
        <v>219,219,**,</v>
      </c>
      <c r="AC220" s="47">
        <v>219</v>
      </c>
      <c r="AD220" s="47">
        <v>219</v>
      </c>
    </row>
    <row r="221" spans="1:30" ht="15.75">
      <c r="A221" s="13" t="str">
        <f>IFERROR(VLOOKUP($G:$G,scan!$A:$B,2,0),"**")</f>
        <v>**</v>
      </c>
      <c r="B221" s="13" t="str">
        <f>IFERROR(VLOOKUP($G221,scan!A:C,3,0),"**")</f>
        <v>**</v>
      </c>
      <c r="C221" s="47">
        <v>220</v>
      </c>
      <c r="F221" s="60"/>
      <c r="G221" s="1"/>
      <c r="H221" s="47" t="s">
        <v>4926</v>
      </c>
      <c r="I221" s="43">
        <v>6042070338</v>
      </c>
      <c r="J221" s="43" t="s">
        <v>4927</v>
      </c>
      <c r="K221" s="47" t="s">
        <v>4928</v>
      </c>
      <c r="L221" s="67" t="e">
        <f>VLOOKUP(G221,Input!C:Q,12,FALSE)</f>
        <v>#N/A</v>
      </c>
      <c r="M221" s="68" t="e">
        <f>VLOOKUP(G221,Input!C:Q,15,FALSE)</f>
        <v>#N/A</v>
      </c>
      <c r="N221" s="69" t="e">
        <f>VLOOKUP(G221,Input!C:Q,14,FALSE)</f>
        <v>#N/A</v>
      </c>
      <c r="Q221" s="48">
        <v>1</v>
      </c>
      <c r="R221" s="75" t="e">
        <f>VLOOKUP(G221,Input!C:H,5,FALSE)</f>
        <v>#N/A</v>
      </c>
      <c r="T221" s="47">
        <v>1</v>
      </c>
      <c r="U221" s="47" t="str">
        <f t="shared" si="3"/>
        <v>220,220,**,</v>
      </c>
      <c r="AC221" s="47">
        <v>220</v>
      </c>
      <c r="AD221" s="47">
        <v>220</v>
      </c>
    </row>
    <row r="222" spans="1:30" ht="15.75">
      <c r="A222" s="13" t="str">
        <f>IFERROR(VLOOKUP($G:$G,scan!$A:$B,2,0),"**")</f>
        <v>**</v>
      </c>
      <c r="B222" s="13" t="str">
        <f>IFERROR(VLOOKUP($G222,scan!A:C,3,0),"**")</f>
        <v>**</v>
      </c>
      <c r="C222" s="47">
        <v>221</v>
      </c>
      <c r="F222" s="60"/>
      <c r="G222" s="1"/>
      <c r="H222" s="47" t="s">
        <v>4926</v>
      </c>
      <c r="I222" s="43">
        <v>6042070338</v>
      </c>
      <c r="J222" s="43" t="s">
        <v>4927</v>
      </c>
      <c r="K222" s="47" t="s">
        <v>4928</v>
      </c>
      <c r="L222" s="67" t="e">
        <f>VLOOKUP(G222,Input!C:Q,12,FALSE)</f>
        <v>#N/A</v>
      </c>
      <c r="M222" s="68" t="e">
        <f>VLOOKUP(G222,Input!C:Q,15,FALSE)</f>
        <v>#N/A</v>
      </c>
      <c r="N222" s="69" t="e">
        <f>VLOOKUP(G222,Input!C:Q,14,FALSE)</f>
        <v>#N/A</v>
      </c>
      <c r="Q222" s="48">
        <v>1</v>
      </c>
      <c r="R222" s="75" t="e">
        <f>VLOOKUP(G222,Input!C:H,5,FALSE)</f>
        <v>#N/A</v>
      </c>
      <c r="T222" s="47">
        <v>1</v>
      </c>
      <c r="U222" s="47" t="str">
        <f t="shared" si="3"/>
        <v>221,221,**,</v>
      </c>
      <c r="AC222" s="47">
        <v>221</v>
      </c>
      <c r="AD222" s="47">
        <v>221</v>
      </c>
    </row>
    <row r="223" spans="1:30" ht="15.75">
      <c r="A223" s="13" t="str">
        <f>IFERROR(VLOOKUP($G:$G,scan!$A:$B,2,0),"**")</f>
        <v>**</v>
      </c>
      <c r="B223" s="13" t="str">
        <f>IFERROR(VLOOKUP($G223,scan!A:C,3,0),"**")</f>
        <v>**</v>
      </c>
      <c r="C223" s="47">
        <v>222</v>
      </c>
      <c r="F223" s="60"/>
      <c r="G223" s="1"/>
      <c r="H223" s="47" t="s">
        <v>4926</v>
      </c>
      <c r="I223" s="43">
        <v>6042070338</v>
      </c>
      <c r="J223" s="43" t="s">
        <v>4927</v>
      </c>
      <c r="K223" s="47" t="s">
        <v>4928</v>
      </c>
      <c r="L223" s="67" t="e">
        <f>VLOOKUP(G223,Input!C:Q,12,FALSE)</f>
        <v>#N/A</v>
      </c>
      <c r="M223" s="68" t="e">
        <f>VLOOKUP(G223,Input!C:Q,15,FALSE)</f>
        <v>#N/A</v>
      </c>
      <c r="N223" s="69" t="e">
        <f>VLOOKUP(G223,Input!C:Q,14,FALSE)</f>
        <v>#N/A</v>
      </c>
      <c r="Q223" s="48">
        <v>1</v>
      </c>
      <c r="R223" s="75" t="e">
        <f>VLOOKUP(G223,Input!C:H,5,FALSE)</f>
        <v>#N/A</v>
      </c>
      <c r="T223" s="47">
        <v>1</v>
      </c>
      <c r="U223" s="47" t="str">
        <f t="shared" si="3"/>
        <v>222,222,**,</v>
      </c>
      <c r="AC223" s="47">
        <v>222</v>
      </c>
      <c r="AD223" s="47">
        <v>222</v>
      </c>
    </row>
    <row r="224" spans="1:30" ht="15.75">
      <c r="A224" s="13" t="str">
        <f>IFERROR(VLOOKUP($G:$G,scan!$A:$B,2,0),"**")</f>
        <v>**</v>
      </c>
      <c r="B224" s="13" t="str">
        <f>IFERROR(VLOOKUP($G224,scan!A:C,3,0),"**")</f>
        <v>**</v>
      </c>
      <c r="C224" s="47">
        <v>223</v>
      </c>
      <c r="F224" s="60"/>
      <c r="G224" s="1"/>
      <c r="H224" s="47" t="s">
        <v>4926</v>
      </c>
      <c r="I224" s="43">
        <v>6042070338</v>
      </c>
      <c r="J224" s="43" t="s">
        <v>4927</v>
      </c>
      <c r="K224" s="47" t="s">
        <v>4928</v>
      </c>
      <c r="L224" s="67" t="e">
        <f>VLOOKUP(G224,Input!C:Q,12,FALSE)</f>
        <v>#N/A</v>
      </c>
      <c r="M224" s="68" t="e">
        <f>VLOOKUP(G224,Input!C:Q,15,FALSE)</f>
        <v>#N/A</v>
      </c>
      <c r="N224" s="69" t="e">
        <f>VLOOKUP(G224,Input!C:Q,14,FALSE)</f>
        <v>#N/A</v>
      </c>
      <c r="Q224" s="48">
        <v>1</v>
      </c>
      <c r="R224" s="75" t="e">
        <f>VLOOKUP(G224,Input!C:H,5,FALSE)</f>
        <v>#N/A</v>
      </c>
      <c r="T224" s="47">
        <v>1</v>
      </c>
      <c r="U224" s="47" t="str">
        <f t="shared" si="3"/>
        <v>223,223,**,</v>
      </c>
      <c r="AC224" s="47">
        <v>223</v>
      </c>
      <c r="AD224" s="47">
        <v>223</v>
      </c>
    </row>
    <row r="225" spans="1:30" ht="15.75">
      <c r="A225" s="13" t="str">
        <f>IFERROR(VLOOKUP($G:$G,scan!$A:$B,2,0),"**")</f>
        <v>**</v>
      </c>
      <c r="B225" s="13" t="str">
        <f>IFERROR(VLOOKUP($G225,scan!A:C,3,0),"**")</f>
        <v>**</v>
      </c>
      <c r="C225" s="47">
        <v>224</v>
      </c>
      <c r="F225" s="60"/>
      <c r="G225" s="1"/>
      <c r="H225" s="47" t="s">
        <v>4926</v>
      </c>
      <c r="I225" s="43">
        <v>6042070338</v>
      </c>
      <c r="J225" s="43" t="s">
        <v>4927</v>
      </c>
      <c r="K225" s="47" t="s">
        <v>4928</v>
      </c>
      <c r="L225" s="67" t="e">
        <f>VLOOKUP(G225,Input!C:Q,12,FALSE)</f>
        <v>#N/A</v>
      </c>
      <c r="M225" s="68" t="e">
        <f>VLOOKUP(G225,Input!C:Q,15,FALSE)</f>
        <v>#N/A</v>
      </c>
      <c r="N225" s="69" t="e">
        <f>VLOOKUP(G225,Input!C:Q,14,FALSE)</f>
        <v>#N/A</v>
      </c>
      <c r="Q225" s="48">
        <v>1</v>
      </c>
      <c r="R225" s="75" t="e">
        <f>VLOOKUP(G225,Input!C:H,5,FALSE)</f>
        <v>#N/A</v>
      </c>
      <c r="T225" s="47">
        <v>1</v>
      </c>
      <c r="U225" s="47" t="str">
        <f t="shared" si="3"/>
        <v>224,224,**,</v>
      </c>
      <c r="AC225" s="47">
        <v>224</v>
      </c>
      <c r="AD225" s="47">
        <v>224</v>
      </c>
    </row>
    <row r="226" spans="1:30" ht="15.75">
      <c r="A226" s="13" t="str">
        <f>IFERROR(VLOOKUP($G:$G,scan!$A:$B,2,0),"**")</f>
        <v>**</v>
      </c>
      <c r="B226" s="13" t="str">
        <f>IFERROR(VLOOKUP($G226,scan!A:C,3,0),"**")</f>
        <v>**</v>
      </c>
      <c r="C226" s="47">
        <v>225</v>
      </c>
      <c r="F226" s="60"/>
      <c r="G226" s="1"/>
      <c r="H226" s="47" t="s">
        <v>4926</v>
      </c>
      <c r="I226" s="43">
        <v>6042070338</v>
      </c>
      <c r="J226" s="43" t="s">
        <v>4927</v>
      </c>
      <c r="K226" s="47" t="s">
        <v>4928</v>
      </c>
      <c r="L226" s="67" t="e">
        <f>VLOOKUP(G226,Input!C:Q,12,FALSE)</f>
        <v>#N/A</v>
      </c>
      <c r="M226" s="68" t="e">
        <f>VLOOKUP(G226,Input!C:Q,15,FALSE)</f>
        <v>#N/A</v>
      </c>
      <c r="N226" s="69" t="e">
        <f>VLOOKUP(G226,Input!C:Q,14,FALSE)</f>
        <v>#N/A</v>
      </c>
      <c r="Q226" s="48">
        <v>1</v>
      </c>
      <c r="R226" s="75" t="e">
        <f>VLOOKUP(G226,Input!C:H,5,FALSE)</f>
        <v>#N/A</v>
      </c>
      <c r="T226" s="47">
        <v>1</v>
      </c>
      <c r="U226" s="47" t="str">
        <f t="shared" si="3"/>
        <v>225,225,**,</v>
      </c>
      <c r="AC226" s="47">
        <v>225</v>
      </c>
      <c r="AD226" s="47">
        <v>225</v>
      </c>
    </row>
    <row r="227" spans="1:30" ht="15.75">
      <c r="A227" s="13" t="str">
        <f>IFERROR(VLOOKUP($G:$G,scan!$A:$B,2,0),"**")</f>
        <v>**</v>
      </c>
      <c r="B227" s="13" t="str">
        <f>IFERROR(VLOOKUP($G227,scan!A:C,3,0),"**")</f>
        <v>**</v>
      </c>
      <c r="C227" s="47">
        <v>226</v>
      </c>
      <c r="F227" s="60"/>
      <c r="G227" s="1"/>
      <c r="H227" s="47" t="s">
        <v>4926</v>
      </c>
      <c r="I227" s="43">
        <v>6042070338</v>
      </c>
      <c r="J227" s="43" t="s">
        <v>4927</v>
      </c>
      <c r="K227" s="47" t="s">
        <v>4928</v>
      </c>
      <c r="L227" s="67" t="e">
        <f>VLOOKUP(G227,Input!C:Q,12,FALSE)</f>
        <v>#N/A</v>
      </c>
      <c r="M227" s="68" t="e">
        <f>VLOOKUP(G227,Input!C:Q,15,FALSE)</f>
        <v>#N/A</v>
      </c>
      <c r="N227" s="69" t="e">
        <f>VLOOKUP(G227,Input!C:Q,14,FALSE)</f>
        <v>#N/A</v>
      </c>
      <c r="Q227" s="48">
        <v>1</v>
      </c>
      <c r="R227" s="75" t="e">
        <f>VLOOKUP(G227,Input!C:H,5,FALSE)</f>
        <v>#N/A</v>
      </c>
      <c r="T227" s="47">
        <v>1</v>
      </c>
      <c r="U227" s="47" t="str">
        <f t="shared" si="3"/>
        <v>226,226,**,</v>
      </c>
      <c r="AC227" s="47">
        <v>226</v>
      </c>
      <c r="AD227" s="47">
        <v>226</v>
      </c>
    </row>
    <row r="228" spans="1:30" ht="15.75">
      <c r="A228" s="13" t="str">
        <f>IFERROR(VLOOKUP($G:$G,scan!$A:$B,2,0),"**")</f>
        <v>**</v>
      </c>
      <c r="B228" s="13" t="str">
        <f>IFERROR(VLOOKUP($G228,scan!A:C,3,0),"**")</f>
        <v>**</v>
      </c>
      <c r="C228" s="47">
        <v>227</v>
      </c>
      <c r="F228" s="60"/>
      <c r="G228" s="1"/>
      <c r="H228" s="47" t="s">
        <v>4926</v>
      </c>
      <c r="I228" s="43">
        <v>6042070338</v>
      </c>
      <c r="J228" s="43" t="s">
        <v>4927</v>
      </c>
      <c r="K228" s="47" t="s">
        <v>4928</v>
      </c>
      <c r="L228" s="67" t="e">
        <f>VLOOKUP(G228,Input!C:Q,12,FALSE)</f>
        <v>#N/A</v>
      </c>
      <c r="M228" s="68" t="e">
        <f>VLOOKUP(G228,Input!C:Q,15,FALSE)</f>
        <v>#N/A</v>
      </c>
      <c r="N228" s="69" t="e">
        <f>VLOOKUP(G228,Input!C:Q,14,FALSE)</f>
        <v>#N/A</v>
      </c>
      <c r="Q228" s="48">
        <v>1</v>
      </c>
      <c r="R228" s="75" t="e">
        <f>VLOOKUP(G228,Input!C:H,5,FALSE)</f>
        <v>#N/A</v>
      </c>
      <c r="T228" s="47">
        <v>1</v>
      </c>
      <c r="U228" s="47" t="str">
        <f t="shared" si="3"/>
        <v>227,227,**,</v>
      </c>
      <c r="AC228" s="47">
        <v>227</v>
      </c>
      <c r="AD228" s="47">
        <v>227</v>
      </c>
    </row>
    <row r="229" spans="1:30" ht="15.75">
      <c r="A229" s="13" t="str">
        <f>IFERROR(VLOOKUP($G:$G,scan!$A:$B,2,0),"**")</f>
        <v>**</v>
      </c>
      <c r="B229" s="13" t="str">
        <f>IFERROR(VLOOKUP($G229,scan!A:C,3,0),"**")</f>
        <v>**</v>
      </c>
      <c r="C229" s="47">
        <v>228</v>
      </c>
      <c r="F229" s="60"/>
      <c r="G229" s="1"/>
      <c r="H229" s="47" t="s">
        <v>4926</v>
      </c>
      <c r="I229" s="43">
        <v>6042070338</v>
      </c>
      <c r="J229" s="43" t="s">
        <v>4927</v>
      </c>
      <c r="K229" s="47" t="s">
        <v>4928</v>
      </c>
      <c r="L229" s="67" t="e">
        <f>VLOOKUP(G229,Input!C:Q,12,FALSE)</f>
        <v>#N/A</v>
      </c>
      <c r="M229" s="68" t="e">
        <f>VLOOKUP(G229,Input!C:Q,15,FALSE)</f>
        <v>#N/A</v>
      </c>
      <c r="N229" s="69" t="e">
        <f>VLOOKUP(G229,Input!C:Q,14,FALSE)</f>
        <v>#N/A</v>
      </c>
      <c r="Q229" s="48">
        <v>1</v>
      </c>
      <c r="R229" s="75" t="e">
        <f>VLOOKUP(G229,Input!C:H,5,FALSE)</f>
        <v>#N/A</v>
      </c>
      <c r="T229" s="47">
        <v>1</v>
      </c>
      <c r="U229" s="47" t="str">
        <f t="shared" si="3"/>
        <v>228,228,**,</v>
      </c>
      <c r="AC229" s="47">
        <v>228</v>
      </c>
      <c r="AD229" s="47">
        <v>228</v>
      </c>
    </row>
    <row r="230" spans="1:30" ht="15.75">
      <c r="A230" s="13" t="str">
        <f>IFERROR(VLOOKUP($G:$G,scan!$A:$B,2,0),"**")</f>
        <v>**</v>
      </c>
      <c r="B230" s="13" t="str">
        <f>IFERROR(VLOOKUP($G230,scan!A:C,3,0),"**")</f>
        <v>**</v>
      </c>
      <c r="C230" s="47">
        <v>229</v>
      </c>
      <c r="F230" s="60"/>
      <c r="G230" s="1"/>
      <c r="H230" s="47" t="s">
        <v>4926</v>
      </c>
      <c r="I230" s="43">
        <v>6042070338</v>
      </c>
      <c r="J230" s="43" t="s">
        <v>4927</v>
      </c>
      <c r="K230" s="47" t="s">
        <v>4928</v>
      </c>
      <c r="L230" s="67" t="e">
        <f>VLOOKUP(G230,Input!C:Q,12,FALSE)</f>
        <v>#N/A</v>
      </c>
      <c r="M230" s="68" t="e">
        <f>VLOOKUP(G230,Input!C:Q,15,FALSE)</f>
        <v>#N/A</v>
      </c>
      <c r="N230" s="69" t="e">
        <f>VLOOKUP(G230,Input!C:Q,14,FALSE)</f>
        <v>#N/A</v>
      </c>
      <c r="Q230" s="48">
        <v>1</v>
      </c>
      <c r="R230" s="75" t="e">
        <f>VLOOKUP(G230,Input!C:H,5,FALSE)</f>
        <v>#N/A</v>
      </c>
      <c r="T230" s="47">
        <v>1</v>
      </c>
      <c r="U230" s="47" t="str">
        <f t="shared" si="3"/>
        <v>229,229,**,</v>
      </c>
      <c r="AC230" s="47">
        <v>229</v>
      </c>
      <c r="AD230" s="47">
        <v>229</v>
      </c>
    </row>
    <row r="231" spans="1:30" ht="15.75">
      <c r="A231" s="13" t="str">
        <f>IFERROR(VLOOKUP($G:$G,scan!$A:$B,2,0),"**")</f>
        <v>**</v>
      </c>
      <c r="B231" s="13" t="str">
        <f>IFERROR(VLOOKUP($G231,scan!A:C,3,0),"**")</f>
        <v>**</v>
      </c>
      <c r="C231" s="47">
        <v>230</v>
      </c>
      <c r="F231" s="60"/>
      <c r="G231" s="1"/>
      <c r="H231" s="47" t="s">
        <v>4926</v>
      </c>
      <c r="I231" s="43">
        <v>6042070338</v>
      </c>
      <c r="J231" s="43" t="s">
        <v>4927</v>
      </c>
      <c r="K231" s="47" t="s">
        <v>4928</v>
      </c>
      <c r="L231" s="67" t="e">
        <f>VLOOKUP(G231,Input!C:Q,12,FALSE)</f>
        <v>#N/A</v>
      </c>
      <c r="M231" s="68" t="e">
        <f>VLOOKUP(G231,Input!C:Q,15,FALSE)</f>
        <v>#N/A</v>
      </c>
      <c r="N231" s="69" t="e">
        <f>VLOOKUP(G231,Input!C:Q,14,FALSE)</f>
        <v>#N/A</v>
      </c>
      <c r="Q231" s="48">
        <v>1</v>
      </c>
      <c r="R231" s="75" t="e">
        <f>VLOOKUP(G231,Input!C:H,5,FALSE)</f>
        <v>#N/A</v>
      </c>
      <c r="T231" s="47">
        <v>1</v>
      </c>
      <c r="U231" s="47" t="str">
        <f t="shared" si="3"/>
        <v>230,230,**,</v>
      </c>
      <c r="AC231" s="47">
        <v>230</v>
      </c>
      <c r="AD231" s="47">
        <v>230</v>
      </c>
    </row>
    <row r="232" spans="1:30" ht="15.75">
      <c r="A232" s="13" t="str">
        <f>IFERROR(VLOOKUP($G:$G,scan!$A:$B,2,0),"**")</f>
        <v>**</v>
      </c>
      <c r="B232" s="13" t="str">
        <f>IFERROR(VLOOKUP($G232,scan!A:C,3,0),"**")</f>
        <v>**</v>
      </c>
      <c r="C232" s="47">
        <v>231</v>
      </c>
      <c r="F232" s="60"/>
      <c r="G232" s="1"/>
      <c r="H232" s="47" t="s">
        <v>4926</v>
      </c>
      <c r="I232" s="43">
        <v>6042070338</v>
      </c>
      <c r="J232" s="43" t="s">
        <v>4927</v>
      </c>
      <c r="K232" s="47" t="s">
        <v>4928</v>
      </c>
      <c r="L232" s="67" t="e">
        <f>VLOOKUP(G232,Input!C:Q,12,FALSE)</f>
        <v>#N/A</v>
      </c>
      <c r="M232" s="68" t="e">
        <f>VLOOKUP(G232,Input!C:Q,15,FALSE)</f>
        <v>#N/A</v>
      </c>
      <c r="N232" s="69" t="e">
        <f>VLOOKUP(G232,Input!C:Q,14,FALSE)</f>
        <v>#N/A</v>
      </c>
      <c r="Q232" s="48">
        <v>1</v>
      </c>
      <c r="R232" s="75" t="e">
        <f>VLOOKUP(G232,Input!C:H,5,FALSE)</f>
        <v>#N/A</v>
      </c>
      <c r="T232" s="47">
        <v>1</v>
      </c>
      <c r="U232" s="47" t="str">
        <f t="shared" si="3"/>
        <v>231,231,**,</v>
      </c>
      <c r="AC232" s="47">
        <v>231</v>
      </c>
      <c r="AD232" s="47">
        <v>231</v>
      </c>
    </row>
    <row r="233" spans="1:30" ht="15.75">
      <c r="A233" s="13" t="str">
        <f>IFERROR(VLOOKUP($G:$G,scan!$A:$B,2,0),"**")</f>
        <v>**</v>
      </c>
      <c r="B233" s="13" t="str">
        <f>IFERROR(VLOOKUP($G233,scan!A:C,3,0),"**")</f>
        <v>**</v>
      </c>
      <c r="C233" s="47">
        <v>232</v>
      </c>
      <c r="F233" s="60"/>
      <c r="G233" s="1"/>
      <c r="H233" s="47" t="s">
        <v>4926</v>
      </c>
      <c r="I233" s="43">
        <v>6042070338</v>
      </c>
      <c r="J233" s="43" t="s">
        <v>4927</v>
      </c>
      <c r="K233" s="47" t="s">
        <v>4928</v>
      </c>
      <c r="L233" s="67" t="e">
        <f>VLOOKUP(G233,Input!C:Q,12,FALSE)</f>
        <v>#N/A</v>
      </c>
      <c r="M233" s="68" t="e">
        <f>VLOOKUP(G233,Input!C:Q,15,FALSE)</f>
        <v>#N/A</v>
      </c>
      <c r="N233" s="69" t="e">
        <f>VLOOKUP(G233,Input!C:Q,14,FALSE)</f>
        <v>#N/A</v>
      </c>
      <c r="Q233" s="48">
        <v>1</v>
      </c>
      <c r="R233" s="75" t="e">
        <f>VLOOKUP(G233,Input!C:H,5,FALSE)</f>
        <v>#N/A</v>
      </c>
      <c r="T233" s="47">
        <v>1</v>
      </c>
      <c r="U233" s="47" t="str">
        <f t="shared" si="3"/>
        <v>232,232,**,</v>
      </c>
      <c r="AC233" s="47">
        <v>232</v>
      </c>
      <c r="AD233" s="47">
        <v>232</v>
      </c>
    </row>
    <row r="234" spans="1:30" ht="15.75">
      <c r="A234" s="13" t="str">
        <f>IFERROR(VLOOKUP($G:$G,scan!$A:$B,2,0),"**")</f>
        <v>**</v>
      </c>
      <c r="B234" s="13" t="str">
        <f>IFERROR(VLOOKUP($G234,scan!A:C,3,0),"**")</f>
        <v>**</v>
      </c>
      <c r="C234" s="47">
        <v>233</v>
      </c>
      <c r="F234" s="60"/>
      <c r="G234" s="1"/>
      <c r="H234" s="47" t="s">
        <v>4926</v>
      </c>
      <c r="I234" s="43">
        <v>6042070338</v>
      </c>
      <c r="J234" s="43" t="s">
        <v>4927</v>
      </c>
      <c r="K234" s="47" t="s">
        <v>4928</v>
      </c>
      <c r="L234" s="67" t="e">
        <f>VLOOKUP(G234,Input!C:Q,12,FALSE)</f>
        <v>#N/A</v>
      </c>
      <c r="M234" s="68" t="e">
        <f>VLOOKUP(G234,Input!C:Q,15,FALSE)</f>
        <v>#N/A</v>
      </c>
      <c r="N234" s="69" t="e">
        <f>VLOOKUP(G234,Input!C:Q,14,FALSE)</f>
        <v>#N/A</v>
      </c>
      <c r="Q234" s="48">
        <v>1</v>
      </c>
      <c r="R234" s="75" t="e">
        <f>VLOOKUP(G234,Input!C:H,5,FALSE)</f>
        <v>#N/A</v>
      </c>
      <c r="T234" s="47">
        <v>1</v>
      </c>
      <c r="U234" s="47" t="str">
        <f t="shared" si="3"/>
        <v>233,233,**,</v>
      </c>
      <c r="AC234" s="47">
        <v>233</v>
      </c>
      <c r="AD234" s="47">
        <v>233</v>
      </c>
    </row>
    <row r="235" spans="1:30" ht="15.75">
      <c r="A235" s="13" t="str">
        <f>IFERROR(VLOOKUP($G:$G,scan!$A:$B,2,0),"**")</f>
        <v>**</v>
      </c>
      <c r="B235" s="13" t="str">
        <f>IFERROR(VLOOKUP($G235,scan!A:C,3,0),"**")</f>
        <v>**</v>
      </c>
      <c r="C235" s="47">
        <v>234</v>
      </c>
      <c r="F235" s="60"/>
      <c r="G235" s="1"/>
      <c r="H235" s="47" t="s">
        <v>4926</v>
      </c>
      <c r="I235" s="43">
        <v>6042070338</v>
      </c>
      <c r="J235" s="43" t="s">
        <v>4927</v>
      </c>
      <c r="K235" s="47" t="s">
        <v>4928</v>
      </c>
      <c r="L235" s="67" t="e">
        <f>VLOOKUP(G235,Input!C:Q,12,FALSE)</f>
        <v>#N/A</v>
      </c>
      <c r="M235" s="68" t="e">
        <f>VLOOKUP(G235,Input!C:Q,15,FALSE)</f>
        <v>#N/A</v>
      </c>
      <c r="N235" s="69" t="e">
        <f>VLOOKUP(G235,Input!C:Q,14,FALSE)</f>
        <v>#N/A</v>
      </c>
      <c r="Q235" s="48">
        <v>1</v>
      </c>
      <c r="R235" s="75" t="e">
        <f>VLOOKUP(G235,Input!C:H,5,FALSE)</f>
        <v>#N/A</v>
      </c>
      <c r="T235" s="47">
        <v>1</v>
      </c>
      <c r="U235" s="47" t="str">
        <f t="shared" si="3"/>
        <v>234,234,**,</v>
      </c>
      <c r="AC235" s="47">
        <v>234</v>
      </c>
      <c r="AD235" s="47">
        <v>234</v>
      </c>
    </row>
    <row r="236" spans="1:30" ht="15.75">
      <c r="A236" s="13" t="str">
        <f>IFERROR(VLOOKUP($G:$G,scan!$A:$B,2,0),"**")</f>
        <v>**</v>
      </c>
      <c r="B236" s="13" t="str">
        <f>IFERROR(VLOOKUP($G236,scan!A:C,3,0),"**")</f>
        <v>**</v>
      </c>
      <c r="C236" s="47">
        <v>235</v>
      </c>
      <c r="F236" s="60"/>
      <c r="G236" s="1"/>
      <c r="H236" s="47" t="s">
        <v>4926</v>
      </c>
      <c r="I236" s="43">
        <v>6042070338</v>
      </c>
      <c r="J236" s="43" t="s">
        <v>4927</v>
      </c>
      <c r="K236" s="47" t="s">
        <v>4928</v>
      </c>
      <c r="L236" s="67" t="e">
        <f>VLOOKUP(G236,Input!C:Q,12,FALSE)</f>
        <v>#N/A</v>
      </c>
      <c r="M236" s="68" t="e">
        <f>VLOOKUP(G236,Input!C:Q,15,FALSE)</f>
        <v>#N/A</v>
      </c>
      <c r="N236" s="69" t="e">
        <f>VLOOKUP(G236,Input!C:Q,14,FALSE)</f>
        <v>#N/A</v>
      </c>
      <c r="Q236" s="48">
        <v>1</v>
      </c>
      <c r="R236" s="75" t="e">
        <f>VLOOKUP(G236,Input!C:H,5,FALSE)</f>
        <v>#N/A</v>
      </c>
      <c r="T236" s="47">
        <v>1</v>
      </c>
      <c r="U236" s="47" t="str">
        <f t="shared" si="3"/>
        <v>235,235,**,</v>
      </c>
      <c r="AC236" s="47">
        <v>235</v>
      </c>
      <c r="AD236" s="47">
        <v>235</v>
      </c>
    </row>
    <row r="237" spans="1:30" ht="15.75">
      <c r="A237" s="13" t="str">
        <f>IFERROR(VLOOKUP($G:$G,scan!$A:$B,2,0),"**")</f>
        <v>**</v>
      </c>
      <c r="B237" s="13" t="str">
        <f>IFERROR(VLOOKUP($G237,scan!A:C,3,0),"**")</f>
        <v>**</v>
      </c>
      <c r="C237" s="47">
        <v>236</v>
      </c>
      <c r="F237" s="60"/>
      <c r="G237" s="1"/>
      <c r="H237" s="47" t="s">
        <v>4926</v>
      </c>
      <c r="I237" s="43">
        <v>6042070338</v>
      </c>
      <c r="J237" s="43" t="s">
        <v>4927</v>
      </c>
      <c r="K237" s="47" t="s">
        <v>4928</v>
      </c>
      <c r="L237" s="67" t="e">
        <f>VLOOKUP(G237,Input!C:Q,12,FALSE)</f>
        <v>#N/A</v>
      </c>
      <c r="M237" s="68" t="e">
        <f>VLOOKUP(G237,Input!C:Q,15,FALSE)</f>
        <v>#N/A</v>
      </c>
      <c r="N237" s="69" t="e">
        <f>VLOOKUP(G237,Input!C:Q,14,FALSE)</f>
        <v>#N/A</v>
      </c>
      <c r="Q237" s="48">
        <v>1</v>
      </c>
      <c r="R237" s="75" t="e">
        <f>VLOOKUP(G237,Input!C:H,5,FALSE)</f>
        <v>#N/A</v>
      </c>
      <c r="T237" s="47">
        <v>1</v>
      </c>
      <c r="U237" s="47" t="str">
        <f t="shared" si="3"/>
        <v>236,236,**,</v>
      </c>
      <c r="AC237" s="47">
        <v>236</v>
      </c>
      <c r="AD237" s="47">
        <v>236</v>
      </c>
    </row>
    <row r="238" spans="1:30" ht="15.75">
      <c r="A238" s="13" t="str">
        <f>IFERROR(VLOOKUP($G:$G,scan!$A:$B,2,0),"**")</f>
        <v>**</v>
      </c>
      <c r="B238" s="13" t="str">
        <f>IFERROR(VLOOKUP($G238,scan!A:C,3,0),"**")</f>
        <v>**</v>
      </c>
      <c r="C238" s="47">
        <v>237</v>
      </c>
      <c r="F238" s="60"/>
      <c r="G238" s="1"/>
      <c r="H238" s="47" t="s">
        <v>4926</v>
      </c>
      <c r="I238" s="43">
        <v>6042070338</v>
      </c>
      <c r="J238" s="43" t="s">
        <v>4927</v>
      </c>
      <c r="K238" s="47" t="s">
        <v>4928</v>
      </c>
      <c r="L238" s="67" t="e">
        <f>VLOOKUP(G238,Input!C:Q,12,FALSE)</f>
        <v>#N/A</v>
      </c>
      <c r="M238" s="68" t="e">
        <f>VLOOKUP(G238,Input!C:Q,15,FALSE)</f>
        <v>#N/A</v>
      </c>
      <c r="N238" s="69" t="e">
        <f>VLOOKUP(G238,Input!C:Q,14,FALSE)</f>
        <v>#N/A</v>
      </c>
      <c r="Q238" s="48">
        <v>1</v>
      </c>
      <c r="R238" s="75" t="e">
        <f>VLOOKUP(G238,Input!C:H,5,FALSE)</f>
        <v>#N/A</v>
      </c>
      <c r="T238" s="47">
        <v>1</v>
      </c>
      <c r="U238" s="47" t="str">
        <f t="shared" si="3"/>
        <v>237,237,**,</v>
      </c>
      <c r="AC238" s="47">
        <v>237</v>
      </c>
      <c r="AD238" s="47">
        <v>237</v>
      </c>
    </row>
    <row r="239" spans="1:30" ht="15.75">
      <c r="A239" s="13" t="str">
        <f>IFERROR(VLOOKUP($G:$G,scan!$A:$B,2,0),"**")</f>
        <v>**</v>
      </c>
      <c r="B239" s="13" t="str">
        <f>IFERROR(VLOOKUP($G239,scan!A:C,3,0),"**")</f>
        <v>**</v>
      </c>
      <c r="C239" s="47">
        <v>238</v>
      </c>
      <c r="F239" s="60"/>
      <c r="G239" s="1"/>
      <c r="H239" s="47" t="s">
        <v>4926</v>
      </c>
      <c r="I239" s="43">
        <v>6042070338</v>
      </c>
      <c r="J239" s="43" t="s">
        <v>4927</v>
      </c>
      <c r="K239" s="47" t="s">
        <v>4928</v>
      </c>
      <c r="L239" s="67" t="e">
        <f>VLOOKUP(G239,Input!C:Q,12,FALSE)</f>
        <v>#N/A</v>
      </c>
      <c r="M239" s="68" t="e">
        <f>VLOOKUP(G239,Input!C:Q,15,FALSE)</f>
        <v>#N/A</v>
      </c>
      <c r="N239" s="69" t="e">
        <f>VLOOKUP(G239,Input!C:Q,14,FALSE)</f>
        <v>#N/A</v>
      </c>
      <c r="Q239" s="48">
        <v>1</v>
      </c>
      <c r="R239" s="75" t="e">
        <f>VLOOKUP(G239,Input!C:H,5,FALSE)</f>
        <v>#N/A</v>
      </c>
      <c r="T239" s="47">
        <v>1</v>
      </c>
      <c r="U239" s="47" t="str">
        <f t="shared" si="3"/>
        <v>238,238,**,</v>
      </c>
      <c r="AC239" s="47">
        <v>238</v>
      </c>
      <c r="AD239" s="47">
        <v>238</v>
      </c>
    </row>
    <row r="240" spans="1:30" ht="15.75">
      <c r="A240" s="13" t="str">
        <f>IFERROR(VLOOKUP($G:$G,scan!$A:$B,2,0),"**")</f>
        <v>**</v>
      </c>
      <c r="B240" s="13" t="str">
        <f>IFERROR(VLOOKUP($G240,scan!A:C,3,0),"**")</f>
        <v>**</v>
      </c>
      <c r="C240" s="47">
        <v>239</v>
      </c>
      <c r="F240" s="60"/>
      <c r="G240" s="1"/>
      <c r="H240" s="47" t="s">
        <v>4926</v>
      </c>
      <c r="I240" s="43">
        <v>6042070338</v>
      </c>
      <c r="J240" s="43" t="s">
        <v>4927</v>
      </c>
      <c r="K240" s="47" t="s">
        <v>4928</v>
      </c>
      <c r="L240" s="67" t="e">
        <f>VLOOKUP(G240,Input!C:Q,12,FALSE)</f>
        <v>#N/A</v>
      </c>
      <c r="M240" s="68" t="e">
        <f>VLOOKUP(G240,Input!C:Q,15,FALSE)</f>
        <v>#N/A</v>
      </c>
      <c r="N240" s="69" t="e">
        <f>VLOOKUP(G240,Input!C:Q,14,FALSE)</f>
        <v>#N/A</v>
      </c>
      <c r="Q240" s="48">
        <v>1</v>
      </c>
      <c r="R240" s="75" t="e">
        <f>VLOOKUP(G240,Input!C:H,5,FALSE)</f>
        <v>#N/A</v>
      </c>
      <c r="T240" s="47">
        <v>1</v>
      </c>
      <c r="U240" s="47" t="str">
        <f t="shared" si="3"/>
        <v>239,239,**,</v>
      </c>
      <c r="AC240" s="47">
        <v>239</v>
      </c>
      <c r="AD240" s="47">
        <v>239</v>
      </c>
    </row>
    <row r="241" spans="1:30" ht="15.75">
      <c r="A241" s="13" t="str">
        <f>IFERROR(VLOOKUP($G:$G,scan!$A:$B,2,0),"**")</f>
        <v>**</v>
      </c>
      <c r="B241" s="13" t="str">
        <f>IFERROR(VLOOKUP($G241,scan!A:C,3,0),"**")</f>
        <v>**</v>
      </c>
      <c r="C241" s="47">
        <v>240</v>
      </c>
      <c r="F241" s="60"/>
      <c r="G241" s="1"/>
      <c r="H241" s="47" t="s">
        <v>4926</v>
      </c>
      <c r="I241" s="43">
        <v>6042070338</v>
      </c>
      <c r="J241" s="43" t="s">
        <v>4927</v>
      </c>
      <c r="K241" s="47" t="s">
        <v>4928</v>
      </c>
      <c r="L241" s="67" t="e">
        <f>VLOOKUP(G241,Input!C:Q,12,FALSE)</f>
        <v>#N/A</v>
      </c>
      <c r="M241" s="68" t="e">
        <f>VLOOKUP(G241,Input!C:Q,15,FALSE)</f>
        <v>#N/A</v>
      </c>
      <c r="N241" s="69" t="e">
        <f>VLOOKUP(G241,Input!C:Q,14,FALSE)</f>
        <v>#N/A</v>
      </c>
      <c r="Q241" s="48">
        <v>1</v>
      </c>
      <c r="R241" s="75" t="e">
        <f>VLOOKUP(G241,Input!C:H,5,FALSE)</f>
        <v>#N/A</v>
      </c>
      <c r="T241" s="47">
        <v>1</v>
      </c>
      <c r="U241" s="47" t="str">
        <f t="shared" si="3"/>
        <v>240,240,**,</v>
      </c>
      <c r="AC241" s="47">
        <v>240</v>
      </c>
      <c r="AD241" s="47">
        <v>240</v>
      </c>
    </row>
    <row r="242" spans="1:30" ht="15.75">
      <c r="A242" s="13" t="str">
        <f>IFERROR(VLOOKUP($G:$G,scan!$A:$B,2,0),"**")</f>
        <v>**</v>
      </c>
      <c r="B242" s="13" t="str">
        <f>IFERROR(VLOOKUP($G242,scan!A:C,3,0),"**")</f>
        <v>**</v>
      </c>
      <c r="C242" s="47">
        <v>241</v>
      </c>
      <c r="F242" s="60"/>
      <c r="G242" s="1"/>
      <c r="H242" s="47" t="s">
        <v>4926</v>
      </c>
      <c r="I242" s="43">
        <v>6042070338</v>
      </c>
      <c r="J242" s="43" t="s">
        <v>4927</v>
      </c>
      <c r="K242" s="47" t="s">
        <v>4928</v>
      </c>
      <c r="L242" s="67" t="e">
        <f>VLOOKUP(G242,Input!C:Q,12,FALSE)</f>
        <v>#N/A</v>
      </c>
      <c r="M242" s="68" t="e">
        <f>VLOOKUP(G242,Input!C:Q,15,FALSE)</f>
        <v>#N/A</v>
      </c>
      <c r="N242" s="69" t="e">
        <f>VLOOKUP(G242,Input!C:Q,14,FALSE)</f>
        <v>#N/A</v>
      </c>
      <c r="Q242" s="48">
        <v>1</v>
      </c>
      <c r="R242" s="75" t="e">
        <f>VLOOKUP(G242,Input!C:H,5,FALSE)</f>
        <v>#N/A</v>
      </c>
      <c r="T242" s="47">
        <v>1</v>
      </c>
      <c r="U242" s="47" t="str">
        <f t="shared" si="3"/>
        <v>241,241,**,</v>
      </c>
      <c r="AC242" s="47">
        <v>241</v>
      </c>
      <c r="AD242" s="47">
        <v>241</v>
      </c>
    </row>
    <row r="243" spans="1:30" ht="15.75">
      <c r="A243" s="13" t="str">
        <f>IFERROR(VLOOKUP($G:$G,scan!$A:$B,2,0),"**")</f>
        <v>**</v>
      </c>
      <c r="B243" s="13" t="str">
        <f>IFERROR(VLOOKUP($G243,scan!A:C,3,0),"**")</f>
        <v>**</v>
      </c>
      <c r="C243" s="47">
        <v>242</v>
      </c>
      <c r="F243" s="60"/>
      <c r="G243" s="1"/>
      <c r="H243" s="47" t="s">
        <v>4926</v>
      </c>
      <c r="I243" s="43">
        <v>6042070338</v>
      </c>
      <c r="J243" s="43" t="s">
        <v>4927</v>
      </c>
      <c r="K243" s="47" t="s">
        <v>4928</v>
      </c>
      <c r="L243" s="67" t="e">
        <f>VLOOKUP(G243,Input!C:Q,12,FALSE)</f>
        <v>#N/A</v>
      </c>
      <c r="M243" s="68" t="e">
        <f>VLOOKUP(G243,Input!C:Q,15,FALSE)</f>
        <v>#N/A</v>
      </c>
      <c r="N243" s="69" t="e">
        <f>VLOOKUP(G243,Input!C:Q,14,FALSE)</f>
        <v>#N/A</v>
      </c>
      <c r="Q243" s="48">
        <v>1</v>
      </c>
      <c r="R243" s="75" t="e">
        <f>VLOOKUP(G243,Input!C:H,5,FALSE)</f>
        <v>#N/A</v>
      </c>
      <c r="T243" s="47">
        <v>1</v>
      </c>
      <c r="U243" s="47" t="str">
        <f t="shared" si="3"/>
        <v>242,242,**,</v>
      </c>
      <c r="AC243" s="47">
        <v>242</v>
      </c>
      <c r="AD243" s="47">
        <v>242</v>
      </c>
    </row>
    <row r="244" spans="1:30" ht="15.75">
      <c r="A244" s="13" t="str">
        <f>IFERROR(VLOOKUP($G:$G,scan!$A:$B,2,0),"**")</f>
        <v>**</v>
      </c>
      <c r="B244" s="13" t="str">
        <f>IFERROR(VLOOKUP($G244,scan!A:C,3,0),"**")</f>
        <v>**</v>
      </c>
      <c r="C244" s="47">
        <v>243</v>
      </c>
      <c r="F244" s="60"/>
      <c r="G244" s="1"/>
      <c r="H244" s="47" t="s">
        <v>4926</v>
      </c>
      <c r="I244" s="43">
        <v>6042070338</v>
      </c>
      <c r="J244" s="43" t="s">
        <v>4927</v>
      </c>
      <c r="K244" s="47" t="s">
        <v>4928</v>
      </c>
      <c r="L244" s="67" t="e">
        <f>VLOOKUP(G244,Input!C:Q,12,FALSE)</f>
        <v>#N/A</v>
      </c>
      <c r="M244" s="68" t="e">
        <f>VLOOKUP(G244,Input!C:Q,15,FALSE)</f>
        <v>#N/A</v>
      </c>
      <c r="N244" s="69" t="e">
        <f>VLOOKUP(G244,Input!C:Q,14,FALSE)</f>
        <v>#N/A</v>
      </c>
      <c r="Q244" s="48">
        <v>1</v>
      </c>
      <c r="R244" s="75" t="e">
        <f>VLOOKUP(G244,Input!C:H,5,FALSE)</f>
        <v>#N/A</v>
      </c>
      <c r="T244" s="47">
        <v>1</v>
      </c>
      <c r="U244" s="47" t="str">
        <f t="shared" si="3"/>
        <v>243,243,**,</v>
      </c>
      <c r="AC244" s="47">
        <v>243</v>
      </c>
      <c r="AD244" s="47">
        <v>243</v>
      </c>
    </row>
    <row r="245" spans="1:30" ht="15.75">
      <c r="A245" s="13" t="str">
        <f>IFERROR(VLOOKUP($G:$G,scan!$A:$B,2,0),"**")</f>
        <v>**</v>
      </c>
      <c r="B245" s="13" t="str">
        <f>IFERROR(VLOOKUP($G245,scan!A:C,3,0),"**")</f>
        <v>**</v>
      </c>
      <c r="C245" s="47">
        <v>244</v>
      </c>
      <c r="F245" s="60"/>
      <c r="G245" s="1"/>
      <c r="H245" s="47" t="s">
        <v>4926</v>
      </c>
      <c r="I245" s="43">
        <v>6042070338</v>
      </c>
      <c r="J245" s="43" t="s">
        <v>4927</v>
      </c>
      <c r="K245" s="47" t="s">
        <v>4928</v>
      </c>
      <c r="L245" s="67" t="e">
        <f>VLOOKUP(G245,Input!C:Q,12,FALSE)</f>
        <v>#N/A</v>
      </c>
      <c r="M245" s="68" t="e">
        <f>VLOOKUP(G245,Input!C:Q,15,FALSE)</f>
        <v>#N/A</v>
      </c>
      <c r="N245" s="69" t="e">
        <f>VLOOKUP(G245,Input!C:Q,14,FALSE)</f>
        <v>#N/A</v>
      </c>
      <c r="Q245" s="48">
        <v>1</v>
      </c>
      <c r="R245" s="75" t="e">
        <f>VLOOKUP(G245,Input!C:H,5,FALSE)</f>
        <v>#N/A</v>
      </c>
      <c r="T245" s="47">
        <v>1</v>
      </c>
      <c r="U245" s="47" t="str">
        <f t="shared" si="3"/>
        <v>244,244,**,</v>
      </c>
      <c r="AC245" s="47">
        <v>244</v>
      </c>
      <c r="AD245" s="47">
        <v>244</v>
      </c>
    </row>
    <row r="246" spans="1:30" ht="15.75">
      <c r="A246" s="13" t="str">
        <f>IFERROR(VLOOKUP($G:$G,scan!$A:$B,2,0),"**")</f>
        <v>**</v>
      </c>
      <c r="B246" s="13" t="str">
        <f>IFERROR(VLOOKUP($G246,scan!A:C,3,0),"**")</f>
        <v>**</v>
      </c>
      <c r="C246" s="47">
        <v>245</v>
      </c>
      <c r="F246" s="60"/>
      <c r="G246" s="1"/>
      <c r="H246" s="47" t="s">
        <v>4926</v>
      </c>
      <c r="I246" s="43">
        <v>6042070338</v>
      </c>
      <c r="J246" s="43" t="s">
        <v>4927</v>
      </c>
      <c r="K246" s="47" t="s">
        <v>4928</v>
      </c>
      <c r="L246" s="67" t="e">
        <f>VLOOKUP(G246,Input!C:Q,12,FALSE)</f>
        <v>#N/A</v>
      </c>
      <c r="M246" s="68" t="e">
        <f>VLOOKUP(G246,Input!C:Q,15,FALSE)</f>
        <v>#N/A</v>
      </c>
      <c r="N246" s="69" t="e">
        <f>VLOOKUP(G246,Input!C:Q,14,FALSE)</f>
        <v>#N/A</v>
      </c>
      <c r="Q246" s="48">
        <v>1</v>
      </c>
      <c r="R246" s="75" t="e">
        <f>VLOOKUP(G246,Input!C:H,5,FALSE)</f>
        <v>#N/A</v>
      </c>
      <c r="T246" s="47">
        <v>1</v>
      </c>
      <c r="U246" s="47" t="str">
        <f t="shared" si="3"/>
        <v>245,245,**,</v>
      </c>
      <c r="AC246" s="47">
        <v>245</v>
      </c>
      <c r="AD246" s="47">
        <v>245</v>
      </c>
    </row>
    <row r="247" spans="1:30" ht="15.75">
      <c r="A247" s="13" t="str">
        <f>IFERROR(VLOOKUP($G:$G,scan!$A:$B,2,0),"**")</f>
        <v>**</v>
      </c>
      <c r="B247" s="13" t="str">
        <f>IFERROR(VLOOKUP($G247,scan!A:C,3,0),"**")</f>
        <v>**</v>
      </c>
      <c r="C247" s="47">
        <v>246</v>
      </c>
      <c r="F247" s="60"/>
      <c r="G247" s="1"/>
      <c r="H247" s="47" t="s">
        <v>4926</v>
      </c>
      <c r="I247" s="43">
        <v>6042070338</v>
      </c>
      <c r="J247" s="43" t="s">
        <v>4927</v>
      </c>
      <c r="K247" s="47" t="s">
        <v>4928</v>
      </c>
      <c r="L247" s="67" t="e">
        <f>VLOOKUP(G247,Input!C:Q,12,FALSE)</f>
        <v>#N/A</v>
      </c>
      <c r="M247" s="68" t="e">
        <f>VLOOKUP(G247,Input!C:Q,15,FALSE)</f>
        <v>#N/A</v>
      </c>
      <c r="N247" s="69" t="e">
        <f>VLOOKUP(G247,Input!C:Q,14,FALSE)</f>
        <v>#N/A</v>
      </c>
      <c r="Q247" s="48">
        <v>1</v>
      </c>
      <c r="R247" s="75" t="e">
        <f>VLOOKUP(G247,Input!C:H,5,FALSE)</f>
        <v>#N/A</v>
      </c>
      <c r="T247" s="47">
        <v>1</v>
      </c>
      <c r="U247" s="47" t="str">
        <f t="shared" si="3"/>
        <v>246,246,**,</v>
      </c>
      <c r="AC247" s="47">
        <v>246</v>
      </c>
      <c r="AD247" s="47">
        <v>246</v>
      </c>
    </row>
    <row r="248" spans="1:30" ht="15.75">
      <c r="A248" s="13" t="str">
        <f>IFERROR(VLOOKUP($G:$G,scan!$A:$B,2,0),"**")</f>
        <v>**</v>
      </c>
      <c r="B248" s="13" t="str">
        <f>IFERROR(VLOOKUP($G248,scan!A:C,3,0),"**")</f>
        <v>**</v>
      </c>
      <c r="C248" s="47">
        <v>247</v>
      </c>
      <c r="F248" s="60"/>
      <c r="G248" s="1"/>
      <c r="H248" s="47" t="s">
        <v>4926</v>
      </c>
      <c r="I248" s="43">
        <v>6042070338</v>
      </c>
      <c r="J248" s="43" t="s">
        <v>4927</v>
      </c>
      <c r="K248" s="47" t="s">
        <v>4928</v>
      </c>
      <c r="L248" s="67" t="e">
        <f>VLOOKUP(G248,Input!C:Q,12,FALSE)</f>
        <v>#N/A</v>
      </c>
      <c r="M248" s="68" t="e">
        <f>VLOOKUP(G248,Input!C:Q,15,FALSE)</f>
        <v>#N/A</v>
      </c>
      <c r="N248" s="69" t="e">
        <f>VLOOKUP(G248,Input!C:Q,14,FALSE)</f>
        <v>#N/A</v>
      </c>
      <c r="Q248" s="48">
        <v>1</v>
      </c>
      <c r="R248" s="75" t="e">
        <f>VLOOKUP(G248,Input!C:H,5,FALSE)</f>
        <v>#N/A</v>
      </c>
      <c r="T248" s="47">
        <v>1</v>
      </c>
      <c r="U248" s="47" t="str">
        <f t="shared" si="3"/>
        <v>247,247,**,</v>
      </c>
      <c r="AC248" s="47">
        <v>247</v>
      </c>
      <c r="AD248" s="47">
        <v>247</v>
      </c>
    </row>
    <row r="249" spans="1:30" ht="15.75">
      <c r="A249" s="13" t="str">
        <f>IFERROR(VLOOKUP($G:$G,scan!$A:$B,2,0),"**")</f>
        <v>**</v>
      </c>
      <c r="B249" s="13" t="str">
        <f>IFERROR(VLOOKUP($G249,scan!A:C,3,0),"**")</f>
        <v>**</v>
      </c>
      <c r="C249" s="47">
        <v>248</v>
      </c>
      <c r="F249" s="60"/>
      <c r="G249" s="1"/>
      <c r="H249" s="47" t="s">
        <v>4926</v>
      </c>
      <c r="I249" s="43">
        <v>6042070338</v>
      </c>
      <c r="J249" s="43" t="s">
        <v>4927</v>
      </c>
      <c r="K249" s="47" t="s">
        <v>4928</v>
      </c>
      <c r="L249" s="67" t="e">
        <f>VLOOKUP(G249,Input!C:Q,12,FALSE)</f>
        <v>#N/A</v>
      </c>
      <c r="M249" s="68" t="e">
        <f>VLOOKUP(G249,Input!C:Q,15,FALSE)</f>
        <v>#N/A</v>
      </c>
      <c r="N249" s="69" t="e">
        <f>VLOOKUP(G249,Input!C:Q,14,FALSE)</f>
        <v>#N/A</v>
      </c>
      <c r="Q249" s="48">
        <v>1</v>
      </c>
      <c r="R249" s="75" t="e">
        <f>VLOOKUP(G249,Input!C:H,5,FALSE)</f>
        <v>#N/A</v>
      </c>
      <c r="T249" s="47">
        <v>1</v>
      </c>
      <c r="U249" s="47" t="str">
        <f t="shared" si="3"/>
        <v>248,248,**,</v>
      </c>
      <c r="AC249" s="47">
        <v>248</v>
      </c>
      <c r="AD249" s="47">
        <v>248</v>
      </c>
    </row>
    <row r="250" spans="1:30" ht="15.75">
      <c r="A250" s="13" t="str">
        <f>IFERROR(VLOOKUP($G:$G,scan!$A:$B,2,0),"**")</f>
        <v>**</v>
      </c>
      <c r="B250" s="13" t="str">
        <f>IFERROR(VLOOKUP($G250,scan!A:C,3,0),"**")</f>
        <v>**</v>
      </c>
      <c r="C250" s="47">
        <v>249</v>
      </c>
      <c r="F250" s="60"/>
      <c r="G250" s="1"/>
      <c r="H250" s="47" t="s">
        <v>4926</v>
      </c>
      <c r="I250" s="43">
        <v>6042070338</v>
      </c>
      <c r="J250" s="43" t="s">
        <v>4927</v>
      </c>
      <c r="K250" s="47" t="s">
        <v>4928</v>
      </c>
      <c r="L250" s="67" t="e">
        <f>VLOOKUP(G250,Input!C:Q,12,FALSE)</f>
        <v>#N/A</v>
      </c>
      <c r="M250" s="68" t="e">
        <f>VLOOKUP(G250,Input!C:Q,15,FALSE)</f>
        <v>#N/A</v>
      </c>
      <c r="N250" s="69" t="e">
        <f>VLOOKUP(G250,Input!C:Q,14,FALSE)</f>
        <v>#N/A</v>
      </c>
      <c r="Q250" s="48">
        <v>1</v>
      </c>
      <c r="R250" s="75" t="e">
        <f>VLOOKUP(G250,Input!C:H,5,FALSE)</f>
        <v>#N/A</v>
      </c>
      <c r="T250" s="47">
        <v>1</v>
      </c>
      <c r="U250" s="47" t="str">
        <f t="shared" si="3"/>
        <v>249,249,**,</v>
      </c>
      <c r="AC250" s="47">
        <v>249</v>
      </c>
      <c r="AD250" s="47">
        <v>249</v>
      </c>
    </row>
    <row r="251" spans="1:30" ht="15.75">
      <c r="A251" s="13" t="str">
        <f>IFERROR(VLOOKUP($G:$G,scan!$A:$B,2,0),"**")</f>
        <v>**</v>
      </c>
      <c r="B251" s="13" t="str">
        <f>IFERROR(VLOOKUP($G251,scan!A:C,3,0),"**")</f>
        <v>**</v>
      </c>
      <c r="C251" s="47">
        <v>250</v>
      </c>
      <c r="F251" s="60"/>
      <c r="G251" s="1"/>
      <c r="H251" s="47" t="s">
        <v>4926</v>
      </c>
      <c r="I251" s="43">
        <v>6042070338</v>
      </c>
      <c r="J251" s="43" t="s">
        <v>4927</v>
      </c>
      <c r="K251" s="47" t="s">
        <v>4928</v>
      </c>
      <c r="L251" s="67" t="e">
        <f>VLOOKUP(G251,Input!C:Q,12,FALSE)</f>
        <v>#N/A</v>
      </c>
      <c r="M251" s="68" t="e">
        <f>VLOOKUP(G251,Input!C:Q,15,FALSE)</f>
        <v>#N/A</v>
      </c>
      <c r="N251" s="69" t="e">
        <f>VLOOKUP(G251,Input!C:Q,14,FALSE)</f>
        <v>#N/A</v>
      </c>
      <c r="Q251" s="48">
        <v>1</v>
      </c>
      <c r="R251" s="75" t="e">
        <f>VLOOKUP(G251,Input!C:H,5,FALSE)</f>
        <v>#N/A</v>
      </c>
      <c r="T251" s="47">
        <v>1</v>
      </c>
      <c r="U251" s="47" t="str">
        <f t="shared" si="3"/>
        <v>250,250,**,</v>
      </c>
      <c r="AC251" s="47">
        <v>250</v>
      </c>
      <c r="AD251" s="47">
        <v>250</v>
      </c>
    </row>
    <row r="252" spans="1:30" ht="15.75">
      <c r="A252" s="13" t="str">
        <f>IFERROR(VLOOKUP($G:$G,scan!$A:$B,2,0),"**")</f>
        <v>**</v>
      </c>
      <c r="B252" s="13" t="str">
        <f>IFERROR(VLOOKUP($G252,scan!A:C,3,0),"**")</f>
        <v>**</v>
      </c>
      <c r="C252" s="47">
        <v>251</v>
      </c>
      <c r="F252" s="60"/>
      <c r="G252" s="1"/>
      <c r="H252" s="47" t="s">
        <v>4926</v>
      </c>
      <c r="I252" s="43">
        <v>6042070338</v>
      </c>
      <c r="J252" s="43" t="s">
        <v>4927</v>
      </c>
      <c r="K252" s="47" t="s">
        <v>4928</v>
      </c>
      <c r="L252" s="67" t="e">
        <f>VLOOKUP(G252,Input!C:Q,12,FALSE)</f>
        <v>#N/A</v>
      </c>
      <c r="M252" s="68" t="e">
        <f>VLOOKUP(G252,Input!C:Q,15,FALSE)</f>
        <v>#N/A</v>
      </c>
      <c r="N252" s="69" t="e">
        <f>VLOOKUP(G252,Input!C:Q,14,FALSE)</f>
        <v>#N/A</v>
      </c>
      <c r="Q252" s="48">
        <v>1</v>
      </c>
      <c r="R252" s="75" t="e">
        <f>VLOOKUP(G252,Input!C:H,5,FALSE)</f>
        <v>#N/A</v>
      </c>
      <c r="T252" s="47">
        <v>1</v>
      </c>
      <c r="U252" s="47" t="str">
        <f t="shared" si="3"/>
        <v>251,251,**,</v>
      </c>
      <c r="AC252" s="47">
        <v>251</v>
      </c>
      <c r="AD252" s="47">
        <v>251</v>
      </c>
    </row>
    <row r="253" spans="1:30" ht="15.75">
      <c r="A253" s="13" t="str">
        <f>IFERROR(VLOOKUP($G:$G,scan!$A:$B,2,0),"**")</f>
        <v>**</v>
      </c>
      <c r="B253" s="13" t="str">
        <f>IFERROR(VLOOKUP($G253,scan!A:C,3,0),"**")</f>
        <v>**</v>
      </c>
      <c r="C253" s="47">
        <v>252</v>
      </c>
      <c r="F253" s="60"/>
      <c r="G253" s="1"/>
      <c r="H253" s="47" t="s">
        <v>4926</v>
      </c>
      <c r="I253" s="43">
        <v>6042070338</v>
      </c>
      <c r="J253" s="43" t="s">
        <v>4927</v>
      </c>
      <c r="K253" s="47" t="s">
        <v>4928</v>
      </c>
      <c r="L253" s="67" t="e">
        <f>VLOOKUP(G253,Input!C:Q,12,FALSE)</f>
        <v>#N/A</v>
      </c>
      <c r="M253" s="68" t="e">
        <f>VLOOKUP(G253,Input!C:Q,15,FALSE)</f>
        <v>#N/A</v>
      </c>
      <c r="N253" s="69" t="e">
        <f>VLOOKUP(G253,Input!C:Q,14,FALSE)</f>
        <v>#N/A</v>
      </c>
      <c r="Q253" s="48">
        <v>1</v>
      </c>
      <c r="R253" s="75" t="e">
        <f>VLOOKUP(G253,Input!C:H,5,FALSE)</f>
        <v>#N/A</v>
      </c>
      <c r="T253" s="47">
        <v>1</v>
      </c>
      <c r="U253" s="47" t="str">
        <f t="shared" si="3"/>
        <v>252,252,**,</v>
      </c>
      <c r="AC253" s="47">
        <v>252</v>
      </c>
      <c r="AD253" s="47">
        <v>252</v>
      </c>
    </row>
    <row r="254" spans="1:30" ht="15.75">
      <c r="A254" s="13" t="str">
        <f>IFERROR(VLOOKUP($G:$G,scan!$A:$B,2,0),"**")</f>
        <v>**</v>
      </c>
      <c r="B254" s="13" t="str">
        <f>IFERROR(VLOOKUP($G254,scan!A:C,3,0),"**")</f>
        <v>**</v>
      </c>
      <c r="C254" s="47">
        <v>253</v>
      </c>
      <c r="F254" s="60"/>
      <c r="G254" s="1"/>
      <c r="H254" s="47" t="s">
        <v>4926</v>
      </c>
      <c r="I254" s="43">
        <v>6042070338</v>
      </c>
      <c r="J254" s="43" t="s">
        <v>4927</v>
      </c>
      <c r="K254" s="47" t="s">
        <v>4928</v>
      </c>
      <c r="L254" s="67" t="e">
        <f>VLOOKUP(G254,Input!C:Q,12,FALSE)</f>
        <v>#N/A</v>
      </c>
      <c r="M254" s="68" t="e">
        <f>VLOOKUP(G254,Input!C:Q,15,FALSE)</f>
        <v>#N/A</v>
      </c>
      <c r="N254" s="69" t="e">
        <f>VLOOKUP(G254,Input!C:Q,14,FALSE)</f>
        <v>#N/A</v>
      </c>
      <c r="Q254" s="48">
        <v>1</v>
      </c>
      <c r="R254" s="75" t="e">
        <f>VLOOKUP(G254,Input!C:H,5,FALSE)</f>
        <v>#N/A</v>
      </c>
      <c r="T254" s="47">
        <v>1</v>
      </c>
      <c r="U254" s="47" t="str">
        <f t="shared" si="3"/>
        <v>253,253,**,</v>
      </c>
      <c r="AC254" s="47">
        <v>253</v>
      </c>
      <c r="AD254" s="47">
        <v>253</v>
      </c>
    </row>
    <row r="255" spans="1:30" ht="15.75">
      <c r="A255" s="13" t="str">
        <f>IFERROR(VLOOKUP($G:$G,scan!$A:$B,2,0),"**")</f>
        <v>**</v>
      </c>
      <c r="B255" s="13" t="str">
        <f>IFERROR(VLOOKUP($G255,scan!A:C,3,0),"**")</f>
        <v>**</v>
      </c>
      <c r="C255" s="47">
        <v>254</v>
      </c>
      <c r="F255" s="60"/>
      <c r="G255" s="1"/>
      <c r="H255" s="47" t="s">
        <v>4926</v>
      </c>
      <c r="I255" s="43">
        <v>6042070338</v>
      </c>
      <c r="J255" s="43" t="s">
        <v>4927</v>
      </c>
      <c r="K255" s="47" t="s">
        <v>4928</v>
      </c>
      <c r="L255" s="67" t="e">
        <f>VLOOKUP(G255,Input!C:Q,12,FALSE)</f>
        <v>#N/A</v>
      </c>
      <c r="M255" s="68" t="e">
        <f>VLOOKUP(G255,Input!C:Q,15,FALSE)</f>
        <v>#N/A</v>
      </c>
      <c r="N255" s="69" t="e">
        <f>VLOOKUP(G255,Input!C:Q,14,FALSE)</f>
        <v>#N/A</v>
      </c>
      <c r="Q255" s="48">
        <v>1</v>
      </c>
      <c r="R255" s="75" t="e">
        <f>VLOOKUP(G255,Input!C:H,5,FALSE)</f>
        <v>#N/A</v>
      </c>
      <c r="T255" s="47">
        <v>1</v>
      </c>
      <c r="U255" s="47" t="str">
        <f t="shared" si="3"/>
        <v>254,254,**,</v>
      </c>
      <c r="AC255" s="47">
        <v>254</v>
      </c>
      <c r="AD255" s="47">
        <v>254</v>
      </c>
    </row>
    <row r="256" spans="1:30" ht="15.75">
      <c r="A256" s="13" t="str">
        <f>IFERROR(VLOOKUP($G:$G,scan!$A:$B,2,0),"**")</f>
        <v>**</v>
      </c>
      <c r="B256" s="13" t="str">
        <f>IFERROR(VLOOKUP($G256,scan!A:C,3,0),"**")</f>
        <v>**</v>
      </c>
      <c r="C256" s="47">
        <v>255</v>
      </c>
      <c r="F256" s="60"/>
      <c r="G256" s="1"/>
      <c r="H256" s="47" t="s">
        <v>4926</v>
      </c>
      <c r="I256" s="43">
        <v>6042070338</v>
      </c>
      <c r="J256" s="43" t="s">
        <v>4927</v>
      </c>
      <c r="K256" s="47" t="s">
        <v>4928</v>
      </c>
      <c r="L256" s="67" t="e">
        <f>VLOOKUP(G256,Input!C:Q,12,FALSE)</f>
        <v>#N/A</v>
      </c>
      <c r="M256" s="68" t="e">
        <f>VLOOKUP(G256,Input!C:Q,15,FALSE)</f>
        <v>#N/A</v>
      </c>
      <c r="N256" s="69" t="e">
        <f>VLOOKUP(G256,Input!C:Q,14,FALSE)</f>
        <v>#N/A</v>
      </c>
      <c r="Q256" s="48">
        <v>1</v>
      </c>
      <c r="R256" s="75" t="e">
        <f>VLOOKUP(G256,Input!C:H,5,FALSE)</f>
        <v>#N/A</v>
      </c>
      <c r="T256" s="47">
        <v>1</v>
      </c>
      <c r="U256" s="47" t="str">
        <f t="shared" si="3"/>
        <v>255,255,**,</v>
      </c>
      <c r="AC256" s="47">
        <v>255</v>
      </c>
      <c r="AD256" s="47">
        <v>255</v>
      </c>
    </row>
    <row r="257" spans="1:30" ht="15.75">
      <c r="A257" s="13" t="str">
        <f>IFERROR(VLOOKUP($G:$G,scan!$A:$B,2,0),"**")</f>
        <v>**</v>
      </c>
      <c r="B257" s="13" t="str">
        <f>IFERROR(VLOOKUP($G257,scan!A:C,3,0),"**")</f>
        <v>**</v>
      </c>
      <c r="C257" s="47">
        <v>256</v>
      </c>
      <c r="F257" s="60"/>
      <c r="G257" s="1"/>
      <c r="H257" s="47" t="s">
        <v>4926</v>
      </c>
      <c r="I257" s="43">
        <v>6042070338</v>
      </c>
      <c r="J257" s="43" t="s">
        <v>4927</v>
      </c>
      <c r="K257" s="47" t="s">
        <v>4928</v>
      </c>
      <c r="L257" s="67" t="e">
        <f>VLOOKUP(G257,Input!C:Q,12,FALSE)</f>
        <v>#N/A</v>
      </c>
      <c r="M257" s="68" t="e">
        <f>VLOOKUP(G257,Input!C:Q,15,FALSE)</f>
        <v>#N/A</v>
      </c>
      <c r="N257" s="69" t="e">
        <f>VLOOKUP(G257,Input!C:Q,14,FALSE)</f>
        <v>#N/A</v>
      </c>
      <c r="Q257" s="48">
        <v>1</v>
      </c>
      <c r="R257" s="75" t="e">
        <f>VLOOKUP(G257,Input!C:H,5,FALSE)</f>
        <v>#N/A</v>
      </c>
      <c r="T257" s="47">
        <v>1</v>
      </c>
      <c r="U257" s="47" t="str">
        <f t="shared" si="3"/>
        <v>256,256,**,</v>
      </c>
      <c r="AC257" s="47">
        <v>256</v>
      </c>
      <c r="AD257" s="47">
        <v>256</v>
      </c>
    </row>
    <row r="258" spans="1:30" ht="15.75">
      <c r="A258" s="13" t="str">
        <f>IFERROR(VLOOKUP($G:$G,scan!$A:$B,2,0),"**")</f>
        <v>**</v>
      </c>
      <c r="B258" s="13" t="str">
        <f>IFERROR(VLOOKUP($G258,scan!A:C,3,0),"**")</f>
        <v>**</v>
      </c>
      <c r="C258" s="47">
        <v>257</v>
      </c>
      <c r="F258" s="60"/>
      <c r="G258" s="1"/>
      <c r="H258" s="47" t="s">
        <v>4926</v>
      </c>
      <c r="I258" s="43">
        <v>6042070338</v>
      </c>
      <c r="J258" s="43" t="s">
        <v>4927</v>
      </c>
      <c r="K258" s="47" t="s">
        <v>4928</v>
      </c>
      <c r="L258" s="67" t="e">
        <f>VLOOKUP(G258,Input!C:Q,12,FALSE)</f>
        <v>#N/A</v>
      </c>
      <c r="M258" s="68" t="e">
        <f>VLOOKUP(G258,Input!C:Q,15,FALSE)</f>
        <v>#N/A</v>
      </c>
      <c r="N258" s="69" t="e">
        <f>VLOOKUP(G258,Input!C:Q,14,FALSE)</f>
        <v>#N/A</v>
      </c>
      <c r="Q258" s="48">
        <v>1</v>
      </c>
      <c r="R258" s="75" t="e">
        <f>VLOOKUP(G258,Input!C:H,5,FALSE)</f>
        <v>#N/A</v>
      </c>
      <c r="T258" s="47">
        <v>1</v>
      </c>
      <c r="U258" s="47" t="str">
        <f t="shared" ref="U258:U321" si="4">CONCATENATE(AC258,",",C258,",",B258,",",G258)</f>
        <v>257,257,**,</v>
      </c>
      <c r="AC258" s="47">
        <v>257</v>
      </c>
      <c r="AD258" s="47">
        <v>257</v>
      </c>
    </row>
    <row r="259" spans="1:30" ht="15.75">
      <c r="A259" s="13" t="str">
        <f>IFERROR(VLOOKUP($G:$G,scan!$A:$B,2,0),"**")</f>
        <v>**</v>
      </c>
      <c r="B259" s="13" t="str">
        <f>IFERROR(VLOOKUP($G259,scan!A:C,3,0),"**")</f>
        <v>**</v>
      </c>
      <c r="C259" s="47">
        <v>258</v>
      </c>
      <c r="F259" s="60"/>
      <c r="G259" s="1"/>
      <c r="H259" s="47" t="s">
        <v>4926</v>
      </c>
      <c r="I259" s="43">
        <v>6042070338</v>
      </c>
      <c r="J259" s="43" t="s">
        <v>4927</v>
      </c>
      <c r="K259" s="47" t="s">
        <v>4928</v>
      </c>
      <c r="L259" s="67" t="e">
        <f>VLOOKUP(G259,Input!C:Q,12,FALSE)</f>
        <v>#N/A</v>
      </c>
      <c r="M259" s="68" t="e">
        <f>VLOOKUP(G259,Input!C:Q,15,FALSE)</f>
        <v>#N/A</v>
      </c>
      <c r="N259" s="69" t="e">
        <f>VLOOKUP(G259,Input!C:Q,14,FALSE)</f>
        <v>#N/A</v>
      </c>
      <c r="Q259" s="48">
        <v>1</v>
      </c>
      <c r="R259" s="75" t="e">
        <f>VLOOKUP(G259,Input!C:H,5,FALSE)</f>
        <v>#N/A</v>
      </c>
      <c r="T259" s="47">
        <v>1</v>
      </c>
      <c r="U259" s="47" t="str">
        <f t="shared" si="4"/>
        <v>258,258,**,</v>
      </c>
      <c r="AC259" s="47">
        <v>258</v>
      </c>
      <c r="AD259" s="47">
        <v>258</v>
      </c>
    </row>
    <row r="260" spans="1:30" ht="15.75">
      <c r="A260" s="13" t="str">
        <f>IFERROR(VLOOKUP($G:$G,scan!$A:$B,2,0),"**")</f>
        <v>**</v>
      </c>
      <c r="B260" s="13" t="str">
        <f>IFERROR(VLOOKUP($G260,scan!A:C,3,0),"**")</f>
        <v>**</v>
      </c>
      <c r="C260" s="47">
        <v>259</v>
      </c>
      <c r="F260" s="60"/>
      <c r="G260" s="1"/>
      <c r="H260" s="47" t="s">
        <v>4926</v>
      </c>
      <c r="I260" s="43">
        <v>6042070338</v>
      </c>
      <c r="J260" s="43" t="s">
        <v>4927</v>
      </c>
      <c r="K260" s="47" t="s">
        <v>4928</v>
      </c>
      <c r="L260" s="67" t="e">
        <f>VLOOKUP(G260,Input!C:Q,12,FALSE)</f>
        <v>#N/A</v>
      </c>
      <c r="M260" s="68" t="e">
        <f>VLOOKUP(G260,Input!C:Q,15,FALSE)</f>
        <v>#N/A</v>
      </c>
      <c r="N260" s="69" t="e">
        <f>VLOOKUP(G260,Input!C:Q,14,FALSE)</f>
        <v>#N/A</v>
      </c>
      <c r="Q260" s="48">
        <v>1</v>
      </c>
      <c r="R260" s="75" t="e">
        <f>VLOOKUP(G260,Input!C:H,5,FALSE)</f>
        <v>#N/A</v>
      </c>
      <c r="T260" s="47">
        <v>1</v>
      </c>
      <c r="U260" s="47" t="str">
        <f t="shared" si="4"/>
        <v>259,259,**,</v>
      </c>
      <c r="AC260" s="47">
        <v>259</v>
      </c>
      <c r="AD260" s="47">
        <v>259</v>
      </c>
    </row>
    <row r="261" spans="1:30" ht="15.75">
      <c r="A261" s="13" t="str">
        <f>IFERROR(VLOOKUP($G:$G,scan!$A:$B,2,0),"**")</f>
        <v>**</v>
      </c>
      <c r="B261" s="13" t="str">
        <f>IFERROR(VLOOKUP($G261,scan!A:C,3,0),"**")</f>
        <v>**</v>
      </c>
      <c r="C261" s="47">
        <v>260</v>
      </c>
      <c r="F261" s="60"/>
      <c r="G261" s="1"/>
      <c r="H261" s="47" t="s">
        <v>4926</v>
      </c>
      <c r="I261" s="43">
        <v>6042070338</v>
      </c>
      <c r="J261" s="43" t="s">
        <v>4927</v>
      </c>
      <c r="K261" s="47" t="s">
        <v>4928</v>
      </c>
      <c r="L261" s="67" t="e">
        <f>VLOOKUP(G261,Input!C:Q,12,FALSE)</f>
        <v>#N/A</v>
      </c>
      <c r="M261" s="68" t="e">
        <f>VLOOKUP(G261,Input!C:Q,15,FALSE)</f>
        <v>#N/A</v>
      </c>
      <c r="N261" s="69" t="e">
        <f>VLOOKUP(G261,Input!C:Q,14,FALSE)</f>
        <v>#N/A</v>
      </c>
      <c r="Q261" s="48">
        <v>1</v>
      </c>
      <c r="R261" s="75" t="e">
        <f>VLOOKUP(G261,Input!C:H,5,FALSE)</f>
        <v>#N/A</v>
      </c>
      <c r="T261" s="47">
        <v>1</v>
      </c>
      <c r="U261" s="47" t="str">
        <f t="shared" si="4"/>
        <v>260,260,**,</v>
      </c>
      <c r="AC261" s="47">
        <v>260</v>
      </c>
      <c r="AD261" s="47">
        <v>260</v>
      </c>
    </row>
    <row r="262" spans="1:30" ht="15.75">
      <c r="A262" s="13" t="str">
        <f>IFERROR(VLOOKUP($G:$G,scan!$A:$B,2,0),"**")</f>
        <v>**</v>
      </c>
      <c r="B262" s="13" t="str">
        <f>IFERROR(VLOOKUP($G262,scan!A:C,3,0),"**")</f>
        <v>**</v>
      </c>
      <c r="C262" s="47">
        <v>261</v>
      </c>
      <c r="F262" s="60"/>
      <c r="G262" s="1"/>
      <c r="H262" s="47" t="s">
        <v>4926</v>
      </c>
      <c r="I262" s="43">
        <v>6042070338</v>
      </c>
      <c r="J262" s="43" t="s">
        <v>4927</v>
      </c>
      <c r="K262" s="47" t="s">
        <v>4928</v>
      </c>
      <c r="L262" s="67" t="e">
        <f>VLOOKUP(G262,Input!C:Q,12,FALSE)</f>
        <v>#N/A</v>
      </c>
      <c r="M262" s="68" t="e">
        <f>VLOOKUP(G262,Input!C:Q,15,FALSE)</f>
        <v>#N/A</v>
      </c>
      <c r="N262" s="69" t="e">
        <f>VLOOKUP(G262,Input!C:Q,14,FALSE)</f>
        <v>#N/A</v>
      </c>
      <c r="Q262" s="48">
        <v>1</v>
      </c>
      <c r="R262" s="75" t="e">
        <f>VLOOKUP(G262,Input!C:H,5,FALSE)</f>
        <v>#N/A</v>
      </c>
      <c r="T262" s="47">
        <v>1</v>
      </c>
      <c r="U262" s="47" t="str">
        <f t="shared" si="4"/>
        <v>261,261,**,</v>
      </c>
      <c r="AC262" s="47">
        <v>261</v>
      </c>
      <c r="AD262" s="47">
        <v>261</v>
      </c>
    </row>
    <row r="263" spans="1:30" ht="15.75">
      <c r="A263" s="13" t="str">
        <f>IFERROR(VLOOKUP($G:$G,scan!$A:$B,2,0),"**")</f>
        <v>**</v>
      </c>
      <c r="B263" s="13" t="str">
        <f>IFERROR(VLOOKUP($G263,scan!A:C,3,0),"**")</f>
        <v>**</v>
      </c>
      <c r="C263" s="47">
        <v>262</v>
      </c>
      <c r="F263" s="60"/>
      <c r="G263" s="1"/>
      <c r="H263" s="47" t="s">
        <v>4926</v>
      </c>
      <c r="I263" s="43">
        <v>6042070338</v>
      </c>
      <c r="J263" s="43" t="s">
        <v>4927</v>
      </c>
      <c r="K263" s="47" t="s">
        <v>4928</v>
      </c>
      <c r="L263" s="67" t="e">
        <f>VLOOKUP(G263,Input!C:Q,12,FALSE)</f>
        <v>#N/A</v>
      </c>
      <c r="M263" s="68" t="e">
        <f>VLOOKUP(G263,Input!C:Q,15,FALSE)</f>
        <v>#N/A</v>
      </c>
      <c r="N263" s="69" t="e">
        <f>VLOOKUP(G263,Input!C:Q,14,FALSE)</f>
        <v>#N/A</v>
      </c>
      <c r="Q263" s="48">
        <v>1</v>
      </c>
      <c r="R263" s="75" t="e">
        <f>VLOOKUP(G263,Input!C:H,5,FALSE)</f>
        <v>#N/A</v>
      </c>
      <c r="T263" s="47">
        <v>1</v>
      </c>
      <c r="U263" s="47" t="str">
        <f t="shared" si="4"/>
        <v>262,262,**,</v>
      </c>
      <c r="AC263" s="47">
        <v>262</v>
      </c>
      <c r="AD263" s="47">
        <v>262</v>
      </c>
    </row>
    <row r="264" spans="1:30" ht="15.75">
      <c r="A264" s="13" t="str">
        <f>IFERROR(VLOOKUP($G:$G,scan!$A:$B,2,0),"**")</f>
        <v>**</v>
      </c>
      <c r="B264" s="13" t="str">
        <f>IFERROR(VLOOKUP($G264,scan!A:C,3,0),"**")</f>
        <v>**</v>
      </c>
      <c r="C264" s="47">
        <v>263</v>
      </c>
      <c r="F264" s="60"/>
      <c r="G264" s="1"/>
      <c r="H264" s="47" t="s">
        <v>4926</v>
      </c>
      <c r="I264" s="43">
        <v>6042070338</v>
      </c>
      <c r="J264" s="43" t="s">
        <v>4927</v>
      </c>
      <c r="K264" s="47" t="s">
        <v>4928</v>
      </c>
      <c r="L264" s="67" t="e">
        <f>VLOOKUP(G264,Input!C:Q,12,FALSE)</f>
        <v>#N/A</v>
      </c>
      <c r="M264" s="68" t="e">
        <f>VLOOKUP(G264,Input!C:Q,15,FALSE)</f>
        <v>#N/A</v>
      </c>
      <c r="N264" s="69" t="e">
        <f>VLOOKUP(G264,Input!C:Q,14,FALSE)</f>
        <v>#N/A</v>
      </c>
      <c r="Q264" s="48">
        <v>1</v>
      </c>
      <c r="R264" s="75" t="e">
        <f>VLOOKUP(G264,Input!C:H,5,FALSE)</f>
        <v>#N/A</v>
      </c>
      <c r="T264" s="47">
        <v>1</v>
      </c>
      <c r="U264" s="47" t="str">
        <f t="shared" si="4"/>
        <v>263,263,**,</v>
      </c>
      <c r="AC264" s="47">
        <v>263</v>
      </c>
      <c r="AD264" s="47">
        <v>263</v>
      </c>
    </row>
    <row r="265" spans="1:30" ht="15.75">
      <c r="A265" s="13" t="str">
        <f>IFERROR(VLOOKUP($G:$G,scan!$A:$B,2,0),"**")</f>
        <v>**</v>
      </c>
      <c r="B265" s="13" t="str">
        <f>IFERROR(VLOOKUP($G265,scan!A:C,3,0),"**")</f>
        <v>**</v>
      </c>
      <c r="C265" s="47">
        <v>264</v>
      </c>
      <c r="F265" s="60"/>
      <c r="G265" s="1"/>
      <c r="H265" s="47" t="s">
        <v>4926</v>
      </c>
      <c r="I265" s="43">
        <v>6042070338</v>
      </c>
      <c r="J265" s="43" t="s">
        <v>4927</v>
      </c>
      <c r="K265" s="47" t="s">
        <v>4928</v>
      </c>
      <c r="L265" s="67" t="e">
        <f>VLOOKUP(G265,Input!C:Q,12,FALSE)</f>
        <v>#N/A</v>
      </c>
      <c r="M265" s="68" t="e">
        <f>VLOOKUP(G265,Input!C:Q,15,FALSE)</f>
        <v>#N/A</v>
      </c>
      <c r="N265" s="69" t="e">
        <f>VLOOKUP(G265,Input!C:Q,14,FALSE)</f>
        <v>#N/A</v>
      </c>
      <c r="Q265" s="48">
        <v>1</v>
      </c>
      <c r="R265" s="75" t="e">
        <f>VLOOKUP(G265,Input!C:H,5,FALSE)</f>
        <v>#N/A</v>
      </c>
      <c r="T265" s="47">
        <v>1</v>
      </c>
      <c r="U265" s="47" t="str">
        <f t="shared" si="4"/>
        <v>264,264,**,</v>
      </c>
      <c r="AC265" s="47">
        <v>264</v>
      </c>
      <c r="AD265" s="47">
        <v>264</v>
      </c>
    </row>
    <row r="266" spans="1:30" ht="15.75">
      <c r="A266" s="13" t="str">
        <f>IFERROR(VLOOKUP($G:$G,scan!$A:$B,2,0),"**")</f>
        <v>**</v>
      </c>
      <c r="B266" s="13" t="str">
        <f>IFERROR(VLOOKUP($G266,scan!A:C,3,0),"**")</f>
        <v>**</v>
      </c>
      <c r="C266" s="47">
        <v>265</v>
      </c>
      <c r="F266" s="60"/>
      <c r="G266" s="1"/>
      <c r="H266" s="47" t="s">
        <v>4926</v>
      </c>
      <c r="I266" s="43">
        <v>6042070338</v>
      </c>
      <c r="J266" s="43" t="s">
        <v>4927</v>
      </c>
      <c r="K266" s="47" t="s">
        <v>4928</v>
      </c>
      <c r="L266" s="67" t="e">
        <f>VLOOKUP(G266,Input!C:Q,12,FALSE)</f>
        <v>#N/A</v>
      </c>
      <c r="M266" s="68" t="e">
        <f>VLOOKUP(G266,Input!C:Q,15,FALSE)</f>
        <v>#N/A</v>
      </c>
      <c r="N266" s="69" t="e">
        <f>VLOOKUP(G266,Input!C:Q,14,FALSE)</f>
        <v>#N/A</v>
      </c>
      <c r="Q266" s="48">
        <v>1</v>
      </c>
      <c r="R266" s="75" t="e">
        <f>VLOOKUP(G266,Input!C:H,5,FALSE)</f>
        <v>#N/A</v>
      </c>
      <c r="T266" s="47">
        <v>1</v>
      </c>
      <c r="U266" s="47" t="str">
        <f t="shared" si="4"/>
        <v>265,265,**,</v>
      </c>
      <c r="AC266" s="47">
        <v>265</v>
      </c>
      <c r="AD266" s="47">
        <v>265</v>
      </c>
    </row>
    <row r="267" spans="1:30" ht="15.75">
      <c r="A267" s="13" t="str">
        <f>IFERROR(VLOOKUP($G:$G,scan!$A:$B,2,0),"**")</f>
        <v>**</v>
      </c>
      <c r="B267" s="13" t="str">
        <f>IFERROR(VLOOKUP($G267,scan!A:C,3,0),"**")</f>
        <v>**</v>
      </c>
      <c r="C267" s="47">
        <v>266</v>
      </c>
      <c r="F267" s="60"/>
      <c r="G267" s="1"/>
      <c r="H267" s="47" t="s">
        <v>4926</v>
      </c>
      <c r="I267" s="43">
        <v>6042070338</v>
      </c>
      <c r="J267" s="43" t="s">
        <v>4927</v>
      </c>
      <c r="K267" s="47" t="s">
        <v>4928</v>
      </c>
      <c r="L267" s="67" t="e">
        <f>VLOOKUP(G267,Input!C:Q,12,FALSE)</f>
        <v>#N/A</v>
      </c>
      <c r="M267" s="68" t="e">
        <f>VLOOKUP(G267,Input!C:Q,15,FALSE)</f>
        <v>#N/A</v>
      </c>
      <c r="N267" s="69" t="e">
        <f>VLOOKUP(G267,Input!C:Q,14,FALSE)</f>
        <v>#N/A</v>
      </c>
      <c r="Q267" s="48">
        <v>1</v>
      </c>
      <c r="R267" s="75" t="e">
        <f>VLOOKUP(G267,Input!C:H,5,FALSE)</f>
        <v>#N/A</v>
      </c>
      <c r="T267" s="47">
        <v>1</v>
      </c>
      <c r="U267" s="47" t="str">
        <f t="shared" si="4"/>
        <v>266,266,**,</v>
      </c>
      <c r="AC267" s="47">
        <v>266</v>
      </c>
      <c r="AD267" s="47">
        <v>266</v>
      </c>
    </row>
    <row r="268" spans="1:30" ht="15.75">
      <c r="A268" s="13" t="str">
        <f>IFERROR(VLOOKUP($G:$G,scan!$A:$B,2,0),"**")</f>
        <v>**</v>
      </c>
      <c r="B268" s="13" t="str">
        <f>IFERROR(VLOOKUP($G268,scan!A:C,3,0),"**")</f>
        <v>**</v>
      </c>
      <c r="C268" s="47">
        <v>267</v>
      </c>
      <c r="F268" s="60"/>
      <c r="G268" s="1"/>
      <c r="H268" s="47" t="s">
        <v>4926</v>
      </c>
      <c r="I268" s="43">
        <v>6042070338</v>
      </c>
      <c r="J268" s="43" t="s">
        <v>4927</v>
      </c>
      <c r="K268" s="47" t="s">
        <v>4928</v>
      </c>
      <c r="L268" s="67" t="e">
        <f>VLOOKUP(G268,Input!C:Q,12,FALSE)</f>
        <v>#N/A</v>
      </c>
      <c r="M268" s="68" t="e">
        <f>VLOOKUP(G268,Input!C:Q,15,FALSE)</f>
        <v>#N/A</v>
      </c>
      <c r="N268" s="69" t="e">
        <f>VLOOKUP(G268,Input!C:Q,14,FALSE)</f>
        <v>#N/A</v>
      </c>
      <c r="Q268" s="48">
        <v>1</v>
      </c>
      <c r="R268" s="75" t="e">
        <f>VLOOKUP(G268,Input!C:H,5,FALSE)</f>
        <v>#N/A</v>
      </c>
      <c r="T268" s="47">
        <v>1</v>
      </c>
      <c r="U268" s="47" t="str">
        <f t="shared" si="4"/>
        <v>267,267,**,</v>
      </c>
      <c r="AC268" s="47">
        <v>267</v>
      </c>
      <c r="AD268" s="47">
        <v>267</v>
      </c>
    </row>
    <row r="269" spans="1:30" ht="15.75">
      <c r="A269" s="13" t="str">
        <f>IFERROR(VLOOKUP($G:$G,scan!$A:$B,2,0),"**")</f>
        <v>**</v>
      </c>
      <c r="B269" s="13" t="str">
        <f>IFERROR(VLOOKUP($G269,scan!A:C,3,0),"**")</f>
        <v>**</v>
      </c>
      <c r="C269" s="47">
        <v>268</v>
      </c>
      <c r="F269" s="60"/>
      <c r="G269" s="1"/>
      <c r="H269" s="47" t="s">
        <v>4926</v>
      </c>
      <c r="I269" s="43">
        <v>6042070338</v>
      </c>
      <c r="J269" s="43" t="s">
        <v>4927</v>
      </c>
      <c r="K269" s="47" t="s">
        <v>4928</v>
      </c>
      <c r="L269" s="67" t="e">
        <f>VLOOKUP(G269,Input!C:Q,12,FALSE)</f>
        <v>#N/A</v>
      </c>
      <c r="M269" s="68" t="e">
        <f>VLOOKUP(G269,Input!C:Q,15,FALSE)</f>
        <v>#N/A</v>
      </c>
      <c r="N269" s="69" t="e">
        <f>VLOOKUP(G269,Input!C:Q,14,FALSE)</f>
        <v>#N/A</v>
      </c>
      <c r="Q269" s="48">
        <v>1</v>
      </c>
      <c r="R269" s="75" t="e">
        <f>VLOOKUP(G269,Input!C:H,5,FALSE)</f>
        <v>#N/A</v>
      </c>
      <c r="T269" s="47">
        <v>1</v>
      </c>
      <c r="U269" s="47" t="str">
        <f t="shared" si="4"/>
        <v>268,268,**,</v>
      </c>
      <c r="AC269" s="47">
        <v>268</v>
      </c>
      <c r="AD269" s="47">
        <v>268</v>
      </c>
    </row>
    <row r="270" spans="1:30" ht="15.75">
      <c r="A270" s="13" t="str">
        <f>IFERROR(VLOOKUP($G:$G,scan!$A:$B,2,0),"**")</f>
        <v>**</v>
      </c>
      <c r="B270" s="13" t="str">
        <f>IFERROR(VLOOKUP($G270,scan!A:C,3,0),"**")</f>
        <v>**</v>
      </c>
      <c r="C270" s="47">
        <v>269</v>
      </c>
      <c r="F270" s="60"/>
      <c r="G270" s="1"/>
      <c r="H270" s="47" t="s">
        <v>4926</v>
      </c>
      <c r="I270" s="43">
        <v>6042070338</v>
      </c>
      <c r="J270" s="43" t="s">
        <v>4927</v>
      </c>
      <c r="K270" s="47" t="s">
        <v>4928</v>
      </c>
      <c r="L270" s="67" t="e">
        <f>VLOOKUP(G270,Input!C:Q,12,FALSE)</f>
        <v>#N/A</v>
      </c>
      <c r="M270" s="68" t="e">
        <f>VLOOKUP(G270,Input!C:Q,15,FALSE)</f>
        <v>#N/A</v>
      </c>
      <c r="N270" s="69" t="e">
        <f>VLOOKUP(G270,Input!C:Q,14,FALSE)</f>
        <v>#N/A</v>
      </c>
      <c r="Q270" s="48">
        <v>1</v>
      </c>
      <c r="R270" s="75" t="e">
        <f>VLOOKUP(G270,Input!C:H,5,FALSE)</f>
        <v>#N/A</v>
      </c>
      <c r="T270" s="47">
        <v>1</v>
      </c>
      <c r="U270" s="47" t="str">
        <f t="shared" si="4"/>
        <v>269,269,**,</v>
      </c>
      <c r="AC270" s="47">
        <v>269</v>
      </c>
      <c r="AD270" s="47">
        <v>269</v>
      </c>
    </row>
    <row r="271" spans="1:30" ht="15.75">
      <c r="A271" s="13" t="str">
        <f>IFERROR(VLOOKUP($G:$G,scan!$A:$B,2,0),"**")</f>
        <v>**</v>
      </c>
      <c r="B271" s="13" t="str">
        <f>IFERROR(VLOOKUP($G271,scan!A:C,3,0),"**")</f>
        <v>**</v>
      </c>
      <c r="C271" s="47">
        <v>270</v>
      </c>
      <c r="F271" s="60"/>
      <c r="G271" s="1"/>
      <c r="H271" s="47" t="s">
        <v>4926</v>
      </c>
      <c r="I271" s="43">
        <v>6042070338</v>
      </c>
      <c r="J271" s="43" t="s">
        <v>4927</v>
      </c>
      <c r="K271" s="47" t="s">
        <v>4928</v>
      </c>
      <c r="L271" s="67" t="e">
        <f>VLOOKUP(G271,Input!C:Q,12,FALSE)</f>
        <v>#N/A</v>
      </c>
      <c r="M271" s="68" t="e">
        <f>VLOOKUP(G271,Input!C:Q,15,FALSE)</f>
        <v>#N/A</v>
      </c>
      <c r="N271" s="69" t="e">
        <f>VLOOKUP(G271,Input!C:Q,14,FALSE)</f>
        <v>#N/A</v>
      </c>
      <c r="Q271" s="48">
        <v>1</v>
      </c>
      <c r="R271" s="75" t="e">
        <f>VLOOKUP(G271,Input!C:H,5,FALSE)</f>
        <v>#N/A</v>
      </c>
      <c r="T271" s="47">
        <v>1</v>
      </c>
      <c r="U271" s="47" t="str">
        <f t="shared" si="4"/>
        <v>270,270,**,</v>
      </c>
      <c r="AC271" s="47">
        <v>270</v>
      </c>
      <c r="AD271" s="47">
        <v>270</v>
      </c>
    </row>
    <row r="272" spans="1:30" ht="15.75">
      <c r="A272" s="13" t="str">
        <f>IFERROR(VLOOKUP($G:$G,scan!$A:$B,2,0),"**")</f>
        <v>**</v>
      </c>
      <c r="B272" s="13" t="str">
        <f>IFERROR(VLOOKUP($G272,scan!A:C,3,0),"**")</f>
        <v>**</v>
      </c>
      <c r="C272" s="47">
        <v>271</v>
      </c>
      <c r="F272" s="60"/>
      <c r="G272" s="1"/>
      <c r="H272" s="47" t="s">
        <v>4926</v>
      </c>
      <c r="I272" s="43">
        <v>6042070338</v>
      </c>
      <c r="J272" s="43" t="s">
        <v>4927</v>
      </c>
      <c r="K272" s="47" t="s">
        <v>4928</v>
      </c>
      <c r="L272" s="67" t="e">
        <f>VLOOKUP(G272,Input!C:Q,12,FALSE)</f>
        <v>#N/A</v>
      </c>
      <c r="M272" s="68" t="e">
        <f>VLOOKUP(G272,Input!C:Q,15,FALSE)</f>
        <v>#N/A</v>
      </c>
      <c r="N272" s="69" t="e">
        <f>VLOOKUP(G272,Input!C:Q,14,FALSE)</f>
        <v>#N/A</v>
      </c>
      <c r="Q272" s="48">
        <v>1</v>
      </c>
      <c r="R272" s="75" t="e">
        <f>VLOOKUP(G272,Input!C:H,5,FALSE)</f>
        <v>#N/A</v>
      </c>
      <c r="T272" s="47">
        <v>1</v>
      </c>
      <c r="U272" s="47" t="str">
        <f t="shared" si="4"/>
        <v>271,271,**,</v>
      </c>
      <c r="AC272" s="47">
        <v>271</v>
      </c>
      <c r="AD272" s="47">
        <v>271</v>
      </c>
    </row>
    <row r="273" spans="1:30" ht="15.75">
      <c r="A273" s="13" t="str">
        <f>IFERROR(VLOOKUP($G:$G,scan!$A:$B,2,0),"**")</f>
        <v>**</v>
      </c>
      <c r="B273" s="13" t="str">
        <f>IFERROR(VLOOKUP($G273,scan!A:C,3,0),"**")</f>
        <v>**</v>
      </c>
      <c r="C273" s="47">
        <v>272</v>
      </c>
      <c r="F273" s="60"/>
      <c r="G273" s="1"/>
      <c r="H273" s="47" t="s">
        <v>4926</v>
      </c>
      <c r="I273" s="43">
        <v>6042070338</v>
      </c>
      <c r="J273" s="43" t="s">
        <v>4927</v>
      </c>
      <c r="K273" s="47" t="s">
        <v>4928</v>
      </c>
      <c r="L273" s="67" t="e">
        <f>VLOOKUP(G273,Input!C:Q,12,FALSE)</f>
        <v>#N/A</v>
      </c>
      <c r="M273" s="68" t="e">
        <f>VLOOKUP(G273,Input!C:Q,15,FALSE)</f>
        <v>#N/A</v>
      </c>
      <c r="N273" s="69" t="e">
        <f>VLOOKUP(G273,Input!C:Q,14,FALSE)</f>
        <v>#N/A</v>
      </c>
      <c r="Q273" s="48">
        <v>1</v>
      </c>
      <c r="R273" s="75" t="e">
        <f>VLOOKUP(G273,Input!C:H,5,FALSE)</f>
        <v>#N/A</v>
      </c>
      <c r="T273" s="47">
        <v>1</v>
      </c>
      <c r="U273" s="47" t="str">
        <f t="shared" si="4"/>
        <v>272,272,**,</v>
      </c>
      <c r="AC273" s="47">
        <v>272</v>
      </c>
      <c r="AD273" s="47">
        <v>272</v>
      </c>
    </row>
    <row r="274" spans="1:30" ht="15.75">
      <c r="A274" s="13" t="str">
        <f>IFERROR(VLOOKUP($G:$G,scan!$A:$B,2,0),"**")</f>
        <v>**</v>
      </c>
      <c r="B274" s="13" t="str">
        <f>IFERROR(VLOOKUP($G274,scan!A:C,3,0),"**")</f>
        <v>**</v>
      </c>
      <c r="C274" s="47">
        <v>273</v>
      </c>
      <c r="F274" s="60"/>
      <c r="G274" s="1"/>
      <c r="H274" s="47" t="s">
        <v>4926</v>
      </c>
      <c r="I274" s="43">
        <v>6042070338</v>
      </c>
      <c r="J274" s="43" t="s">
        <v>4927</v>
      </c>
      <c r="K274" s="47" t="s">
        <v>4928</v>
      </c>
      <c r="L274" s="67" t="e">
        <f>VLOOKUP(G274,Input!C:Q,12,FALSE)</f>
        <v>#N/A</v>
      </c>
      <c r="M274" s="68" t="e">
        <f>VLOOKUP(G274,Input!C:Q,15,FALSE)</f>
        <v>#N/A</v>
      </c>
      <c r="N274" s="69" t="e">
        <f>VLOOKUP(G274,Input!C:Q,14,FALSE)</f>
        <v>#N/A</v>
      </c>
      <c r="Q274" s="48">
        <v>1</v>
      </c>
      <c r="R274" s="75" t="e">
        <f>VLOOKUP(G274,Input!C:H,5,FALSE)</f>
        <v>#N/A</v>
      </c>
      <c r="T274" s="47">
        <v>1</v>
      </c>
      <c r="U274" s="47" t="str">
        <f t="shared" si="4"/>
        <v>273,273,**,</v>
      </c>
      <c r="AC274" s="47">
        <v>273</v>
      </c>
      <c r="AD274" s="47">
        <v>273</v>
      </c>
    </row>
    <row r="275" spans="1:30" ht="15.75">
      <c r="A275" s="13" t="str">
        <f>IFERROR(VLOOKUP($G:$G,scan!$A:$B,2,0),"**")</f>
        <v>**</v>
      </c>
      <c r="B275" s="13" t="str">
        <f>IFERROR(VLOOKUP($G275,scan!A:C,3,0),"**")</f>
        <v>**</v>
      </c>
      <c r="C275" s="47">
        <v>274</v>
      </c>
      <c r="F275" s="60"/>
      <c r="G275" s="1"/>
      <c r="H275" s="47" t="s">
        <v>4926</v>
      </c>
      <c r="I275" s="43">
        <v>6042070338</v>
      </c>
      <c r="J275" s="43" t="s">
        <v>4927</v>
      </c>
      <c r="K275" s="47" t="s">
        <v>4928</v>
      </c>
      <c r="L275" s="67" t="e">
        <f>VLOOKUP(G275,Input!C:Q,12,FALSE)</f>
        <v>#N/A</v>
      </c>
      <c r="M275" s="68" t="e">
        <f>VLOOKUP(G275,Input!C:Q,15,FALSE)</f>
        <v>#N/A</v>
      </c>
      <c r="N275" s="69" t="e">
        <f>VLOOKUP(G275,Input!C:Q,14,FALSE)</f>
        <v>#N/A</v>
      </c>
      <c r="Q275" s="48">
        <v>1</v>
      </c>
      <c r="R275" s="75" t="e">
        <f>VLOOKUP(G275,Input!C:H,5,FALSE)</f>
        <v>#N/A</v>
      </c>
      <c r="T275" s="47">
        <v>1</v>
      </c>
      <c r="U275" s="47" t="str">
        <f t="shared" si="4"/>
        <v>274,274,**,</v>
      </c>
      <c r="AC275" s="47">
        <v>274</v>
      </c>
      <c r="AD275" s="47">
        <v>274</v>
      </c>
    </row>
    <row r="276" spans="1:30" ht="15.75">
      <c r="A276" s="13" t="str">
        <f>IFERROR(VLOOKUP($G:$G,scan!$A:$B,2,0),"**")</f>
        <v>**</v>
      </c>
      <c r="B276" s="13" t="str">
        <f>IFERROR(VLOOKUP($G276,scan!A:C,3,0),"**")</f>
        <v>**</v>
      </c>
      <c r="C276" s="47">
        <v>275</v>
      </c>
      <c r="F276" s="60"/>
      <c r="G276" s="1"/>
      <c r="H276" s="47" t="s">
        <v>4926</v>
      </c>
      <c r="I276" s="43">
        <v>6042070338</v>
      </c>
      <c r="J276" s="43" t="s">
        <v>4927</v>
      </c>
      <c r="K276" s="47" t="s">
        <v>4928</v>
      </c>
      <c r="L276" s="67" t="e">
        <f>VLOOKUP(G276,Input!C:Q,12,FALSE)</f>
        <v>#N/A</v>
      </c>
      <c r="M276" s="68" t="e">
        <f>VLOOKUP(G276,Input!C:Q,15,FALSE)</f>
        <v>#N/A</v>
      </c>
      <c r="N276" s="69" t="e">
        <f>VLOOKUP(G276,Input!C:Q,14,FALSE)</f>
        <v>#N/A</v>
      </c>
      <c r="Q276" s="48">
        <v>1</v>
      </c>
      <c r="R276" s="75" t="e">
        <f>VLOOKUP(G276,Input!C:H,5,FALSE)</f>
        <v>#N/A</v>
      </c>
      <c r="T276" s="47">
        <v>1</v>
      </c>
      <c r="U276" s="47" t="str">
        <f t="shared" si="4"/>
        <v>275,275,**,</v>
      </c>
      <c r="AC276" s="47">
        <v>275</v>
      </c>
      <c r="AD276" s="47">
        <v>275</v>
      </c>
    </row>
    <row r="277" spans="1:30" ht="15.75">
      <c r="A277" s="13" t="str">
        <f>IFERROR(VLOOKUP($G:$G,scan!$A:$B,2,0),"**")</f>
        <v>**</v>
      </c>
      <c r="B277" s="13" t="str">
        <f>IFERROR(VLOOKUP($G277,scan!A:C,3,0),"**")</f>
        <v>**</v>
      </c>
      <c r="C277" s="47">
        <v>276</v>
      </c>
      <c r="F277" s="60"/>
      <c r="G277" s="1"/>
      <c r="H277" s="47" t="s">
        <v>4926</v>
      </c>
      <c r="I277" s="43">
        <v>6042070338</v>
      </c>
      <c r="J277" s="43" t="s">
        <v>4927</v>
      </c>
      <c r="K277" s="47" t="s">
        <v>4928</v>
      </c>
      <c r="L277" s="67" t="e">
        <f>VLOOKUP(G277,Input!C:Q,12,FALSE)</f>
        <v>#N/A</v>
      </c>
      <c r="M277" s="68" t="e">
        <f>VLOOKUP(G277,Input!C:Q,15,FALSE)</f>
        <v>#N/A</v>
      </c>
      <c r="N277" s="69" t="e">
        <f>VLOOKUP(G277,Input!C:Q,14,FALSE)</f>
        <v>#N/A</v>
      </c>
      <c r="Q277" s="48">
        <v>1</v>
      </c>
      <c r="R277" s="75" t="e">
        <f>VLOOKUP(G277,Input!C:H,5,FALSE)</f>
        <v>#N/A</v>
      </c>
      <c r="T277" s="47">
        <v>1</v>
      </c>
      <c r="U277" s="47" t="str">
        <f t="shared" si="4"/>
        <v>276,276,**,</v>
      </c>
      <c r="AC277" s="47">
        <v>276</v>
      </c>
      <c r="AD277" s="47">
        <v>276</v>
      </c>
    </row>
    <row r="278" spans="1:30" ht="15.75">
      <c r="A278" s="13" t="str">
        <f>IFERROR(VLOOKUP($G:$G,scan!$A:$B,2,0),"**")</f>
        <v>**</v>
      </c>
      <c r="B278" s="13" t="str">
        <f>IFERROR(VLOOKUP($G278,scan!A:C,3,0),"**")</f>
        <v>**</v>
      </c>
      <c r="C278" s="47">
        <v>277</v>
      </c>
      <c r="F278" s="60"/>
      <c r="G278" s="1"/>
      <c r="H278" s="47" t="s">
        <v>4926</v>
      </c>
      <c r="I278" s="43">
        <v>6042070338</v>
      </c>
      <c r="J278" s="43" t="s">
        <v>4927</v>
      </c>
      <c r="K278" s="47" t="s">
        <v>4928</v>
      </c>
      <c r="L278" s="67" t="e">
        <f>VLOOKUP(G278,Input!C:Q,12,FALSE)</f>
        <v>#N/A</v>
      </c>
      <c r="M278" s="68" t="e">
        <f>VLOOKUP(G278,Input!C:Q,15,FALSE)</f>
        <v>#N/A</v>
      </c>
      <c r="N278" s="69" t="e">
        <f>VLOOKUP(G278,Input!C:Q,14,FALSE)</f>
        <v>#N/A</v>
      </c>
      <c r="Q278" s="48">
        <v>1</v>
      </c>
      <c r="R278" s="75" t="e">
        <f>VLOOKUP(G278,Input!C:H,5,FALSE)</f>
        <v>#N/A</v>
      </c>
      <c r="T278" s="47">
        <v>1</v>
      </c>
      <c r="U278" s="47" t="str">
        <f t="shared" si="4"/>
        <v>277,277,**,</v>
      </c>
      <c r="AC278" s="47">
        <v>277</v>
      </c>
      <c r="AD278" s="47">
        <v>277</v>
      </c>
    </row>
    <row r="279" spans="1:30" ht="15.75">
      <c r="A279" s="13" t="str">
        <f>IFERROR(VLOOKUP($G:$G,scan!$A:$B,2,0),"**")</f>
        <v>**</v>
      </c>
      <c r="B279" s="13" t="str">
        <f>IFERROR(VLOOKUP($G279,scan!A:C,3,0),"**")</f>
        <v>**</v>
      </c>
      <c r="C279" s="47">
        <v>278</v>
      </c>
      <c r="F279" s="60"/>
      <c r="G279" s="1"/>
      <c r="H279" s="47" t="s">
        <v>4926</v>
      </c>
      <c r="I279" s="43">
        <v>6042070338</v>
      </c>
      <c r="J279" s="43" t="s">
        <v>4927</v>
      </c>
      <c r="K279" s="47" t="s">
        <v>4928</v>
      </c>
      <c r="L279" s="67" t="e">
        <f>VLOOKUP(G279,Input!C:Q,12,FALSE)</f>
        <v>#N/A</v>
      </c>
      <c r="M279" s="68" t="e">
        <f>VLOOKUP(G279,Input!C:Q,15,FALSE)</f>
        <v>#N/A</v>
      </c>
      <c r="N279" s="69" t="e">
        <f>VLOOKUP(G279,Input!C:Q,14,FALSE)</f>
        <v>#N/A</v>
      </c>
      <c r="Q279" s="48">
        <v>1</v>
      </c>
      <c r="R279" s="75" t="e">
        <f>VLOOKUP(G279,Input!C:H,5,FALSE)</f>
        <v>#N/A</v>
      </c>
      <c r="T279" s="47">
        <v>1</v>
      </c>
      <c r="U279" s="47" t="str">
        <f t="shared" si="4"/>
        <v>278,278,**,</v>
      </c>
      <c r="AC279" s="47">
        <v>278</v>
      </c>
      <c r="AD279" s="47">
        <v>278</v>
      </c>
    </row>
    <row r="280" spans="1:30" ht="15.75">
      <c r="A280" s="13" t="str">
        <f>IFERROR(VLOOKUP($G:$G,scan!$A:$B,2,0),"**")</f>
        <v>**</v>
      </c>
      <c r="B280" s="13" t="str">
        <f>IFERROR(VLOOKUP($G280,scan!A:C,3,0),"**")</f>
        <v>**</v>
      </c>
      <c r="C280" s="47">
        <v>279</v>
      </c>
      <c r="F280" s="60"/>
      <c r="G280" s="1"/>
      <c r="H280" s="47" t="s">
        <v>4926</v>
      </c>
      <c r="I280" s="43">
        <v>6042070338</v>
      </c>
      <c r="J280" s="43" t="s">
        <v>4927</v>
      </c>
      <c r="K280" s="47" t="s">
        <v>4928</v>
      </c>
      <c r="L280" s="67" t="e">
        <f>VLOOKUP(G280,Input!C:Q,12,FALSE)</f>
        <v>#N/A</v>
      </c>
      <c r="M280" s="68" t="e">
        <f>VLOOKUP(G280,Input!C:Q,15,FALSE)</f>
        <v>#N/A</v>
      </c>
      <c r="N280" s="69" t="e">
        <f>VLOOKUP(G280,Input!C:Q,14,FALSE)</f>
        <v>#N/A</v>
      </c>
      <c r="Q280" s="48">
        <v>1</v>
      </c>
      <c r="R280" s="75" t="e">
        <f>VLOOKUP(G280,Input!C:H,5,FALSE)</f>
        <v>#N/A</v>
      </c>
      <c r="T280" s="47">
        <v>1</v>
      </c>
      <c r="U280" s="47" t="str">
        <f t="shared" si="4"/>
        <v>279,279,**,</v>
      </c>
      <c r="AC280" s="47">
        <v>279</v>
      </c>
      <c r="AD280" s="47">
        <v>279</v>
      </c>
    </row>
    <row r="281" spans="1:30" ht="15.75">
      <c r="A281" s="13" t="str">
        <f>IFERROR(VLOOKUP($G:$G,scan!$A:$B,2,0),"**")</f>
        <v>**</v>
      </c>
      <c r="B281" s="13" t="str">
        <f>IFERROR(VLOOKUP($G281,scan!A:C,3,0),"**")</f>
        <v>**</v>
      </c>
      <c r="C281" s="47">
        <v>280</v>
      </c>
      <c r="F281" s="60"/>
      <c r="G281" s="1"/>
      <c r="H281" s="47" t="s">
        <v>4926</v>
      </c>
      <c r="I281" s="43">
        <v>6042070338</v>
      </c>
      <c r="J281" s="43" t="s">
        <v>4927</v>
      </c>
      <c r="K281" s="47" t="s">
        <v>4928</v>
      </c>
      <c r="L281" s="67" t="e">
        <f>VLOOKUP(G281,Input!C:Q,12,FALSE)</f>
        <v>#N/A</v>
      </c>
      <c r="M281" s="68" t="e">
        <f>VLOOKUP(G281,Input!C:Q,15,FALSE)</f>
        <v>#N/A</v>
      </c>
      <c r="N281" s="69" t="e">
        <f>VLOOKUP(G281,Input!C:Q,14,FALSE)</f>
        <v>#N/A</v>
      </c>
      <c r="Q281" s="48">
        <v>1</v>
      </c>
      <c r="R281" s="75" t="e">
        <f>VLOOKUP(G281,Input!C:H,5,FALSE)</f>
        <v>#N/A</v>
      </c>
      <c r="T281" s="47">
        <v>1</v>
      </c>
      <c r="U281" s="47" t="str">
        <f t="shared" si="4"/>
        <v>280,280,**,</v>
      </c>
      <c r="AC281" s="47">
        <v>280</v>
      </c>
      <c r="AD281" s="47">
        <v>280</v>
      </c>
    </row>
    <row r="282" spans="1:30" ht="15.75">
      <c r="A282" s="13" t="str">
        <f>IFERROR(VLOOKUP($G:$G,scan!$A:$B,2,0),"**")</f>
        <v>**</v>
      </c>
      <c r="B282" s="13" t="str">
        <f>IFERROR(VLOOKUP($G282,scan!A:C,3,0),"**")</f>
        <v>**</v>
      </c>
      <c r="C282" s="47">
        <v>281</v>
      </c>
      <c r="F282" s="60"/>
      <c r="G282" s="1"/>
      <c r="H282" s="47" t="s">
        <v>4926</v>
      </c>
      <c r="I282" s="43">
        <v>6042070338</v>
      </c>
      <c r="J282" s="43" t="s">
        <v>4927</v>
      </c>
      <c r="K282" s="47" t="s">
        <v>4928</v>
      </c>
      <c r="L282" s="67" t="e">
        <f>VLOOKUP(G282,Input!C:Q,12,FALSE)</f>
        <v>#N/A</v>
      </c>
      <c r="M282" s="68" t="e">
        <f>VLOOKUP(G282,Input!C:Q,15,FALSE)</f>
        <v>#N/A</v>
      </c>
      <c r="N282" s="69" t="e">
        <f>VLOOKUP(G282,Input!C:Q,14,FALSE)</f>
        <v>#N/A</v>
      </c>
      <c r="Q282" s="48">
        <v>1</v>
      </c>
      <c r="R282" s="75" t="e">
        <f>VLOOKUP(G282,Input!C:H,5,FALSE)</f>
        <v>#N/A</v>
      </c>
      <c r="T282" s="47">
        <v>1</v>
      </c>
      <c r="U282" s="47" t="str">
        <f t="shared" si="4"/>
        <v>281,281,**,</v>
      </c>
      <c r="AC282" s="47">
        <v>281</v>
      </c>
      <c r="AD282" s="47">
        <v>281</v>
      </c>
    </row>
    <row r="283" spans="1:30" ht="15.75">
      <c r="A283" s="13" t="str">
        <f>IFERROR(VLOOKUP($G:$G,scan!$A:$B,2,0),"**")</f>
        <v>**</v>
      </c>
      <c r="B283" s="13" t="str">
        <f>IFERROR(VLOOKUP($G283,scan!A:C,3,0),"**")</f>
        <v>**</v>
      </c>
      <c r="C283" s="47">
        <v>282</v>
      </c>
      <c r="F283" s="60"/>
      <c r="G283" s="1"/>
      <c r="H283" s="47" t="s">
        <v>4926</v>
      </c>
      <c r="I283" s="43">
        <v>6042070338</v>
      </c>
      <c r="J283" s="43" t="s">
        <v>4927</v>
      </c>
      <c r="K283" s="47" t="s">
        <v>4928</v>
      </c>
      <c r="L283" s="67" t="e">
        <f>VLOOKUP(G283,Input!C:Q,12,FALSE)</f>
        <v>#N/A</v>
      </c>
      <c r="M283" s="68" t="e">
        <f>VLOOKUP(G283,Input!C:Q,15,FALSE)</f>
        <v>#N/A</v>
      </c>
      <c r="N283" s="69" t="e">
        <f>VLOOKUP(G283,Input!C:Q,14,FALSE)</f>
        <v>#N/A</v>
      </c>
      <c r="Q283" s="48">
        <v>1</v>
      </c>
      <c r="R283" s="75" t="e">
        <f>VLOOKUP(G283,Input!C:H,5,FALSE)</f>
        <v>#N/A</v>
      </c>
      <c r="T283" s="47">
        <v>1</v>
      </c>
      <c r="U283" s="47" t="str">
        <f t="shared" si="4"/>
        <v>282,282,**,</v>
      </c>
      <c r="AC283" s="47">
        <v>282</v>
      </c>
      <c r="AD283" s="47">
        <v>282</v>
      </c>
    </row>
    <row r="284" spans="1:30" ht="15.75">
      <c r="A284" s="13" t="str">
        <f>IFERROR(VLOOKUP($G:$G,scan!$A:$B,2,0),"**")</f>
        <v>**</v>
      </c>
      <c r="B284" s="13" t="str">
        <f>IFERROR(VLOOKUP($G284,scan!A:C,3,0),"**")</f>
        <v>**</v>
      </c>
      <c r="C284" s="47">
        <v>283</v>
      </c>
      <c r="F284" s="60"/>
      <c r="G284" s="43"/>
      <c r="H284" s="47" t="s">
        <v>4926</v>
      </c>
      <c r="I284" s="43">
        <v>6042070338</v>
      </c>
      <c r="J284" s="43" t="s">
        <v>4927</v>
      </c>
      <c r="K284" s="47" t="s">
        <v>4928</v>
      </c>
      <c r="L284" s="67" t="e">
        <f>VLOOKUP(G284,Input!C:Q,12,FALSE)</f>
        <v>#N/A</v>
      </c>
      <c r="M284" s="68" t="e">
        <f>VLOOKUP(G284,Input!C:Q,15,FALSE)</f>
        <v>#N/A</v>
      </c>
      <c r="N284" s="69" t="e">
        <f>VLOOKUP(G284,Input!C:Q,14,FALSE)</f>
        <v>#N/A</v>
      </c>
      <c r="Q284" s="48">
        <v>1</v>
      </c>
      <c r="R284" s="75" t="e">
        <f>VLOOKUP(G284,Input!C:H,5,FALSE)</f>
        <v>#N/A</v>
      </c>
      <c r="T284" s="47">
        <v>1</v>
      </c>
      <c r="U284" s="47" t="str">
        <f t="shared" si="4"/>
        <v>283,283,**,</v>
      </c>
      <c r="AC284" s="47">
        <v>283</v>
      </c>
      <c r="AD284" s="47">
        <v>283</v>
      </c>
    </row>
    <row r="285" spans="1:30" ht="15.75">
      <c r="A285" s="13" t="str">
        <f>IFERROR(VLOOKUP($G:$G,scan!$A:$B,2,0),"**")</f>
        <v>**</v>
      </c>
      <c r="B285" s="13" t="str">
        <f>IFERROR(VLOOKUP($G285,scan!A:C,3,0),"**")</f>
        <v>**</v>
      </c>
      <c r="C285" s="47">
        <v>284</v>
      </c>
      <c r="F285" s="60"/>
      <c r="G285" s="43"/>
      <c r="H285" s="47" t="s">
        <v>4926</v>
      </c>
      <c r="I285" s="43">
        <v>6042070338</v>
      </c>
      <c r="J285" s="43" t="s">
        <v>4927</v>
      </c>
      <c r="K285" s="47" t="s">
        <v>4928</v>
      </c>
      <c r="L285" s="67" t="e">
        <f>VLOOKUP(G285,Input!C:Q,12,FALSE)</f>
        <v>#N/A</v>
      </c>
      <c r="M285" s="68" t="e">
        <f>VLOOKUP(G285,Input!C:Q,15,FALSE)</f>
        <v>#N/A</v>
      </c>
      <c r="N285" s="69" t="e">
        <f>VLOOKUP(G285,Input!C:Q,14,FALSE)</f>
        <v>#N/A</v>
      </c>
      <c r="Q285" s="48">
        <v>1</v>
      </c>
      <c r="R285" s="75" t="e">
        <f>VLOOKUP(G285,Input!C:H,5,FALSE)</f>
        <v>#N/A</v>
      </c>
      <c r="T285" s="47">
        <v>1</v>
      </c>
      <c r="U285" s="47" t="str">
        <f t="shared" si="4"/>
        <v>284,284,**,</v>
      </c>
      <c r="AC285" s="47">
        <v>284</v>
      </c>
      <c r="AD285" s="47">
        <v>284</v>
      </c>
    </row>
    <row r="286" spans="1:30" ht="15.75">
      <c r="A286" s="13" t="str">
        <f>IFERROR(VLOOKUP($G:$G,scan!$A:$B,2,0),"**")</f>
        <v>**</v>
      </c>
      <c r="B286" s="13" t="str">
        <f>IFERROR(VLOOKUP($G286,scan!A:C,3,0),"**")</f>
        <v>**</v>
      </c>
      <c r="C286" s="47">
        <v>285</v>
      </c>
      <c r="F286" s="60"/>
      <c r="G286" s="61"/>
      <c r="H286" s="47" t="s">
        <v>4926</v>
      </c>
      <c r="I286" s="43">
        <v>6042070338</v>
      </c>
      <c r="J286" s="43" t="s">
        <v>4927</v>
      </c>
      <c r="K286" s="47" t="s">
        <v>4928</v>
      </c>
      <c r="L286" s="67" t="e">
        <f>VLOOKUP(G286,Input!C:Q,12,FALSE)</f>
        <v>#N/A</v>
      </c>
      <c r="M286" s="68" t="e">
        <f>VLOOKUP(G286,Input!C:Q,15,FALSE)</f>
        <v>#N/A</v>
      </c>
      <c r="N286" s="69" t="e">
        <f>VLOOKUP(G286,Input!C:Q,14,FALSE)</f>
        <v>#N/A</v>
      </c>
      <c r="Q286" s="48">
        <v>1</v>
      </c>
      <c r="R286" s="75" t="e">
        <f>VLOOKUP(G286,Input!C:H,5,FALSE)</f>
        <v>#N/A</v>
      </c>
      <c r="T286" s="47">
        <v>1</v>
      </c>
      <c r="U286" s="47" t="str">
        <f t="shared" si="4"/>
        <v>285,285,**,</v>
      </c>
      <c r="AC286" s="47">
        <v>285</v>
      </c>
      <c r="AD286" s="47">
        <v>285</v>
      </c>
    </row>
    <row r="287" spans="1:30" ht="15.75">
      <c r="A287" s="13" t="str">
        <f>IFERROR(VLOOKUP($G:$G,scan!$A:$B,2,0),"**")</f>
        <v>**</v>
      </c>
      <c r="B287" s="13" t="str">
        <f>IFERROR(VLOOKUP($G287,scan!A:C,3,0),"**")</f>
        <v>**</v>
      </c>
      <c r="C287" s="47">
        <v>286</v>
      </c>
      <c r="F287" s="60"/>
      <c r="G287" s="61"/>
      <c r="H287" s="47" t="s">
        <v>4926</v>
      </c>
      <c r="I287" s="43">
        <v>6042070338</v>
      </c>
      <c r="J287" s="43" t="s">
        <v>4927</v>
      </c>
      <c r="K287" s="47" t="s">
        <v>4928</v>
      </c>
      <c r="L287" s="67" t="e">
        <f>VLOOKUP(G287,Input!C:Q,12,FALSE)</f>
        <v>#N/A</v>
      </c>
      <c r="M287" s="68" t="e">
        <f>VLOOKUP(G287,Input!C:Q,15,FALSE)</f>
        <v>#N/A</v>
      </c>
      <c r="N287" s="69" t="e">
        <f>VLOOKUP(G287,Input!C:Q,14,FALSE)</f>
        <v>#N/A</v>
      </c>
      <c r="Q287" s="48">
        <v>1</v>
      </c>
      <c r="R287" s="75" t="e">
        <f>VLOOKUP(G287,Input!C:H,5,FALSE)</f>
        <v>#N/A</v>
      </c>
      <c r="T287" s="47">
        <v>1</v>
      </c>
      <c r="U287" s="47" t="str">
        <f t="shared" si="4"/>
        <v>286,286,**,</v>
      </c>
      <c r="AC287" s="47">
        <v>286</v>
      </c>
      <c r="AD287" s="47">
        <v>286</v>
      </c>
    </row>
    <row r="288" spans="1:30" ht="15.75">
      <c r="A288" s="13" t="str">
        <f>IFERROR(VLOOKUP($G:$G,scan!$A:$B,2,0),"**")</f>
        <v>**</v>
      </c>
      <c r="B288" s="13" t="str">
        <f>IFERROR(VLOOKUP($G288,scan!A:C,3,0),"**")</f>
        <v>**</v>
      </c>
      <c r="C288" s="47">
        <v>287</v>
      </c>
      <c r="F288" s="60"/>
      <c r="G288" s="61"/>
      <c r="H288" s="47" t="s">
        <v>4926</v>
      </c>
      <c r="I288" s="43">
        <v>6042070338</v>
      </c>
      <c r="J288" s="43" t="s">
        <v>4927</v>
      </c>
      <c r="K288" s="47" t="s">
        <v>4928</v>
      </c>
      <c r="L288" s="67" t="e">
        <f>VLOOKUP(G288,Input!C:Q,12,FALSE)</f>
        <v>#N/A</v>
      </c>
      <c r="M288" s="68" t="e">
        <f>VLOOKUP(G288,Input!C:Q,15,FALSE)</f>
        <v>#N/A</v>
      </c>
      <c r="N288" s="69" t="e">
        <f>VLOOKUP(G288,Input!C:Q,14,FALSE)</f>
        <v>#N/A</v>
      </c>
      <c r="Q288" s="48">
        <v>1</v>
      </c>
      <c r="R288" s="75" t="e">
        <f>VLOOKUP(G288,Input!C:H,5,FALSE)</f>
        <v>#N/A</v>
      </c>
      <c r="T288" s="47">
        <v>1</v>
      </c>
      <c r="U288" s="47" t="str">
        <f t="shared" si="4"/>
        <v>287,287,**,</v>
      </c>
      <c r="AC288" s="47">
        <v>287</v>
      </c>
      <c r="AD288" s="47">
        <v>287</v>
      </c>
    </row>
    <row r="289" spans="1:30" ht="15.75">
      <c r="A289" s="13" t="str">
        <f>IFERROR(VLOOKUP($G:$G,scan!$A:$B,2,0),"**")</f>
        <v>**</v>
      </c>
      <c r="B289" s="13" t="str">
        <f>IFERROR(VLOOKUP($G289,scan!A:C,3,0),"**")</f>
        <v>**</v>
      </c>
      <c r="C289" s="47">
        <v>288</v>
      </c>
      <c r="F289" s="60"/>
      <c r="G289" s="61"/>
      <c r="H289" s="47" t="s">
        <v>4926</v>
      </c>
      <c r="I289" s="43">
        <v>6042070338</v>
      </c>
      <c r="J289" s="43" t="s">
        <v>4927</v>
      </c>
      <c r="K289" s="47" t="s">
        <v>4928</v>
      </c>
      <c r="L289" s="67" t="e">
        <f>VLOOKUP(G289,Input!C:Q,12,FALSE)</f>
        <v>#N/A</v>
      </c>
      <c r="M289" s="68" t="e">
        <f>VLOOKUP(G289,Input!C:Q,15,FALSE)</f>
        <v>#N/A</v>
      </c>
      <c r="N289" s="69" t="e">
        <f>VLOOKUP(G289,Input!C:Q,14,FALSE)</f>
        <v>#N/A</v>
      </c>
      <c r="Q289" s="48">
        <v>1</v>
      </c>
      <c r="R289" s="75" t="e">
        <f>VLOOKUP(G289,Input!C:H,5,FALSE)</f>
        <v>#N/A</v>
      </c>
      <c r="T289" s="47">
        <v>1</v>
      </c>
      <c r="U289" s="47" t="str">
        <f t="shared" si="4"/>
        <v>288,288,**,</v>
      </c>
      <c r="AC289" s="47">
        <v>288</v>
      </c>
      <c r="AD289" s="47">
        <v>288</v>
      </c>
    </row>
    <row r="290" spans="1:30" ht="15.75">
      <c r="A290" s="13" t="str">
        <f>IFERROR(VLOOKUP($G:$G,scan!$A:$B,2,0),"**")</f>
        <v>**</v>
      </c>
      <c r="B290" s="13" t="str">
        <f>IFERROR(VLOOKUP($G290,scan!A:C,3,0),"**")</f>
        <v>**</v>
      </c>
      <c r="C290" s="47">
        <v>289</v>
      </c>
      <c r="F290" s="60"/>
      <c r="G290" s="61"/>
      <c r="H290" s="47" t="s">
        <v>4926</v>
      </c>
      <c r="I290" s="43">
        <v>6042070338</v>
      </c>
      <c r="J290" s="43" t="s">
        <v>4927</v>
      </c>
      <c r="K290" s="47" t="s">
        <v>4928</v>
      </c>
      <c r="L290" s="67" t="e">
        <f>VLOOKUP(G290,Input!C:Q,12,FALSE)</f>
        <v>#N/A</v>
      </c>
      <c r="M290" s="68" t="e">
        <f>VLOOKUP(G290,Input!C:Q,15,FALSE)</f>
        <v>#N/A</v>
      </c>
      <c r="N290" s="69" t="e">
        <f>VLOOKUP(G290,Input!C:Q,14,FALSE)</f>
        <v>#N/A</v>
      </c>
      <c r="Q290" s="48">
        <v>1</v>
      </c>
      <c r="R290" s="75" t="e">
        <f>VLOOKUP(G290,Input!C:H,5,FALSE)</f>
        <v>#N/A</v>
      </c>
      <c r="T290" s="47">
        <v>1</v>
      </c>
      <c r="U290" s="47" t="str">
        <f t="shared" si="4"/>
        <v>289,289,**,</v>
      </c>
      <c r="AC290" s="47">
        <v>289</v>
      </c>
      <c r="AD290" s="47">
        <v>289</v>
      </c>
    </row>
    <row r="291" spans="1:30" ht="15.75">
      <c r="A291" s="13" t="str">
        <f>IFERROR(VLOOKUP($G:$G,scan!$A:$B,2,0),"**")</f>
        <v>**</v>
      </c>
      <c r="B291" s="13" t="str">
        <f>IFERROR(VLOOKUP($G291,scan!A:C,3,0),"**")</f>
        <v>**</v>
      </c>
      <c r="C291" s="47">
        <v>290</v>
      </c>
      <c r="F291" s="60"/>
      <c r="G291" s="61"/>
      <c r="H291" s="47" t="s">
        <v>4926</v>
      </c>
      <c r="I291" s="43">
        <v>6042070338</v>
      </c>
      <c r="J291" s="43" t="s">
        <v>4927</v>
      </c>
      <c r="K291" s="47" t="s">
        <v>4928</v>
      </c>
      <c r="L291" s="67" t="e">
        <f>VLOOKUP(G291,Input!C:Q,12,FALSE)</f>
        <v>#N/A</v>
      </c>
      <c r="M291" s="68" t="e">
        <f>VLOOKUP(G291,Input!C:Q,15,FALSE)</f>
        <v>#N/A</v>
      </c>
      <c r="N291" s="69" t="e">
        <f>VLOOKUP(G291,Input!C:Q,14,FALSE)</f>
        <v>#N/A</v>
      </c>
      <c r="Q291" s="48">
        <v>1</v>
      </c>
      <c r="R291" s="75" t="e">
        <f>VLOOKUP(G291,Input!C:H,5,FALSE)</f>
        <v>#N/A</v>
      </c>
      <c r="T291" s="47">
        <v>1</v>
      </c>
      <c r="U291" s="47" t="str">
        <f t="shared" si="4"/>
        <v>290,290,**,</v>
      </c>
      <c r="AC291" s="47">
        <v>290</v>
      </c>
      <c r="AD291" s="47">
        <v>290</v>
      </c>
    </row>
    <row r="292" spans="1:30" ht="15.75">
      <c r="A292" s="13" t="str">
        <f>IFERROR(VLOOKUP($G:$G,scan!$A:$B,2,0),"**")</f>
        <v>**</v>
      </c>
      <c r="B292" s="13" t="str">
        <f>IFERROR(VLOOKUP($G292,scan!A:C,3,0),"**")</f>
        <v>**</v>
      </c>
      <c r="C292" s="47">
        <v>291</v>
      </c>
      <c r="F292" s="60"/>
      <c r="G292" s="61"/>
      <c r="H292" s="47" t="s">
        <v>4926</v>
      </c>
      <c r="I292" s="43">
        <v>6042070338</v>
      </c>
      <c r="J292" s="43" t="s">
        <v>4927</v>
      </c>
      <c r="K292" s="47" t="s">
        <v>4928</v>
      </c>
      <c r="L292" s="67" t="e">
        <f>VLOOKUP(G292,Input!C:Q,12,FALSE)</f>
        <v>#N/A</v>
      </c>
      <c r="M292" s="68" t="e">
        <f>VLOOKUP(G292,Input!C:Q,15,FALSE)</f>
        <v>#N/A</v>
      </c>
      <c r="N292" s="69" t="e">
        <f>VLOOKUP(G292,Input!C:Q,14,FALSE)</f>
        <v>#N/A</v>
      </c>
      <c r="Q292" s="48">
        <v>1</v>
      </c>
      <c r="R292" s="75" t="e">
        <f>VLOOKUP(G292,Input!C:H,5,FALSE)</f>
        <v>#N/A</v>
      </c>
      <c r="T292" s="47">
        <v>1</v>
      </c>
      <c r="U292" s="47" t="str">
        <f t="shared" si="4"/>
        <v>291,291,**,</v>
      </c>
      <c r="AC292" s="47">
        <v>291</v>
      </c>
      <c r="AD292" s="47">
        <v>291</v>
      </c>
    </row>
    <row r="293" spans="1:30" ht="15.75">
      <c r="A293" s="13" t="str">
        <f>IFERROR(VLOOKUP($G:$G,scan!$A:$B,2,0),"**")</f>
        <v>**</v>
      </c>
      <c r="B293" s="13" t="str">
        <f>IFERROR(VLOOKUP($G293,scan!A:C,3,0),"**")</f>
        <v>**</v>
      </c>
      <c r="C293" s="47">
        <v>292</v>
      </c>
      <c r="F293" s="60"/>
      <c r="G293" s="61"/>
      <c r="H293" s="47" t="s">
        <v>4926</v>
      </c>
      <c r="I293" s="43">
        <v>6042070338</v>
      </c>
      <c r="J293" s="43" t="s">
        <v>4927</v>
      </c>
      <c r="K293" s="47" t="s">
        <v>4928</v>
      </c>
      <c r="L293" s="67" t="e">
        <f>VLOOKUP(G293,Input!C:Q,12,FALSE)</f>
        <v>#N/A</v>
      </c>
      <c r="M293" s="68" t="e">
        <f>VLOOKUP(G293,Input!C:Q,15,FALSE)</f>
        <v>#N/A</v>
      </c>
      <c r="N293" s="69" t="e">
        <f>VLOOKUP(G293,Input!C:Q,14,FALSE)</f>
        <v>#N/A</v>
      </c>
      <c r="Q293" s="48">
        <v>1</v>
      </c>
      <c r="R293" s="75" t="e">
        <f>VLOOKUP(G293,Input!C:H,5,FALSE)</f>
        <v>#N/A</v>
      </c>
      <c r="T293" s="47">
        <v>1</v>
      </c>
      <c r="U293" s="47" t="str">
        <f t="shared" si="4"/>
        <v>292,292,**,</v>
      </c>
      <c r="AC293" s="47">
        <v>292</v>
      </c>
      <c r="AD293" s="47">
        <v>292</v>
      </c>
    </row>
    <row r="294" spans="1:30" ht="15.75">
      <c r="A294" s="13" t="str">
        <f>IFERROR(VLOOKUP($G:$G,scan!$A:$B,2,0),"**")</f>
        <v>**</v>
      </c>
      <c r="B294" s="13" t="str">
        <f>IFERROR(VLOOKUP($G294,scan!A:C,3,0),"**")</f>
        <v>**</v>
      </c>
      <c r="C294" s="47">
        <v>293</v>
      </c>
      <c r="F294" s="60"/>
      <c r="G294" s="61"/>
      <c r="H294" s="47" t="s">
        <v>4926</v>
      </c>
      <c r="I294" s="43">
        <v>6042070338</v>
      </c>
      <c r="J294" s="43" t="s">
        <v>4927</v>
      </c>
      <c r="K294" s="47" t="s">
        <v>4928</v>
      </c>
      <c r="L294" s="67" t="e">
        <f>VLOOKUP(G294,Input!C:Q,12,FALSE)</f>
        <v>#N/A</v>
      </c>
      <c r="M294" s="68" t="e">
        <f>VLOOKUP(G294,Input!C:Q,15,FALSE)</f>
        <v>#N/A</v>
      </c>
      <c r="N294" s="69" t="e">
        <f>VLOOKUP(G294,Input!C:Q,14,FALSE)</f>
        <v>#N/A</v>
      </c>
      <c r="Q294" s="48">
        <v>1</v>
      </c>
      <c r="R294" s="75" t="e">
        <f>VLOOKUP(G294,Input!C:H,5,FALSE)</f>
        <v>#N/A</v>
      </c>
      <c r="T294" s="47">
        <v>1</v>
      </c>
      <c r="U294" s="47" t="str">
        <f t="shared" si="4"/>
        <v>293,293,**,</v>
      </c>
      <c r="AC294" s="47">
        <v>293</v>
      </c>
      <c r="AD294" s="47">
        <v>293</v>
      </c>
    </row>
    <row r="295" spans="1:30" ht="15.75">
      <c r="A295" s="13" t="str">
        <f>IFERROR(VLOOKUP($G:$G,scan!$A:$B,2,0),"**")</f>
        <v>**</v>
      </c>
      <c r="B295" s="13" t="str">
        <f>IFERROR(VLOOKUP($G295,scan!A:C,3,0),"**")</f>
        <v>**</v>
      </c>
      <c r="C295" s="47">
        <v>294</v>
      </c>
      <c r="F295" s="60"/>
      <c r="G295" s="61"/>
      <c r="H295" s="47" t="s">
        <v>4926</v>
      </c>
      <c r="I295" s="43">
        <v>6042070338</v>
      </c>
      <c r="J295" s="43" t="s">
        <v>4927</v>
      </c>
      <c r="K295" s="47" t="s">
        <v>4928</v>
      </c>
      <c r="L295" s="67" t="e">
        <f>VLOOKUP(G295,Input!C:Q,12,FALSE)</f>
        <v>#N/A</v>
      </c>
      <c r="M295" s="68" t="e">
        <f>VLOOKUP(G295,Input!C:Q,15,FALSE)</f>
        <v>#N/A</v>
      </c>
      <c r="N295" s="69" t="e">
        <f>VLOOKUP(G295,Input!C:Q,14,FALSE)</f>
        <v>#N/A</v>
      </c>
      <c r="Q295" s="48">
        <v>1</v>
      </c>
      <c r="R295" s="75" t="e">
        <f>VLOOKUP(G295,Input!C:H,5,FALSE)</f>
        <v>#N/A</v>
      </c>
      <c r="T295" s="47">
        <v>1</v>
      </c>
      <c r="U295" s="47" t="str">
        <f t="shared" si="4"/>
        <v>294,294,**,</v>
      </c>
      <c r="AC295" s="47">
        <v>294</v>
      </c>
      <c r="AD295" s="47">
        <v>294</v>
      </c>
    </row>
    <row r="296" spans="1:30" ht="15.75">
      <c r="A296" s="13" t="str">
        <f>IFERROR(VLOOKUP($G:$G,scan!$A:$B,2,0),"**")</f>
        <v>**</v>
      </c>
      <c r="B296" s="13" t="str">
        <f>IFERROR(VLOOKUP($G296,scan!A:C,3,0),"**")</f>
        <v>**</v>
      </c>
      <c r="C296" s="47">
        <v>295</v>
      </c>
      <c r="F296" s="60"/>
      <c r="G296" s="61"/>
      <c r="H296" s="47" t="s">
        <v>4926</v>
      </c>
      <c r="I296" s="43">
        <v>6042070338</v>
      </c>
      <c r="J296" s="43" t="s">
        <v>4927</v>
      </c>
      <c r="K296" s="47" t="s">
        <v>4928</v>
      </c>
      <c r="L296" s="67" t="e">
        <f>VLOOKUP(G296,Input!C:Q,12,FALSE)</f>
        <v>#N/A</v>
      </c>
      <c r="M296" s="68" t="e">
        <f>VLOOKUP(G296,Input!C:Q,15,FALSE)</f>
        <v>#N/A</v>
      </c>
      <c r="N296" s="69" t="e">
        <f>VLOOKUP(G296,Input!C:Q,14,FALSE)</f>
        <v>#N/A</v>
      </c>
      <c r="Q296" s="48">
        <v>1</v>
      </c>
      <c r="R296" s="75" t="e">
        <f>VLOOKUP(G296,Input!C:H,5,FALSE)</f>
        <v>#N/A</v>
      </c>
      <c r="T296" s="47">
        <v>1</v>
      </c>
      <c r="U296" s="47" t="str">
        <f t="shared" si="4"/>
        <v>295,295,**,</v>
      </c>
      <c r="AC296" s="47">
        <v>295</v>
      </c>
      <c r="AD296" s="47">
        <v>295</v>
      </c>
    </row>
    <row r="297" spans="1:30" ht="15.75">
      <c r="A297" s="13" t="str">
        <f>IFERROR(VLOOKUP($G:$G,scan!$A:$B,2,0),"**")</f>
        <v>**</v>
      </c>
      <c r="B297" s="13" t="str">
        <f>IFERROR(VLOOKUP($G297,scan!A:C,3,0),"**")</f>
        <v>**</v>
      </c>
      <c r="C297" s="47">
        <v>296</v>
      </c>
      <c r="F297" s="60"/>
      <c r="G297" s="61"/>
      <c r="H297" s="47" t="s">
        <v>4926</v>
      </c>
      <c r="I297" s="43">
        <v>6042070338</v>
      </c>
      <c r="J297" s="43" t="s">
        <v>4927</v>
      </c>
      <c r="K297" s="47" t="s">
        <v>4928</v>
      </c>
      <c r="L297" s="67" t="e">
        <f>VLOOKUP(G297,Input!C:Q,12,FALSE)</f>
        <v>#N/A</v>
      </c>
      <c r="M297" s="68" t="e">
        <f>VLOOKUP(G297,Input!C:Q,15,FALSE)</f>
        <v>#N/A</v>
      </c>
      <c r="N297" s="69" t="e">
        <f>VLOOKUP(G297,Input!C:Q,14,FALSE)</f>
        <v>#N/A</v>
      </c>
      <c r="Q297" s="48">
        <v>1</v>
      </c>
      <c r="R297" s="75" t="e">
        <f>VLOOKUP(G297,Input!C:H,5,FALSE)</f>
        <v>#N/A</v>
      </c>
      <c r="T297" s="47">
        <v>1</v>
      </c>
      <c r="U297" s="47" t="str">
        <f t="shared" si="4"/>
        <v>296,296,**,</v>
      </c>
      <c r="AC297" s="47">
        <v>296</v>
      </c>
      <c r="AD297" s="47">
        <v>296</v>
      </c>
    </row>
    <row r="298" spans="1:30" ht="15.75">
      <c r="A298" s="13" t="str">
        <f>IFERROR(VLOOKUP($G:$G,scan!$A:$B,2,0),"**")</f>
        <v>**</v>
      </c>
      <c r="B298" s="13" t="str">
        <f>IFERROR(VLOOKUP($G298,scan!A:C,3,0),"**")</f>
        <v>**</v>
      </c>
      <c r="C298" s="47">
        <v>297</v>
      </c>
      <c r="F298" s="60"/>
      <c r="G298" s="61"/>
      <c r="H298" s="47" t="s">
        <v>4926</v>
      </c>
      <c r="I298" s="43">
        <v>6042070338</v>
      </c>
      <c r="J298" s="43" t="s">
        <v>4927</v>
      </c>
      <c r="K298" s="47" t="s">
        <v>4928</v>
      </c>
      <c r="L298" s="67" t="e">
        <f>VLOOKUP(G298,Input!C:Q,12,FALSE)</f>
        <v>#N/A</v>
      </c>
      <c r="M298" s="68" t="e">
        <f>VLOOKUP(G298,Input!C:Q,15,FALSE)</f>
        <v>#N/A</v>
      </c>
      <c r="N298" s="69" t="e">
        <f>VLOOKUP(G298,Input!C:Q,14,FALSE)</f>
        <v>#N/A</v>
      </c>
      <c r="Q298" s="48">
        <v>1</v>
      </c>
      <c r="R298" s="75" t="e">
        <f>VLOOKUP(G298,Input!C:H,5,FALSE)</f>
        <v>#N/A</v>
      </c>
      <c r="T298" s="47">
        <v>1</v>
      </c>
      <c r="U298" s="47" t="str">
        <f t="shared" si="4"/>
        <v>297,297,**,</v>
      </c>
      <c r="AC298" s="47">
        <v>297</v>
      </c>
      <c r="AD298" s="47">
        <v>297</v>
      </c>
    </row>
    <row r="299" spans="1:30" ht="15.75">
      <c r="A299" s="13" t="str">
        <f>IFERROR(VLOOKUP($G:$G,scan!$A:$B,2,0),"**")</f>
        <v>**</v>
      </c>
      <c r="B299" s="13" t="str">
        <f>IFERROR(VLOOKUP($G299,scan!A:C,3,0),"**")</f>
        <v>**</v>
      </c>
      <c r="C299" s="47">
        <v>298</v>
      </c>
      <c r="F299" s="60"/>
      <c r="G299" s="61"/>
      <c r="H299" s="47" t="s">
        <v>4926</v>
      </c>
      <c r="I299" s="43">
        <v>6042070338</v>
      </c>
      <c r="J299" s="43" t="s">
        <v>4927</v>
      </c>
      <c r="K299" s="47" t="s">
        <v>4928</v>
      </c>
      <c r="L299" s="67" t="e">
        <f>VLOOKUP(G299,Input!C:Q,12,FALSE)</f>
        <v>#N/A</v>
      </c>
      <c r="M299" s="68" t="e">
        <f>VLOOKUP(G299,Input!C:Q,15,FALSE)</f>
        <v>#N/A</v>
      </c>
      <c r="N299" s="69" t="e">
        <f>VLOOKUP(G299,Input!C:Q,14,FALSE)</f>
        <v>#N/A</v>
      </c>
      <c r="Q299" s="48">
        <v>1</v>
      </c>
      <c r="R299" s="75" t="e">
        <f>VLOOKUP(G299,Input!C:H,5,FALSE)</f>
        <v>#N/A</v>
      </c>
      <c r="T299" s="47">
        <v>1</v>
      </c>
      <c r="U299" s="47" t="str">
        <f t="shared" si="4"/>
        <v>298,298,**,</v>
      </c>
      <c r="AC299" s="47">
        <v>298</v>
      </c>
      <c r="AD299" s="47">
        <v>298</v>
      </c>
    </row>
    <row r="300" spans="1:30" ht="15.75">
      <c r="A300" s="13" t="str">
        <f>IFERROR(VLOOKUP($G:$G,scan!$A:$B,2,0),"**")</f>
        <v>**</v>
      </c>
      <c r="B300" s="13" t="str">
        <f>IFERROR(VLOOKUP($G300,scan!A:C,3,0),"**")</f>
        <v>**</v>
      </c>
      <c r="C300" s="47">
        <v>299</v>
      </c>
      <c r="F300" s="60"/>
      <c r="G300" s="58"/>
      <c r="H300" s="47" t="s">
        <v>4926</v>
      </c>
      <c r="I300" s="43">
        <v>6042070338</v>
      </c>
      <c r="J300" s="43" t="s">
        <v>4927</v>
      </c>
      <c r="K300" s="47" t="s">
        <v>4928</v>
      </c>
      <c r="L300" s="67" t="e">
        <f>VLOOKUP(G300,Input!C:Q,12,FALSE)</f>
        <v>#N/A</v>
      </c>
      <c r="M300" s="68" t="e">
        <f>VLOOKUP(G300,Input!C:Q,15,FALSE)</f>
        <v>#N/A</v>
      </c>
      <c r="N300" s="69" t="e">
        <f>VLOOKUP(G300,Input!C:Q,14,FALSE)</f>
        <v>#N/A</v>
      </c>
      <c r="Q300" s="48">
        <v>1</v>
      </c>
      <c r="R300" s="75" t="e">
        <f>VLOOKUP(G300,Input!C:H,5,FALSE)</f>
        <v>#N/A</v>
      </c>
      <c r="T300" s="47">
        <v>1</v>
      </c>
      <c r="U300" s="47" t="str">
        <f t="shared" si="4"/>
        <v>299,299,**,</v>
      </c>
      <c r="AC300" s="47">
        <v>299</v>
      </c>
      <c r="AD300" s="47">
        <v>299</v>
      </c>
    </row>
    <row r="301" spans="1:30" ht="15.75">
      <c r="A301" s="13" t="str">
        <f>IFERROR(VLOOKUP($G:$G,scan!$A:$B,2,0),"**")</f>
        <v>**</v>
      </c>
      <c r="B301" s="13" t="str">
        <f>IFERROR(VLOOKUP($G301,scan!A:C,3,0),"**")</f>
        <v>**</v>
      </c>
      <c r="C301" s="47">
        <v>300</v>
      </c>
      <c r="F301" s="60"/>
      <c r="G301" s="2"/>
      <c r="H301" s="47" t="s">
        <v>4926</v>
      </c>
      <c r="I301" s="43">
        <v>6042070338</v>
      </c>
      <c r="J301" s="43" t="s">
        <v>4927</v>
      </c>
      <c r="K301" s="47" t="s">
        <v>4928</v>
      </c>
      <c r="L301" s="67" t="e">
        <f>VLOOKUP(G301,Input!C:Q,12,FALSE)</f>
        <v>#N/A</v>
      </c>
      <c r="M301" s="68" t="e">
        <f>VLOOKUP(G301,Input!C:Q,15,FALSE)</f>
        <v>#N/A</v>
      </c>
      <c r="N301" s="69" t="e">
        <f>VLOOKUP(G301,Input!C:Q,14,FALSE)</f>
        <v>#N/A</v>
      </c>
      <c r="Q301" s="48">
        <v>1</v>
      </c>
      <c r="R301" s="75" t="e">
        <f>VLOOKUP(G301,Input!C:H,5,FALSE)</f>
        <v>#N/A</v>
      </c>
      <c r="T301" s="47">
        <v>1</v>
      </c>
      <c r="U301" s="47" t="str">
        <f t="shared" si="4"/>
        <v>300,300,**,</v>
      </c>
      <c r="AC301" s="47">
        <v>300</v>
      </c>
      <c r="AD301" s="47">
        <v>300</v>
      </c>
    </row>
    <row r="302" spans="1:30" ht="15.75">
      <c r="A302" s="13" t="str">
        <f>IFERROR(VLOOKUP($G:$G,scan!$A:$B,2,0),"**")</f>
        <v>**</v>
      </c>
      <c r="B302" s="13" t="str">
        <f>IFERROR(VLOOKUP($G302,scan!A:C,3,0),"**")</f>
        <v>**</v>
      </c>
      <c r="C302" s="47">
        <v>301</v>
      </c>
      <c r="F302" s="78"/>
      <c r="G302" s="43"/>
      <c r="H302" s="47" t="s">
        <v>4926</v>
      </c>
      <c r="I302" s="43">
        <v>6042070338</v>
      </c>
      <c r="J302" s="43" t="s">
        <v>4927</v>
      </c>
      <c r="K302" s="47" t="s">
        <v>4928</v>
      </c>
      <c r="L302" s="67" t="e">
        <f>VLOOKUP(G302,Input!C:Q,12,FALSE)</f>
        <v>#N/A</v>
      </c>
      <c r="M302" s="68" t="e">
        <f>VLOOKUP(G302,Input!C:Q,15,FALSE)</f>
        <v>#N/A</v>
      </c>
      <c r="N302" s="69" t="e">
        <f>VLOOKUP(G302,Input!C:Q,14,FALSE)</f>
        <v>#N/A</v>
      </c>
      <c r="Q302" s="48">
        <v>1</v>
      </c>
      <c r="R302" s="75" t="e">
        <f>VLOOKUP(G302,Input!C:H,5,FALSE)</f>
        <v>#N/A</v>
      </c>
      <c r="T302" s="47">
        <v>1</v>
      </c>
      <c r="U302" s="47" t="str">
        <f t="shared" si="4"/>
        <v>301,301,**,</v>
      </c>
      <c r="AC302" s="47">
        <v>301</v>
      </c>
      <c r="AD302" s="47">
        <v>301</v>
      </c>
    </row>
    <row r="303" spans="1:30" ht="15.75">
      <c r="A303" s="13" t="str">
        <f>IFERROR(VLOOKUP($G:$G,scan!$A:$B,2,0),"**")</f>
        <v>**</v>
      </c>
      <c r="B303" s="13" t="str">
        <f>IFERROR(VLOOKUP($G303,scan!A:C,3,0),"**")</f>
        <v>**</v>
      </c>
      <c r="C303" s="47">
        <v>302</v>
      </c>
      <c r="F303" s="78"/>
      <c r="G303" s="43"/>
      <c r="H303" s="47" t="s">
        <v>4926</v>
      </c>
      <c r="I303" s="43">
        <v>6042070338</v>
      </c>
      <c r="J303" s="43" t="s">
        <v>4927</v>
      </c>
      <c r="K303" s="47" t="s">
        <v>4928</v>
      </c>
      <c r="L303" s="67" t="e">
        <f>VLOOKUP(G303,Input!C:Q,12,FALSE)</f>
        <v>#N/A</v>
      </c>
      <c r="M303" s="68" t="e">
        <f>VLOOKUP(G303,Input!C:Q,15,FALSE)</f>
        <v>#N/A</v>
      </c>
      <c r="N303" s="69" t="e">
        <f>VLOOKUP(G303,Input!C:Q,14,FALSE)</f>
        <v>#N/A</v>
      </c>
      <c r="Q303" s="48">
        <v>1</v>
      </c>
      <c r="R303" s="75" t="e">
        <f>VLOOKUP(G303,Input!C:H,5,FALSE)</f>
        <v>#N/A</v>
      </c>
      <c r="T303" s="47">
        <v>1</v>
      </c>
      <c r="U303" s="47" t="str">
        <f t="shared" si="4"/>
        <v>302,302,**,</v>
      </c>
      <c r="AC303" s="47">
        <v>302</v>
      </c>
      <c r="AD303" s="47">
        <v>302</v>
      </c>
    </row>
    <row r="304" spans="1:30" ht="15.75">
      <c r="A304" s="13" t="str">
        <f>IFERROR(VLOOKUP($G:$G,scan!$A:$B,2,0),"**")</f>
        <v>**</v>
      </c>
      <c r="B304" s="13" t="str">
        <f>IFERROR(VLOOKUP($G304,scan!A:C,3,0),"**")</f>
        <v>**</v>
      </c>
      <c r="C304" s="47">
        <v>303</v>
      </c>
      <c r="F304" s="78"/>
      <c r="G304" s="43"/>
      <c r="H304" s="47" t="s">
        <v>4926</v>
      </c>
      <c r="I304" s="43">
        <v>6042070338</v>
      </c>
      <c r="J304" s="43" t="s">
        <v>4927</v>
      </c>
      <c r="K304" s="47" t="s">
        <v>4928</v>
      </c>
      <c r="L304" s="67" t="e">
        <f>VLOOKUP(G304,Input!C:Q,12,FALSE)</f>
        <v>#N/A</v>
      </c>
      <c r="M304" s="68" t="e">
        <f>VLOOKUP(G304,Input!C:Q,15,FALSE)</f>
        <v>#N/A</v>
      </c>
      <c r="N304" s="69" t="e">
        <f>VLOOKUP(G304,Input!C:Q,14,FALSE)</f>
        <v>#N/A</v>
      </c>
      <c r="Q304" s="48">
        <v>1</v>
      </c>
      <c r="R304" s="75" t="e">
        <f>VLOOKUP(G304,Input!C:H,5,FALSE)</f>
        <v>#N/A</v>
      </c>
      <c r="T304" s="47">
        <v>1</v>
      </c>
      <c r="U304" s="47" t="str">
        <f t="shared" si="4"/>
        <v>303,303,**,</v>
      </c>
      <c r="AC304" s="47">
        <v>303</v>
      </c>
      <c r="AD304" s="47">
        <v>303</v>
      </c>
    </row>
    <row r="305" spans="1:30" ht="15.75">
      <c r="A305" s="13" t="str">
        <f>IFERROR(VLOOKUP($G:$G,scan!$A:$B,2,0),"**")</f>
        <v>**</v>
      </c>
      <c r="B305" s="13" t="str">
        <f>IFERROR(VLOOKUP($G305,scan!A:C,3,0),"**")</f>
        <v>**</v>
      </c>
      <c r="C305" s="47">
        <v>304</v>
      </c>
      <c r="F305" s="78"/>
      <c r="G305" s="43"/>
      <c r="H305" s="47" t="s">
        <v>4926</v>
      </c>
      <c r="I305" s="43">
        <v>6042070338</v>
      </c>
      <c r="J305" s="43" t="s">
        <v>4927</v>
      </c>
      <c r="K305" s="47" t="s">
        <v>4928</v>
      </c>
      <c r="L305" s="67" t="e">
        <f>VLOOKUP(G305,Input!C:Q,12,FALSE)</f>
        <v>#N/A</v>
      </c>
      <c r="M305" s="68" t="e">
        <f>VLOOKUP(G305,Input!C:Q,15,FALSE)</f>
        <v>#N/A</v>
      </c>
      <c r="N305" s="69" t="e">
        <f>VLOOKUP(G305,Input!C:Q,14,FALSE)</f>
        <v>#N/A</v>
      </c>
      <c r="Q305" s="48">
        <v>1</v>
      </c>
      <c r="R305" s="75" t="e">
        <f>VLOOKUP(G305,Input!C:H,5,FALSE)</f>
        <v>#N/A</v>
      </c>
      <c r="T305" s="47">
        <v>1</v>
      </c>
      <c r="U305" s="47" t="str">
        <f t="shared" si="4"/>
        <v>304,304,**,</v>
      </c>
      <c r="AC305" s="47">
        <v>304</v>
      </c>
      <c r="AD305" s="47">
        <v>304</v>
      </c>
    </row>
    <row r="306" spans="1:30" ht="15.75">
      <c r="A306" s="13" t="str">
        <f>IFERROR(VLOOKUP($G:$G,scan!$A:$B,2,0),"**")</f>
        <v>**</v>
      </c>
      <c r="B306" s="13" t="str">
        <f>IFERROR(VLOOKUP($G306,scan!A:C,3,0),"**")</f>
        <v>**</v>
      </c>
      <c r="C306" s="47">
        <v>305</v>
      </c>
      <c r="F306" s="78"/>
      <c r="G306" s="43"/>
      <c r="H306" s="47" t="s">
        <v>4926</v>
      </c>
      <c r="I306" s="43">
        <v>6042070338</v>
      </c>
      <c r="J306" s="43" t="s">
        <v>4927</v>
      </c>
      <c r="K306" s="47" t="s">
        <v>4928</v>
      </c>
      <c r="L306" s="67" t="e">
        <f>VLOOKUP(G306,Input!C:Q,12,FALSE)</f>
        <v>#N/A</v>
      </c>
      <c r="M306" s="68" t="e">
        <f>VLOOKUP(G306,Input!C:Q,15,FALSE)</f>
        <v>#N/A</v>
      </c>
      <c r="N306" s="69" t="e">
        <f>VLOOKUP(G306,Input!C:Q,14,FALSE)</f>
        <v>#N/A</v>
      </c>
      <c r="Q306" s="48">
        <v>1</v>
      </c>
      <c r="R306" s="75" t="e">
        <f>VLOOKUP(G306,Input!C:H,5,FALSE)</f>
        <v>#N/A</v>
      </c>
      <c r="T306" s="47">
        <v>1</v>
      </c>
      <c r="U306" s="47" t="str">
        <f t="shared" si="4"/>
        <v>305,305,**,</v>
      </c>
      <c r="AC306" s="47">
        <v>305</v>
      </c>
      <c r="AD306" s="47">
        <v>305</v>
      </c>
    </row>
    <row r="307" spans="1:30" ht="15.75">
      <c r="A307" s="13" t="str">
        <f>IFERROR(VLOOKUP($G:$G,scan!$A:$B,2,0),"**")</f>
        <v>**</v>
      </c>
      <c r="B307" s="13" t="str">
        <f>IFERROR(VLOOKUP($G307,scan!A:C,3,0),"**")</f>
        <v>**</v>
      </c>
      <c r="C307" s="47">
        <v>306</v>
      </c>
      <c r="F307" s="78"/>
      <c r="G307" s="43"/>
      <c r="H307" s="47" t="s">
        <v>4926</v>
      </c>
      <c r="I307" s="43">
        <v>6042070338</v>
      </c>
      <c r="J307" s="43" t="s">
        <v>4927</v>
      </c>
      <c r="K307" s="47" t="s">
        <v>4928</v>
      </c>
      <c r="L307" s="67" t="e">
        <f>VLOOKUP(G307,Input!C:Q,12,FALSE)</f>
        <v>#N/A</v>
      </c>
      <c r="M307" s="68" t="e">
        <f>VLOOKUP(G307,Input!C:Q,15,FALSE)</f>
        <v>#N/A</v>
      </c>
      <c r="N307" s="69" t="e">
        <f>VLOOKUP(G307,Input!C:Q,14,FALSE)</f>
        <v>#N/A</v>
      </c>
      <c r="Q307" s="48">
        <v>1</v>
      </c>
      <c r="R307" s="75" t="e">
        <f>VLOOKUP(G307,Input!C:H,5,FALSE)</f>
        <v>#N/A</v>
      </c>
      <c r="T307" s="47">
        <v>1</v>
      </c>
      <c r="U307" s="47" t="str">
        <f t="shared" si="4"/>
        <v>306,306,**,</v>
      </c>
      <c r="AC307" s="47">
        <v>306</v>
      </c>
      <c r="AD307" s="47">
        <v>306</v>
      </c>
    </row>
    <row r="308" spans="1:30" ht="15.75">
      <c r="A308" s="13" t="str">
        <f>IFERROR(VLOOKUP($G:$G,scan!$A:$B,2,0),"**")</f>
        <v>**</v>
      </c>
      <c r="B308" s="13" t="str">
        <f>IFERROR(VLOOKUP($G308,scan!A:C,3,0),"**")</f>
        <v>**</v>
      </c>
      <c r="C308" s="47">
        <v>307</v>
      </c>
      <c r="F308" s="78"/>
      <c r="G308" s="43"/>
      <c r="H308" s="47" t="s">
        <v>4926</v>
      </c>
      <c r="I308" s="43">
        <v>6042070338</v>
      </c>
      <c r="J308" s="43" t="s">
        <v>4927</v>
      </c>
      <c r="K308" s="47" t="s">
        <v>4928</v>
      </c>
      <c r="L308" s="67" t="e">
        <f>VLOOKUP(G308,Input!C:Q,12,FALSE)</f>
        <v>#N/A</v>
      </c>
      <c r="M308" s="68" t="e">
        <f>VLOOKUP(G308,Input!C:Q,15,FALSE)</f>
        <v>#N/A</v>
      </c>
      <c r="N308" s="69" t="e">
        <f>VLOOKUP(G308,Input!C:Q,14,FALSE)</f>
        <v>#N/A</v>
      </c>
      <c r="Q308" s="48">
        <v>1</v>
      </c>
      <c r="R308" s="75" t="e">
        <f>VLOOKUP(G308,Input!C:H,5,FALSE)</f>
        <v>#N/A</v>
      </c>
      <c r="T308" s="47">
        <v>1</v>
      </c>
      <c r="U308" s="47" t="str">
        <f t="shared" si="4"/>
        <v>307,307,**,</v>
      </c>
      <c r="AC308" s="47">
        <v>307</v>
      </c>
      <c r="AD308" s="47">
        <v>307</v>
      </c>
    </row>
    <row r="309" spans="1:30" ht="15.75">
      <c r="A309" s="13" t="str">
        <f>IFERROR(VLOOKUP($G:$G,scan!$A:$B,2,0),"**")</f>
        <v>**</v>
      </c>
      <c r="B309" s="13" t="str">
        <f>IFERROR(VLOOKUP($G309,scan!A:C,3,0),"**")</f>
        <v>**</v>
      </c>
      <c r="C309" s="47">
        <v>308</v>
      </c>
      <c r="F309" s="78"/>
      <c r="G309" s="43"/>
      <c r="H309" s="47" t="s">
        <v>4926</v>
      </c>
      <c r="I309" s="43">
        <v>6042070338</v>
      </c>
      <c r="J309" s="43" t="s">
        <v>4927</v>
      </c>
      <c r="K309" s="47" t="s">
        <v>4928</v>
      </c>
      <c r="L309" s="67" t="e">
        <f>VLOOKUP(G309,Input!C:Q,12,FALSE)</f>
        <v>#N/A</v>
      </c>
      <c r="M309" s="68" t="e">
        <f>VLOOKUP(G309,Input!C:Q,15,FALSE)</f>
        <v>#N/A</v>
      </c>
      <c r="N309" s="69" t="e">
        <f>VLOOKUP(G309,Input!C:Q,14,FALSE)</f>
        <v>#N/A</v>
      </c>
      <c r="Q309" s="48">
        <v>1</v>
      </c>
      <c r="R309" s="75" t="e">
        <f>VLOOKUP(G309,Input!C:H,5,FALSE)</f>
        <v>#N/A</v>
      </c>
      <c r="T309" s="47">
        <v>1</v>
      </c>
      <c r="U309" s="47" t="str">
        <f t="shared" si="4"/>
        <v>308,308,**,</v>
      </c>
      <c r="AC309" s="47">
        <v>308</v>
      </c>
      <c r="AD309" s="47">
        <v>308</v>
      </c>
    </row>
    <row r="310" spans="1:30" ht="15.75">
      <c r="A310" s="13" t="str">
        <f>IFERROR(VLOOKUP($G:$G,scan!$A:$B,2,0),"**")</f>
        <v>**</v>
      </c>
      <c r="B310" s="13" t="str">
        <f>IFERROR(VLOOKUP($G310,scan!A:C,3,0),"**")</f>
        <v>**</v>
      </c>
      <c r="C310" s="47">
        <v>309</v>
      </c>
      <c r="F310" s="78"/>
      <c r="G310" s="43"/>
      <c r="H310" s="47" t="s">
        <v>4926</v>
      </c>
      <c r="I310" s="43">
        <v>6042070338</v>
      </c>
      <c r="J310" s="43" t="s">
        <v>4927</v>
      </c>
      <c r="K310" s="47" t="s">
        <v>4928</v>
      </c>
      <c r="L310" s="67" t="e">
        <f>VLOOKUP(G310,Input!C:Q,12,FALSE)</f>
        <v>#N/A</v>
      </c>
      <c r="M310" s="68" t="e">
        <f>VLOOKUP(G310,Input!C:Q,15,FALSE)</f>
        <v>#N/A</v>
      </c>
      <c r="N310" s="69" t="e">
        <f>VLOOKUP(G310,Input!C:Q,14,FALSE)</f>
        <v>#N/A</v>
      </c>
      <c r="Q310" s="48">
        <v>1</v>
      </c>
      <c r="R310" s="75" t="e">
        <f>VLOOKUP(G310,Input!C:H,5,FALSE)</f>
        <v>#N/A</v>
      </c>
      <c r="T310" s="47">
        <v>1</v>
      </c>
      <c r="U310" s="47" t="str">
        <f t="shared" si="4"/>
        <v>309,309,**,</v>
      </c>
      <c r="AC310" s="47">
        <v>309</v>
      </c>
      <c r="AD310" s="47">
        <v>309</v>
      </c>
    </row>
    <row r="311" spans="1:30" ht="15.75">
      <c r="A311" s="13" t="str">
        <f>IFERROR(VLOOKUP($G:$G,scan!$A:$B,2,0),"**")</f>
        <v>**</v>
      </c>
      <c r="B311" s="13" t="str">
        <f>IFERROR(VLOOKUP($G311,scan!A:C,3,0),"**")</f>
        <v>**</v>
      </c>
      <c r="C311" s="47">
        <v>310</v>
      </c>
      <c r="F311" s="78"/>
      <c r="G311" s="43"/>
      <c r="H311" s="47" t="s">
        <v>4926</v>
      </c>
      <c r="I311" s="43">
        <v>6042070338</v>
      </c>
      <c r="J311" s="43" t="s">
        <v>4927</v>
      </c>
      <c r="K311" s="47" t="s">
        <v>4928</v>
      </c>
      <c r="L311" s="67" t="e">
        <f>VLOOKUP(G311,Input!C:Q,12,FALSE)</f>
        <v>#N/A</v>
      </c>
      <c r="M311" s="68" t="e">
        <f>VLOOKUP(G311,Input!C:Q,15,FALSE)</f>
        <v>#N/A</v>
      </c>
      <c r="N311" s="69" t="e">
        <f>VLOOKUP(G311,Input!C:Q,14,FALSE)</f>
        <v>#N/A</v>
      </c>
      <c r="Q311" s="48">
        <v>1</v>
      </c>
      <c r="R311" s="75" t="e">
        <f>VLOOKUP(G311,Input!C:H,5,FALSE)</f>
        <v>#N/A</v>
      </c>
      <c r="T311" s="47">
        <v>1</v>
      </c>
      <c r="U311" s="47" t="str">
        <f t="shared" si="4"/>
        <v>310,310,**,</v>
      </c>
      <c r="AC311" s="47">
        <v>310</v>
      </c>
      <c r="AD311" s="47">
        <v>310</v>
      </c>
    </row>
    <row r="312" spans="1:30" ht="15.75">
      <c r="A312" s="13" t="str">
        <f>IFERROR(VLOOKUP($G:$G,scan!$A:$B,2,0),"**")</f>
        <v>**</v>
      </c>
      <c r="B312" s="13" t="str">
        <f>IFERROR(VLOOKUP($G312,scan!A:C,3,0),"**")</f>
        <v>**</v>
      </c>
      <c r="C312" s="47">
        <v>311</v>
      </c>
      <c r="F312" s="78"/>
      <c r="G312" s="43"/>
      <c r="H312" s="47" t="s">
        <v>4926</v>
      </c>
      <c r="I312" s="43">
        <v>6042070338</v>
      </c>
      <c r="J312" s="43" t="s">
        <v>4927</v>
      </c>
      <c r="K312" s="47" t="s">
        <v>4928</v>
      </c>
      <c r="L312" s="67" t="e">
        <f>VLOOKUP(G312,Input!C:Q,12,FALSE)</f>
        <v>#N/A</v>
      </c>
      <c r="M312" s="68" t="e">
        <f>VLOOKUP(G312,Input!C:Q,15,FALSE)</f>
        <v>#N/A</v>
      </c>
      <c r="N312" s="69" t="e">
        <f>VLOOKUP(G312,Input!C:Q,14,FALSE)</f>
        <v>#N/A</v>
      </c>
      <c r="Q312" s="48">
        <v>1</v>
      </c>
      <c r="R312" s="75" t="e">
        <f>VLOOKUP(G312,Input!C:H,5,FALSE)</f>
        <v>#N/A</v>
      </c>
      <c r="T312" s="47">
        <v>1</v>
      </c>
      <c r="U312" s="47" t="str">
        <f t="shared" si="4"/>
        <v>311,311,**,</v>
      </c>
      <c r="AC312" s="47">
        <v>311</v>
      </c>
      <c r="AD312" s="47">
        <v>311</v>
      </c>
    </row>
    <row r="313" spans="1:30" ht="15.75">
      <c r="A313" s="13" t="str">
        <f>IFERROR(VLOOKUP($G:$G,scan!$A:$B,2,0),"**")</f>
        <v>**</v>
      </c>
      <c r="B313" s="13" t="str">
        <f>IFERROR(VLOOKUP($G313,scan!A:C,3,0),"**")</f>
        <v>**</v>
      </c>
      <c r="C313" s="47">
        <v>312</v>
      </c>
      <c r="F313" s="78"/>
      <c r="G313" s="43"/>
      <c r="H313" s="47" t="s">
        <v>4926</v>
      </c>
      <c r="I313" s="43">
        <v>6042070338</v>
      </c>
      <c r="J313" s="43" t="s">
        <v>4927</v>
      </c>
      <c r="K313" s="47" t="s">
        <v>4928</v>
      </c>
      <c r="L313" s="67" t="e">
        <f>VLOOKUP(G313,Input!C:Q,12,FALSE)</f>
        <v>#N/A</v>
      </c>
      <c r="M313" s="68" t="e">
        <f>VLOOKUP(G313,Input!C:Q,15,FALSE)</f>
        <v>#N/A</v>
      </c>
      <c r="N313" s="69" t="e">
        <f>VLOOKUP(G313,Input!C:Q,14,FALSE)</f>
        <v>#N/A</v>
      </c>
      <c r="Q313" s="48">
        <v>1</v>
      </c>
      <c r="R313" s="75" t="e">
        <f>VLOOKUP(G313,Input!C:H,5,FALSE)</f>
        <v>#N/A</v>
      </c>
      <c r="T313" s="47">
        <v>1</v>
      </c>
      <c r="U313" s="47" t="str">
        <f t="shared" si="4"/>
        <v>312,312,**,</v>
      </c>
      <c r="AC313" s="47">
        <v>312</v>
      </c>
      <c r="AD313" s="47">
        <v>312</v>
      </c>
    </row>
    <row r="314" spans="1:30" ht="15.75">
      <c r="A314" s="13" t="str">
        <f>IFERROR(VLOOKUP($G:$G,scan!$A:$B,2,0),"**")</f>
        <v>**</v>
      </c>
      <c r="B314" s="13" t="str">
        <f>IFERROR(VLOOKUP($G314,scan!A:C,3,0),"**")</f>
        <v>**</v>
      </c>
      <c r="C314" s="47">
        <v>313</v>
      </c>
      <c r="F314" s="78"/>
      <c r="G314" s="43"/>
      <c r="H314" s="47" t="s">
        <v>4926</v>
      </c>
      <c r="I314" s="43">
        <v>6042070338</v>
      </c>
      <c r="J314" s="43" t="s">
        <v>4927</v>
      </c>
      <c r="K314" s="47" t="s">
        <v>4928</v>
      </c>
      <c r="L314" s="67" t="e">
        <f>VLOOKUP(G314,Input!C:Q,12,FALSE)</f>
        <v>#N/A</v>
      </c>
      <c r="M314" s="68" t="e">
        <f>VLOOKUP(G314,Input!C:Q,15,FALSE)</f>
        <v>#N/A</v>
      </c>
      <c r="N314" s="69" t="e">
        <f>VLOOKUP(G314,Input!C:Q,14,FALSE)</f>
        <v>#N/A</v>
      </c>
      <c r="Q314" s="48">
        <v>1</v>
      </c>
      <c r="R314" s="75" t="e">
        <f>VLOOKUP(G314,Input!C:H,5,FALSE)</f>
        <v>#N/A</v>
      </c>
      <c r="T314" s="47">
        <v>1</v>
      </c>
      <c r="U314" s="47" t="str">
        <f t="shared" si="4"/>
        <v>313,313,**,</v>
      </c>
      <c r="AC314" s="47">
        <v>313</v>
      </c>
      <c r="AD314" s="47">
        <v>313</v>
      </c>
    </row>
    <row r="315" spans="1:30" ht="15.75">
      <c r="A315" s="13" t="str">
        <f>IFERROR(VLOOKUP($G:$G,scan!$A:$B,2,0),"**")</f>
        <v>**</v>
      </c>
      <c r="B315" s="13" t="str">
        <f>IFERROR(VLOOKUP($G315,scan!A:C,3,0),"**")</f>
        <v>**</v>
      </c>
      <c r="C315" s="47">
        <v>314</v>
      </c>
      <c r="F315" s="78"/>
      <c r="G315" s="43"/>
      <c r="H315" s="47" t="s">
        <v>4926</v>
      </c>
      <c r="I315" s="43">
        <v>6042070338</v>
      </c>
      <c r="J315" s="43" t="s">
        <v>4927</v>
      </c>
      <c r="K315" s="47" t="s">
        <v>4928</v>
      </c>
      <c r="L315" s="67" t="e">
        <f>VLOOKUP(G315,Input!C:Q,12,FALSE)</f>
        <v>#N/A</v>
      </c>
      <c r="M315" s="68" t="e">
        <f>VLOOKUP(G315,Input!C:Q,15,FALSE)</f>
        <v>#N/A</v>
      </c>
      <c r="N315" s="69" t="e">
        <f>VLOOKUP(G315,Input!C:Q,14,FALSE)</f>
        <v>#N/A</v>
      </c>
      <c r="Q315" s="48">
        <v>1</v>
      </c>
      <c r="R315" s="75" t="e">
        <f>VLOOKUP(G315,Input!C:H,5,FALSE)</f>
        <v>#N/A</v>
      </c>
      <c r="T315" s="47">
        <v>1</v>
      </c>
      <c r="U315" s="47" t="str">
        <f t="shared" si="4"/>
        <v>314,314,**,</v>
      </c>
      <c r="AC315" s="47">
        <v>314</v>
      </c>
      <c r="AD315" s="47">
        <v>314</v>
      </c>
    </row>
    <row r="316" spans="1:30" ht="15.75">
      <c r="A316" s="13" t="str">
        <f>IFERROR(VLOOKUP($G:$G,scan!$A:$B,2,0),"**")</f>
        <v>**</v>
      </c>
      <c r="B316" s="13" t="str">
        <f>IFERROR(VLOOKUP($G316,scan!A:C,3,0),"**")</f>
        <v>**</v>
      </c>
      <c r="C316" s="47">
        <v>315</v>
      </c>
      <c r="F316" s="78"/>
      <c r="G316" s="43"/>
      <c r="H316" s="47" t="s">
        <v>4926</v>
      </c>
      <c r="I316" s="43">
        <v>6042070338</v>
      </c>
      <c r="J316" s="43" t="s">
        <v>4927</v>
      </c>
      <c r="K316" s="47" t="s">
        <v>4928</v>
      </c>
      <c r="L316" s="67" t="e">
        <f>VLOOKUP(G316,Input!C:Q,12,FALSE)</f>
        <v>#N/A</v>
      </c>
      <c r="M316" s="68" t="e">
        <f>VLOOKUP(G316,Input!C:Q,15,FALSE)</f>
        <v>#N/A</v>
      </c>
      <c r="N316" s="69" t="e">
        <f>VLOOKUP(G316,Input!C:Q,14,FALSE)</f>
        <v>#N/A</v>
      </c>
      <c r="Q316" s="48">
        <v>1</v>
      </c>
      <c r="R316" s="75" t="e">
        <f>VLOOKUP(G316,Input!C:H,5,FALSE)</f>
        <v>#N/A</v>
      </c>
      <c r="T316" s="47">
        <v>1</v>
      </c>
      <c r="U316" s="47" t="str">
        <f t="shared" si="4"/>
        <v>315,315,**,</v>
      </c>
      <c r="AC316" s="47">
        <v>315</v>
      </c>
      <c r="AD316" s="47">
        <v>315</v>
      </c>
    </row>
    <row r="317" spans="1:30" ht="15.75">
      <c r="A317" s="13" t="str">
        <f>IFERROR(VLOOKUP($G:$G,scan!$A:$B,2,0),"**")</f>
        <v>**</v>
      </c>
      <c r="B317" s="13" t="str">
        <f>IFERROR(VLOOKUP($G317,scan!A:C,3,0),"**")</f>
        <v>**</v>
      </c>
      <c r="C317" s="47">
        <v>316</v>
      </c>
      <c r="F317" s="78"/>
      <c r="G317" s="43"/>
      <c r="H317" s="47" t="s">
        <v>4926</v>
      </c>
      <c r="I317" s="43">
        <v>6042070338</v>
      </c>
      <c r="J317" s="43" t="s">
        <v>4927</v>
      </c>
      <c r="K317" s="47" t="s">
        <v>4928</v>
      </c>
      <c r="L317" s="67" t="e">
        <f>VLOOKUP(G317,Input!C:Q,12,FALSE)</f>
        <v>#N/A</v>
      </c>
      <c r="M317" s="68" t="e">
        <f>VLOOKUP(G317,Input!C:Q,15,FALSE)</f>
        <v>#N/A</v>
      </c>
      <c r="N317" s="69" t="e">
        <f>VLOOKUP(G317,Input!C:Q,14,FALSE)</f>
        <v>#N/A</v>
      </c>
      <c r="Q317" s="48">
        <v>1</v>
      </c>
      <c r="R317" s="75" t="e">
        <f>VLOOKUP(G317,Input!C:H,5,FALSE)</f>
        <v>#N/A</v>
      </c>
      <c r="T317" s="47">
        <v>1</v>
      </c>
      <c r="U317" s="47" t="str">
        <f t="shared" si="4"/>
        <v>316,316,**,</v>
      </c>
      <c r="AC317" s="47">
        <v>316</v>
      </c>
      <c r="AD317" s="47">
        <v>316</v>
      </c>
    </row>
    <row r="318" spans="1:30" ht="15.75">
      <c r="A318" s="13" t="str">
        <f>IFERROR(VLOOKUP($G:$G,scan!$A:$B,2,0),"**")</f>
        <v>**</v>
      </c>
      <c r="B318" s="13" t="str">
        <f>IFERROR(VLOOKUP($G318,scan!A:C,3,0),"**")</f>
        <v>**</v>
      </c>
      <c r="C318" s="47">
        <v>317</v>
      </c>
      <c r="F318" s="78"/>
      <c r="G318" s="43"/>
      <c r="H318" s="47" t="s">
        <v>4926</v>
      </c>
      <c r="I318" s="43">
        <v>6042070338</v>
      </c>
      <c r="J318" s="43" t="s">
        <v>4927</v>
      </c>
      <c r="K318" s="47" t="s">
        <v>4928</v>
      </c>
      <c r="L318" s="67" t="e">
        <f>VLOOKUP(G318,Input!C:Q,12,FALSE)</f>
        <v>#N/A</v>
      </c>
      <c r="M318" s="68" t="e">
        <f>VLOOKUP(G318,Input!C:Q,15,FALSE)</f>
        <v>#N/A</v>
      </c>
      <c r="N318" s="69" t="e">
        <f>VLOOKUP(G318,Input!C:Q,14,FALSE)</f>
        <v>#N/A</v>
      </c>
      <c r="Q318" s="48">
        <v>1</v>
      </c>
      <c r="R318" s="75" t="e">
        <f>VLOOKUP(G318,Input!C:H,5,FALSE)</f>
        <v>#N/A</v>
      </c>
      <c r="T318" s="47">
        <v>1</v>
      </c>
      <c r="U318" s="47" t="str">
        <f t="shared" si="4"/>
        <v>317,317,**,</v>
      </c>
      <c r="AC318" s="47">
        <v>317</v>
      </c>
      <c r="AD318" s="47">
        <v>317</v>
      </c>
    </row>
    <row r="319" spans="1:30" ht="15.75">
      <c r="A319" s="13" t="str">
        <f>IFERROR(VLOOKUP($G:$G,scan!$A:$B,2,0),"**")</f>
        <v>**</v>
      </c>
      <c r="B319" s="13" t="str">
        <f>IFERROR(VLOOKUP($G319,scan!A:C,3,0),"**")</f>
        <v>**</v>
      </c>
      <c r="C319" s="47">
        <v>318</v>
      </c>
      <c r="F319" s="78"/>
      <c r="G319" s="43"/>
      <c r="H319" s="47" t="s">
        <v>4926</v>
      </c>
      <c r="I319" s="43">
        <v>6042070338</v>
      </c>
      <c r="J319" s="43" t="s">
        <v>4927</v>
      </c>
      <c r="K319" s="47" t="s">
        <v>4928</v>
      </c>
      <c r="L319" s="67" t="e">
        <f>VLOOKUP(G319,Input!C:Q,12,FALSE)</f>
        <v>#N/A</v>
      </c>
      <c r="M319" s="68" t="e">
        <f>VLOOKUP(G319,Input!C:Q,15,FALSE)</f>
        <v>#N/A</v>
      </c>
      <c r="N319" s="69" t="e">
        <f>VLOOKUP(G319,Input!C:Q,14,FALSE)</f>
        <v>#N/A</v>
      </c>
      <c r="Q319" s="48">
        <v>1</v>
      </c>
      <c r="R319" s="75" t="e">
        <f>VLOOKUP(G319,Input!C:H,5,FALSE)</f>
        <v>#N/A</v>
      </c>
      <c r="T319" s="47">
        <v>1</v>
      </c>
      <c r="U319" s="47" t="str">
        <f t="shared" si="4"/>
        <v>318,318,**,</v>
      </c>
      <c r="AC319" s="47">
        <v>318</v>
      </c>
      <c r="AD319" s="47">
        <v>318</v>
      </c>
    </row>
    <row r="320" spans="1:30" ht="15.75">
      <c r="A320" s="13" t="str">
        <f>IFERROR(VLOOKUP($G:$G,scan!$A:$B,2,0),"**")</f>
        <v>**</v>
      </c>
      <c r="B320" s="13" t="str">
        <f>IFERROR(VLOOKUP($G320,scan!A:C,3,0),"**")</f>
        <v>**</v>
      </c>
      <c r="C320" s="47">
        <v>319</v>
      </c>
      <c r="F320" s="78"/>
      <c r="G320" s="43"/>
      <c r="H320" s="47" t="s">
        <v>4926</v>
      </c>
      <c r="I320" s="43">
        <v>6042070338</v>
      </c>
      <c r="J320" s="43" t="s">
        <v>4927</v>
      </c>
      <c r="K320" s="47" t="s">
        <v>4928</v>
      </c>
      <c r="L320" s="67" t="e">
        <f>VLOOKUP(G320,Input!C:Q,12,FALSE)</f>
        <v>#N/A</v>
      </c>
      <c r="M320" s="68" t="e">
        <f>VLOOKUP(G320,Input!C:Q,15,FALSE)</f>
        <v>#N/A</v>
      </c>
      <c r="N320" s="69" t="e">
        <f>VLOOKUP(G320,Input!C:Q,14,FALSE)</f>
        <v>#N/A</v>
      </c>
      <c r="Q320" s="48">
        <v>1</v>
      </c>
      <c r="R320" s="75" t="e">
        <f>VLOOKUP(G320,Input!C:H,5,FALSE)</f>
        <v>#N/A</v>
      </c>
      <c r="T320" s="47">
        <v>1</v>
      </c>
      <c r="U320" s="47" t="str">
        <f t="shared" si="4"/>
        <v>319,319,**,</v>
      </c>
      <c r="AC320" s="47">
        <v>319</v>
      </c>
      <c r="AD320" s="47">
        <v>319</v>
      </c>
    </row>
    <row r="321" spans="1:30" ht="15.75">
      <c r="A321" s="13" t="str">
        <f>IFERROR(VLOOKUP($G:$G,scan!$A:$B,2,0),"**")</f>
        <v>**</v>
      </c>
      <c r="B321" s="13" t="str">
        <f>IFERROR(VLOOKUP($G321,scan!A:C,3,0),"**")</f>
        <v>**</v>
      </c>
      <c r="C321" s="47">
        <v>320</v>
      </c>
      <c r="F321" s="78"/>
      <c r="G321" s="43"/>
      <c r="H321" s="47" t="s">
        <v>4926</v>
      </c>
      <c r="I321" s="43">
        <v>6042070338</v>
      </c>
      <c r="J321" s="43" t="s">
        <v>4927</v>
      </c>
      <c r="K321" s="47" t="s">
        <v>4928</v>
      </c>
      <c r="L321" s="67" t="e">
        <f>VLOOKUP(G321,Input!C:Q,12,FALSE)</f>
        <v>#N/A</v>
      </c>
      <c r="M321" s="68" t="e">
        <f>VLOOKUP(G321,Input!C:Q,15,FALSE)</f>
        <v>#N/A</v>
      </c>
      <c r="N321" s="69" t="e">
        <f>VLOOKUP(G321,Input!C:Q,14,FALSE)</f>
        <v>#N/A</v>
      </c>
      <c r="Q321" s="48">
        <v>1</v>
      </c>
      <c r="R321" s="75" t="e">
        <f>VLOOKUP(G321,Input!C:H,5,FALSE)</f>
        <v>#N/A</v>
      </c>
      <c r="T321" s="47">
        <v>1</v>
      </c>
      <c r="U321" s="47" t="str">
        <f t="shared" si="4"/>
        <v>320,320,**,</v>
      </c>
      <c r="AC321" s="47">
        <v>320</v>
      </c>
      <c r="AD321" s="47">
        <v>320</v>
      </c>
    </row>
    <row r="322" spans="1:30" ht="15.75">
      <c r="A322" s="13" t="str">
        <f>IFERROR(VLOOKUP($G:$G,scan!$A:$B,2,0),"**")</f>
        <v>**</v>
      </c>
      <c r="B322" s="13" t="str">
        <f>IFERROR(VLOOKUP($G322,scan!A:C,3,0),"**")</f>
        <v>**</v>
      </c>
      <c r="C322" s="47">
        <v>321</v>
      </c>
      <c r="F322" s="78"/>
      <c r="G322" s="43"/>
      <c r="H322" s="47" t="s">
        <v>4926</v>
      </c>
      <c r="I322" s="43">
        <v>6042070338</v>
      </c>
      <c r="J322" s="43" t="s">
        <v>4927</v>
      </c>
      <c r="K322" s="47" t="s">
        <v>4928</v>
      </c>
      <c r="L322" s="67" t="e">
        <f>VLOOKUP(G322,Input!C:Q,12,FALSE)</f>
        <v>#N/A</v>
      </c>
      <c r="M322" s="68" t="e">
        <f>VLOOKUP(G322,Input!C:Q,15,FALSE)</f>
        <v>#N/A</v>
      </c>
      <c r="N322" s="69" t="e">
        <f>VLOOKUP(G322,Input!C:Q,14,FALSE)</f>
        <v>#N/A</v>
      </c>
      <c r="Q322" s="48">
        <v>1</v>
      </c>
      <c r="R322" s="75" t="e">
        <f>VLOOKUP(G322,Input!C:H,5,FALSE)</f>
        <v>#N/A</v>
      </c>
      <c r="T322" s="47">
        <v>1</v>
      </c>
      <c r="U322" s="47" t="str">
        <f t="shared" ref="U322:U385" si="5">CONCATENATE(AC322,",",C322,",",B322,",",G322)</f>
        <v>321,321,**,</v>
      </c>
      <c r="AC322" s="47">
        <v>321</v>
      </c>
      <c r="AD322" s="47">
        <v>321</v>
      </c>
    </row>
    <row r="323" spans="1:30" ht="15.75">
      <c r="A323" s="13" t="str">
        <f>IFERROR(VLOOKUP($G:$G,scan!$A:$B,2,0),"**")</f>
        <v>**</v>
      </c>
      <c r="B323" s="13" t="str">
        <f>IFERROR(VLOOKUP($G323,scan!A:C,3,0),"**")</f>
        <v>**</v>
      </c>
      <c r="C323" s="47">
        <v>322</v>
      </c>
      <c r="F323" s="78"/>
      <c r="G323" s="43"/>
      <c r="H323" s="47" t="s">
        <v>4926</v>
      </c>
      <c r="I323" s="43">
        <v>6042070338</v>
      </c>
      <c r="J323" s="43" t="s">
        <v>4927</v>
      </c>
      <c r="K323" s="47" t="s">
        <v>4928</v>
      </c>
      <c r="L323" s="67" t="e">
        <f>VLOOKUP(G323,Input!C:Q,12,FALSE)</f>
        <v>#N/A</v>
      </c>
      <c r="M323" s="68" t="e">
        <f>VLOOKUP(G323,Input!C:Q,15,FALSE)</f>
        <v>#N/A</v>
      </c>
      <c r="N323" s="69" t="e">
        <f>VLOOKUP(G323,Input!C:Q,14,FALSE)</f>
        <v>#N/A</v>
      </c>
      <c r="Q323" s="48">
        <v>1</v>
      </c>
      <c r="R323" s="75" t="e">
        <f>VLOOKUP(G323,Input!C:H,5,FALSE)</f>
        <v>#N/A</v>
      </c>
      <c r="T323" s="47">
        <v>1</v>
      </c>
      <c r="U323" s="47" t="str">
        <f t="shared" si="5"/>
        <v>322,322,**,</v>
      </c>
      <c r="AC323" s="47">
        <v>322</v>
      </c>
      <c r="AD323" s="47">
        <v>322</v>
      </c>
    </row>
    <row r="324" spans="1:30" ht="15.75">
      <c r="A324" s="13" t="str">
        <f>IFERROR(VLOOKUP($G:$G,scan!$A:$B,2,0),"**")</f>
        <v>**</v>
      </c>
      <c r="B324" s="13" t="str">
        <f>IFERROR(VLOOKUP($G324,scan!A:C,3,0),"**")</f>
        <v>**</v>
      </c>
      <c r="C324" s="47">
        <v>323</v>
      </c>
      <c r="F324" s="78"/>
      <c r="G324" s="43"/>
      <c r="H324" s="47" t="s">
        <v>4926</v>
      </c>
      <c r="I324" s="43">
        <v>6042070338</v>
      </c>
      <c r="J324" s="43" t="s">
        <v>4927</v>
      </c>
      <c r="K324" s="47" t="s">
        <v>4928</v>
      </c>
      <c r="L324" s="67" t="e">
        <f>VLOOKUP(G324,Input!C:Q,12,FALSE)</f>
        <v>#N/A</v>
      </c>
      <c r="M324" s="68" t="e">
        <f>VLOOKUP(G324,Input!C:Q,15,FALSE)</f>
        <v>#N/A</v>
      </c>
      <c r="N324" s="69" t="e">
        <f>VLOOKUP(G324,Input!C:Q,14,FALSE)</f>
        <v>#N/A</v>
      </c>
      <c r="Q324" s="48">
        <v>1</v>
      </c>
      <c r="R324" s="75" t="e">
        <f>VLOOKUP(G324,Input!C:H,5,FALSE)</f>
        <v>#N/A</v>
      </c>
      <c r="T324" s="47">
        <v>1</v>
      </c>
      <c r="U324" s="47" t="str">
        <f t="shared" si="5"/>
        <v>323,323,**,</v>
      </c>
      <c r="AC324" s="47">
        <v>323</v>
      </c>
      <c r="AD324" s="47">
        <v>323</v>
      </c>
    </row>
    <row r="325" spans="1:30" ht="15.75">
      <c r="A325" s="13" t="str">
        <f>IFERROR(VLOOKUP($G:$G,scan!$A:$B,2,0),"**")</f>
        <v>**</v>
      </c>
      <c r="B325" s="13" t="str">
        <f>IFERROR(VLOOKUP($G325,scan!A:C,3,0),"**")</f>
        <v>**</v>
      </c>
      <c r="C325" s="47">
        <v>324</v>
      </c>
      <c r="F325" s="78"/>
      <c r="G325" s="43"/>
      <c r="H325" s="47" t="s">
        <v>4926</v>
      </c>
      <c r="I325" s="43">
        <v>6042070338</v>
      </c>
      <c r="J325" s="43" t="s">
        <v>4927</v>
      </c>
      <c r="K325" s="47" t="s">
        <v>4928</v>
      </c>
      <c r="L325" s="67" t="e">
        <f>VLOOKUP(G325,Input!C:Q,12,FALSE)</f>
        <v>#N/A</v>
      </c>
      <c r="M325" s="68" t="e">
        <f>VLOOKUP(G325,Input!C:Q,15,FALSE)</f>
        <v>#N/A</v>
      </c>
      <c r="N325" s="69" t="e">
        <f>VLOOKUP(G325,Input!C:Q,14,FALSE)</f>
        <v>#N/A</v>
      </c>
      <c r="Q325" s="48">
        <v>1</v>
      </c>
      <c r="R325" s="75" t="e">
        <f>VLOOKUP(G325,Input!C:H,5,FALSE)</f>
        <v>#N/A</v>
      </c>
      <c r="T325" s="47">
        <v>1</v>
      </c>
      <c r="U325" s="47" t="str">
        <f t="shared" si="5"/>
        <v>324,324,**,</v>
      </c>
      <c r="AC325" s="47">
        <v>324</v>
      </c>
      <c r="AD325" s="47">
        <v>324</v>
      </c>
    </row>
    <row r="326" spans="1:30" ht="15.75">
      <c r="A326" s="13" t="str">
        <f>IFERROR(VLOOKUP($G:$G,scan!$A:$B,2,0),"**")</f>
        <v>**</v>
      </c>
      <c r="B326" s="13" t="str">
        <f>IFERROR(VLOOKUP($G326,scan!A:C,3,0),"**")</f>
        <v>**</v>
      </c>
      <c r="C326" s="47">
        <v>325</v>
      </c>
      <c r="F326" s="78"/>
      <c r="G326" s="43"/>
      <c r="H326" s="47" t="s">
        <v>4926</v>
      </c>
      <c r="I326" s="43">
        <v>6042070338</v>
      </c>
      <c r="J326" s="43" t="s">
        <v>4927</v>
      </c>
      <c r="K326" s="47" t="s">
        <v>4928</v>
      </c>
      <c r="L326" s="67" t="e">
        <f>VLOOKUP(G326,Input!C:Q,12,FALSE)</f>
        <v>#N/A</v>
      </c>
      <c r="M326" s="68" t="e">
        <f>VLOOKUP(G326,Input!C:Q,15,FALSE)</f>
        <v>#N/A</v>
      </c>
      <c r="N326" s="69" t="e">
        <f>VLOOKUP(G326,Input!C:Q,14,FALSE)</f>
        <v>#N/A</v>
      </c>
      <c r="Q326" s="48">
        <v>1</v>
      </c>
      <c r="R326" s="75" t="e">
        <f>VLOOKUP(G326,Input!C:H,5,FALSE)</f>
        <v>#N/A</v>
      </c>
      <c r="T326" s="47">
        <v>1</v>
      </c>
      <c r="U326" s="47" t="str">
        <f t="shared" si="5"/>
        <v>325,325,**,</v>
      </c>
      <c r="AC326" s="47">
        <v>325</v>
      </c>
      <c r="AD326" s="47">
        <v>325</v>
      </c>
    </row>
    <row r="327" spans="1:30" ht="15.75">
      <c r="A327" s="13" t="str">
        <f>IFERROR(VLOOKUP($G:$G,scan!$A:$B,2,0),"**")</f>
        <v>**</v>
      </c>
      <c r="B327" s="13" t="str">
        <f>IFERROR(VLOOKUP($G327,scan!A:C,3,0),"**")</f>
        <v>**</v>
      </c>
      <c r="C327" s="47">
        <v>326</v>
      </c>
      <c r="F327" s="78"/>
      <c r="G327" s="43"/>
      <c r="H327" s="47" t="s">
        <v>4926</v>
      </c>
      <c r="I327" s="43">
        <v>6042070338</v>
      </c>
      <c r="J327" s="43" t="s">
        <v>4927</v>
      </c>
      <c r="K327" s="47" t="s">
        <v>4928</v>
      </c>
      <c r="L327" s="67" t="e">
        <f>VLOOKUP(G327,Input!C:Q,12,FALSE)</f>
        <v>#N/A</v>
      </c>
      <c r="M327" s="68" t="e">
        <f>VLOOKUP(G327,Input!C:Q,15,FALSE)</f>
        <v>#N/A</v>
      </c>
      <c r="N327" s="69" t="e">
        <f>VLOOKUP(G327,Input!C:Q,14,FALSE)</f>
        <v>#N/A</v>
      </c>
      <c r="Q327" s="48">
        <v>1</v>
      </c>
      <c r="R327" s="75" t="e">
        <f>VLOOKUP(G327,Input!C:H,5,FALSE)</f>
        <v>#N/A</v>
      </c>
      <c r="T327" s="47">
        <v>1</v>
      </c>
      <c r="U327" s="47" t="str">
        <f t="shared" si="5"/>
        <v>326,326,**,</v>
      </c>
      <c r="AC327" s="47">
        <v>326</v>
      </c>
      <c r="AD327" s="47">
        <v>326</v>
      </c>
    </row>
    <row r="328" spans="1:30" ht="15.75">
      <c r="A328" s="13" t="str">
        <f>IFERROR(VLOOKUP($G:$G,scan!$A:$B,2,0),"**")</f>
        <v>**</v>
      </c>
      <c r="B328" s="13" t="str">
        <f>IFERROR(VLOOKUP($G328,scan!A:C,3,0),"**")</f>
        <v>**</v>
      </c>
      <c r="C328" s="47">
        <v>327</v>
      </c>
      <c r="F328" s="78"/>
      <c r="G328" s="43"/>
      <c r="H328" s="47" t="s">
        <v>4926</v>
      </c>
      <c r="I328" s="43">
        <v>6042070338</v>
      </c>
      <c r="J328" s="43" t="s">
        <v>4927</v>
      </c>
      <c r="K328" s="47" t="s">
        <v>4928</v>
      </c>
      <c r="L328" s="67" t="e">
        <f>VLOOKUP(G328,Input!C:Q,12,FALSE)</f>
        <v>#N/A</v>
      </c>
      <c r="M328" s="68" t="e">
        <f>VLOOKUP(G328,Input!C:Q,15,FALSE)</f>
        <v>#N/A</v>
      </c>
      <c r="N328" s="69" t="e">
        <f>VLOOKUP(G328,Input!C:Q,14,FALSE)</f>
        <v>#N/A</v>
      </c>
      <c r="Q328" s="48">
        <v>1</v>
      </c>
      <c r="R328" s="75" t="e">
        <f>VLOOKUP(G328,Input!C:H,5,FALSE)</f>
        <v>#N/A</v>
      </c>
      <c r="T328" s="47">
        <v>1</v>
      </c>
      <c r="U328" s="47" t="str">
        <f t="shared" si="5"/>
        <v>327,327,**,</v>
      </c>
      <c r="AC328" s="47">
        <v>327</v>
      </c>
      <c r="AD328" s="47">
        <v>327</v>
      </c>
    </row>
    <row r="329" spans="1:30" ht="15.75">
      <c r="A329" s="13" t="str">
        <f>IFERROR(VLOOKUP($G:$G,scan!$A:$B,2,0),"**")</f>
        <v>**</v>
      </c>
      <c r="B329" s="13" t="str">
        <f>IFERROR(VLOOKUP($G329,scan!A:C,3,0),"**")</f>
        <v>**</v>
      </c>
      <c r="C329" s="47">
        <v>328</v>
      </c>
      <c r="F329" s="78"/>
      <c r="G329" s="43"/>
      <c r="H329" s="47" t="s">
        <v>4926</v>
      </c>
      <c r="I329" s="43">
        <v>6042070338</v>
      </c>
      <c r="J329" s="43" t="s">
        <v>4927</v>
      </c>
      <c r="K329" s="47" t="s">
        <v>4928</v>
      </c>
      <c r="L329" s="67" t="e">
        <f>VLOOKUP(G329,Input!C:Q,12,FALSE)</f>
        <v>#N/A</v>
      </c>
      <c r="M329" s="68" t="e">
        <f>VLOOKUP(G329,Input!C:Q,15,FALSE)</f>
        <v>#N/A</v>
      </c>
      <c r="N329" s="69" t="e">
        <f>VLOOKUP(G329,Input!C:Q,14,FALSE)</f>
        <v>#N/A</v>
      </c>
      <c r="Q329" s="48">
        <v>1</v>
      </c>
      <c r="R329" s="75" t="e">
        <f>VLOOKUP(G329,Input!C:H,5,FALSE)</f>
        <v>#N/A</v>
      </c>
      <c r="T329" s="47">
        <v>1</v>
      </c>
      <c r="U329" s="47" t="str">
        <f t="shared" si="5"/>
        <v>328,328,**,</v>
      </c>
      <c r="AC329" s="47">
        <v>328</v>
      </c>
      <c r="AD329" s="47">
        <v>328</v>
      </c>
    </row>
    <row r="330" spans="1:30" ht="15.75">
      <c r="A330" s="13" t="str">
        <f>IFERROR(VLOOKUP($G:$G,scan!$A:$B,2,0),"**")</f>
        <v>**</v>
      </c>
      <c r="B330" s="13" t="str">
        <f>IFERROR(VLOOKUP($G330,scan!A:C,3,0),"**")</f>
        <v>**</v>
      </c>
      <c r="C330" s="47">
        <v>329</v>
      </c>
      <c r="F330" s="78"/>
      <c r="G330" s="43"/>
      <c r="H330" s="47" t="s">
        <v>4926</v>
      </c>
      <c r="I330" s="43">
        <v>6042070338</v>
      </c>
      <c r="J330" s="43" t="s">
        <v>4927</v>
      </c>
      <c r="K330" s="47" t="s">
        <v>4928</v>
      </c>
      <c r="L330" s="67" t="e">
        <f>VLOOKUP(G330,Input!C:Q,12,FALSE)</f>
        <v>#N/A</v>
      </c>
      <c r="M330" s="68" t="e">
        <f>VLOOKUP(G330,Input!C:Q,15,FALSE)</f>
        <v>#N/A</v>
      </c>
      <c r="N330" s="69" t="e">
        <f>VLOOKUP(G330,Input!C:Q,14,FALSE)</f>
        <v>#N/A</v>
      </c>
      <c r="Q330" s="48">
        <v>1</v>
      </c>
      <c r="R330" s="75" t="e">
        <f>VLOOKUP(G330,Input!C:H,5,FALSE)</f>
        <v>#N/A</v>
      </c>
      <c r="T330" s="47">
        <v>1</v>
      </c>
      <c r="U330" s="47" t="str">
        <f t="shared" si="5"/>
        <v>329,329,**,</v>
      </c>
      <c r="AC330" s="47">
        <v>329</v>
      </c>
      <c r="AD330" s="47">
        <v>329</v>
      </c>
    </row>
    <row r="331" spans="1:30" ht="15.75">
      <c r="A331" s="13" t="str">
        <f>IFERROR(VLOOKUP($G:$G,scan!$A:$B,2,0),"**")</f>
        <v>**</v>
      </c>
      <c r="B331" s="13" t="str">
        <f>IFERROR(VLOOKUP($G331,scan!A:C,3,0),"**")</f>
        <v>**</v>
      </c>
      <c r="C331" s="47">
        <v>330</v>
      </c>
      <c r="F331" s="78"/>
      <c r="G331" s="43"/>
      <c r="H331" s="47" t="s">
        <v>4926</v>
      </c>
      <c r="I331" s="43">
        <v>6042070338</v>
      </c>
      <c r="J331" s="43" t="s">
        <v>4927</v>
      </c>
      <c r="K331" s="47" t="s">
        <v>4928</v>
      </c>
      <c r="L331" s="67" t="e">
        <f>VLOOKUP(G331,Input!C:Q,12,FALSE)</f>
        <v>#N/A</v>
      </c>
      <c r="M331" s="68" t="e">
        <f>VLOOKUP(G331,Input!C:Q,15,FALSE)</f>
        <v>#N/A</v>
      </c>
      <c r="N331" s="69" t="e">
        <f>VLOOKUP(G331,Input!C:Q,14,FALSE)</f>
        <v>#N/A</v>
      </c>
      <c r="Q331" s="48">
        <v>1</v>
      </c>
      <c r="R331" s="75" t="e">
        <f>VLOOKUP(G331,Input!C:H,5,FALSE)</f>
        <v>#N/A</v>
      </c>
      <c r="T331" s="47">
        <v>1</v>
      </c>
      <c r="U331" s="47" t="str">
        <f t="shared" si="5"/>
        <v>330,330,**,</v>
      </c>
      <c r="AC331" s="47">
        <v>330</v>
      </c>
      <c r="AD331" s="47">
        <v>330</v>
      </c>
    </row>
    <row r="332" spans="1:30" ht="15.75">
      <c r="A332" s="13" t="str">
        <f>IFERROR(VLOOKUP($G:$G,scan!$A:$B,2,0),"**")</f>
        <v>**</v>
      </c>
      <c r="B332" s="13" t="str">
        <f>IFERROR(VLOOKUP($G332,scan!A:C,3,0),"**")</f>
        <v>**</v>
      </c>
      <c r="C332" s="47">
        <v>331</v>
      </c>
      <c r="F332" s="78"/>
      <c r="G332" s="43"/>
      <c r="H332" s="47" t="s">
        <v>4926</v>
      </c>
      <c r="I332" s="43">
        <v>6042070338</v>
      </c>
      <c r="J332" s="43" t="s">
        <v>4927</v>
      </c>
      <c r="K332" s="47" t="s">
        <v>4928</v>
      </c>
      <c r="L332" s="67" t="e">
        <f>VLOOKUP(G332,Input!C:Q,12,FALSE)</f>
        <v>#N/A</v>
      </c>
      <c r="M332" s="68" t="e">
        <f>VLOOKUP(G332,Input!C:Q,15,FALSE)</f>
        <v>#N/A</v>
      </c>
      <c r="N332" s="69" t="e">
        <f>VLOOKUP(G332,Input!C:Q,14,FALSE)</f>
        <v>#N/A</v>
      </c>
      <c r="Q332" s="48">
        <v>1</v>
      </c>
      <c r="R332" s="75" t="e">
        <f>VLOOKUP(G332,Input!C:H,5,FALSE)</f>
        <v>#N/A</v>
      </c>
      <c r="T332" s="47">
        <v>1</v>
      </c>
      <c r="U332" s="47" t="str">
        <f t="shared" si="5"/>
        <v>331,331,**,</v>
      </c>
      <c r="AC332" s="47">
        <v>331</v>
      </c>
      <c r="AD332" s="47">
        <v>331</v>
      </c>
    </row>
    <row r="333" spans="1:30" ht="15.75">
      <c r="A333" s="13" t="str">
        <f>IFERROR(VLOOKUP($G:$G,scan!$A:$B,2,0),"**")</f>
        <v>**</v>
      </c>
      <c r="B333" s="13" t="str">
        <f>IFERROR(VLOOKUP($G333,scan!A:C,3,0),"**")</f>
        <v>**</v>
      </c>
      <c r="C333" s="47">
        <v>332</v>
      </c>
      <c r="F333" s="78"/>
      <c r="G333" s="43"/>
      <c r="H333" s="47" t="s">
        <v>4926</v>
      </c>
      <c r="I333" s="43">
        <v>6042070338</v>
      </c>
      <c r="J333" s="43" t="s">
        <v>4927</v>
      </c>
      <c r="K333" s="47" t="s">
        <v>4928</v>
      </c>
      <c r="L333" s="67" t="e">
        <f>VLOOKUP(G333,Input!C:Q,12,FALSE)</f>
        <v>#N/A</v>
      </c>
      <c r="M333" s="68" t="e">
        <f>VLOOKUP(G333,Input!C:Q,15,FALSE)</f>
        <v>#N/A</v>
      </c>
      <c r="N333" s="69" t="e">
        <f>VLOOKUP(G333,Input!C:Q,14,FALSE)</f>
        <v>#N/A</v>
      </c>
      <c r="Q333" s="48">
        <v>1</v>
      </c>
      <c r="R333" s="75" t="e">
        <f>VLOOKUP(G333,Input!C:H,5,FALSE)</f>
        <v>#N/A</v>
      </c>
      <c r="T333" s="47">
        <v>1</v>
      </c>
      <c r="U333" s="47" t="str">
        <f t="shared" si="5"/>
        <v>332,332,**,</v>
      </c>
      <c r="AC333" s="47">
        <v>332</v>
      </c>
      <c r="AD333" s="47">
        <v>332</v>
      </c>
    </row>
    <row r="334" spans="1:30" ht="15.75">
      <c r="A334" s="13" t="str">
        <f>IFERROR(VLOOKUP($G:$G,scan!$A:$B,2,0),"**")</f>
        <v>**</v>
      </c>
      <c r="B334" s="13" t="str">
        <f>IFERROR(VLOOKUP($G334,scan!A:C,3,0),"**")</f>
        <v>**</v>
      </c>
      <c r="C334" s="47">
        <v>333</v>
      </c>
      <c r="F334" s="78"/>
      <c r="G334" s="43"/>
      <c r="H334" s="47" t="s">
        <v>4926</v>
      </c>
      <c r="I334" s="43">
        <v>6042070338</v>
      </c>
      <c r="J334" s="43" t="s">
        <v>4927</v>
      </c>
      <c r="K334" s="47" t="s">
        <v>4928</v>
      </c>
      <c r="L334" s="67" t="e">
        <f>VLOOKUP(G334,Input!C:Q,12,FALSE)</f>
        <v>#N/A</v>
      </c>
      <c r="M334" s="68" t="e">
        <f>VLOOKUP(G334,Input!C:Q,15,FALSE)</f>
        <v>#N/A</v>
      </c>
      <c r="N334" s="69" t="e">
        <f>VLOOKUP(G334,Input!C:Q,14,FALSE)</f>
        <v>#N/A</v>
      </c>
      <c r="Q334" s="48">
        <v>1</v>
      </c>
      <c r="R334" s="75" t="e">
        <f>VLOOKUP(G334,Input!C:H,5,FALSE)</f>
        <v>#N/A</v>
      </c>
      <c r="T334" s="47">
        <v>1</v>
      </c>
      <c r="U334" s="47" t="str">
        <f t="shared" si="5"/>
        <v>333,333,**,</v>
      </c>
      <c r="AC334" s="47">
        <v>333</v>
      </c>
      <c r="AD334" s="47">
        <v>333</v>
      </c>
    </row>
    <row r="335" spans="1:30" ht="15.75">
      <c r="A335" s="13" t="str">
        <f>IFERROR(VLOOKUP($G:$G,scan!$A:$B,2,0),"**")</f>
        <v>**</v>
      </c>
      <c r="B335" s="13" t="str">
        <f>IFERROR(VLOOKUP($G335,scan!A:C,3,0),"**")</f>
        <v>**</v>
      </c>
      <c r="C335" s="47">
        <v>334</v>
      </c>
      <c r="F335" s="78"/>
      <c r="G335" s="43"/>
      <c r="H335" s="47" t="s">
        <v>4926</v>
      </c>
      <c r="I335" s="43">
        <v>6042070338</v>
      </c>
      <c r="J335" s="43" t="s">
        <v>4927</v>
      </c>
      <c r="K335" s="47" t="s">
        <v>4928</v>
      </c>
      <c r="L335" s="67" t="e">
        <f>VLOOKUP(G335,Input!C:Q,12,FALSE)</f>
        <v>#N/A</v>
      </c>
      <c r="M335" s="68" t="e">
        <f>VLOOKUP(G335,Input!C:Q,15,FALSE)</f>
        <v>#N/A</v>
      </c>
      <c r="N335" s="69" t="e">
        <f>VLOOKUP(G335,Input!C:Q,14,FALSE)</f>
        <v>#N/A</v>
      </c>
      <c r="Q335" s="48">
        <v>1</v>
      </c>
      <c r="R335" s="75" t="e">
        <f>VLOOKUP(G335,Input!C:H,5,FALSE)</f>
        <v>#N/A</v>
      </c>
      <c r="T335" s="47">
        <v>1</v>
      </c>
      <c r="U335" s="47" t="str">
        <f t="shared" si="5"/>
        <v>334,334,**,</v>
      </c>
      <c r="AC335" s="47">
        <v>334</v>
      </c>
      <c r="AD335" s="47">
        <v>334</v>
      </c>
    </row>
    <row r="336" spans="1:30" ht="15.75">
      <c r="A336" s="13" t="str">
        <f>IFERROR(VLOOKUP($G:$G,scan!$A:$B,2,0),"**")</f>
        <v>**</v>
      </c>
      <c r="B336" s="13" t="str">
        <f>IFERROR(VLOOKUP($G336,scan!A:C,3,0),"**")</f>
        <v>**</v>
      </c>
      <c r="C336" s="47">
        <v>335</v>
      </c>
      <c r="F336" s="78"/>
      <c r="G336" s="43"/>
      <c r="H336" s="47" t="s">
        <v>4926</v>
      </c>
      <c r="I336" s="43">
        <v>6042070338</v>
      </c>
      <c r="J336" s="43" t="s">
        <v>4927</v>
      </c>
      <c r="K336" s="47" t="s">
        <v>4928</v>
      </c>
      <c r="L336" s="67" t="e">
        <f>VLOOKUP(G336,Input!C:Q,12,FALSE)</f>
        <v>#N/A</v>
      </c>
      <c r="M336" s="68" t="e">
        <f>VLOOKUP(G336,Input!C:Q,15,FALSE)</f>
        <v>#N/A</v>
      </c>
      <c r="N336" s="69" t="e">
        <f>VLOOKUP(G336,Input!C:Q,14,FALSE)</f>
        <v>#N/A</v>
      </c>
      <c r="Q336" s="48">
        <v>1</v>
      </c>
      <c r="R336" s="75" t="e">
        <f>VLOOKUP(G336,Input!C:H,5,FALSE)</f>
        <v>#N/A</v>
      </c>
      <c r="T336" s="47">
        <v>1</v>
      </c>
      <c r="U336" s="47" t="str">
        <f t="shared" si="5"/>
        <v>335,335,**,</v>
      </c>
      <c r="AC336" s="47">
        <v>335</v>
      </c>
      <c r="AD336" s="47">
        <v>335</v>
      </c>
    </row>
    <row r="337" spans="1:30" ht="15.75">
      <c r="A337" s="13" t="str">
        <f>IFERROR(VLOOKUP($G:$G,scan!$A:$B,2,0),"**")</f>
        <v>**</v>
      </c>
      <c r="B337" s="13" t="str">
        <f>IFERROR(VLOOKUP($G337,scan!A:C,3,0),"**")</f>
        <v>**</v>
      </c>
      <c r="C337" s="47">
        <v>336</v>
      </c>
      <c r="F337" s="78"/>
      <c r="G337" s="43"/>
      <c r="H337" s="47" t="s">
        <v>4926</v>
      </c>
      <c r="I337" s="43">
        <v>6042070338</v>
      </c>
      <c r="J337" s="43" t="s">
        <v>4927</v>
      </c>
      <c r="K337" s="47" t="s">
        <v>4928</v>
      </c>
      <c r="L337" s="67" t="e">
        <f>VLOOKUP(G337,Input!C:Q,12,FALSE)</f>
        <v>#N/A</v>
      </c>
      <c r="M337" s="68" t="e">
        <f>VLOOKUP(G337,Input!C:Q,15,FALSE)</f>
        <v>#N/A</v>
      </c>
      <c r="N337" s="69" t="e">
        <f>VLOOKUP(G337,Input!C:Q,14,FALSE)</f>
        <v>#N/A</v>
      </c>
      <c r="Q337" s="48">
        <v>1</v>
      </c>
      <c r="R337" s="75" t="e">
        <f>VLOOKUP(G337,Input!C:H,5,FALSE)</f>
        <v>#N/A</v>
      </c>
      <c r="T337" s="47">
        <v>1</v>
      </c>
      <c r="U337" s="47" t="str">
        <f t="shared" si="5"/>
        <v>336,336,**,</v>
      </c>
      <c r="AC337" s="47">
        <v>336</v>
      </c>
      <c r="AD337" s="47">
        <v>336</v>
      </c>
    </row>
    <row r="338" spans="1:30" ht="15.75">
      <c r="A338" s="13" t="str">
        <f>IFERROR(VLOOKUP($G:$G,scan!$A:$B,2,0),"**")</f>
        <v>**</v>
      </c>
      <c r="B338" s="13" t="str">
        <f>IFERROR(VLOOKUP($G338,scan!A:C,3,0),"**")</f>
        <v>**</v>
      </c>
      <c r="C338" s="47">
        <v>337</v>
      </c>
      <c r="F338" s="78"/>
      <c r="G338" s="43"/>
      <c r="H338" s="47" t="s">
        <v>4926</v>
      </c>
      <c r="I338" s="43">
        <v>6042070338</v>
      </c>
      <c r="J338" s="43" t="s">
        <v>4927</v>
      </c>
      <c r="K338" s="47" t="s">
        <v>4928</v>
      </c>
      <c r="L338" s="67" t="e">
        <f>VLOOKUP(G338,Input!C:Q,12,FALSE)</f>
        <v>#N/A</v>
      </c>
      <c r="M338" s="68" t="e">
        <f>VLOOKUP(G338,Input!C:Q,15,FALSE)</f>
        <v>#N/A</v>
      </c>
      <c r="N338" s="69" t="e">
        <f>VLOOKUP(G338,Input!C:Q,14,FALSE)</f>
        <v>#N/A</v>
      </c>
      <c r="Q338" s="48">
        <v>1</v>
      </c>
      <c r="R338" s="75" t="e">
        <f>VLOOKUP(G338,Input!C:H,5,FALSE)</f>
        <v>#N/A</v>
      </c>
      <c r="T338" s="47">
        <v>1</v>
      </c>
      <c r="U338" s="47" t="str">
        <f t="shared" si="5"/>
        <v>337,337,**,</v>
      </c>
      <c r="AC338" s="47">
        <v>337</v>
      </c>
      <c r="AD338" s="47">
        <v>337</v>
      </c>
    </row>
    <row r="339" spans="1:30" ht="15.75">
      <c r="A339" s="13" t="str">
        <f>IFERROR(VLOOKUP($G:$G,scan!$A:$B,2,0),"**")</f>
        <v>**</v>
      </c>
      <c r="B339" s="13" t="str">
        <f>IFERROR(VLOOKUP($G339,scan!A:C,3,0),"**")</f>
        <v>**</v>
      </c>
      <c r="C339" s="47">
        <v>338</v>
      </c>
      <c r="F339" s="78"/>
      <c r="G339" s="43"/>
      <c r="H339" s="47" t="s">
        <v>4926</v>
      </c>
      <c r="I339" s="43">
        <v>6042070338</v>
      </c>
      <c r="J339" s="43" t="s">
        <v>4927</v>
      </c>
      <c r="K339" s="47" t="s">
        <v>4928</v>
      </c>
      <c r="L339" s="67" t="e">
        <f>VLOOKUP(G339,Input!C:Q,12,FALSE)</f>
        <v>#N/A</v>
      </c>
      <c r="M339" s="68" t="e">
        <f>VLOOKUP(G339,Input!C:Q,15,FALSE)</f>
        <v>#N/A</v>
      </c>
      <c r="N339" s="69" t="e">
        <f>VLOOKUP(G339,Input!C:Q,14,FALSE)</f>
        <v>#N/A</v>
      </c>
      <c r="Q339" s="48">
        <v>1</v>
      </c>
      <c r="R339" s="75" t="e">
        <f>VLOOKUP(G339,Input!C:H,5,FALSE)</f>
        <v>#N/A</v>
      </c>
      <c r="T339" s="47">
        <v>1</v>
      </c>
      <c r="U339" s="47" t="str">
        <f t="shared" si="5"/>
        <v>338,338,**,</v>
      </c>
      <c r="AC339" s="47">
        <v>338</v>
      </c>
      <c r="AD339" s="47">
        <v>338</v>
      </c>
    </row>
    <row r="340" spans="1:30" ht="15.75">
      <c r="A340" s="13" t="str">
        <f>IFERROR(VLOOKUP($G:$G,scan!$A:$B,2,0),"**")</f>
        <v>**</v>
      </c>
      <c r="B340" s="13" t="str">
        <f>IFERROR(VLOOKUP($G340,scan!A:C,3,0),"**")</f>
        <v>**</v>
      </c>
      <c r="C340" s="47">
        <v>339</v>
      </c>
      <c r="F340" s="78"/>
      <c r="G340" s="58"/>
      <c r="H340" s="47" t="s">
        <v>4926</v>
      </c>
      <c r="I340" s="43">
        <v>6042070338</v>
      </c>
      <c r="J340" s="43" t="s">
        <v>4927</v>
      </c>
      <c r="K340" s="47" t="s">
        <v>4928</v>
      </c>
      <c r="L340" s="67" t="e">
        <f>VLOOKUP(G340,Input!C:Q,12,FALSE)</f>
        <v>#N/A</v>
      </c>
      <c r="M340" s="68" t="e">
        <f>VLOOKUP(G340,Input!C:Q,15,FALSE)</f>
        <v>#N/A</v>
      </c>
      <c r="N340" s="69" t="e">
        <f>VLOOKUP(G340,Input!C:Q,14,FALSE)</f>
        <v>#N/A</v>
      </c>
      <c r="Q340" s="48">
        <v>1</v>
      </c>
      <c r="R340" s="75" t="e">
        <f>VLOOKUP(G340,Input!C:H,5,FALSE)</f>
        <v>#N/A</v>
      </c>
      <c r="T340" s="47">
        <v>1</v>
      </c>
      <c r="U340" s="47" t="str">
        <f t="shared" si="5"/>
        <v>339,339,**,</v>
      </c>
      <c r="AC340" s="47">
        <v>339</v>
      </c>
      <c r="AD340" s="47">
        <v>339</v>
      </c>
    </row>
    <row r="341" spans="1:30" ht="15.75">
      <c r="A341" s="13" t="str">
        <f>IFERROR(VLOOKUP($G:$G,scan!$A:$B,2,0),"**")</f>
        <v>**</v>
      </c>
      <c r="B341" s="13" t="str">
        <f>IFERROR(VLOOKUP($G341,scan!A:C,3,0),"**")</f>
        <v>**</v>
      </c>
      <c r="C341" s="47">
        <v>340</v>
      </c>
      <c r="F341" s="78"/>
      <c r="G341" s="58"/>
      <c r="H341" s="47" t="s">
        <v>4926</v>
      </c>
      <c r="I341" s="43">
        <v>6042070338</v>
      </c>
      <c r="J341" s="43" t="s">
        <v>4927</v>
      </c>
      <c r="K341" s="47" t="s">
        <v>4928</v>
      </c>
      <c r="L341" s="67" t="e">
        <f>VLOOKUP(G341,Input!C:Q,12,FALSE)</f>
        <v>#N/A</v>
      </c>
      <c r="M341" s="68" t="e">
        <f>VLOOKUP(G341,Input!C:Q,15,FALSE)</f>
        <v>#N/A</v>
      </c>
      <c r="N341" s="69" t="e">
        <f>VLOOKUP(G341,Input!C:Q,14,FALSE)</f>
        <v>#N/A</v>
      </c>
      <c r="Q341" s="48">
        <v>1</v>
      </c>
      <c r="R341" s="75" t="e">
        <f>VLOOKUP(G341,Input!C:H,5,FALSE)</f>
        <v>#N/A</v>
      </c>
      <c r="T341" s="47">
        <v>1</v>
      </c>
      <c r="U341" s="47" t="str">
        <f t="shared" si="5"/>
        <v>340,340,**,</v>
      </c>
      <c r="AC341" s="47">
        <v>340</v>
      </c>
      <c r="AD341" s="47">
        <v>340</v>
      </c>
    </row>
    <row r="342" spans="1:30" ht="15.75">
      <c r="A342" s="13" t="str">
        <f>IFERROR(VLOOKUP($G:$G,scan!$A:$B,2,0),"**")</f>
        <v>**</v>
      </c>
      <c r="B342" s="13" t="str">
        <f>IFERROR(VLOOKUP($G342,scan!A:C,3,0),"**")</f>
        <v>**</v>
      </c>
      <c r="C342" s="47">
        <v>341</v>
      </c>
      <c r="F342" s="78"/>
      <c r="G342" s="58"/>
      <c r="H342" s="47" t="s">
        <v>4926</v>
      </c>
      <c r="I342" s="43">
        <v>6042070338</v>
      </c>
      <c r="J342" s="43" t="s">
        <v>4927</v>
      </c>
      <c r="K342" s="47" t="s">
        <v>4928</v>
      </c>
      <c r="L342" s="67" t="e">
        <f>VLOOKUP(G342,Input!C:Q,12,FALSE)</f>
        <v>#N/A</v>
      </c>
      <c r="M342" s="68" t="e">
        <f>VLOOKUP(G342,Input!C:Q,15,FALSE)</f>
        <v>#N/A</v>
      </c>
      <c r="N342" s="69" t="e">
        <f>VLOOKUP(G342,Input!C:Q,14,FALSE)</f>
        <v>#N/A</v>
      </c>
      <c r="Q342" s="48">
        <v>1</v>
      </c>
      <c r="R342" s="75" t="e">
        <f>VLOOKUP(G342,Input!C:H,5,FALSE)</f>
        <v>#N/A</v>
      </c>
      <c r="T342" s="47">
        <v>1</v>
      </c>
      <c r="U342" s="47" t="str">
        <f t="shared" si="5"/>
        <v>341,341,**,</v>
      </c>
      <c r="AC342" s="47">
        <v>341</v>
      </c>
      <c r="AD342" s="47">
        <v>341</v>
      </c>
    </row>
    <row r="343" spans="1:30" ht="15.75">
      <c r="A343" s="13" t="str">
        <f>IFERROR(VLOOKUP($G:$G,scan!$A:$B,2,0),"**")</f>
        <v>**</v>
      </c>
      <c r="B343" s="13" t="str">
        <f>IFERROR(VLOOKUP($G343,scan!A:C,3,0),"**")</f>
        <v>**</v>
      </c>
      <c r="C343" s="47">
        <v>342</v>
      </c>
      <c r="F343" s="78"/>
      <c r="G343" s="58"/>
      <c r="H343" s="47" t="s">
        <v>4926</v>
      </c>
      <c r="I343" s="43">
        <v>6042070338</v>
      </c>
      <c r="J343" s="43" t="s">
        <v>4927</v>
      </c>
      <c r="K343" s="47" t="s">
        <v>4928</v>
      </c>
      <c r="L343" s="67" t="e">
        <f>VLOOKUP(G343,Input!C:Q,12,FALSE)</f>
        <v>#N/A</v>
      </c>
      <c r="M343" s="68" t="e">
        <f>VLOOKUP(G343,Input!C:Q,15,FALSE)</f>
        <v>#N/A</v>
      </c>
      <c r="N343" s="69" t="e">
        <f>VLOOKUP(G343,Input!C:Q,14,FALSE)</f>
        <v>#N/A</v>
      </c>
      <c r="Q343" s="48">
        <v>1</v>
      </c>
      <c r="R343" s="75" t="e">
        <f>VLOOKUP(G343,Input!C:H,5,FALSE)</f>
        <v>#N/A</v>
      </c>
      <c r="T343" s="47">
        <v>1</v>
      </c>
      <c r="U343" s="47" t="str">
        <f t="shared" si="5"/>
        <v>342,342,**,</v>
      </c>
      <c r="AC343" s="47">
        <v>342</v>
      </c>
      <c r="AD343" s="47">
        <v>342</v>
      </c>
    </row>
    <row r="344" spans="1:30" ht="15.75">
      <c r="A344" s="13" t="str">
        <f>IFERROR(VLOOKUP($G:$G,scan!$A:$B,2,0),"**")</f>
        <v>**</v>
      </c>
      <c r="B344" s="13" t="str">
        <f>IFERROR(VLOOKUP($G344,scan!A:C,3,0),"**")</f>
        <v>**</v>
      </c>
      <c r="C344" s="47">
        <v>343</v>
      </c>
      <c r="F344" s="78"/>
      <c r="G344" s="58"/>
      <c r="H344" s="47" t="s">
        <v>4926</v>
      </c>
      <c r="I344" s="43">
        <v>6042070338</v>
      </c>
      <c r="J344" s="43" t="s">
        <v>4927</v>
      </c>
      <c r="K344" s="47" t="s">
        <v>4928</v>
      </c>
      <c r="L344" s="67" t="e">
        <f>VLOOKUP(G344,Input!C:Q,12,FALSE)</f>
        <v>#N/A</v>
      </c>
      <c r="M344" s="68" t="e">
        <f>VLOOKUP(G344,Input!C:Q,15,FALSE)</f>
        <v>#N/A</v>
      </c>
      <c r="N344" s="69" t="e">
        <f>VLOOKUP(G344,Input!C:Q,14,FALSE)</f>
        <v>#N/A</v>
      </c>
      <c r="Q344" s="48">
        <v>1</v>
      </c>
      <c r="R344" s="75" t="e">
        <f>VLOOKUP(G344,Input!C:H,5,FALSE)</f>
        <v>#N/A</v>
      </c>
      <c r="T344" s="47">
        <v>1</v>
      </c>
      <c r="U344" s="47" t="str">
        <f t="shared" si="5"/>
        <v>343,343,**,</v>
      </c>
      <c r="AC344" s="47">
        <v>343</v>
      </c>
      <c r="AD344" s="47">
        <v>343</v>
      </c>
    </row>
    <row r="345" spans="1:30" ht="15.75">
      <c r="A345" s="13" t="str">
        <f>IFERROR(VLOOKUP($G:$G,scan!$A:$B,2,0),"**")</f>
        <v>**</v>
      </c>
      <c r="B345" s="13" t="str">
        <f>IFERROR(VLOOKUP($G345,scan!A:C,3,0),"**")</f>
        <v>**</v>
      </c>
      <c r="C345" s="47">
        <v>344</v>
      </c>
      <c r="F345" s="78"/>
      <c r="G345" s="58"/>
      <c r="H345" s="47" t="s">
        <v>4926</v>
      </c>
      <c r="I345" s="43">
        <v>6042070338</v>
      </c>
      <c r="J345" s="43" t="s">
        <v>4927</v>
      </c>
      <c r="K345" s="47" t="s">
        <v>4928</v>
      </c>
      <c r="L345" s="67" t="e">
        <f>VLOOKUP(G345,Input!C:Q,12,FALSE)</f>
        <v>#N/A</v>
      </c>
      <c r="M345" s="68" t="e">
        <f>VLOOKUP(G345,Input!C:Q,15,FALSE)</f>
        <v>#N/A</v>
      </c>
      <c r="N345" s="69" t="e">
        <f>VLOOKUP(G345,Input!C:Q,14,FALSE)</f>
        <v>#N/A</v>
      </c>
      <c r="Q345" s="48">
        <v>1</v>
      </c>
      <c r="R345" s="75" t="e">
        <f>VLOOKUP(G345,Input!C:H,5,FALSE)</f>
        <v>#N/A</v>
      </c>
      <c r="T345" s="47">
        <v>1</v>
      </c>
      <c r="U345" s="47" t="str">
        <f t="shared" si="5"/>
        <v>344,344,**,</v>
      </c>
      <c r="AC345" s="47">
        <v>344</v>
      </c>
      <c r="AD345" s="47">
        <v>344</v>
      </c>
    </row>
    <row r="346" spans="1:30" ht="15.75">
      <c r="A346" s="13" t="str">
        <f>IFERROR(VLOOKUP($G:$G,scan!$A:$B,2,0),"**")</f>
        <v>**</v>
      </c>
      <c r="B346" s="13" t="str">
        <f>IFERROR(VLOOKUP($G346,scan!A:C,3,0),"**")</f>
        <v>**</v>
      </c>
      <c r="C346" s="47">
        <v>345</v>
      </c>
      <c r="F346" s="78"/>
      <c r="G346" s="58"/>
      <c r="H346" s="47" t="s">
        <v>4926</v>
      </c>
      <c r="I346" s="43">
        <v>6042070338</v>
      </c>
      <c r="J346" s="43" t="s">
        <v>4927</v>
      </c>
      <c r="K346" s="47" t="s">
        <v>4928</v>
      </c>
      <c r="L346" s="67" t="e">
        <f>VLOOKUP(G346,Input!C:Q,12,FALSE)</f>
        <v>#N/A</v>
      </c>
      <c r="M346" s="68" t="e">
        <f>VLOOKUP(G346,Input!C:Q,15,FALSE)</f>
        <v>#N/A</v>
      </c>
      <c r="N346" s="69" t="e">
        <f>VLOOKUP(G346,Input!C:Q,14,FALSE)</f>
        <v>#N/A</v>
      </c>
      <c r="Q346" s="48">
        <v>1</v>
      </c>
      <c r="R346" s="75" t="e">
        <f>VLOOKUP(G346,Input!C:H,5,FALSE)</f>
        <v>#N/A</v>
      </c>
      <c r="T346" s="47">
        <v>1</v>
      </c>
      <c r="U346" s="47" t="str">
        <f t="shared" si="5"/>
        <v>345,345,**,</v>
      </c>
      <c r="AC346" s="47">
        <v>345</v>
      </c>
      <c r="AD346" s="47">
        <v>345</v>
      </c>
    </row>
    <row r="347" spans="1:30" ht="15.75">
      <c r="A347" s="13" t="str">
        <f>IFERROR(VLOOKUP($G:$G,scan!$A:$B,2,0),"**")</f>
        <v>**</v>
      </c>
      <c r="B347" s="13" t="str">
        <f>IFERROR(VLOOKUP($G347,scan!A:C,3,0),"**")</f>
        <v>**</v>
      </c>
      <c r="C347" s="47">
        <v>346</v>
      </c>
      <c r="F347" s="78"/>
      <c r="G347" s="58"/>
      <c r="H347" s="47" t="s">
        <v>4926</v>
      </c>
      <c r="I347" s="43">
        <v>6042070338</v>
      </c>
      <c r="J347" s="43" t="s">
        <v>4927</v>
      </c>
      <c r="K347" s="47" t="s">
        <v>4928</v>
      </c>
      <c r="L347" s="67" t="e">
        <f>VLOOKUP(G347,Input!C:Q,12,FALSE)</f>
        <v>#N/A</v>
      </c>
      <c r="M347" s="68" t="e">
        <f>VLOOKUP(G347,Input!C:Q,15,FALSE)</f>
        <v>#N/A</v>
      </c>
      <c r="N347" s="69" t="e">
        <f>VLOOKUP(G347,Input!C:Q,14,FALSE)</f>
        <v>#N/A</v>
      </c>
      <c r="Q347" s="48">
        <v>1</v>
      </c>
      <c r="R347" s="75" t="e">
        <f>VLOOKUP(G347,Input!C:H,5,FALSE)</f>
        <v>#N/A</v>
      </c>
      <c r="T347" s="47">
        <v>1</v>
      </c>
      <c r="U347" s="47" t="str">
        <f t="shared" si="5"/>
        <v>346,346,**,</v>
      </c>
      <c r="AC347" s="47">
        <v>346</v>
      </c>
      <c r="AD347" s="47">
        <v>346</v>
      </c>
    </row>
    <row r="348" spans="1:30" ht="15.75">
      <c r="A348" s="13" t="str">
        <f>IFERROR(VLOOKUP($G:$G,scan!$A:$B,2,0),"**")</f>
        <v>**</v>
      </c>
      <c r="B348" s="13" t="str">
        <f>IFERROR(VLOOKUP($G348,scan!A:C,3,0),"**")</f>
        <v>**</v>
      </c>
      <c r="C348" s="47">
        <v>347</v>
      </c>
      <c r="F348" s="78"/>
      <c r="G348" s="58"/>
      <c r="H348" s="47" t="s">
        <v>4926</v>
      </c>
      <c r="I348" s="43">
        <v>6042070338</v>
      </c>
      <c r="J348" s="43" t="s">
        <v>4927</v>
      </c>
      <c r="K348" s="47" t="s">
        <v>4928</v>
      </c>
      <c r="L348" s="67" t="e">
        <f>VLOOKUP(G348,Input!C:Q,12,FALSE)</f>
        <v>#N/A</v>
      </c>
      <c r="M348" s="68" t="e">
        <f>VLOOKUP(G348,Input!C:Q,15,FALSE)</f>
        <v>#N/A</v>
      </c>
      <c r="N348" s="69" t="e">
        <f>VLOOKUP(G348,Input!C:Q,14,FALSE)</f>
        <v>#N/A</v>
      </c>
      <c r="Q348" s="48">
        <v>1</v>
      </c>
      <c r="R348" s="75" t="e">
        <f>VLOOKUP(G348,Input!C:H,5,FALSE)</f>
        <v>#N/A</v>
      </c>
      <c r="T348" s="47">
        <v>1</v>
      </c>
      <c r="U348" s="47" t="str">
        <f t="shared" si="5"/>
        <v>347,347,**,</v>
      </c>
      <c r="AC348" s="47">
        <v>347</v>
      </c>
      <c r="AD348" s="47">
        <v>347</v>
      </c>
    </row>
    <row r="349" spans="1:30" ht="15.75">
      <c r="A349" s="13" t="str">
        <f>IFERROR(VLOOKUP($G:$G,scan!$A:$B,2,0),"**")</f>
        <v>**</v>
      </c>
      <c r="B349" s="13" t="str">
        <f>IFERROR(VLOOKUP($G349,scan!A:C,3,0),"**")</f>
        <v>**</v>
      </c>
      <c r="C349" s="47">
        <v>348</v>
      </c>
      <c r="F349" s="78"/>
      <c r="G349" s="58"/>
      <c r="H349" s="47" t="s">
        <v>4926</v>
      </c>
      <c r="I349" s="43">
        <v>6042070338</v>
      </c>
      <c r="J349" s="43" t="s">
        <v>4927</v>
      </c>
      <c r="K349" s="47" t="s">
        <v>4928</v>
      </c>
      <c r="L349" s="67" t="e">
        <f>VLOOKUP(G349,Input!C:Q,12,FALSE)</f>
        <v>#N/A</v>
      </c>
      <c r="M349" s="68" t="e">
        <f>VLOOKUP(G349,Input!C:Q,15,FALSE)</f>
        <v>#N/A</v>
      </c>
      <c r="N349" s="69" t="e">
        <f>VLOOKUP(G349,Input!C:Q,14,FALSE)</f>
        <v>#N/A</v>
      </c>
      <c r="Q349" s="48">
        <v>1</v>
      </c>
      <c r="R349" s="75" t="e">
        <f>VLOOKUP(G349,Input!C:H,5,FALSE)</f>
        <v>#N/A</v>
      </c>
      <c r="T349" s="47">
        <v>1</v>
      </c>
      <c r="U349" s="47" t="str">
        <f t="shared" si="5"/>
        <v>348,348,**,</v>
      </c>
      <c r="AC349" s="47">
        <v>348</v>
      </c>
      <c r="AD349" s="47">
        <v>348</v>
      </c>
    </row>
    <row r="350" spans="1:30" ht="15.75">
      <c r="A350" s="13" t="str">
        <f>IFERROR(VLOOKUP($G:$G,scan!$A:$B,2,0),"**")</f>
        <v>**</v>
      </c>
      <c r="B350" s="13" t="str">
        <f>IFERROR(VLOOKUP($G350,scan!A:C,3,0),"**")</f>
        <v>**</v>
      </c>
      <c r="C350" s="47">
        <v>349</v>
      </c>
      <c r="F350" s="78"/>
      <c r="G350" s="58"/>
      <c r="H350" s="47" t="s">
        <v>4926</v>
      </c>
      <c r="I350" s="43">
        <v>6042070338</v>
      </c>
      <c r="J350" s="43" t="s">
        <v>4927</v>
      </c>
      <c r="K350" s="47" t="s">
        <v>4928</v>
      </c>
      <c r="L350" s="67" t="e">
        <f>VLOOKUP(G350,Input!C:Q,12,FALSE)</f>
        <v>#N/A</v>
      </c>
      <c r="M350" s="68" t="e">
        <f>VLOOKUP(G350,Input!C:Q,15,FALSE)</f>
        <v>#N/A</v>
      </c>
      <c r="N350" s="69" t="e">
        <f>VLOOKUP(G350,Input!C:Q,14,FALSE)</f>
        <v>#N/A</v>
      </c>
      <c r="Q350" s="48">
        <v>1</v>
      </c>
      <c r="R350" s="75" t="e">
        <f>VLOOKUP(G350,Input!C:H,5,FALSE)</f>
        <v>#N/A</v>
      </c>
      <c r="T350" s="47">
        <v>1</v>
      </c>
      <c r="U350" s="47" t="str">
        <f t="shared" si="5"/>
        <v>349,349,**,</v>
      </c>
      <c r="AC350" s="47">
        <v>349</v>
      </c>
      <c r="AD350" s="47">
        <v>349</v>
      </c>
    </row>
    <row r="351" spans="1:30" ht="15.75">
      <c r="A351" s="13" t="str">
        <f>IFERROR(VLOOKUP($G:$G,scan!$A:$B,2,0),"**")</f>
        <v>**</v>
      </c>
      <c r="B351" s="13" t="str">
        <f>IFERROR(VLOOKUP($G351,scan!A:C,3,0),"**")</f>
        <v>**</v>
      </c>
      <c r="C351" s="47">
        <v>350</v>
      </c>
      <c r="F351" s="78"/>
      <c r="G351" s="61"/>
      <c r="H351" s="47" t="s">
        <v>4926</v>
      </c>
      <c r="I351" s="43">
        <v>6042070338</v>
      </c>
      <c r="J351" s="43" t="s">
        <v>4927</v>
      </c>
      <c r="K351" s="47" t="s">
        <v>4928</v>
      </c>
      <c r="L351" s="67" t="e">
        <f>VLOOKUP(G351,Input!C:Q,12,FALSE)</f>
        <v>#N/A</v>
      </c>
      <c r="M351" s="68" t="e">
        <f>VLOOKUP(G351,Input!C:Q,15,FALSE)</f>
        <v>#N/A</v>
      </c>
      <c r="N351" s="69" t="e">
        <f>VLOOKUP(G351,Input!C:Q,14,FALSE)</f>
        <v>#N/A</v>
      </c>
      <c r="Q351" s="48">
        <v>1</v>
      </c>
      <c r="R351" s="75" t="e">
        <f>VLOOKUP(G351,Input!C:H,5,FALSE)</f>
        <v>#N/A</v>
      </c>
      <c r="T351" s="47">
        <v>1</v>
      </c>
      <c r="U351" s="47" t="str">
        <f t="shared" si="5"/>
        <v>350,350,**,</v>
      </c>
      <c r="AC351" s="47">
        <v>350</v>
      </c>
      <c r="AD351" s="47">
        <v>350</v>
      </c>
    </row>
    <row r="352" spans="1:30" ht="15.75">
      <c r="A352" s="13" t="str">
        <f>IFERROR(VLOOKUP($G:$G,scan!$A:$B,2,0),"**")</f>
        <v>**</v>
      </c>
      <c r="B352" s="13" t="str">
        <f>IFERROR(VLOOKUP($G352,scan!A:C,3,0),"**")</f>
        <v>**</v>
      </c>
      <c r="C352" s="47">
        <v>351</v>
      </c>
      <c r="F352" s="78"/>
      <c r="G352" s="61"/>
      <c r="H352" s="47" t="s">
        <v>4926</v>
      </c>
      <c r="I352" s="43">
        <v>6042070338</v>
      </c>
      <c r="J352" s="43" t="s">
        <v>4927</v>
      </c>
      <c r="K352" s="47" t="s">
        <v>4928</v>
      </c>
      <c r="L352" s="67" t="e">
        <f>VLOOKUP(G352,Input!C:Q,12,FALSE)</f>
        <v>#N/A</v>
      </c>
      <c r="M352" s="68" t="e">
        <f>VLOOKUP(G352,Input!C:Q,15,FALSE)</f>
        <v>#N/A</v>
      </c>
      <c r="N352" s="69" t="e">
        <f>VLOOKUP(G352,Input!C:Q,14,FALSE)</f>
        <v>#N/A</v>
      </c>
      <c r="Q352" s="48">
        <v>1</v>
      </c>
      <c r="R352" s="75" t="e">
        <f>VLOOKUP(G352,Input!C:H,5,FALSE)</f>
        <v>#N/A</v>
      </c>
      <c r="T352" s="47">
        <v>1</v>
      </c>
      <c r="U352" s="47" t="str">
        <f t="shared" si="5"/>
        <v>351,351,**,</v>
      </c>
      <c r="AC352" s="47">
        <v>351</v>
      </c>
      <c r="AD352" s="47">
        <v>351</v>
      </c>
    </row>
    <row r="353" spans="1:30" ht="15.75">
      <c r="A353" s="13" t="str">
        <f>IFERROR(VLOOKUP($G:$G,scan!$A:$B,2,0),"**")</f>
        <v>**</v>
      </c>
      <c r="B353" s="13" t="str">
        <f>IFERROR(VLOOKUP($G353,scan!A:C,3,0),"**")</f>
        <v>**</v>
      </c>
      <c r="C353" s="47">
        <v>352</v>
      </c>
      <c r="F353" s="78"/>
      <c r="G353" s="61"/>
      <c r="H353" s="47" t="s">
        <v>4926</v>
      </c>
      <c r="I353" s="43">
        <v>6042070338</v>
      </c>
      <c r="J353" s="43" t="s">
        <v>4927</v>
      </c>
      <c r="K353" s="47" t="s">
        <v>4928</v>
      </c>
      <c r="L353" s="67" t="e">
        <f>VLOOKUP(G353,Input!C:Q,12,FALSE)</f>
        <v>#N/A</v>
      </c>
      <c r="M353" s="68" t="e">
        <f>VLOOKUP(G353,Input!C:Q,15,FALSE)</f>
        <v>#N/A</v>
      </c>
      <c r="N353" s="69" t="e">
        <f>VLOOKUP(G353,Input!C:Q,14,FALSE)</f>
        <v>#N/A</v>
      </c>
      <c r="Q353" s="48">
        <v>1</v>
      </c>
      <c r="R353" s="75" t="e">
        <f>VLOOKUP(G353,Input!C:H,5,FALSE)</f>
        <v>#N/A</v>
      </c>
      <c r="T353" s="47">
        <v>1</v>
      </c>
      <c r="U353" s="47" t="str">
        <f t="shared" si="5"/>
        <v>352,352,**,</v>
      </c>
      <c r="AC353" s="47">
        <v>352</v>
      </c>
      <c r="AD353" s="47">
        <v>352</v>
      </c>
    </row>
    <row r="354" spans="1:30" ht="15.75">
      <c r="A354" s="13" t="str">
        <f>IFERROR(VLOOKUP($G:$G,scan!$A:$B,2,0),"**")</f>
        <v>**</v>
      </c>
      <c r="B354" s="13" t="str">
        <f>IFERROR(VLOOKUP($G354,scan!A:C,3,0),"**")</f>
        <v>**</v>
      </c>
      <c r="C354" s="47">
        <v>353</v>
      </c>
      <c r="F354" s="78"/>
      <c r="G354" s="61"/>
      <c r="H354" s="47" t="s">
        <v>4926</v>
      </c>
      <c r="I354" s="43">
        <v>6042070338</v>
      </c>
      <c r="J354" s="43" t="s">
        <v>4927</v>
      </c>
      <c r="K354" s="47" t="s">
        <v>4928</v>
      </c>
      <c r="L354" s="67" t="e">
        <f>VLOOKUP(G354,Input!C:Q,12,FALSE)</f>
        <v>#N/A</v>
      </c>
      <c r="M354" s="68" t="e">
        <f>VLOOKUP(G354,Input!C:Q,15,FALSE)</f>
        <v>#N/A</v>
      </c>
      <c r="N354" s="69" t="e">
        <f>VLOOKUP(G354,Input!C:Q,14,FALSE)</f>
        <v>#N/A</v>
      </c>
      <c r="Q354" s="48">
        <v>1</v>
      </c>
      <c r="R354" s="75" t="e">
        <f>VLOOKUP(G354,Input!C:H,5,FALSE)</f>
        <v>#N/A</v>
      </c>
      <c r="T354" s="47">
        <v>1</v>
      </c>
      <c r="U354" s="47" t="str">
        <f t="shared" si="5"/>
        <v>353,353,**,</v>
      </c>
      <c r="AC354" s="47">
        <v>353</v>
      </c>
      <c r="AD354" s="47">
        <v>353</v>
      </c>
    </row>
    <row r="355" spans="1:30" ht="15.75">
      <c r="A355" s="13" t="str">
        <f>IFERROR(VLOOKUP($G:$G,scan!$A:$B,2,0),"**")</f>
        <v>**</v>
      </c>
      <c r="B355" s="13" t="str">
        <f>IFERROR(VLOOKUP($G355,scan!A:C,3,0),"**")</f>
        <v>**</v>
      </c>
      <c r="C355" s="47">
        <v>354</v>
      </c>
      <c r="F355" s="78"/>
      <c r="G355" s="61"/>
      <c r="H355" s="47" t="s">
        <v>4926</v>
      </c>
      <c r="I355" s="43">
        <v>6042070338</v>
      </c>
      <c r="J355" s="43" t="s">
        <v>4927</v>
      </c>
      <c r="K355" s="47" t="s">
        <v>4928</v>
      </c>
      <c r="L355" s="67" t="e">
        <f>VLOOKUP(G355,Input!C:Q,12,FALSE)</f>
        <v>#N/A</v>
      </c>
      <c r="M355" s="68" t="e">
        <f>VLOOKUP(G355,Input!C:Q,15,FALSE)</f>
        <v>#N/A</v>
      </c>
      <c r="N355" s="69" t="e">
        <f>VLOOKUP(G355,Input!C:Q,14,FALSE)</f>
        <v>#N/A</v>
      </c>
      <c r="Q355" s="48">
        <v>1</v>
      </c>
      <c r="R355" s="75" t="e">
        <f>VLOOKUP(G355,Input!C:H,5,FALSE)</f>
        <v>#N/A</v>
      </c>
      <c r="T355" s="47">
        <v>1</v>
      </c>
      <c r="U355" s="47" t="str">
        <f t="shared" si="5"/>
        <v>354,354,**,</v>
      </c>
      <c r="AC355" s="47">
        <v>354</v>
      </c>
      <c r="AD355" s="47">
        <v>354</v>
      </c>
    </row>
    <row r="356" spans="1:30" ht="15.75">
      <c r="A356" s="13" t="str">
        <f>IFERROR(VLOOKUP($G:$G,scan!$A:$B,2,0),"**")</f>
        <v>**</v>
      </c>
      <c r="B356" s="13" t="str">
        <f>IFERROR(VLOOKUP($G356,scan!A:C,3,0),"**")</f>
        <v>**</v>
      </c>
      <c r="C356" s="47">
        <v>355</v>
      </c>
      <c r="F356" s="78"/>
      <c r="G356" s="61"/>
      <c r="H356" s="47" t="s">
        <v>4926</v>
      </c>
      <c r="I356" s="43">
        <v>6042070338</v>
      </c>
      <c r="J356" s="43" t="s">
        <v>4927</v>
      </c>
      <c r="K356" s="47" t="s">
        <v>4928</v>
      </c>
      <c r="L356" s="67" t="e">
        <f>VLOOKUP(G356,Input!C:Q,12,FALSE)</f>
        <v>#N/A</v>
      </c>
      <c r="M356" s="68" t="e">
        <f>VLOOKUP(G356,Input!C:Q,15,FALSE)</f>
        <v>#N/A</v>
      </c>
      <c r="N356" s="69" t="e">
        <f>VLOOKUP(G356,Input!C:Q,14,FALSE)</f>
        <v>#N/A</v>
      </c>
      <c r="Q356" s="48">
        <v>1</v>
      </c>
      <c r="R356" s="75" t="e">
        <f>VLOOKUP(G356,Input!C:H,5,FALSE)</f>
        <v>#N/A</v>
      </c>
      <c r="T356" s="47">
        <v>1</v>
      </c>
      <c r="U356" s="47" t="str">
        <f t="shared" si="5"/>
        <v>355,355,**,</v>
      </c>
      <c r="AC356" s="47">
        <v>355</v>
      </c>
      <c r="AD356" s="47">
        <v>355</v>
      </c>
    </row>
    <row r="357" spans="1:30" ht="15.75">
      <c r="A357" s="13" t="str">
        <f>IFERROR(VLOOKUP($G:$G,scan!$A:$B,2,0),"**")</f>
        <v>**</v>
      </c>
      <c r="B357" s="13" t="str">
        <f>IFERROR(VLOOKUP($G357,scan!A:C,3,0),"**")</f>
        <v>**</v>
      </c>
      <c r="C357" s="47">
        <v>356</v>
      </c>
      <c r="F357" s="78"/>
      <c r="G357" s="61"/>
      <c r="H357" s="47" t="s">
        <v>4926</v>
      </c>
      <c r="I357" s="43">
        <v>6042070338</v>
      </c>
      <c r="J357" s="43" t="s">
        <v>4927</v>
      </c>
      <c r="K357" s="47" t="s">
        <v>4928</v>
      </c>
      <c r="L357" s="67" t="e">
        <f>VLOOKUP(G357,Input!C:Q,12,FALSE)</f>
        <v>#N/A</v>
      </c>
      <c r="M357" s="68" t="e">
        <f>VLOOKUP(G357,Input!C:Q,15,FALSE)</f>
        <v>#N/A</v>
      </c>
      <c r="N357" s="69" t="e">
        <f>VLOOKUP(G357,Input!C:Q,14,FALSE)</f>
        <v>#N/A</v>
      </c>
      <c r="Q357" s="48">
        <v>1</v>
      </c>
      <c r="R357" s="75" t="e">
        <f>VLOOKUP(G357,Input!C:H,5,FALSE)</f>
        <v>#N/A</v>
      </c>
      <c r="T357" s="47">
        <v>1</v>
      </c>
      <c r="U357" s="47" t="str">
        <f t="shared" si="5"/>
        <v>356,356,**,</v>
      </c>
      <c r="AC357" s="47">
        <v>356</v>
      </c>
      <c r="AD357" s="47">
        <v>356</v>
      </c>
    </row>
    <row r="358" spans="1:30" ht="15.75">
      <c r="A358" s="13" t="str">
        <f>IFERROR(VLOOKUP($G:$G,scan!$A:$B,2,0),"**")</f>
        <v>**</v>
      </c>
      <c r="B358" s="13" t="str">
        <f>IFERROR(VLOOKUP($G358,scan!A:C,3,0),"**")</f>
        <v>**</v>
      </c>
      <c r="C358" s="47">
        <v>357</v>
      </c>
      <c r="F358" s="78"/>
      <c r="G358" s="61"/>
      <c r="H358" s="47" t="s">
        <v>4926</v>
      </c>
      <c r="I358" s="43">
        <v>6042070338</v>
      </c>
      <c r="J358" s="43" t="s">
        <v>4927</v>
      </c>
      <c r="K358" s="47" t="s">
        <v>4928</v>
      </c>
      <c r="L358" s="67" t="e">
        <f>VLOOKUP(G358,Input!C:Q,12,FALSE)</f>
        <v>#N/A</v>
      </c>
      <c r="M358" s="68" t="e">
        <f>VLOOKUP(G358,Input!C:Q,15,FALSE)</f>
        <v>#N/A</v>
      </c>
      <c r="N358" s="69" t="e">
        <f>VLOOKUP(G358,Input!C:Q,14,FALSE)</f>
        <v>#N/A</v>
      </c>
      <c r="Q358" s="48">
        <v>1</v>
      </c>
      <c r="R358" s="75" t="e">
        <f>VLOOKUP(G358,Input!C:H,5,FALSE)</f>
        <v>#N/A</v>
      </c>
      <c r="T358" s="47">
        <v>1</v>
      </c>
      <c r="U358" s="47" t="str">
        <f t="shared" si="5"/>
        <v>357,357,**,</v>
      </c>
      <c r="AC358" s="47">
        <v>357</v>
      </c>
      <c r="AD358" s="47">
        <v>357</v>
      </c>
    </row>
    <row r="359" spans="1:30" ht="15.75">
      <c r="A359" s="13" t="str">
        <f>IFERROR(VLOOKUP($G:$G,scan!$A:$B,2,0),"**")</f>
        <v>**</v>
      </c>
      <c r="B359" s="13" t="str">
        <f>IFERROR(VLOOKUP($G359,scan!A:C,3,0),"**")</f>
        <v>**</v>
      </c>
      <c r="C359" s="47">
        <v>358</v>
      </c>
      <c r="F359" s="78"/>
      <c r="G359" s="61"/>
      <c r="H359" s="47" t="s">
        <v>4926</v>
      </c>
      <c r="I359" s="43">
        <v>6042070338</v>
      </c>
      <c r="J359" s="43" t="s">
        <v>4927</v>
      </c>
      <c r="K359" s="47" t="s">
        <v>4928</v>
      </c>
      <c r="L359" s="67" t="e">
        <f>VLOOKUP(G359,Input!C:Q,12,FALSE)</f>
        <v>#N/A</v>
      </c>
      <c r="M359" s="68" t="e">
        <f>VLOOKUP(G359,Input!C:Q,15,FALSE)</f>
        <v>#N/A</v>
      </c>
      <c r="N359" s="69" t="e">
        <f>VLOOKUP(G359,Input!C:Q,14,FALSE)</f>
        <v>#N/A</v>
      </c>
      <c r="Q359" s="48">
        <v>1</v>
      </c>
      <c r="R359" s="75" t="e">
        <f>VLOOKUP(G359,Input!C:H,5,FALSE)</f>
        <v>#N/A</v>
      </c>
      <c r="T359" s="47">
        <v>1</v>
      </c>
      <c r="U359" s="47" t="str">
        <f t="shared" si="5"/>
        <v>358,358,**,</v>
      </c>
      <c r="AC359" s="47">
        <v>358</v>
      </c>
      <c r="AD359" s="47">
        <v>358</v>
      </c>
    </row>
    <row r="360" spans="1:30" ht="15.75">
      <c r="A360" s="13" t="str">
        <f>IFERROR(VLOOKUP($G:$G,scan!$A:$B,2,0),"**")</f>
        <v>**</v>
      </c>
      <c r="B360" s="13" t="str">
        <f>IFERROR(VLOOKUP($G360,scan!A:C,3,0),"**")</f>
        <v>**</v>
      </c>
      <c r="C360" s="47">
        <v>359</v>
      </c>
      <c r="F360" s="78"/>
      <c r="G360" s="2"/>
      <c r="H360" s="47" t="s">
        <v>4926</v>
      </c>
      <c r="I360" s="43">
        <v>6042070338</v>
      </c>
      <c r="J360" s="43" t="s">
        <v>4927</v>
      </c>
      <c r="K360" s="47" t="s">
        <v>4928</v>
      </c>
      <c r="L360" s="67" t="e">
        <f>VLOOKUP(G360,Input!C:Q,12,FALSE)</f>
        <v>#N/A</v>
      </c>
      <c r="M360" s="68" t="e">
        <f>VLOOKUP(G360,Input!C:Q,15,FALSE)</f>
        <v>#N/A</v>
      </c>
      <c r="N360" s="69" t="e">
        <f>VLOOKUP(G360,Input!C:Q,14,FALSE)</f>
        <v>#N/A</v>
      </c>
      <c r="Q360" s="48">
        <v>1</v>
      </c>
      <c r="R360" s="75" t="e">
        <f>VLOOKUP(G360,Input!C:H,5,FALSE)</f>
        <v>#N/A</v>
      </c>
      <c r="T360" s="47">
        <v>1</v>
      </c>
      <c r="U360" s="47" t="str">
        <f t="shared" si="5"/>
        <v>359,359,**,</v>
      </c>
      <c r="AC360" s="47">
        <v>359</v>
      </c>
      <c r="AD360" s="47">
        <v>359</v>
      </c>
    </row>
    <row r="361" spans="1:30" ht="15.75">
      <c r="A361" s="13" t="str">
        <f>IFERROR(VLOOKUP($G:$G,scan!$A:$B,2,0),"**")</f>
        <v>**</v>
      </c>
      <c r="B361" s="13" t="str">
        <f>IFERROR(VLOOKUP($G361,scan!A:C,3,0),"**")</f>
        <v>**</v>
      </c>
      <c r="C361" s="47">
        <v>360</v>
      </c>
      <c r="F361" s="78"/>
      <c r="G361" s="2"/>
      <c r="H361" s="47" t="s">
        <v>4926</v>
      </c>
      <c r="I361" s="43">
        <v>6042070338</v>
      </c>
      <c r="J361" s="43" t="s">
        <v>4927</v>
      </c>
      <c r="K361" s="47" t="s">
        <v>4928</v>
      </c>
      <c r="L361" s="67" t="e">
        <f>VLOOKUP(G361,Input!C:Q,12,FALSE)</f>
        <v>#N/A</v>
      </c>
      <c r="M361" s="68" t="e">
        <f>VLOOKUP(G361,Input!C:Q,15,FALSE)</f>
        <v>#N/A</v>
      </c>
      <c r="N361" s="69" t="e">
        <f>VLOOKUP(G361,Input!C:Q,14,FALSE)</f>
        <v>#N/A</v>
      </c>
      <c r="Q361" s="48">
        <v>1</v>
      </c>
      <c r="R361" s="75" t="e">
        <f>VLOOKUP(G361,Input!C:H,5,FALSE)</f>
        <v>#N/A</v>
      </c>
      <c r="T361" s="47">
        <v>1</v>
      </c>
      <c r="U361" s="47" t="str">
        <f t="shared" si="5"/>
        <v>360,360,**,</v>
      </c>
      <c r="AC361" s="47">
        <v>360</v>
      </c>
      <c r="AD361" s="47">
        <v>360</v>
      </c>
    </row>
    <row r="362" spans="1:30" ht="15.75">
      <c r="A362" s="13" t="str">
        <f>IFERROR(VLOOKUP($G:$G,scan!$A:$B,2,0),"**")</f>
        <v>**</v>
      </c>
      <c r="B362" s="13" t="str">
        <f>IFERROR(VLOOKUP($G362,scan!A:C,3,0),"**")</f>
        <v>**</v>
      </c>
      <c r="C362" s="47">
        <v>361</v>
      </c>
      <c r="F362" s="78"/>
      <c r="G362" s="2"/>
      <c r="H362" s="47" t="s">
        <v>4926</v>
      </c>
      <c r="I362" s="43">
        <v>6042070338</v>
      </c>
      <c r="J362" s="43" t="s">
        <v>4927</v>
      </c>
      <c r="K362" s="47" t="s">
        <v>4928</v>
      </c>
      <c r="L362" s="67" t="e">
        <f>VLOOKUP(G362,Input!C:Q,12,FALSE)</f>
        <v>#N/A</v>
      </c>
      <c r="M362" s="68" t="e">
        <f>VLOOKUP(G362,Input!C:Q,15,FALSE)</f>
        <v>#N/A</v>
      </c>
      <c r="N362" s="69" t="e">
        <f>VLOOKUP(G362,Input!C:Q,14,FALSE)</f>
        <v>#N/A</v>
      </c>
      <c r="Q362" s="48">
        <v>1</v>
      </c>
      <c r="R362" s="75" t="e">
        <f>VLOOKUP(G362,Input!C:H,5,FALSE)</f>
        <v>#N/A</v>
      </c>
      <c r="T362" s="47">
        <v>1</v>
      </c>
      <c r="U362" s="47" t="str">
        <f t="shared" si="5"/>
        <v>361,361,**,</v>
      </c>
      <c r="AC362" s="47">
        <v>361</v>
      </c>
      <c r="AD362" s="47">
        <v>361</v>
      </c>
    </row>
    <row r="363" spans="1:30" ht="15.75">
      <c r="A363" s="13" t="str">
        <f>IFERROR(VLOOKUP($G:$G,scan!$A:$B,2,0),"**")</f>
        <v>**</v>
      </c>
      <c r="B363" s="13" t="str">
        <f>IFERROR(VLOOKUP($G363,scan!A:C,3,0),"**")</f>
        <v>**</v>
      </c>
      <c r="C363" s="47">
        <v>362</v>
      </c>
      <c r="F363" s="78"/>
      <c r="G363" s="2"/>
      <c r="H363" s="47" t="s">
        <v>4926</v>
      </c>
      <c r="I363" s="43">
        <v>6042070338</v>
      </c>
      <c r="J363" s="43" t="s">
        <v>4927</v>
      </c>
      <c r="K363" s="47" t="s">
        <v>4928</v>
      </c>
      <c r="L363" s="67" t="e">
        <f>VLOOKUP(G363,Input!C:Q,12,FALSE)</f>
        <v>#N/A</v>
      </c>
      <c r="M363" s="68" t="e">
        <f>VLOOKUP(G363,Input!C:Q,15,FALSE)</f>
        <v>#N/A</v>
      </c>
      <c r="N363" s="69" t="e">
        <f>VLOOKUP(G363,Input!C:Q,14,FALSE)</f>
        <v>#N/A</v>
      </c>
      <c r="Q363" s="48">
        <v>1</v>
      </c>
      <c r="R363" s="75" t="e">
        <f>VLOOKUP(G363,Input!C:H,5,FALSE)</f>
        <v>#N/A</v>
      </c>
      <c r="T363" s="47">
        <v>1</v>
      </c>
      <c r="U363" s="47" t="str">
        <f t="shared" si="5"/>
        <v>362,362,**,</v>
      </c>
      <c r="AC363" s="47">
        <v>362</v>
      </c>
      <c r="AD363" s="47">
        <v>362</v>
      </c>
    </row>
    <row r="364" spans="1:30" ht="15.75">
      <c r="A364" s="13" t="str">
        <f>IFERROR(VLOOKUP($G:$G,scan!$A:$B,2,0),"**")</f>
        <v>**</v>
      </c>
      <c r="B364" s="13" t="str">
        <f>IFERROR(VLOOKUP($G364,scan!A:C,3,0),"**")</f>
        <v>**</v>
      </c>
      <c r="C364" s="47">
        <v>363</v>
      </c>
      <c r="F364" s="78"/>
      <c r="G364" s="2"/>
      <c r="H364" s="47" t="s">
        <v>4926</v>
      </c>
      <c r="I364" s="43">
        <v>6042070338</v>
      </c>
      <c r="J364" s="43" t="s">
        <v>4927</v>
      </c>
      <c r="K364" s="47" t="s">
        <v>4928</v>
      </c>
      <c r="L364" s="67" t="e">
        <f>VLOOKUP(G364,Input!C:Q,12,FALSE)</f>
        <v>#N/A</v>
      </c>
      <c r="M364" s="68" t="e">
        <f>VLOOKUP(G364,Input!C:Q,15,FALSE)</f>
        <v>#N/A</v>
      </c>
      <c r="N364" s="69" t="e">
        <f>VLOOKUP(G364,Input!C:Q,14,FALSE)</f>
        <v>#N/A</v>
      </c>
      <c r="Q364" s="48">
        <v>1</v>
      </c>
      <c r="R364" s="75" t="e">
        <f>VLOOKUP(G364,Input!C:H,5,FALSE)</f>
        <v>#N/A</v>
      </c>
      <c r="T364" s="47">
        <v>1</v>
      </c>
      <c r="U364" s="47" t="str">
        <f t="shared" si="5"/>
        <v>363,363,**,</v>
      </c>
      <c r="AC364" s="47">
        <v>363</v>
      </c>
      <c r="AD364" s="47">
        <v>363</v>
      </c>
    </row>
    <row r="365" spans="1:30" ht="15.75">
      <c r="A365" s="13" t="str">
        <f>IFERROR(VLOOKUP($G:$G,scan!$A:$B,2,0),"**")</f>
        <v>**</v>
      </c>
      <c r="B365" s="13" t="str">
        <f>IFERROR(VLOOKUP($G365,scan!A:C,3,0),"**")</f>
        <v>**</v>
      </c>
      <c r="C365" s="47">
        <v>364</v>
      </c>
      <c r="F365" s="78"/>
      <c r="G365" s="2"/>
      <c r="H365" s="47" t="s">
        <v>4926</v>
      </c>
      <c r="I365" s="43">
        <v>6042070338</v>
      </c>
      <c r="J365" s="43" t="s">
        <v>4927</v>
      </c>
      <c r="K365" s="47" t="s">
        <v>4928</v>
      </c>
      <c r="L365" s="67" t="e">
        <f>VLOOKUP(G365,Input!C:Q,12,FALSE)</f>
        <v>#N/A</v>
      </c>
      <c r="M365" s="68" t="e">
        <f>VLOOKUP(G365,Input!C:Q,15,FALSE)</f>
        <v>#N/A</v>
      </c>
      <c r="N365" s="69" t="e">
        <f>VLOOKUP(G365,Input!C:Q,14,FALSE)</f>
        <v>#N/A</v>
      </c>
      <c r="Q365" s="48">
        <v>1</v>
      </c>
      <c r="R365" s="75" t="e">
        <f>VLOOKUP(G365,Input!C:H,5,FALSE)</f>
        <v>#N/A</v>
      </c>
      <c r="T365" s="47">
        <v>1</v>
      </c>
      <c r="U365" s="47" t="str">
        <f t="shared" si="5"/>
        <v>364,364,**,</v>
      </c>
      <c r="AC365" s="47">
        <v>364</v>
      </c>
      <c r="AD365" s="47">
        <v>364</v>
      </c>
    </row>
    <row r="366" spans="1:30" ht="15.75">
      <c r="A366" s="13" t="str">
        <f>IFERROR(VLOOKUP($G:$G,scan!$A:$B,2,0),"**")</f>
        <v>**</v>
      </c>
      <c r="B366" s="13" t="str">
        <f>IFERROR(VLOOKUP($G366,scan!A:C,3,0),"**")</f>
        <v>**</v>
      </c>
      <c r="C366" s="47">
        <v>365</v>
      </c>
      <c r="F366" s="78"/>
      <c r="G366" s="2"/>
      <c r="H366" s="47" t="s">
        <v>4926</v>
      </c>
      <c r="I366" s="43">
        <v>6042070338</v>
      </c>
      <c r="J366" s="43" t="s">
        <v>4927</v>
      </c>
      <c r="K366" s="47" t="s">
        <v>4928</v>
      </c>
      <c r="L366" s="67" t="e">
        <f>VLOOKUP(G366,Input!C:Q,12,FALSE)</f>
        <v>#N/A</v>
      </c>
      <c r="M366" s="68" t="e">
        <f>VLOOKUP(G366,Input!C:Q,15,FALSE)</f>
        <v>#N/A</v>
      </c>
      <c r="N366" s="69" t="e">
        <f>VLOOKUP(G366,Input!C:Q,14,FALSE)</f>
        <v>#N/A</v>
      </c>
      <c r="Q366" s="48">
        <v>1</v>
      </c>
      <c r="R366" s="75" t="e">
        <f>VLOOKUP(G366,Input!C:H,5,FALSE)</f>
        <v>#N/A</v>
      </c>
      <c r="T366" s="47">
        <v>1</v>
      </c>
      <c r="U366" s="47" t="str">
        <f t="shared" si="5"/>
        <v>365,365,**,</v>
      </c>
      <c r="AC366" s="47">
        <v>365</v>
      </c>
      <c r="AD366" s="47">
        <v>365</v>
      </c>
    </row>
    <row r="367" spans="1:30" ht="15.75">
      <c r="A367" s="13" t="str">
        <f>IFERROR(VLOOKUP($G:$G,scan!$A:$B,2,0),"**")</f>
        <v>**</v>
      </c>
      <c r="B367" s="13" t="str">
        <f>IFERROR(VLOOKUP($G367,scan!A:C,3,0),"**")</f>
        <v>**</v>
      </c>
      <c r="C367" s="47">
        <v>366</v>
      </c>
      <c r="F367" s="78"/>
      <c r="G367" s="2"/>
      <c r="H367" s="47" t="s">
        <v>4926</v>
      </c>
      <c r="I367" s="43">
        <v>6042070338</v>
      </c>
      <c r="J367" s="43" t="s">
        <v>4927</v>
      </c>
      <c r="K367" s="47" t="s">
        <v>4928</v>
      </c>
      <c r="L367" s="67" t="e">
        <f>VLOOKUP(G367,Input!C:Q,12,FALSE)</f>
        <v>#N/A</v>
      </c>
      <c r="M367" s="68" t="e">
        <f>VLOOKUP(G367,Input!C:Q,15,FALSE)</f>
        <v>#N/A</v>
      </c>
      <c r="N367" s="69" t="e">
        <f>VLOOKUP(G367,Input!C:Q,14,FALSE)</f>
        <v>#N/A</v>
      </c>
      <c r="Q367" s="48">
        <v>1</v>
      </c>
      <c r="R367" s="75" t="e">
        <f>VLOOKUP(G367,Input!C:H,5,FALSE)</f>
        <v>#N/A</v>
      </c>
      <c r="T367" s="47">
        <v>1</v>
      </c>
      <c r="U367" s="47" t="str">
        <f t="shared" si="5"/>
        <v>366,366,**,</v>
      </c>
      <c r="AC367" s="47">
        <v>366</v>
      </c>
      <c r="AD367" s="47">
        <v>366</v>
      </c>
    </row>
    <row r="368" spans="1:30" ht="15.75">
      <c r="A368" s="13" t="str">
        <f>IFERROR(VLOOKUP($G:$G,scan!$A:$B,2,0),"**")</f>
        <v>**</v>
      </c>
      <c r="B368" s="13" t="str">
        <f>IFERROR(VLOOKUP($G368,scan!A:C,3,0),"**")</f>
        <v>**</v>
      </c>
      <c r="C368" s="47">
        <v>367</v>
      </c>
      <c r="F368" s="78"/>
      <c r="G368" s="2"/>
      <c r="H368" s="47" t="s">
        <v>4926</v>
      </c>
      <c r="I368" s="43">
        <v>6042070338</v>
      </c>
      <c r="J368" s="43" t="s">
        <v>4927</v>
      </c>
      <c r="K368" s="47" t="s">
        <v>4928</v>
      </c>
      <c r="L368" s="67" t="e">
        <f>VLOOKUP(G368,Input!C:Q,12,FALSE)</f>
        <v>#N/A</v>
      </c>
      <c r="M368" s="68" t="e">
        <f>VLOOKUP(G368,Input!C:Q,15,FALSE)</f>
        <v>#N/A</v>
      </c>
      <c r="N368" s="69" t="e">
        <f>VLOOKUP(G368,Input!C:Q,14,FALSE)</f>
        <v>#N/A</v>
      </c>
      <c r="Q368" s="48">
        <v>1</v>
      </c>
      <c r="R368" s="75" t="e">
        <f>VLOOKUP(G368,Input!C:H,5,FALSE)</f>
        <v>#N/A</v>
      </c>
      <c r="T368" s="47">
        <v>1</v>
      </c>
      <c r="U368" s="47" t="str">
        <f t="shared" si="5"/>
        <v>367,367,**,</v>
      </c>
      <c r="AC368" s="47">
        <v>367</v>
      </c>
      <c r="AD368" s="47">
        <v>367</v>
      </c>
    </row>
    <row r="369" spans="1:30" ht="15.75">
      <c r="A369" s="13" t="str">
        <f>IFERROR(VLOOKUP($G:$G,scan!$A:$B,2,0),"**")</f>
        <v>**</v>
      </c>
      <c r="B369" s="13" t="str">
        <f>IFERROR(VLOOKUP($G369,scan!A:C,3,0),"**")</f>
        <v>**</v>
      </c>
      <c r="C369" s="47">
        <v>368</v>
      </c>
      <c r="F369" s="78"/>
      <c r="G369" s="2"/>
      <c r="H369" s="47" t="s">
        <v>4926</v>
      </c>
      <c r="I369" s="43">
        <v>6042070338</v>
      </c>
      <c r="J369" s="43" t="s">
        <v>4927</v>
      </c>
      <c r="K369" s="47" t="s">
        <v>4928</v>
      </c>
      <c r="L369" s="67" t="e">
        <f>VLOOKUP(G369,Input!C:Q,12,FALSE)</f>
        <v>#N/A</v>
      </c>
      <c r="M369" s="68" t="e">
        <f>VLOOKUP(G369,Input!C:Q,15,FALSE)</f>
        <v>#N/A</v>
      </c>
      <c r="N369" s="69" t="e">
        <f>VLOOKUP(G369,Input!C:Q,14,FALSE)</f>
        <v>#N/A</v>
      </c>
      <c r="Q369" s="48">
        <v>1</v>
      </c>
      <c r="R369" s="75" t="e">
        <f>VLOOKUP(G369,Input!C:H,5,FALSE)</f>
        <v>#N/A</v>
      </c>
      <c r="T369" s="47">
        <v>1</v>
      </c>
      <c r="U369" s="47" t="str">
        <f t="shared" si="5"/>
        <v>368,368,**,</v>
      </c>
      <c r="AC369" s="47">
        <v>368</v>
      </c>
      <c r="AD369" s="47">
        <v>368</v>
      </c>
    </row>
    <row r="370" spans="1:30" ht="15.75">
      <c r="A370" s="13" t="str">
        <f>IFERROR(VLOOKUP($G:$G,scan!$A:$B,2,0),"**")</f>
        <v>**</v>
      </c>
      <c r="B370" s="13" t="str">
        <f>IFERROR(VLOOKUP($G370,scan!A:C,3,0),"**")</f>
        <v>**</v>
      </c>
      <c r="C370" s="47">
        <v>369</v>
      </c>
      <c r="F370" s="78"/>
      <c r="G370" s="2"/>
      <c r="H370" s="47" t="s">
        <v>4926</v>
      </c>
      <c r="I370" s="43">
        <v>6042070338</v>
      </c>
      <c r="J370" s="43" t="s">
        <v>4927</v>
      </c>
      <c r="K370" s="47" t="s">
        <v>4928</v>
      </c>
      <c r="L370" s="67" t="e">
        <f>VLOOKUP(G370,Input!C:Q,12,FALSE)</f>
        <v>#N/A</v>
      </c>
      <c r="M370" s="68" t="e">
        <f>VLOOKUP(G370,Input!C:Q,15,FALSE)</f>
        <v>#N/A</v>
      </c>
      <c r="N370" s="69" t="e">
        <f>VLOOKUP(G370,Input!C:Q,14,FALSE)</f>
        <v>#N/A</v>
      </c>
      <c r="Q370" s="48">
        <v>1</v>
      </c>
      <c r="R370" s="75" t="e">
        <f>VLOOKUP(G370,Input!C:H,5,FALSE)</f>
        <v>#N/A</v>
      </c>
      <c r="T370" s="47">
        <v>1</v>
      </c>
      <c r="U370" s="47" t="str">
        <f t="shared" si="5"/>
        <v>369,369,**,</v>
      </c>
      <c r="AC370" s="47">
        <v>369</v>
      </c>
      <c r="AD370" s="47">
        <v>369</v>
      </c>
    </row>
    <row r="371" spans="1:30" ht="15.75">
      <c r="A371" s="13" t="str">
        <f>IFERROR(VLOOKUP($G:$G,scan!$A:$B,2,0),"**")</f>
        <v>**</v>
      </c>
      <c r="B371" s="13" t="str">
        <f>IFERROR(VLOOKUP($G371,scan!A:C,3,0),"**")</f>
        <v>**</v>
      </c>
      <c r="C371" s="47">
        <v>370</v>
      </c>
      <c r="F371" s="78"/>
      <c r="G371" s="2"/>
      <c r="H371" s="47" t="s">
        <v>4926</v>
      </c>
      <c r="I371" s="43">
        <v>6042070338</v>
      </c>
      <c r="J371" s="43" t="s">
        <v>4927</v>
      </c>
      <c r="K371" s="47" t="s">
        <v>4928</v>
      </c>
      <c r="L371" s="67" t="e">
        <f>VLOOKUP(G371,Input!C:Q,12,FALSE)</f>
        <v>#N/A</v>
      </c>
      <c r="M371" s="68" t="e">
        <f>VLOOKUP(G371,Input!C:Q,15,FALSE)</f>
        <v>#N/A</v>
      </c>
      <c r="N371" s="69" t="e">
        <f>VLOOKUP(G371,Input!C:Q,14,FALSE)</f>
        <v>#N/A</v>
      </c>
      <c r="Q371" s="48">
        <v>1</v>
      </c>
      <c r="R371" s="75" t="e">
        <f>VLOOKUP(G371,Input!C:H,5,FALSE)</f>
        <v>#N/A</v>
      </c>
      <c r="T371" s="47">
        <v>1</v>
      </c>
      <c r="U371" s="47" t="str">
        <f t="shared" si="5"/>
        <v>370,370,**,</v>
      </c>
      <c r="AC371" s="47">
        <v>370</v>
      </c>
      <c r="AD371" s="47">
        <v>370</v>
      </c>
    </row>
    <row r="372" spans="1:30" ht="15.75">
      <c r="A372" s="13" t="str">
        <f>IFERROR(VLOOKUP($G:$G,scan!$A:$B,2,0),"**")</f>
        <v>**</v>
      </c>
      <c r="B372" s="13" t="str">
        <f>IFERROR(VLOOKUP($G372,scan!A:C,3,0),"**")</f>
        <v>**</v>
      </c>
      <c r="C372" s="47">
        <v>371</v>
      </c>
      <c r="F372" s="78"/>
      <c r="G372" s="2"/>
      <c r="H372" s="47" t="s">
        <v>4926</v>
      </c>
      <c r="I372" s="43">
        <v>6042070338</v>
      </c>
      <c r="J372" s="43" t="s">
        <v>4927</v>
      </c>
      <c r="K372" s="47" t="s">
        <v>4928</v>
      </c>
      <c r="L372" s="67" t="e">
        <f>VLOOKUP(G372,Input!C:Q,12,FALSE)</f>
        <v>#N/A</v>
      </c>
      <c r="M372" s="68" t="e">
        <f>VLOOKUP(G372,Input!C:Q,15,FALSE)</f>
        <v>#N/A</v>
      </c>
      <c r="N372" s="69" t="e">
        <f>VLOOKUP(G372,Input!C:Q,14,FALSE)</f>
        <v>#N/A</v>
      </c>
      <c r="Q372" s="48">
        <v>1</v>
      </c>
      <c r="R372" s="75" t="e">
        <f>VLOOKUP(G372,Input!C:H,5,FALSE)</f>
        <v>#N/A</v>
      </c>
      <c r="T372" s="47">
        <v>1</v>
      </c>
      <c r="U372" s="47" t="str">
        <f t="shared" si="5"/>
        <v>371,371,**,</v>
      </c>
      <c r="AC372" s="47">
        <v>371</v>
      </c>
      <c r="AD372" s="47">
        <v>371</v>
      </c>
    </row>
    <row r="373" spans="1:30" ht="15.75">
      <c r="A373" s="13" t="str">
        <f>IFERROR(VLOOKUP($G:$G,scan!$A:$B,2,0),"**")</f>
        <v>**</v>
      </c>
      <c r="B373" s="13" t="str">
        <f>IFERROR(VLOOKUP($G373,scan!A:C,3,0),"**")</f>
        <v>**</v>
      </c>
      <c r="C373" s="47">
        <v>372</v>
      </c>
      <c r="F373" s="78"/>
      <c r="G373" s="2"/>
      <c r="H373" s="47" t="s">
        <v>4926</v>
      </c>
      <c r="I373" s="43">
        <v>6042070338</v>
      </c>
      <c r="J373" s="43" t="s">
        <v>4927</v>
      </c>
      <c r="K373" s="47" t="s">
        <v>4928</v>
      </c>
      <c r="L373" s="67" t="e">
        <f>VLOOKUP(G373,Input!C:Q,12,FALSE)</f>
        <v>#N/A</v>
      </c>
      <c r="M373" s="68" t="e">
        <f>VLOOKUP(G373,Input!C:Q,15,FALSE)</f>
        <v>#N/A</v>
      </c>
      <c r="N373" s="69" t="e">
        <f>VLOOKUP(G373,Input!C:Q,14,FALSE)</f>
        <v>#N/A</v>
      </c>
      <c r="Q373" s="48">
        <v>1</v>
      </c>
      <c r="R373" s="75" t="e">
        <f>VLOOKUP(G373,Input!C:H,5,FALSE)</f>
        <v>#N/A</v>
      </c>
      <c r="T373" s="47">
        <v>1</v>
      </c>
      <c r="U373" s="47" t="str">
        <f t="shared" si="5"/>
        <v>372,372,**,</v>
      </c>
      <c r="AC373" s="47">
        <v>372</v>
      </c>
      <c r="AD373" s="47">
        <v>372</v>
      </c>
    </row>
    <row r="374" spans="1:30" ht="15.75">
      <c r="A374" s="13" t="str">
        <f>IFERROR(VLOOKUP($G:$G,scan!$A:$B,2,0),"**")</f>
        <v>**</v>
      </c>
      <c r="B374" s="13" t="str">
        <f>IFERROR(VLOOKUP($G374,scan!A:C,3,0),"**")</f>
        <v>**</v>
      </c>
      <c r="C374" s="47">
        <v>373</v>
      </c>
      <c r="F374" s="78"/>
      <c r="G374" s="2"/>
      <c r="H374" s="47" t="s">
        <v>4926</v>
      </c>
      <c r="I374" s="43">
        <v>6042070338</v>
      </c>
      <c r="J374" s="43" t="s">
        <v>4927</v>
      </c>
      <c r="K374" s="47" t="s">
        <v>4928</v>
      </c>
      <c r="L374" s="67" t="e">
        <f>VLOOKUP(G374,Input!C:Q,12,FALSE)</f>
        <v>#N/A</v>
      </c>
      <c r="M374" s="68" t="e">
        <f>VLOOKUP(G374,Input!C:Q,15,FALSE)</f>
        <v>#N/A</v>
      </c>
      <c r="N374" s="69" t="e">
        <f>VLOOKUP(G374,Input!C:Q,14,FALSE)</f>
        <v>#N/A</v>
      </c>
      <c r="Q374" s="48">
        <v>1</v>
      </c>
      <c r="R374" s="75" t="e">
        <f>VLOOKUP(G374,Input!C:H,5,FALSE)</f>
        <v>#N/A</v>
      </c>
      <c r="T374" s="47">
        <v>1</v>
      </c>
      <c r="U374" s="47" t="str">
        <f t="shared" si="5"/>
        <v>373,373,**,</v>
      </c>
      <c r="AC374" s="47">
        <v>373</v>
      </c>
      <c r="AD374" s="47">
        <v>373</v>
      </c>
    </row>
    <row r="375" spans="1:30" ht="15.75">
      <c r="A375" s="13" t="str">
        <f>IFERROR(VLOOKUP($G:$G,scan!$A:$B,2,0),"**")</f>
        <v>**</v>
      </c>
      <c r="B375" s="13" t="str">
        <f>IFERROR(VLOOKUP($G375,scan!A:C,3,0),"**")</f>
        <v>**</v>
      </c>
      <c r="C375" s="47">
        <v>374</v>
      </c>
      <c r="F375" s="78"/>
      <c r="G375" s="2"/>
      <c r="H375" s="47" t="s">
        <v>4926</v>
      </c>
      <c r="I375" s="43">
        <v>6042070338</v>
      </c>
      <c r="J375" s="43" t="s">
        <v>4927</v>
      </c>
      <c r="K375" s="47" t="s">
        <v>4928</v>
      </c>
      <c r="L375" s="67" t="e">
        <f>VLOOKUP(G375,Input!C:Q,12,FALSE)</f>
        <v>#N/A</v>
      </c>
      <c r="M375" s="68" t="e">
        <f>VLOOKUP(G375,Input!C:Q,15,FALSE)</f>
        <v>#N/A</v>
      </c>
      <c r="N375" s="69" t="e">
        <f>VLOOKUP(G375,Input!C:Q,14,FALSE)</f>
        <v>#N/A</v>
      </c>
      <c r="Q375" s="48">
        <v>1</v>
      </c>
      <c r="R375" s="75" t="e">
        <f>VLOOKUP(G375,Input!C:H,5,FALSE)</f>
        <v>#N/A</v>
      </c>
      <c r="T375" s="47">
        <v>1</v>
      </c>
      <c r="U375" s="47" t="str">
        <f t="shared" si="5"/>
        <v>374,374,**,</v>
      </c>
      <c r="AC375" s="47">
        <v>374</v>
      </c>
      <c r="AD375" s="47">
        <v>374</v>
      </c>
    </row>
    <row r="376" spans="1:30" ht="15.75">
      <c r="A376" s="13" t="str">
        <f>IFERROR(VLOOKUP($G:$G,scan!$A:$B,2,0),"**")</f>
        <v>**</v>
      </c>
      <c r="B376" s="13" t="str">
        <f>IFERROR(VLOOKUP($G376,scan!A:C,3,0),"**")</f>
        <v>**</v>
      </c>
      <c r="C376" s="47">
        <v>375</v>
      </c>
      <c r="F376" s="78"/>
      <c r="G376" s="2"/>
      <c r="H376" s="47" t="s">
        <v>4926</v>
      </c>
      <c r="I376" s="43">
        <v>6042070338</v>
      </c>
      <c r="J376" s="43" t="s">
        <v>4927</v>
      </c>
      <c r="K376" s="47" t="s">
        <v>4928</v>
      </c>
      <c r="L376" s="67" t="e">
        <f>VLOOKUP(G376,Input!C:Q,12,FALSE)</f>
        <v>#N/A</v>
      </c>
      <c r="M376" s="68" t="e">
        <f>VLOOKUP(G376,Input!C:Q,15,FALSE)</f>
        <v>#N/A</v>
      </c>
      <c r="N376" s="69" t="e">
        <f>VLOOKUP(G376,Input!C:Q,14,FALSE)</f>
        <v>#N/A</v>
      </c>
      <c r="Q376" s="48">
        <v>1</v>
      </c>
      <c r="R376" s="75" t="e">
        <f>VLOOKUP(G376,Input!C:H,5,FALSE)</f>
        <v>#N/A</v>
      </c>
      <c r="T376" s="47">
        <v>1</v>
      </c>
      <c r="U376" s="47" t="str">
        <f t="shared" si="5"/>
        <v>375,375,**,</v>
      </c>
      <c r="AC376" s="47">
        <v>375</v>
      </c>
      <c r="AD376" s="47">
        <v>375</v>
      </c>
    </row>
    <row r="377" spans="1:30" ht="15.75">
      <c r="A377" s="13" t="str">
        <f>IFERROR(VLOOKUP($G:$G,scan!$A:$B,2,0),"**")</f>
        <v>**</v>
      </c>
      <c r="B377" s="13" t="str">
        <f>IFERROR(VLOOKUP($G377,scan!A:C,3,0),"**")</f>
        <v>**</v>
      </c>
      <c r="C377" s="47">
        <v>376</v>
      </c>
      <c r="F377" s="78"/>
      <c r="G377" s="2"/>
      <c r="H377" s="47" t="s">
        <v>4926</v>
      </c>
      <c r="I377" s="43">
        <v>6042070338</v>
      </c>
      <c r="J377" s="43" t="s">
        <v>4927</v>
      </c>
      <c r="K377" s="47" t="s">
        <v>4928</v>
      </c>
      <c r="L377" s="67" t="e">
        <f>VLOOKUP(G377,Input!C:Q,12,FALSE)</f>
        <v>#N/A</v>
      </c>
      <c r="M377" s="68" t="e">
        <f>VLOOKUP(G377,Input!C:Q,15,FALSE)</f>
        <v>#N/A</v>
      </c>
      <c r="N377" s="69" t="e">
        <f>VLOOKUP(G377,Input!C:Q,14,FALSE)</f>
        <v>#N/A</v>
      </c>
      <c r="Q377" s="48">
        <v>1</v>
      </c>
      <c r="R377" s="75" t="e">
        <f>VLOOKUP(G377,Input!C:H,5,FALSE)</f>
        <v>#N/A</v>
      </c>
      <c r="T377" s="47">
        <v>1</v>
      </c>
      <c r="U377" s="47" t="str">
        <f t="shared" si="5"/>
        <v>376,376,**,</v>
      </c>
      <c r="AC377" s="47">
        <v>376</v>
      </c>
      <c r="AD377" s="47">
        <v>376</v>
      </c>
    </row>
    <row r="378" spans="1:30" ht="15.75">
      <c r="A378" s="13" t="str">
        <f>IFERROR(VLOOKUP($G:$G,scan!$A:$B,2,0),"**")</f>
        <v>**</v>
      </c>
      <c r="B378" s="13" t="str">
        <f>IFERROR(VLOOKUP($G378,scan!A:C,3,0),"**")</f>
        <v>**</v>
      </c>
      <c r="C378" s="47">
        <v>377</v>
      </c>
      <c r="F378" s="78"/>
      <c r="G378" s="2"/>
      <c r="H378" s="47" t="s">
        <v>4926</v>
      </c>
      <c r="I378" s="43">
        <v>6042070338</v>
      </c>
      <c r="J378" s="43" t="s">
        <v>4927</v>
      </c>
      <c r="K378" s="47" t="s">
        <v>4928</v>
      </c>
      <c r="L378" s="67" t="e">
        <f>VLOOKUP(G378,Input!C:Q,12,FALSE)</f>
        <v>#N/A</v>
      </c>
      <c r="M378" s="68" t="e">
        <f>VLOOKUP(G378,Input!C:Q,15,FALSE)</f>
        <v>#N/A</v>
      </c>
      <c r="N378" s="69" t="e">
        <f>VLOOKUP(G378,Input!C:Q,14,FALSE)</f>
        <v>#N/A</v>
      </c>
      <c r="Q378" s="48">
        <v>1</v>
      </c>
      <c r="R378" s="75" t="e">
        <f>VLOOKUP(G378,Input!C:H,5,FALSE)</f>
        <v>#N/A</v>
      </c>
      <c r="T378" s="47">
        <v>1</v>
      </c>
      <c r="U378" s="47" t="str">
        <f t="shared" si="5"/>
        <v>377,377,**,</v>
      </c>
      <c r="AC378" s="47">
        <v>377</v>
      </c>
      <c r="AD378" s="47">
        <v>377</v>
      </c>
    </row>
    <row r="379" spans="1:30" ht="15.75">
      <c r="A379" s="13" t="str">
        <f>IFERROR(VLOOKUP($G:$G,scan!$A:$B,2,0),"**")</f>
        <v>**</v>
      </c>
      <c r="B379" s="13" t="str">
        <f>IFERROR(VLOOKUP($G379,scan!A:C,3,0),"**")</f>
        <v>**</v>
      </c>
      <c r="C379" s="47">
        <v>378</v>
      </c>
      <c r="F379" s="78"/>
      <c r="G379" s="2"/>
      <c r="H379" s="47" t="s">
        <v>4926</v>
      </c>
      <c r="I379" s="43">
        <v>6042070338</v>
      </c>
      <c r="J379" s="43" t="s">
        <v>4927</v>
      </c>
      <c r="K379" s="47" t="s">
        <v>4928</v>
      </c>
      <c r="L379" s="67" t="e">
        <f>VLOOKUP(G379,Input!C:Q,12,FALSE)</f>
        <v>#N/A</v>
      </c>
      <c r="M379" s="68" t="e">
        <f>VLOOKUP(G379,Input!C:Q,15,FALSE)</f>
        <v>#N/A</v>
      </c>
      <c r="N379" s="69" t="e">
        <f>VLOOKUP(G379,Input!C:Q,14,FALSE)</f>
        <v>#N/A</v>
      </c>
      <c r="Q379" s="48">
        <v>1</v>
      </c>
      <c r="R379" s="75" t="e">
        <f>VLOOKUP(G379,Input!C:H,5,FALSE)</f>
        <v>#N/A</v>
      </c>
      <c r="T379" s="47">
        <v>1</v>
      </c>
      <c r="U379" s="47" t="str">
        <f t="shared" si="5"/>
        <v>378,378,**,</v>
      </c>
      <c r="AC379" s="47">
        <v>378</v>
      </c>
      <c r="AD379" s="47">
        <v>378</v>
      </c>
    </row>
    <row r="380" spans="1:30" ht="15.75">
      <c r="A380" s="13" t="str">
        <f>IFERROR(VLOOKUP($G:$G,scan!$A:$B,2,0),"**")</f>
        <v>**</v>
      </c>
      <c r="B380" s="13" t="str">
        <f>IFERROR(VLOOKUP($G380,scan!A:C,3,0),"**")</f>
        <v>**</v>
      </c>
      <c r="C380" s="47">
        <v>379</v>
      </c>
      <c r="F380" s="78"/>
      <c r="G380" s="2"/>
      <c r="H380" s="47" t="s">
        <v>4926</v>
      </c>
      <c r="I380" s="43">
        <v>6042070338</v>
      </c>
      <c r="J380" s="43" t="s">
        <v>4927</v>
      </c>
      <c r="K380" s="47" t="s">
        <v>4928</v>
      </c>
      <c r="L380" s="67" t="e">
        <f>VLOOKUP(G380,Input!C:Q,12,FALSE)</f>
        <v>#N/A</v>
      </c>
      <c r="M380" s="68" t="e">
        <f>VLOOKUP(G380,Input!C:Q,15,FALSE)</f>
        <v>#N/A</v>
      </c>
      <c r="N380" s="69" t="e">
        <f>VLOOKUP(G380,Input!C:Q,14,FALSE)</f>
        <v>#N/A</v>
      </c>
      <c r="Q380" s="48">
        <v>1</v>
      </c>
      <c r="R380" s="75" t="e">
        <f>VLOOKUP(G380,Input!C:H,5,FALSE)</f>
        <v>#N/A</v>
      </c>
      <c r="T380" s="47">
        <v>1</v>
      </c>
      <c r="U380" s="47" t="str">
        <f t="shared" si="5"/>
        <v>379,379,**,</v>
      </c>
      <c r="AC380" s="47">
        <v>379</v>
      </c>
      <c r="AD380" s="47">
        <v>379</v>
      </c>
    </row>
    <row r="381" spans="1:30" ht="15.75">
      <c r="A381" s="13" t="str">
        <f>IFERROR(VLOOKUP($G:$G,scan!$A:$B,2,0),"**")</f>
        <v>**</v>
      </c>
      <c r="B381" s="13" t="str">
        <f>IFERROR(VLOOKUP($G381,scan!A:C,3,0),"**")</f>
        <v>**</v>
      </c>
      <c r="C381" s="47">
        <v>380</v>
      </c>
      <c r="F381" s="78"/>
      <c r="G381" s="2"/>
      <c r="H381" s="47" t="s">
        <v>4926</v>
      </c>
      <c r="I381" s="43">
        <v>6042070338</v>
      </c>
      <c r="J381" s="43" t="s">
        <v>4927</v>
      </c>
      <c r="K381" s="47" t="s">
        <v>4928</v>
      </c>
      <c r="L381" s="67" t="e">
        <f>VLOOKUP(G381,Input!C:Q,12,FALSE)</f>
        <v>#N/A</v>
      </c>
      <c r="M381" s="68" t="e">
        <f>VLOOKUP(G381,Input!C:Q,15,FALSE)</f>
        <v>#N/A</v>
      </c>
      <c r="N381" s="69" t="e">
        <f>VLOOKUP(G381,Input!C:Q,14,FALSE)</f>
        <v>#N/A</v>
      </c>
      <c r="Q381" s="48">
        <v>1</v>
      </c>
      <c r="R381" s="75" t="e">
        <f>VLOOKUP(G381,Input!C:H,5,FALSE)</f>
        <v>#N/A</v>
      </c>
      <c r="T381" s="47">
        <v>1</v>
      </c>
      <c r="U381" s="47" t="str">
        <f t="shared" si="5"/>
        <v>380,380,**,</v>
      </c>
      <c r="AC381" s="47">
        <v>380</v>
      </c>
      <c r="AD381" s="47">
        <v>380</v>
      </c>
    </row>
    <row r="382" spans="1:30" ht="15.75">
      <c r="A382" s="13" t="str">
        <f>IFERROR(VLOOKUP($G:$G,scan!$A:$B,2,0),"**")</f>
        <v>**</v>
      </c>
      <c r="B382" s="13" t="str">
        <f>IFERROR(VLOOKUP($G382,scan!A:C,3,0),"**")</f>
        <v>**</v>
      </c>
      <c r="C382" s="47">
        <v>381</v>
      </c>
      <c r="F382" s="78"/>
      <c r="G382" s="2"/>
      <c r="H382" s="47" t="s">
        <v>4926</v>
      </c>
      <c r="I382" s="43">
        <v>6042070338</v>
      </c>
      <c r="J382" s="43" t="s">
        <v>4927</v>
      </c>
      <c r="K382" s="47" t="s">
        <v>4928</v>
      </c>
      <c r="L382" s="67" t="e">
        <f>VLOOKUP(G382,Input!C:Q,12,FALSE)</f>
        <v>#N/A</v>
      </c>
      <c r="M382" s="68" t="e">
        <f>VLOOKUP(G382,Input!C:Q,15,FALSE)</f>
        <v>#N/A</v>
      </c>
      <c r="N382" s="69" t="e">
        <f>VLOOKUP(G382,Input!C:Q,14,FALSE)</f>
        <v>#N/A</v>
      </c>
      <c r="Q382" s="48">
        <v>1</v>
      </c>
      <c r="R382" s="75" t="e">
        <f>VLOOKUP(G382,Input!C:H,5,FALSE)</f>
        <v>#N/A</v>
      </c>
      <c r="T382" s="47">
        <v>1</v>
      </c>
      <c r="U382" s="47" t="str">
        <f t="shared" si="5"/>
        <v>381,381,**,</v>
      </c>
      <c r="AC382" s="47">
        <v>381</v>
      </c>
      <c r="AD382" s="47">
        <v>381</v>
      </c>
    </row>
    <row r="383" spans="1:30" ht="15.75">
      <c r="A383" s="13" t="str">
        <f>IFERROR(VLOOKUP($G:$G,scan!$A:$B,2,0),"**")</f>
        <v>**</v>
      </c>
      <c r="B383" s="13" t="str">
        <f>IFERROR(VLOOKUP($G383,scan!A:C,3,0),"**")</f>
        <v>**</v>
      </c>
      <c r="C383" s="47">
        <v>382</v>
      </c>
      <c r="F383" s="78"/>
      <c r="G383" s="2"/>
      <c r="H383" s="47" t="s">
        <v>4926</v>
      </c>
      <c r="I383" s="43">
        <v>6042070338</v>
      </c>
      <c r="J383" s="43" t="s">
        <v>4927</v>
      </c>
      <c r="K383" s="47" t="s">
        <v>4928</v>
      </c>
      <c r="L383" s="67" t="e">
        <f>VLOOKUP(G383,Input!C:Q,12,FALSE)</f>
        <v>#N/A</v>
      </c>
      <c r="M383" s="68" t="e">
        <f>VLOOKUP(G383,Input!C:Q,15,FALSE)</f>
        <v>#N/A</v>
      </c>
      <c r="N383" s="69" t="e">
        <f>VLOOKUP(G383,Input!C:Q,14,FALSE)</f>
        <v>#N/A</v>
      </c>
      <c r="Q383" s="48">
        <v>1</v>
      </c>
      <c r="R383" s="75" t="e">
        <f>VLOOKUP(G383,Input!C:H,5,FALSE)</f>
        <v>#N/A</v>
      </c>
      <c r="T383" s="47">
        <v>1</v>
      </c>
      <c r="U383" s="47" t="str">
        <f t="shared" si="5"/>
        <v>382,382,**,</v>
      </c>
      <c r="AC383" s="47">
        <v>382</v>
      </c>
      <c r="AD383" s="47">
        <v>382</v>
      </c>
    </row>
    <row r="384" spans="1:30" ht="15.75">
      <c r="A384" s="13" t="str">
        <f>IFERROR(VLOOKUP($G:$G,scan!$A:$B,2,0),"**")</f>
        <v>**</v>
      </c>
      <c r="B384" s="13" t="str">
        <f>IFERROR(VLOOKUP($G384,scan!A:C,3,0),"**")</f>
        <v>**</v>
      </c>
      <c r="C384" s="47">
        <v>383</v>
      </c>
      <c r="F384" s="78"/>
      <c r="G384" s="2"/>
      <c r="H384" s="47" t="s">
        <v>4926</v>
      </c>
      <c r="I384" s="43">
        <v>6042070338</v>
      </c>
      <c r="J384" s="43" t="s">
        <v>4927</v>
      </c>
      <c r="K384" s="47" t="s">
        <v>4928</v>
      </c>
      <c r="L384" s="67" t="e">
        <f>VLOOKUP(G384,Input!C:Q,12,FALSE)</f>
        <v>#N/A</v>
      </c>
      <c r="M384" s="68" t="e">
        <f>VLOOKUP(G384,Input!C:Q,15,FALSE)</f>
        <v>#N/A</v>
      </c>
      <c r="N384" s="69" t="e">
        <f>VLOOKUP(G384,Input!C:Q,14,FALSE)</f>
        <v>#N/A</v>
      </c>
      <c r="Q384" s="48">
        <v>1</v>
      </c>
      <c r="R384" s="75" t="e">
        <f>VLOOKUP(G384,Input!C:H,5,FALSE)</f>
        <v>#N/A</v>
      </c>
      <c r="T384" s="47">
        <v>1</v>
      </c>
      <c r="U384" s="47" t="str">
        <f t="shared" si="5"/>
        <v>383,383,**,</v>
      </c>
      <c r="AC384" s="47">
        <v>383</v>
      </c>
      <c r="AD384" s="47">
        <v>383</v>
      </c>
    </row>
    <row r="385" spans="1:30" ht="15.75">
      <c r="A385" s="13" t="str">
        <f>IFERROR(VLOOKUP($G:$G,scan!$A:$B,2,0),"**")</f>
        <v>**</v>
      </c>
      <c r="B385" s="13" t="str">
        <f>IFERROR(VLOOKUP($G385,scan!A:C,3,0),"**")</f>
        <v>**</v>
      </c>
      <c r="C385" s="47">
        <v>384</v>
      </c>
      <c r="F385" s="78"/>
      <c r="G385" s="2"/>
      <c r="H385" s="47" t="s">
        <v>4926</v>
      </c>
      <c r="I385" s="43">
        <v>6042070338</v>
      </c>
      <c r="J385" s="43" t="s">
        <v>4927</v>
      </c>
      <c r="K385" s="47" t="s">
        <v>4928</v>
      </c>
      <c r="L385" s="67" t="e">
        <f>VLOOKUP(G385,Input!C:Q,12,FALSE)</f>
        <v>#N/A</v>
      </c>
      <c r="M385" s="68" t="e">
        <f>VLOOKUP(G385,Input!C:Q,15,FALSE)</f>
        <v>#N/A</v>
      </c>
      <c r="N385" s="69" t="e">
        <f>VLOOKUP(G385,Input!C:Q,14,FALSE)</f>
        <v>#N/A</v>
      </c>
      <c r="Q385" s="48">
        <v>1</v>
      </c>
      <c r="R385" s="75" t="e">
        <f>VLOOKUP(G385,Input!C:H,5,FALSE)</f>
        <v>#N/A</v>
      </c>
      <c r="T385" s="47">
        <v>1</v>
      </c>
      <c r="U385" s="47" t="str">
        <f t="shared" si="5"/>
        <v>384,384,**,</v>
      </c>
      <c r="AC385" s="47">
        <v>384</v>
      </c>
      <c r="AD385" s="47">
        <v>384</v>
      </c>
    </row>
    <row r="386" spans="1:30" ht="15.75">
      <c r="A386" s="13" t="str">
        <f>IFERROR(VLOOKUP($G:$G,scan!$A:$B,2,0),"**")</f>
        <v>**</v>
      </c>
      <c r="B386" s="13" t="str">
        <f>IFERROR(VLOOKUP($G386,scan!A:C,3,0),"**")</f>
        <v>**</v>
      </c>
      <c r="C386" s="47">
        <v>385</v>
      </c>
      <c r="F386" s="78"/>
      <c r="G386" s="2"/>
      <c r="H386" s="47" t="s">
        <v>4926</v>
      </c>
      <c r="I386" s="43">
        <v>6042070338</v>
      </c>
      <c r="J386" s="43" t="s">
        <v>4927</v>
      </c>
      <c r="K386" s="47" t="s">
        <v>4928</v>
      </c>
      <c r="L386" s="67" t="e">
        <f>VLOOKUP(G386,Input!C:Q,12,FALSE)</f>
        <v>#N/A</v>
      </c>
      <c r="M386" s="68" t="e">
        <f>VLOOKUP(G386,Input!C:Q,15,FALSE)</f>
        <v>#N/A</v>
      </c>
      <c r="N386" s="69" t="e">
        <f>VLOOKUP(G386,Input!C:Q,14,FALSE)</f>
        <v>#N/A</v>
      </c>
      <c r="Q386" s="48">
        <v>1</v>
      </c>
      <c r="R386" s="75" t="e">
        <f>VLOOKUP(G386,Input!C:H,5,FALSE)</f>
        <v>#N/A</v>
      </c>
      <c r="T386" s="47">
        <v>1</v>
      </c>
      <c r="U386" s="47" t="str">
        <f t="shared" ref="U386:U439" si="6">CONCATENATE(AC386,",",C386,",",B386,",",G386)</f>
        <v>385,385,**,</v>
      </c>
      <c r="AC386" s="47">
        <v>385</v>
      </c>
      <c r="AD386" s="47">
        <v>385</v>
      </c>
    </row>
    <row r="387" spans="1:30" ht="15.75">
      <c r="A387" s="13" t="str">
        <f>IFERROR(VLOOKUP($G:$G,scan!$A:$B,2,0),"**")</f>
        <v>**</v>
      </c>
      <c r="B387" s="13" t="str">
        <f>IFERROR(VLOOKUP($G387,scan!A:C,3,0),"**")</f>
        <v>**</v>
      </c>
      <c r="C387" s="47">
        <v>386</v>
      </c>
      <c r="F387" s="78"/>
      <c r="G387" s="2"/>
      <c r="H387" s="47" t="s">
        <v>4926</v>
      </c>
      <c r="I387" s="43">
        <v>6042070338</v>
      </c>
      <c r="J387" s="43" t="s">
        <v>4927</v>
      </c>
      <c r="K387" s="47" t="s">
        <v>4928</v>
      </c>
      <c r="L387" s="67" t="e">
        <f>VLOOKUP(G387,Input!C:Q,12,FALSE)</f>
        <v>#N/A</v>
      </c>
      <c r="M387" s="68" t="e">
        <f>VLOOKUP(G387,Input!C:Q,15,FALSE)</f>
        <v>#N/A</v>
      </c>
      <c r="N387" s="69" t="e">
        <f>VLOOKUP(G387,Input!C:Q,14,FALSE)</f>
        <v>#N/A</v>
      </c>
      <c r="Q387" s="48">
        <v>1</v>
      </c>
      <c r="R387" s="75" t="e">
        <f>VLOOKUP(G387,Input!C:H,5,FALSE)</f>
        <v>#N/A</v>
      </c>
      <c r="T387" s="47">
        <v>1</v>
      </c>
      <c r="U387" s="47" t="str">
        <f t="shared" si="6"/>
        <v>386,386,**,</v>
      </c>
      <c r="AC387" s="47">
        <v>386</v>
      </c>
      <c r="AD387" s="47">
        <v>386</v>
      </c>
    </row>
    <row r="388" spans="1:30" ht="15.75">
      <c r="A388" s="13" t="str">
        <f>IFERROR(VLOOKUP($G:$G,scan!$A:$B,2,0),"**")</f>
        <v>**</v>
      </c>
      <c r="B388" s="13" t="str">
        <f>IFERROR(VLOOKUP($G388,scan!A:C,3,0),"**")</f>
        <v>**</v>
      </c>
      <c r="C388" s="47">
        <v>387</v>
      </c>
      <c r="F388" s="78"/>
      <c r="G388" s="2"/>
      <c r="H388" s="47" t="s">
        <v>4926</v>
      </c>
      <c r="I388" s="43">
        <v>6042070338</v>
      </c>
      <c r="J388" s="43" t="s">
        <v>4927</v>
      </c>
      <c r="K388" s="47" t="s">
        <v>4928</v>
      </c>
      <c r="L388" s="67" t="e">
        <f>VLOOKUP(G388,Input!C:Q,12,FALSE)</f>
        <v>#N/A</v>
      </c>
      <c r="M388" s="68" t="e">
        <f>VLOOKUP(G388,Input!C:Q,15,FALSE)</f>
        <v>#N/A</v>
      </c>
      <c r="N388" s="69" t="e">
        <f>VLOOKUP(G388,Input!C:Q,14,FALSE)</f>
        <v>#N/A</v>
      </c>
      <c r="Q388" s="48">
        <v>1</v>
      </c>
      <c r="R388" s="75" t="e">
        <f>VLOOKUP(G388,Input!C:H,5,FALSE)</f>
        <v>#N/A</v>
      </c>
      <c r="T388" s="47">
        <v>1</v>
      </c>
      <c r="U388" s="47" t="str">
        <f t="shared" si="6"/>
        <v>387,387,**,</v>
      </c>
      <c r="AC388" s="47">
        <v>387</v>
      </c>
      <c r="AD388" s="47">
        <v>387</v>
      </c>
    </row>
    <row r="389" spans="1:30" ht="15.75">
      <c r="A389" s="13" t="str">
        <f>IFERROR(VLOOKUP($G:$G,scan!$A:$B,2,0),"**")</f>
        <v>**</v>
      </c>
      <c r="B389" s="13" t="str">
        <f>IFERROR(VLOOKUP($G389,scan!A:C,3,0),"**")</f>
        <v>**</v>
      </c>
      <c r="C389" s="47">
        <v>388</v>
      </c>
      <c r="F389" s="78"/>
      <c r="G389" s="2"/>
      <c r="H389" s="47" t="s">
        <v>4926</v>
      </c>
      <c r="I389" s="43">
        <v>6042070338</v>
      </c>
      <c r="J389" s="43" t="s">
        <v>4927</v>
      </c>
      <c r="K389" s="47" t="s">
        <v>4928</v>
      </c>
      <c r="L389" s="67" t="e">
        <f>VLOOKUP(G389,Input!C:Q,12,FALSE)</f>
        <v>#N/A</v>
      </c>
      <c r="M389" s="68" t="e">
        <f>VLOOKUP(G389,Input!C:Q,15,FALSE)</f>
        <v>#N/A</v>
      </c>
      <c r="N389" s="69" t="e">
        <f>VLOOKUP(G389,Input!C:Q,14,FALSE)</f>
        <v>#N/A</v>
      </c>
      <c r="Q389" s="48">
        <v>1</v>
      </c>
      <c r="R389" s="75" t="e">
        <f>VLOOKUP(G389,Input!C:H,5,FALSE)</f>
        <v>#N/A</v>
      </c>
      <c r="T389" s="47">
        <v>1</v>
      </c>
      <c r="U389" s="47" t="str">
        <f t="shared" si="6"/>
        <v>388,388,**,</v>
      </c>
      <c r="AC389" s="47">
        <v>388</v>
      </c>
      <c r="AD389" s="47">
        <v>388</v>
      </c>
    </row>
    <row r="390" spans="1:30" ht="15.75">
      <c r="A390" s="13" t="str">
        <f>IFERROR(VLOOKUP($G:$G,scan!$A:$B,2,0),"**")</f>
        <v>**</v>
      </c>
      <c r="B390" s="13" t="str">
        <f>IFERROR(VLOOKUP($G390,scan!A:C,3,0),"**")</f>
        <v>**</v>
      </c>
      <c r="C390" s="47">
        <v>389</v>
      </c>
      <c r="F390" s="78"/>
      <c r="G390" s="2"/>
      <c r="H390" s="47" t="s">
        <v>4926</v>
      </c>
      <c r="I390" s="43">
        <v>6042070338</v>
      </c>
      <c r="J390" s="43" t="s">
        <v>4927</v>
      </c>
      <c r="K390" s="47" t="s">
        <v>4928</v>
      </c>
      <c r="L390" s="67" t="e">
        <f>VLOOKUP(G390,Input!C:Q,12,FALSE)</f>
        <v>#N/A</v>
      </c>
      <c r="M390" s="68" t="e">
        <f>VLOOKUP(G390,Input!C:Q,15,FALSE)</f>
        <v>#N/A</v>
      </c>
      <c r="N390" s="69" t="e">
        <f>VLOOKUP(G390,Input!C:Q,14,FALSE)</f>
        <v>#N/A</v>
      </c>
      <c r="Q390" s="48">
        <v>1</v>
      </c>
      <c r="R390" s="75" t="e">
        <f>VLOOKUP(G390,Input!C:H,5,FALSE)</f>
        <v>#N/A</v>
      </c>
      <c r="T390" s="47">
        <v>1</v>
      </c>
      <c r="U390" s="47" t="str">
        <f t="shared" si="6"/>
        <v>389,389,**,</v>
      </c>
      <c r="AC390" s="47">
        <v>389</v>
      </c>
      <c r="AD390" s="47">
        <v>389</v>
      </c>
    </row>
    <row r="391" spans="1:30" ht="15.75">
      <c r="A391" s="13" t="str">
        <f>IFERROR(VLOOKUP($G:$G,scan!$A:$B,2,0),"**")</f>
        <v>**</v>
      </c>
      <c r="B391" s="13" t="str">
        <f>IFERROR(VLOOKUP($G391,scan!A:C,3,0),"**")</f>
        <v>**</v>
      </c>
      <c r="C391" s="47">
        <v>390</v>
      </c>
      <c r="F391" s="78"/>
      <c r="G391" s="2"/>
      <c r="H391" s="47" t="s">
        <v>4926</v>
      </c>
      <c r="I391" s="43">
        <v>6042070338</v>
      </c>
      <c r="J391" s="43" t="s">
        <v>4927</v>
      </c>
      <c r="K391" s="47" t="s">
        <v>4928</v>
      </c>
      <c r="L391" s="67" t="e">
        <f>VLOOKUP(G391,Input!C:Q,12,FALSE)</f>
        <v>#N/A</v>
      </c>
      <c r="M391" s="68" t="e">
        <f>VLOOKUP(G391,Input!C:Q,15,FALSE)</f>
        <v>#N/A</v>
      </c>
      <c r="N391" s="69" t="e">
        <f>VLOOKUP(G391,Input!C:Q,14,FALSE)</f>
        <v>#N/A</v>
      </c>
      <c r="Q391" s="48">
        <v>1</v>
      </c>
      <c r="R391" s="75" t="e">
        <f>VLOOKUP(G391,Input!C:H,5,FALSE)</f>
        <v>#N/A</v>
      </c>
      <c r="T391" s="47">
        <v>1</v>
      </c>
      <c r="U391" s="47" t="str">
        <f t="shared" si="6"/>
        <v>390,390,**,</v>
      </c>
      <c r="AC391" s="47">
        <v>390</v>
      </c>
      <c r="AD391" s="47">
        <v>390</v>
      </c>
    </row>
    <row r="392" spans="1:30" ht="15.75">
      <c r="A392" s="13" t="str">
        <f>IFERROR(VLOOKUP($G:$G,scan!$A:$B,2,0),"**")</f>
        <v>**</v>
      </c>
      <c r="B392" s="13" t="str">
        <f>IFERROR(VLOOKUP($G392,scan!A:C,3,0),"**")</f>
        <v>**</v>
      </c>
      <c r="C392" s="47">
        <v>391</v>
      </c>
      <c r="F392" s="78"/>
      <c r="G392" s="2"/>
      <c r="H392" s="47" t="s">
        <v>4926</v>
      </c>
      <c r="I392" s="43">
        <v>6042070338</v>
      </c>
      <c r="J392" s="43" t="s">
        <v>4927</v>
      </c>
      <c r="K392" s="47" t="s">
        <v>4928</v>
      </c>
      <c r="L392" s="67" t="e">
        <f>VLOOKUP(G392,Input!C:Q,12,FALSE)</f>
        <v>#N/A</v>
      </c>
      <c r="M392" s="68" t="e">
        <f>VLOOKUP(G392,Input!C:Q,15,FALSE)</f>
        <v>#N/A</v>
      </c>
      <c r="N392" s="69" t="e">
        <f>VLOOKUP(G392,Input!C:Q,14,FALSE)</f>
        <v>#N/A</v>
      </c>
      <c r="Q392" s="48">
        <v>1</v>
      </c>
      <c r="R392" s="75" t="e">
        <f>VLOOKUP(G392,Input!C:H,5,FALSE)</f>
        <v>#N/A</v>
      </c>
      <c r="T392" s="47">
        <v>1</v>
      </c>
      <c r="U392" s="47" t="str">
        <f t="shared" si="6"/>
        <v>391,391,**,</v>
      </c>
      <c r="AC392" s="47">
        <v>391</v>
      </c>
      <c r="AD392" s="47">
        <v>391</v>
      </c>
    </row>
    <row r="393" spans="1:30" ht="15.75">
      <c r="A393" s="13" t="str">
        <f>IFERROR(VLOOKUP($G:$G,scan!$A:$B,2,0),"**")</f>
        <v>**</v>
      </c>
      <c r="B393" s="13" t="str">
        <f>IFERROR(VLOOKUP($G393,scan!A:C,3,0),"**")</f>
        <v>**</v>
      </c>
      <c r="C393" s="47">
        <v>392</v>
      </c>
      <c r="F393" s="78"/>
      <c r="G393" s="2"/>
      <c r="H393" s="47" t="s">
        <v>4926</v>
      </c>
      <c r="I393" s="43">
        <v>6042070338</v>
      </c>
      <c r="J393" s="43" t="s">
        <v>4927</v>
      </c>
      <c r="K393" s="47" t="s">
        <v>4928</v>
      </c>
      <c r="L393" s="67" t="e">
        <f>VLOOKUP(G393,Input!C:Q,12,FALSE)</f>
        <v>#N/A</v>
      </c>
      <c r="M393" s="68" t="e">
        <f>VLOOKUP(G393,Input!C:Q,15,FALSE)</f>
        <v>#N/A</v>
      </c>
      <c r="N393" s="69" t="e">
        <f>VLOOKUP(G393,Input!C:Q,14,FALSE)</f>
        <v>#N/A</v>
      </c>
      <c r="Q393" s="48">
        <v>1</v>
      </c>
      <c r="R393" s="75" t="e">
        <f>VLOOKUP(G393,Input!C:H,5,FALSE)</f>
        <v>#N/A</v>
      </c>
      <c r="T393" s="47">
        <v>1</v>
      </c>
      <c r="U393" s="47" t="str">
        <f t="shared" si="6"/>
        <v>392,392,**,</v>
      </c>
      <c r="AC393" s="47">
        <v>392</v>
      </c>
      <c r="AD393" s="47">
        <v>392</v>
      </c>
    </row>
    <row r="394" spans="1:30" ht="15.75">
      <c r="A394" s="13" t="str">
        <f>IFERROR(VLOOKUP($G:$G,scan!$A:$B,2,0),"**")</f>
        <v>**</v>
      </c>
      <c r="B394" s="13" t="str">
        <f>IFERROR(VLOOKUP($G394,scan!A:C,3,0),"**")</f>
        <v>**</v>
      </c>
      <c r="C394" s="47">
        <v>393</v>
      </c>
      <c r="F394" s="78"/>
      <c r="G394" s="2"/>
      <c r="H394" s="47" t="s">
        <v>4926</v>
      </c>
      <c r="I394" s="43">
        <v>6042070338</v>
      </c>
      <c r="J394" s="43" t="s">
        <v>4927</v>
      </c>
      <c r="K394" s="47" t="s">
        <v>4928</v>
      </c>
      <c r="L394" s="67" t="e">
        <f>VLOOKUP(G394,Input!C:Q,12,FALSE)</f>
        <v>#N/A</v>
      </c>
      <c r="M394" s="68" t="e">
        <f>VLOOKUP(G394,Input!C:Q,15,FALSE)</f>
        <v>#N/A</v>
      </c>
      <c r="N394" s="69" t="e">
        <f>VLOOKUP(G394,Input!C:Q,14,FALSE)</f>
        <v>#N/A</v>
      </c>
      <c r="Q394" s="48">
        <v>1</v>
      </c>
      <c r="R394" s="75" t="e">
        <f>VLOOKUP(G394,Input!C:H,5,FALSE)</f>
        <v>#N/A</v>
      </c>
      <c r="T394" s="47">
        <v>1</v>
      </c>
      <c r="U394" s="47" t="str">
        <f t="shared" si="6"/>
        <v>393,393,**,</v>
      </c>
      <c r="AC394" s="47">
        <v>393</v>
      </c>
      <c r="AD394" s="47">
        <v>393</v>
      </c>
    </row>
    <row r="395" spans="1:30" ht="15.75">
      <c r="A395" s="13" t="str">
        <f>IFERROR(VLOOKUP($G:$G,scan!$A:$B,2,0),"**")</f>
        <v>**</v>
      </c>
      <c r="B395" s="13" t="str">
        <f>IFERROR(VLOOKUP($G395,scan!A:C,3,0),"**")</f>
        <v>**</v>
      </c>
      <c r="C395" s="47">
        <v>394</v>
      </c>
      <c r="F395" s="78"/>
      <c r="G395" s="2"/>
      <c r="H395" s="47" t="s">
        <v>4926</v>
      </c>
      <c r="I395" s="43">
        <v>6042070338</v>
      </c>
      <c r="J395" s="43" t="s">
        <v>4927</v>
      </c>
      <c r="K395" s="47" t="s">
        <v>4928</v>
      </c>
      <c r="L395" s="67" t="e">
        <f>VLOOKUP(G395,Input!C:Q,12,FALSE)</f>
        <v>#N/A</v>
      </c>
      <c r="M395" s="68" t="e">
        <f>VLOOKUP(G395,Input!C:Q,15,FALSE)</f>
        <v>#N/A</v>
      </c>
      <c r="N395" s="69" t="e">
        <f>VLOOKUP(G395,Input!C:Q,14,FALSE)</f>
        <v>#N/A</v>
      </c>
      <c r="Q395" s="48">
        <v>1</v>
      </c>
      <c r="R395" s="75" t="e">
        <f>VLOOKUP(G395,Input!C:H,5,FALSE)</f>
        <v>#N/A</v>
      </c>
      <c r="T395" s="47">
        <v>1</v>
      </c>
      <c r="U395" s="47" t="str">
        <f t="shared" si="6"/>
        <v>394,394,**,</v>
      </c>
      <c r="AC395" s="47">
        <v>394</v>
      </c>
      <c r="AD395" s="47">
        <v>394</v>
      </c>
    </row>
    <row r="396" spans="1:30" ht="15.75">
      <c r="A396" s="13" t="str">
        <f>IFERROR(VLOOKUP($G:$G,scan!$A:$B,2,0),"**")</f>
        <v>**</v>
      </c>
      <c r="B396" s="13" t="str">
        <f>IFERROR(VLOOKUP($G396,scan!A:C,3,0),"**")</f>
        <v>**</v>
      </c>
      <c r="C396" s="47">
        <v>395</v>
      </c>
      <c r="F396" s="78"/>
      <c r="G396" s="2"/>
      <c r="H396" s="47" t="s">
        <v>4926</v>
      </c>
      <c r="I396" s="43">
        <v>6042070338</v>
      </c>
      <c r="J396" s="43" t="s">
        <v>4927</v>
      </c>
      <c r="K396" s="47" t="s">
        <v>4928</v>
      </c>
      <c r="L396" s="67" t="e">
        <f>VLOOKUP(G396,Input!C:Q,12,FALSE)</f>
        <v>#N/A</v>
      </c>
      <c r="M396" s="68" t="e">
        <f>VLOOKUP(G396,Input!C:Q,15,FALSE)</f>
        <v>#N/A</v>
      </c>
      <c r="N396" s="69" t="e">
        <f>VLOOKUP(G396,Input!C:Q,14,FALSE)</f>
        <v>#N/A</v>
      </c>
      <c r="Q396" s="48">
        <v>1</v>
      </c>
      <c r="R396" s="75" t="e">
        <f>VLOOKUP(G396,Input!C:H,5,FALSE)</f>
        <v>#N/A</v>
      </c>
      <c r="T396" s="47">
        <v>1</v>
      </c>
      <c r="U396" s="47" t="str">
        <f t="shared" si="6"/>
        <v>395,395,**,</v>
      </c>
      <c r="AC396" s="47">
        <v>395</v>
      </c>
      <c r="AD396" s="47">
        <v>395</v>
      </c>
    </row>
    <row r="397" spans="1:30" ht="15.75">
      <c r="A397" s="13" t="str">
        <f>IFERROR(VLOOKUP($G:$G,scan!$A:$B,2,0),"**")</f>
        <v>**</v>
      </c>
      <c r="B397" s="13" t="str">
        <f>IFERROR(VLOOKUP($G397,scan!A:C,3,0),"**")</f>
        <v>**</v>
      </c>
      <c r="C397" s="47">
        <v>396</v>
      </c>
      <c r="F397" s="78"/>
      <c r="G397" s="2"/>
      <c r="H397" s="47" t="s">
        <v>4926</v>
      </c>
      <c r="I397" s="43">
        <v>6042070338</v>
      </c>
      <c r="J397" s="43" t="s">
        <v>4927</v>
      </c>
      <c r="K397" s="47" t="s">
        <v>4928</v>
      </c>
      <c r="L397" s="67" t="e">
        <f>VLOOKUP(G397,Input!C:Q,12,FALSE)</f>
        <v>#N/A</v>
      </c>
      <c r="M397" s="68" t="e">
        <f>VLOOKUP(G397,Input!C:Q,15,FALSE)</f>
        <v>#N/A</v>
      </c>
      <c r="N397" s="69" t="e">
        <f>VLOOKUP(G397,Input!C:Q,14,FALSE)</f>
        <v>#N/A</v>
      </c>
      <c r="Q397" s="48">
        <v>1</v>
      </c>
      <c r="R397" s="75" t="e">
        <f>VLOOKUP(G397,Input!C:H,5,FALSE)</f>
        <v>#N/A</v>
      </c>
      <c r="T397" s="47">
        <v>1</v>
      </c>
      <c r="U397" s="47" t="str">
        <f t="shared" si="6"/>
        <v>396,396,**,</v>
      </c>
      <c r="AC397" s="47">
        <v>396</v>
      </c>
      <c r="AD397" s="47">
        <v>396</v>
      </c>
    </row>
    <row r="398" spans="1:30" ht="15.75">
      <c r="A398" s="13" t="str">
        <f>IFERROR(VLOOKUP($G:$G,scan!$A:$B,2,0),"**")</f>
        <v>**</v>
      </c>
      <c r="B398" s="13" t="str">
        <f>IFERROR(VLOOKUP($G398,scan!A:C,3,0),"**")</f>
        <v>**</v>
      </c>
      <c r="C398" s="47">
        <v>397</v>
      </c>
      <c r="F398" s="78"/>
      <c r="G398" s="2"/>
      <c r="H398" s="47" t="s">
        <v>4926</v>
      </c>
      <c r="I398" s="43">
        <v>6042070338</v>
      </c>
      <c r="J398" s="43" t="s">
        <v>4927</v>
      </c>
      <c r="K398" s="47" t="s">
        <v>4928</v>
      </c>
      <c r="L398" s="67" t="e">
        <f>VLOOKUP(G398,Input!C:Q,12,FALSE)</f>
        <v>#N/A</v>
      </c>
      <c r="M398" s="68" t="e">
        <f>VLOOKUP(G398,Input!C:Q,15,FALSE)</f>
        <v>#N/A</v>
      </c>
      <c r="N398" s="69" t="e">
        <f>VLOOKUP(G398,Input!C:Q,14,FALSE)</f>
        <v>#N/A</v>
      </c>
      <c r="Q398" s="48">
        <v>1</v>
      </c>
      <c r="R398" s="75" t="e">
        <f>VLOOKUP(G398,Input!C:H,5,FALSE)</f>
        <v>#N/A</v>
      </c>
      <c r="T398" s="47">
        <v>1</v>
      </c>
      <c r="U398" s="47" t="str">
        <f t="shared" si="6"/>
        <v>397,397,**,</v>
      </c>
      <c r="AC398" s="47">
        <v>397</v>
      </c>
      <c r="AD398" s="47">
        <v>397</v>
      </c>
    </row>
    <row r="399" spans="1:30" ht="15.75">
      <c r="A399" s="13" t="str">
        <f>IFERROR(VLOOKUP($G:$G,scan!$A:$B,2,0),"**")</f>
        <v>**</v>
      </c>
      <c r="B399" s="13" t="str">
        <f>IFERROR(VLOOKUP($G399,scan!A:C,3,0),"**")</f>
        <v>**</v>
      </c>
      <c r="C399" s="47">
        <v>398</v>
      </c>
      <c r="F399" s="78"/>
      <c r="G399" s="2"/>
      <c r="H399" s="47" t="s">
        <v>4926</v>
      </c>
      <c r="I399" s="43">
        <v>6042070338</v>
      </c>
      <c r="J399" s="43" t="s">
        <v>4927</v>
      </c>
      <c r="K399" s="47" t="s">
        <v>4928</v>
      </c>
      <c r="L399" s="67" t="e">
        <f>VLOOKUP(G399,Input!C:Q,12,FALSE)</f>
        <v>#N/A</v>
      </c>
      <c r="M399" s="68" t="e">
        <f>VLOOKUP(G399,Input!C:Q,15,FALSE)</f>
        <v>#N/A</v>
      </c>
      <c r="N399" s="69" t="e">
        <f>VLOOKUP(G399,Input!C:Q,14,FALSE)</f>
        <v>#N/A</v>
      </c>
      <c r="Q399" s="48">
        <v>1</v>
      </c>
      <c r="R399" s="75" t="e">
        <f>VLOOKUP(G399,Input!C:H,5,FALSE)</f>
        <v>#N/A</v>
      </c>
      <c r="T399" s="47">
        <v>1</v>
      </c>
      <c r="U399" s="47" t="str">
        <f t="shared" si="6"/>
        <v>398,398,**,</v>
      </c>
      <c r="AC399" s="47">
        <v>398</v>
      </c>
      <c r="AD399" s="47">
        <v>398</v>
      </c>
    </row>
    <row r="400" spans="1:30" ht="15.75">
      <c r="A400" s="13" t="str">
        <f>IFERROR(VLOOKUP($G:$G,scan!$A:$B,2,0),"**")</f>
        <v>**</v>
      </c>
      <c r="B400" s="13" t="str">
        <f>IFERROR(VLOOKUP($G400,scan!A:C,3,0),"**")</f>
        <v>**</v>
      </c>
      <c r="C400" s="47">
        <v>399</v>
      </c>
      <c r="F400" s="78"/>
      <c r="G400" s="2"/>
      <c r="H400" s="47" t="s">
        <v>4926</v>
      </c>
      <c r="I400" s="43">
        <v>6042070338</v>
      </c>
      <c r="J400" s="43" t="s">
        <v>4927</v>
      </c>
      <c r="K400" s="47" t="s">
        <v>4928</v>
      </c>
      <c r="L400" s="67" t="e">
        <f>VLOOKUP(G400,Input!C:Q,12,FALSE)</f>
        <v>#N/A</v>
      </c>
      <c r="M400" s="68" t="e">
        <f>VLOOKUP(G400,Input!C:Q,15,FALSE)</f>
        <v>#N/A</v>
      </c>
      <c r="N400" s="69" t="e">
        <f>VLOOKUP(G400,Input!C:Q,14,FALSE)</f>
        <v>#N/A</v>
      </c>
      <c r="Q400" s="48">
        <v>1</v>
      </c>
      <c r="R400" s="75" t="e">
        <f>VLOOKUP(G400,Input!C:H,5,FALSE)</f>
        <v>#N/A</v>
      </c>
      <c r="T400" s="47">
        <v>1</v>
      </c>
      <c r="U400" s="47" t="str">
        <f t="shared" si="6"/>
        <v>399,399,**,</v>
      </c>
      <c r="AC400" s="47">
        <v>399</v>
      </c>
      <c r="AD400" s="47">
        <v>399</v>
      </c>
    </row>
    <row r="401" spans="1:30" ht="15.75">
      <c r="A401" s="13" t="str">
        <f>IFERROR(VLOOKUP($G:$G,scan!$A:$B,2,0),"**")</f>
        <v>**</v>
      </c>
      <c r="B401" s="13" t="str">
        <f>IFERROR(VLOOKUP($G401,scan!A:C,3,0),"**")</f>
        <v>**</v>
      </c>
      <c r="C401" s="47">
        <v>400</v>
      </c>
      <c r="F401" s="78"/>
      <c r="G401" s="2"/>
      <c r="H401" s="47" t="s">
        <v>4926</v>
      </c>
      <c r="I401" s="43">
        <v>6042070338</v>
      </c>
      <c r="J401" s="43" t="s">
        <v>4927</v>
      </c>
      <c r="K401" s="47" t="s">
        <v>4928</v>
      </c>
      <c r="L401" s="67" t="e">
        <f>VLOOKUP(G401,Input!C:Q,12,FALSE)</f>
        <v>#N/A</v>
      </c>
      <c r="M401" s="68" t="e">
        <f>VLOOKUP(G401,Input!C:Q,15,FALSE)</f>
        <v>#N/A</v>
      </c>
      <c r="N401" s="69" t="e">
        <f>VLOOKUP(G401,Input!C:Q,14,FALSE)</f>
        <v>#N/A</v>
      </c>
      <c r="Q401" s="48">
        <v>1</v>
      </c>
      <c r="R401" s="75" t="e">
        <f>VLOOKUP(G401,Input!C:H,5,FALSE)</f>
        <v>#N/A</v>
      </c>
      <c r="T401" s="47">
        <v>1</v>
      </c>
      <c r="U401" s="47" t="str">
        <f t="shared" si="6"/>
        <v>400,400,**,</v>
      </c>
      <c r="AC401" s="47">
        <v>400</v>
      </c>
      <c r="AD401" s="47">
        <v>400</v>
      </c>
    </row>
    <row r="402" spans="1:30" ht="15.75">
      <c r="A402" s="13" t="str">
        <f>IFERROR(VLOOKUP($G:$G,scan!$A:$B,2,0),"**")</f>
        <v>**</v>
      </c>
      <c r="B402" s="13" t="str">
        <f>IFERROR(VLOOKUP($G402,scan!A:C,3,0),"**")</f>
        <v>**</v>
      </c>
      <c r="C402" s="47">
        <v>401</v>
      </c>
      <c r="F402" s="78"/>
      <c r="G402" s="2"/>
      <c r="H402" s="47" t="s">
        <v>4926</v>
      </c>
      <c r="I402" s="43">
        <v>6042070338</v>
      </c>
      <c r="J402" s="43" t="s">
        <v>4927</v>
      </c>
      <c r="K402" s="47" t="s">
        <v>4928</v>
      </c>
      <c r="L402" s="67" t="e">
        <f>VLOOKUP(G402,Input!C:Q,12,FALSE)</f>
        <v>#N/A</v>
      </c>
      <c r="M402" s="68" t="e">
        <f>VLOOKUP(G402,Input!C:Q,15,FALSE)</f>
        <v>#N/A</v>
      </c>
      <c r="N402" s="69" t="e">
        <f>VLOOKUP(G402,Input!C:Q,14,FALSE)</f>
        <v>#N/A</v>
      </c>
      <c r="Q402" s="48">
        <v>1</v>
      </c>
      <c r="R402" s="75" t="e">
        <f>VLOOKUP(G402,Input!C:H,5,FALSE)</f>
        <v>#N/A</v>
      </c>
      <c r="T402" s="47">
        <v>1</v>
      </c>
      <c r="U402" s="47" t="str">
        <f t="shared" si="6"/>
        <v>401,401,**,</v>
      </c>
      <c r="AC402" s="47">
        <v>401</v>
      </c>
      <c r="AD402" s="47">
        <v>401</v>
      </c>
    </row>
    <row r="403" spans="1:30" ht="15.75">
      <c r="A403" s="13" t="str">
        <f>IFERROR(VLOOKUP($G:$G,scan!$A:$B,2,0),"**")</f>
        <v>**</v>
      </c>
      <c r="B403" s="13" t="str">
        <f>IFERROR(VLOOKUP($G403,scan!A:C,3,0),"**")</f>
        <v>**</v>
      </c>
      <c r="C403" s="47">
        <v>402</v>
      </c>
      <c r="F403" s="78"/>
      <c r="G403" s="2"/>
      <c r="H403" s="47" t="s">
        <v>4926</v>
      </c>
      <c r="I403" s="43">
        <v>6042070338</v>
      </c>
      <c r="J403" s="43" t="s">
        <v>4927</v>
      </c>
      <c r="K403" s="47" t="s">
        <v>4928</v>
      </c>
      <c r="L403" s="67" t="e">
        <f>VLOOKUP(G403,Input!C:Q,12,FALSE)</f>
        <v>#N/A</v>
      </c>
      <c r="M403" s="68" t="e">
        <f>VLOOKUP(G403,Input!C:Q,15,FALSE)</f>
        <v>#N/A</v>
      </c>
      <c r="N403" s="69" t="e">
        <f>VLOOKUP(G403,Input!C:Q,14,FALSE)</f>
        <v>#N/A</v>
      </c>
      <c r="Q403" s="48">
        <v>1</v>
      </c>
      <c r="R403" s="75" t="e">
        <f>VLOOKUP(G403,Input!C:H,5,FALSE)</f>
        <v>#N/A</v>
      </c>
      <c r="T403" s="47">
        <v>1</v>
      </c>
      <c r="U403" s="47" t="str">
        <f t="shared" si="6"/>
        <v>402,402,**,</v>
      </c>
      <c r="AC403" s="47">
        <v>402</v>
      </c>
      <c r="AD403" s="47">
        <v>402</v>
      </c>
    </row>
    <row r="404" spans="1:30" ht="15.75">
      <c r="A404" s="13" t="str">
        <f>IFERROR(VLOOKUP($G:$G,scan!$A:$B,2,0),"**")</f>
        <v>**</v>
      </c>
      <c r="B404" s="13" t="str">
        <f>IFERROR(VLOOKUP($G404,scan!A:C,3,0),"**")</f>
        <v>**</v>
      </c>
      <c r="C404" s="47">
        <v>403</v>
      </c>
      <c r="F404" s="78"/>
      <c r="G404" s="2"/>
      <c r="H404" s="47" t="s">
        <v>4926</v>
      </c>
      <c r="I404" s="43">
        <v>6042070338</v>
      </c>
      <c r="J404" s="43" t="s">
        <v>4927</v>
      </c>
      <c r="K404" s="47" t="s">
        <v>4928</v>
      </c>
      <c r="L404" s="67" t="e">
        <f>VLOOKUP(G404,Input!C:Q,12,FALSE)</f>
        <v>#N/A</v>
      </c>
      <c r="M404" s="68" t="e">
        <f>VLOOKUP(G404,Input!C:Q,15,FALSE)</f>
        <v>#N/A</v>
      </c>
      <c r="N404" s="69" t="e">
        <f>VLOOKUP(G404,Input!C:Q,14,FALSE)</f>
        <v>#N/A</v>
      </c>
      <c r="Q404" s="48">
        <v>1</v>
      </c>
      <c r="R404" s="75" t="e">
        <f>VLOOKUP(G404,Input!C:H,5,FALSE)</f>
        <v>#N/A</v>
      </c>
      <c r="T404" s="47">
        <v>1</v>
      </c>
      <c r="U404" s="47" t="str">
        <f t="shared" si="6"/>
        <v>403,403,**,</v>
      </c>
      <c r="AC404" s="47">
        <v>403</v>
      </c>
      <c r="AD404" s="47">
        <v>403</v>
      </c>
    </row>
    <row r="405" spans="1:30" ht="15.75">
      <c r="A405" s="13" t="str">
        <f>IFERROR(VLOOKUP($G:$G,scan!$A:$B,2,0),"**")</f>
        <v>**</v>
      </c>
      <c r="B405" s="13" t="str">
        <f>IFERROR(VLOOKUP($G405,scan!A:C,3,0),"**")</f>
        <v>**</v>
      </c>
      <c r="C405" s="47">
        <v>404</v>
      </c>
      <c r="F405" s="78"/>
      <c r="G405" s="2"/>
      <c r="H405" s="47" t="s">
        <v>4926</v>
      </c>
      <c r="I405" s="43">
        <v>6042070338</v>
      </c>
      <c r="J405" s="43" t="s">
        <v>4927</v>
      </c>
      <c r="K405" s="47" t="s">
        <v>4928</v>
      </c>
      <c r="L405" s="67" t="e">
        <f>VLOOKUP(G405,Input!C:Q,12,FALSE)</f>
        <v>#N/A</v>
      </c>
      <c r="M405" s="68" t="e">
        <f>VLOOKUP(G405,Input!C:Q,15,FALSE)</f>
        <v>#N/A</v>
      </c>
      <c r="N405" s="69" t="e">
        <f>VLOOKUP(G405,Input!C:Q,14,FALSE)</f>
        <v>#N/A</v>
      </c>
      <c r="Q405" s="48">
        <v>1</v>
      </c>
      <c r="R405" s="75" t="e">
        <f>VLOOKUP(G405,Input!C:H,5,FALSE)</f>
        <v>#N/A</v>
      </c>
      <c r="T405" s="47">
        <v>1</v>
      </c>
      <c r="U405" s="47" t="str">
        <f t="shared" si="6"/>
        <v>404,404,**,</v>
      </c>
      <c r="AC405" s="47">
        <v>404</v>
      </c>
      <c r="AD405" s="47">
        <v>404</v>
      </c>
    </row>
    <row r="406" spans="1:30" ht="15.75">
      <c r="A406" s="13" t="str">
        <f>IFERROR(VLOOKUP($G:$G,scan!$A:$B,2,0),"**")</f>
        <v>**</v>
      </c>
      <c r="B406" s="13" t="str">
        <f>IFERROR(VLOOKUP($G406,scan!A:C,3,0),"**")</f>
        <v>**</v>
      </c>
      <c r="C406" s="47">
        <v>405</v>
      </c>
      <c r="F406" s="78"/>
      <c r="G406" s="2"/>
      <c r="H406" s="47" t="s">
        <v>4926</v>
      </c>
      <c r="I406" s="43">
        <v>6042070338</v>
      </c>
      <c r="J406" s="43" t="s">
        <v>4927</v>
      </c>
      <c r="K406" s="47" t="s">
        <v>4928</v>
      </c>
      <c r="L406" s="67" t="e">
        <f>VLOOKUP(G406,Input!C:Q,12,FALSE)</f>
        <v>#N/A</v>
      </c>
      <c r="M406" s="68" t="e">
        <f>VLOOKUP(G406,Input!C:Q,15,FALSE)</f>
        <v>#N/A</v>
      </c>
      <c r="N406" s="69" t="e">
        <f>VLOOKUP(G406,Input!C:Q,14,FALSE)</f>
        <v>#N/A</v>
      </c>
      <c r="Q406" s="48">
        <v>1</v>
      </c>
      <c r="R406" s="75" t="e">
        <f>VLOOKUP(G406,Input!C:H,5,FALSE)</f>
        <v>#N/A</v>
      </c>
      <c r="T406" s="47">
        <v>1</v>
      </c>
      <c r="U406" s="47" t="str">
        <f t="shared" si="6"/>
        <v>405,405,**,</v>
      </c>
      <c r="AC406" s="47">
        <v>405</v>
      </c>
      <c r="AD406" s="47">
        <v>405</v>
      </c>
    </row>
    <row r="407" spans="1:30" ht="15.75">
      <c r="A407" s="13" t="str">
        <f>IFERROR(VLOOKUP($G:$G,scan!$A:$B,2,0),"**")</f>
        <v>**</v>
      </c>
      <c r="B407" s="13" t="str">
        <f>IFERROR(VLOOKUP($G407,scan!A:C,3,0),"**")</f>
        <v>**</v>
      </c>
      <c r="C407" s="47">
        <v>406</v>
      </c>
      <c r="F407" s="78"/>
      <c r="G407" s="2"/>
      <c r="H407" s="47" t="s">
        <v>4926</v>
      </c>
      <c r="I407" s="43">
        <v>6042070338</v>
      </c>
      <c r="J407" s="43" t="s">
        <v>4927</v>
      </c>
      <c r="K407" s="47" t="s">
        <v>4928</v>
      </c>
      <c r="L407" s="67" t="e">
        <f>VLOOKUP(G407,Input!C:Q,12,FALSE)</f>
        <v>#N/A</v>
      </c>
      <c r="M407" s="68" t="e">
        <f>VLOOKUP(G407,Input!C:Q,15,FALSE)</f>
        <v>#N/A</v>
      </c>
      <c r="N407" s="69" t="e">
        <f>VLOOKUP(G407,Input!C:Q,14,FALSE)</f>
        <v>#N/A</v>
      </c>
      <c r="Q407" s="48">
        <v>1</v>
      </c>
      <c r="R407" s="75" t="e">
        <f>VLOOKUP(G407,Input!C:H,5,FALSE)</f>
        <v>#N/A</v>
      </c>
      <c r="T407" s="47">
        <v>1</v>
      </c>
      <c r="U407" s="47" t="str">
        <f t="shared" si="6"/>
        <v>406,406,**,</v>
      </c>
      <c r="AC407" s="47">
        <v>406</v>
      </c>
      <c r="AD407" s="47">
        <v>406</v>
      </c>
    </row>
    <row r="408" spans="1:30" ht="15.75">
      <c r="A408" s="13" t="str">
        <f>IFERROR(VLOOKUP($G:$G,scan!$A:$B,2,0),"**")</f>
        <v>**</v>
      </c>
      <c r="B408" s="13" t="str">
        <f>IFERROR(VLOOKUP($G408,scan!A:C,3,0),"**")</f>
        <v>**</v>
      </c>
      <c r="C408" s="47">
        <v>407</v>
      </c>
      <c r="F408" s="78"/>
      <c r="G408" s="2"/>
      <c r="H408" s="47" t="s">
        <v>4926</v>
      </c>
      <c r="I408" s="43">
        <v>6042070338</v>
      </c>
      <c r="J408" s="43" t="s">
        <v>4927</v>
      </c>
      <c r="K408" s="47" t="s">
        <v>4928</v>
      </c>
      <c r="L408" s="67" t="e">
        <f>VLOOKUP(G408,Input!C:Q,12,FALSE)</f>
        <v>#N/A</v>
      </c>
      <c r="M408" s="68" t="e">
        <f>VLOOKUP(G408,Input!C:Q,15,FALSE)</f>
        <v>#N/A</v>
      </c>
      <c r="N408" s="69" t="e">
        <f>VLOOKUP(G408,Input!C:Q,14,FALSE)</f>
        <v>#N/A</v>
      </c>
      <c r="Q408" s="48">
        <v>1</v>
      </c>
      <c r="R408" s="75" t="e">
        <f>VLOOKUP(G408,Input!C:H,5,FALSE)</f>
        <v>#N/A</v>
      </c>
      <c r="T408" s="47">
        <v>1</v>
      </c>
      <c r="U408" s="47" t="str">
        <f t="shared" si="6"/>
        <v>407,407,**,</v>
      </c>
      <c r="AC408" s="47">
        <v>407</v>
      </c>
      <c r="AD408" s="47">
        <v>407</v>
      </c>
    </row>
    <row r="409" spans="1:30" ht="15.75">
      <c r="A409" s="13" t="str">
        <f>IFERROR(VLOOKUP($G:$G,scan!$A:$B,2,0),"**")</f>
        <v>**</v>
      </c>
      <c r="B409" s="13" t="str">
        <f>IFERROR(VLOOKUP($G409,scan!A:C,3,0),"**")</f>
        <v>**</v>
      </c>
      <c r="C409" s="47">
        <v>408</v>
      </c>
      <c r="F409" s="78"/>
      <c r="G409" s="2"/>
      <c r="H409" s="47" t="s">
        <v>4926</v>
      </c>
      <c r="I409" s="43">
        <v>6042070338</v>
      </c>
      <c r="J409" s="43" t="s">
        <v>4927</v>
      </c>
      <c r="K409" s="47" t="s">
        <v>4928</v>
      </c>
      <c r="L409" s="67" t="e">
        <f>VLOOKUP(G409,Input!C:Q,12,FALSE)</f>
        <v>#N/A</v>
      </c>
      <c r="M409" s="68" t="e">
        <f>VLOOKUP(G409,Input!C:Q,15,FALSE)</f>
        <v>#N/A</v>
      </c>
      <c r="N409" s="69" t="e">
        <f>VLOOKUP(G409,Input!C:Q,14,FALSE)</f>
        <v>#N/A</v>
      </c>
      <c r="Q409" s="48">
        <v>1</v>
      </c>
      <c r="R409" s="75" t="e">
        <f>VLOOKUP(G409,Input!C:H,5,FALSE)</f>
        <v>#N/A</v>
      </c>
      <c r="T409" s="47">
        <v>1</v>
      </c>
      <c r="U409" s="47" t="str">
        <f t="shared" si="6"/>
        <v>408,408,**,</v>
      </c>
      <c r="AC409" s="47">
        <v>408</v>
      </c>
      <c r="AD409" s="47">
        <v>408</v>
      </c>
    </row>
    <row r="410" spans="1:30" ht="15.75">
      <c r="A410" s="13" t="str">
        <f>IFERROR(VLOOKUP($G:$G,scan!$A:$B,2,0),"**")</f>
        <v>**</v>
      </c>
      <c r="B410" s="13" t="str">
        <f>IFERROR(VLOOKUP($G410,scan!A:C,3,0),"**")</f>
        <v>**</v>
      </c>
      <c r="C410" s="47">
        <v>409</v>
      </c>
      <c r="F410" s="78"/>
      <c r="G410" s="2"/>
      <c r="H410" s="47" t="s">
        <v>4926</v>
      </c>
      <c r="I410" s="43">
        <v>6042070338</v>
      </c>
      <c r="J410" s="43" t="s">
        <v>4927</v>
      </c>
      <c r="K410" s="47" t="s">
        <v>4928</v>
      </c>
      <c r="L410" s="67" t="e">
        <f>VLOOKUP(G410,Input!C:Q,12,FALSE)</f>
        <v>#N/A</v>
      </c>
      <c r="M410" s="68" t="e">
        <f>VLOOKUP(G410,Input!C:Q,15,FALSE)</f>
        <v>#N/A</v>
      </c>
      <c r="N410" s="69" t="e">
        <f>VLOOKUP(G410,Input!C:Q,14,FALSE)</f>
        <v>#N/A</v>
      </c>
      <c r="Q410" s="48">
        <v>1</v>
      </c>
      <c r="R410" s="75" t="e">
        <f>VLOOKUP(G410,Input!C:H,5,FALSE)</f>
        <v>#N/A</v>
      </c>
      <c r="T410" s="47">
        <v>1</v>
      </c>
      <c r="U410" s="47" t="str">
        <f t="shared" si="6"/>
        <v>409,409,**,</v>
      </c>
      <c r="AC410" s="47">
        <v>409</v>
      </c>
      <c r="AD410" s="47">
        <v>409</v>
      </c>
    </row>
    <row r="411" spans="1:30" ht="15.75">
      <c r="A411" s="13" t="str">
        <f>IFERROR(VLOOKUP($G:$G,scan!$A:$B,2,0),"**")</f>
        <v>**</v>
      </c>
      <c r="B411" s="13" t="str">
        <f>IFERROR(VLOOKUP($G411,scan!A:C,3,0),"**")</f>
        <v>**</v>
      </c>
      <c r="C411" s="47">
        <v>410</v>
      </c>
      <c r="F411" s="78"/>
      <c r="G411" s="2"/>
      <c r="H411" s="47" t="s">
        <v>4926</v>
      </c>
      <c r="I411" s="43">
        <v>6042070338</v>
      </c>
      <c r="J411" s="43" t="s">
        <v>4927</v>
      </c>
      <c r="K411" s="47" t="s">
        <v>4928</v>
      </c>
      <c r="L411" s="67" t="e">
        <f>VLOOKUP(G411,Input!C:Q,12,FALSE)</f>
        <v>#N/A</v>
      </c>
      <c r="M411" s="68" t="e">
        <f>VLOOKUP(G411,Input!C:Q,15,FALSE)</f>
        <v>#N/A</v>
      </c>
      <c r="N411" s="69" t="e">
        <f>VLOOKUP(G411,Input!C:Q,14,FALSE)</f>
        <v>#N/A</v>
      </c>
      <c r="Q411" s="48">
        <v>1</v>
      </c>
      <c r="R411" s="75" t="e">
        <f>VLOOKUP(G411,Input!C:H,5,FALSE)</f>
        <v>#N/A</v>
      </c>
      <c r="T411" s="47">
        <v>1</v>
      </c>
      <c r="U411" s="47" t="str">
        <f t="shared" si="6"/>
        <v>410,410,**,</v>
      </c>
      <c r="AC411" s="47">
        <v>410</v>
      </c>
      <c r="AD411" s="47">
        <v>410</v>
      </c>
    </row>
    <row r="412" spans="1:30" ht="15.75">
      <c r="A412" s="13" t="str">
        <f>IFERROR(VLOOKUP($G:$G,scan!$A:$B,2,0),"**")</f>
        <v>**</v>
      </c>
      <c r="B412" s="13" t="str">
        <f>IFERROR(VLOOKUP($G412,scan!A:C,3,0),"**")</f>
        <v>**</v>
      </c>
      <c r="C412" s="47">
        <v>411</v>
      </c>
      <c r="F412" s="78"/>
      <c r="G412" s="2"/>
      <c r="H412" s="47" t="s">
        <v>4926</v>
      </c>
      <c r="I412" s="43">
        <v>6042070338</v>
      </c>
      <c r="J412" s="43" t="s">
        <v>4927</v>
      </c>
      <c r="K412" s="47" t="s">
        <v>4928</v>
      </c>
      <c r="L412" s="67" t="e">
        <f>VLOOKUP(G412,Input!C:Q,12,FALSE)</f>
        <v>#N/A</v>
      </c>
      <c r="M412" s="68" t="e">
        <f>VLOOKUP(G412,Input!C:Q,15,FALSE)</f>
        <v>#N/A</v>
      </c>
      <c r="N412" s="69" t="e">
        <f>VLOOKUP(G412,Input!C:Q,14,FALSE)</f>
        <v>#N/A</v>
      </c>
      <c r="Q412" s="48">
        <v>1</v>
      </c>
      <c r="R412" s="75" t="e">
        <f>VLOOKUP(G412,Input!C:H,5,FALSE)</f>
        <v>#N/A</v>
      </c>
      <c r="T412" s="47">
        <v>1</v>
      </c>
      <c r="U412" s="47" t="str">
        <f t="shared" si="6"/>
        <v>411,411,**,</v>
      </c>
      <c r="AC412" s="47">
        <v>411</v>
      </c>
      <c r="AD412" s="47">
        <v>411</v>
      </c>
    </row>
    <row r="413" spans="1:30" ht="15.75">
      <c r="A413" s="13" t="str">
        <f>IFERROR(VLOOKUP($G:$G,scan!$A:$B,2,0),"**")</f>
        <v>**</v>
      </c>
      <c r="B413" s="13" t="str">
        <f>IFERROR(VLOOKUP($G413,scan!A:C,3,0),"**")</f>
        <v>**</v>
      </c>
      <c r="C413" s="47">
        <v>412</v>
      </c>
      <c r="F413" s="78"/>
      <c r="G413" s="2"/>
      <c r="H413" s="47" t="s">
        <v>4926</v>
      </c>
      <c r="I413" s="43">
        <v>6042070338</v>
      </c>
      <c r="J413" s="43" t="s">
        <v>4927</v>
      </c>
      <c r="K413" s="47" t="s">
        <v>4928</v>
      </c>
      <c r="L413" s="67" t="e">
        <f>VLOOKUP(G413,Input!C:Q,12,FALSE)</f>
        <v>#N/A</v>
      </c>
      <c r="M413" s="68" t="e">
        <f>VLOOKUP(G413,Input!C:Q,15,FALSE)</f>
        <v>#N/A</v>
      </c>
      <c r="N413" s="69" t="e">
        <f>VLOOKUP(G413,Input!C:Q,14,FALSE)</f>
        <v>#N/A</v>
      </c>
      <c r="Q413" s="48">
        <v>1</v>
      </c>
      <c r="R413" s="75" t="e">
        <f>VLOOKUP(G413,Input!C:H,5,FALSE)</f>
        <v>#N/A</v>
      </c>
      <c r="T413" s="47">
        <v>1</v>
      </c>
      <c r="U413" s="47" t="str">
        <f t="shared" si="6"/>
        <v>412,412,**,</v>
      </c>
      <c r="AC413" s="47">
        <v>412</v>
      </c>
      <c r="AD413" s="47">
        <v>412</v>
      </c>
    </row>
    <row r="414" spans="1:30" ht="15.75">
      <c r="A414" s="13" t="str">
        <f>IFERROR(VLOOKUP($G:$G,scan!$A:$B,2,0),"**")</f>
        <v>**</v>
      </c>
      <c r="B414" s="13" t="str">
        <f>IFERROR(VLOOKUP($G414,scan!A:C,3,0),"**")</f>
        <v>**</v>
      </c>
      <c r="C414" s="47">
        <v>413</v>
      </c>
      <c r="F414" s="78"/>
      <c r="G414" s="2"/>
      <c r="H414" s="47" t="s">
        <v>4926</v>
      </c>
      <c r="I414" s="43">
        <v>6042070338</v>
      </c>
      <c r="J414" s="43" t="s">
        <v>4927</v>
      </c>
      <c r="K414" s="47" t="s">
        <v>4928</v>
      </c>
      <c r="L414" s="67" t="e">
        <f>VLOOKUP(G414,Input!C:Q,12,FALSE)</f>
        <v>#N/A</v>
      </c>
      <c r="M414" s="68" t="e">
        <f>VLOOKUP(G414,Input!C:Q,15,FALSE)</f>
        <v>#N/A</v>
      </c>
      <c r="N414" s="69" t="e">
        <f>VLOOKUP(G414,Input!C:Q,14,FALSE)</f>
        <v>#N/A</v>
      </c>
      <c r="Q414" s="48">
        <v>1</v>
      </c>
      <c r="R414" s="75" t="e">
        <f>VLOOKUP(G414,Input!C:H,5,FALSE)</f>
        <v>#N/A</v>
      </c>
      <c r="T414" s="47">
        <v>1</v>
      </c>
      <c r="U414" s="47" t="str">
        <f t="shared" si="6"/>
        <v>413,413,**,</v>
      </c>
      <c r="AC414" s="47">
        <v>413</v>
      </c>
      <c r="AD414" s="47">
        <v>413</v>
      </c>
    </row>
    <row r="415" spans="1:30" ht="15.75">
      <c r="A415" s="13" t="str">
        <f>IFERROR(VLOOKUP($G:$G,scan!$A:$B,2,0),"**")</f>
        <v>**</v>
      </c>
      <c r="B415" s="13" t="str">
        <f>IFERROR(VLOOKUP($G415,scan!A:C,3,0),"**")</f>
        <v>**</v>
      </c>
      <c r="C415" s="47">
        <v>414</v>
      </c>
      <c r="F415" s="78"/>
      <c r="G415" s="2"/>
      <c r="H415" s="47" t="s">
        <v>4926</v>
      </c>
      <c r="I415" s="43">
        <v>6042070338</v>
      </c>
      <c r="J415" s="43" t="s">
        <v>4927</v>
      </c>
      <c r="K415" s="47" t="s">
        <v>4928</v>
      </c>
      <c r="L415" s="67" t="e">
        <f>VLOOKUP(G415,Input!C:Q,12,FALSE)</f>
        <v>#N/A</v>
      </c>
      <c r="M415" s="68" t="e">
        <f>VLOOKUP(G415,Input!C:Q,15,FALSE)</f>
        <v>#N/A</v>
      </c>
      <c r="N415" s="69" t="e">
        <f>VLOOKUP(G415,Input!C:Q,14,FALSE)</f>
        <v>#N/A</v>
      </c>
      <c r="Q415" s="48">
        <v>1</v>
      </c>
      <c r="R415" s="75" t="e">
        <f>VLOOKUP(G415,Input!C:H,5,FALSE)</f>
        <v>#N/A</v>
      </c>
      <c r="T415" s="47">
        <v>1</v>
      </c>
      <c r="U415" s="47" t="str">
        <f t="shared" si="6"/>
        <v>414,414,**,</v>
      </c>
      <c r="AC415" s="47">
        <v>414</v>
      </c>
      <c r="AD415" s="47">
        <v>414</v>
      </c>
    </row>
    <row r="416" spans="1:30" ht="15.75">
      <c r="A416" s="13" t="str">
        <f>IFERROR(VLOOKUP($G:$G,scan!$A:$B,2,0),"**")</f>
        <v>**</v>
      </c>
      <c r="B416" s="13" t="str">
        <f>IFERROR(VLOOKUP($G416,scan!A:C,3,0),"**")</f>
        <v>**</v>
      </c>
      <c r="C416" s="47">
        <v>415</v>
      </c>
      <c r="F416" s="78"/>
      <c r="G416" s="2"/>
      <c r="H416" s="47" t="s">
        <v>4926</v>
      </c>
      <c r="I416" s="43">
        <v>6042070338</v>
      </c>
      <c r="J416" s="43" t="s">
        <v>4927</v>
      </c>
      <c r="K416" s="47" t="s">
        <v>4928</v>
      </c>
      <c r="L416" s="67" t="e">
        <f>VLOOKUP(G416,Input!C:Q,12,FALSE)</f>
        <v>#N/A</v>
      </c>
      <c r="M416" s="68" t="e">
        <f>VLOOKUP(G416,Input!C:Q,15,FALSE)</f>
        <v>#N/A</v>
      </c>
      <c r="N416" s="69" t="e">
        <f>VLOOKUP(G416,Input!C:Q,14,FALSE)</f>
        <v>#N/A</v>
      </c>
      <c r="Q416" s="48">
        <v>1</v>
      </c>
      <c r="R416" s="75" t="e">
        <f>VLOOKUP(G416,Input!C:H,5,FALSE)</f>
        <v>#N/A</v>
      </c>
      <c r="T416" s="47">
        <v>1</v>
      </c>
      <c r="U416" s="47" t="str">
        <f t="shared" si="6"/>
        <v>415,415,**,</v>
      </c>
      <c r="AC416" s="47">
        <v>415</v>
      </c>
      <c r="AD416" s="47">
        <v>415</v>
      </c>
    </row>
    <row r="417" spans="1:30" ht="15.75">
      <c r="A417" s="13" t="str">
        <f>IFERROR(VLOOKUP($G:$G,scan!$A:$B,2,0),"**")</f>
        <v>**</v>
      </c>
      <c r="B417" s="13" t="str">
        <f>IFERROR(VLOOKUP($G417,scan!A:C,3,0),"**")</f>
        <v>**</v>
      </c>
      <c r="C417" s="47">
        <v>416</v>
      </c>
      <c r="F417" s="78"/>
      <c r="G417" s="2"/>
      <c r="H417" s="47" t="s">
        <v>4926</v>
      </c>
      <c r="I417" s="43">
        <v>6042070338</v>
      </c>
      <c r="J417" s="43" t="s">
        <v>4927</v>
      </c>
      <c r="K417" s="47" t="s">
        <v>4928</v>
      </c>
      <c r="L417" s="67" t="e">
        <f>VLOOKUP(G417,Input!C:Q,12,FALSE)</f>
        <v>#N/A</v>
      </c>
      <c r="M417" s="68" t="e">
        <f>VLOOKUP(G417,Input!C:Q,15,FALSE)</f>
        <v>#N/A</v>
      </c>
      <c r="N417" s="69" t="e">
        <f>VLOOKUP(G417,Input!C:Q,14,FALSE)</f>
        <v>#N/A</v>
      </c>
      <c r="Q417" s="48">
        <v>1</v>
      </c>
      <c r="R417" s="75" t="e">
        <f>VLOOKUP(G417,Input!C:H,5,FALSE)</f>
        <v>#N/A</v>
      </c>
      <c r="T417" s="47">
        <v>1</v>
      </c>
      <c r="U417" s="47" t="str">
        <f t="shared" si="6"/>
        <v>416,416,**,</v>
      </c>
      <c r="AC417" s="47">
        <v>416</v>
      </c>
      <c r="AD417" s="47">
        <v>416</v>
      </c>
    </row>
    <row r="418" spans="1:30" ht="15.75">
      <c r="A418" s="13" t="str">
        <f>IFERROR(VLOOKUP($G:$G,scan!$A:$B,2,0),"**")</f>
        <v>**</v>
      </c>
      <c r="B418" s="13" t="str">
        <f>IFERROR(VLOOKUP($G418,scan!A:C,3,0),"**")</f>
        <v>**</v>
      </c>
      <c r="C418" s="47">
        <v>417</v>
      </c>
      <c r="F418" s="78"/>
      <c r="G418" s="2"/>
      <c r="H418" s="47" t="s">
        <v>4926</v>
      </c>
      <c r="I418" s="43">
        <v>6042070338</v>
      </c>
      <c r="J418" s="43" t="s">
        <v>4927</v>
      </c>
      <c r="K418" s="47" t="s">
        <v>4928</v>
      </c>
      <c r="L418" s="67" t="e">
        <f>VLOOKUP(G418,Input!C:Q,12,FALSE)</f>
        <v>#N/A</v>
      </c>
      <c r="M418" s="68" t="e">
        <f>VLOOKUP(G418,Input!C:Q,15,FALSE)</f>
        <v>#N/A</v>
      </c>
      <c r="N418" s="69" t="e">
        <f>VLOOKUP(G418,Input!C:Q,14,FALSE)</f>
        <v>#N/A</v>
      </c>
      <c r="Q418" s="48">
        <v>1</v>
      </c>
      <c r="R418" s="75" t="e">
        <f>VLOOKUP(G418,Input!C:H,5,FALSE)</f>
        <v>#N/A</v>
      </c>
      <c r="T418" s="47">
        <v>1</v>
      </c>
      <c r="U418" s="47" t="str">
        <f t="shared" si="6"/>
        <v>417,417,**,</v>
      </c>
      <c r="AC418" s="47">
        <v>417</v>
      </c>
      <c r="AD418" s="47">
        <v>417</v>
      </c>
    </row>
    <row r="419" spans="1:30" ht="15.75">
      <c r="A419" s="13" t="str">
        <f>IFERROR(VLOOKUP($G:$G,scan!$A:$B,2,0),"**")</f>
        <v>**</v>
      </c>
      <c r="B419" s="13" t="str">
        <f>IFERROR(VLOOKUP($G419,scan!A:C,3,0),"**")</f>
        <v>**</v>
      </c>
      <c r="C419" s="47">
        <v>418</v>
      </c>
      <c r="F419" s="78"/>
      <c r="G419" s="2"/>
      <c r="H419" s="47" t="s">
        <v>4926</v>
      </c>
      <c r="I419" s="43">
        <v>6042070338</v>
      </c>
      <c r="J419" s="43" t="s">
        <v>4927</v>
      </c>
      <c r="K419" s="47" t="s">
        <v>4928</v>
      </c>
      <c r="L419" s="67" t="e">
        <f>VLOOKUP(G419,Input!C:Q,12,FALSE)</f>
        <v>#N/A</v>
      </c>
      <c r="M419" s="68" t="e">
        <f>VLOOKUP(G419,Input!C:Q,15,FALSE)</f>
        <v>#N/A</v>
      </c>
      <c r="N419" s="69" t="e">
        <f>VLOOKUP(G419,Input!C:Q,14,FALSE)</f>
        <v>#N/A</v>
      </c>
      <c r="Q419" s="48">
        <v>1</v>
      </c>
      <c r="R419" s="75" t="e">
        <f>VLOOKUP(G419,Input!C:H,5,FALSE)</f>
        <v>#N/A</v>
      </c>
      <c r="T419" s="47">
        <v>1</v>
      </c>
      <c r="U419" s="47" t="str">
        <f t="shared" si="6"/>
        <v>418,418,**,</v>
      </c>
      <c r="AC419" s="47">
        <v>418</v>
      </c>
      <c r="AD419" s="47">
        <v>418</v>
      </c>
    </row>
    <row r="420" spans="1:30" ht="15.75">
      <c r="A420" s="13" t="str">
        <f>IFERROR(VLOOKUP($G:$G,scan!$A:$B,2,0),"**")</f>
        <v>**</v>
      </c>
      <c r="B420" s="13" t="str">
        <f>IFERROR(VLOOKUP($G420,scan!A:C,3,0),"**")</f>
        <v>**</v>
      </c>
      <c r="C420" s="47">
        <v>419</v>
      </c>
      <c r="F420" s="78"/>
      <c r="G420" s="2"/>
      <c r="H420" s="47" t="s">
        <v>4926</v>
      </c>
      <c r="I420" s="43">
        <v>6042070338</v>
      </c>
      <c r="J420" s="43" t="s">
        <v>4927</v>
      </c>
      <c r="K420" s="47" t="s">
        <v>4928</v>
      </c>
      <c r="L420" s="67" t="e">
        <f>VLOOKUP(G420,Input!C:Q,12,FALSE)</f>
        <v>#N/A</v>
      </c>
      <c r="M420" s="68" t="e">
        <f>VLOOKUP(G420,Input!C:Q,15,FALSE)</f>
        <v>#N/A</v>
      </c>
      <c r="N420" s="69" t="e">
        <f>VLOOKUP(G420,Input!C:Q,14,FALSE)</f>
        <v>#N/A</v>
      </c>
      <c r="Q420" s="48">
        <v>1</v>
      </c>
      <c r="R420" s="75" t="e">
        <f>VLOOKUP(G420,Input!C:H,5,FALSE)</f>
        <v>#N/A</v>
      </c>
      <c r="T420" s="47">
        <v>1</v>
      </c>
      <c r="U420" s="47" t="str">
        <f t="shared" si="6"/>
        <v>419,419,**,</v>
      </c>
      <c r="AC420" s="47">
        <v>419</v>
      </c>
      <c r="AD420" s="47">
        <v>419</v>
      </c>
    </row>
    <row r="421" spans="1:30" ht="15.75">
      <c r="A421" s="13" t="str">
        <f>IFERROR(VLOOKUP($G:$G,scan!$A:$B,2,0),"**")</f>
        <v>**</v>
      </c>
      <c r="B421" s="13" t="str">
        <f>IFERROR(VLOOKUP($G421,scan!A:C,3,0),"**")</f>
        <v>**</v>
      </c>
      <c r="C421" s="47">
        <v>420</v>
      </c>
      <c r="F421" s="78"/>
      <c r="G421" s="2"/>
      <c r="H421" s="47" t="s">
        <v>4926</v>
      </c>
      <c r="I421" s="43">
        <v>6042070338</v>
      </c>
      <c r="J421" s="43" t="s">
        <v>4927</v>
      </c>
      <c r="K421" s="47" t="s">
        <v>4928</v>
      </c>
      <c r="L421" s="67" t="e">
        <f>VLOOKUP(G421,Input!C:Q,12,FALSE)</f>
        <v>#N/A</v>
      </c>
      <c r="M421" s="68" t="e">
        <f>VLOOKUP(G421,Input!C:Q,15,FALSE)</f>
        <v>#N/A</v>
      </c>
      <c r="N421" s="69" t="e">
        <f>VLOOKUP(G421,Input!C:Q,14,FALSE)</f>
        <v>#N/A</v>
      </c>
      <c r="Q421" s="48">
        <v>1</v>
      </c>
      <c r="R421" s="75" t="e">
        <f>VLOOKUP(G421,Input!C:H,5,FALSE)</f>
        <v>#N/A</v>
      </c>
      <c r="T421" s="47">
        <v>1</v>
      </c>
      <c r="U421" s="47" t="str">
        <f t="shared" si="6"/>
        <v>420,420,**,</v>
      </c>
      <c r="AC421" s="47">
        <v>420</v>
      </c>
      <c r="AD421" s="47">
        <v>420</v>
      </c>
    </row>
    <row r="422" spans="1:30" ht="15.75">
      <c r="A422" s="13" t="str">
        <f>IFERROR(VLOOKUP($G:$G,scan!$A:$B,2,0),"**")</f>
        <v>**</v>
      </c>
      <c r="B422" s="13" t="str">
        <f>IFERROR(VLOOKUP($G422,scan!A:C,3,0),"**")</f>
        <v>**</v>
      </c>
      <c r="C422" s="47">
        <v>421</v>
      </c>
      <c r="F422" s="78"/>
      <c r="G422" s="2"/>
      <c r="H422" s="47" t="s">
        <v>4926</v>
      </c>
      <c r="I422" s="43">
        <v>6042070338</v>
      </c>
      <c r="J422" s="43" t="s">
        <v>4927</v>
      </c>
      <c r="K422" s="47" t="s">
        <v>4928</v>
      </c>
      <c r="L422" s="67" t="e">
        <f>VLOOKUP(G422,Input!C:Q,12,FALSE)</f>
        <v>#N/A</v>
      </c>
      <c r="M422" s="68" t="e">
        <f>VLOOKUP(G422,Input!C:Q,15,FALSE)</f>
        <v>#N/A</v>
      </c>
      <c r="N422" s="69" t="e">
        <f>VLOOKUP(G422,Input!C:Q,14,FALSE)</f>
        <v>#N/A</v>
      </c>
      <c r="Q422" s="48">
        <v>1</v>
      </c>
      <c r="R422" s="75" t="e">
        <f>VLOOKUP(G422,Input!C:H,5,FALSE)</f>
        <v>#N/A</v>
      </c>
      <c r="T422" s="47">
        <v>1</v>
      </c>
      <c r="U422" s="47" t="str">
        <f t="shared" si="6"/>
        <v>421,421,**,</v>
      </c>
      <c r="AC422" s="47">
        <v>421</v>
      </c>
      <c r="AD422" s="47">
        <v>421</v>
      </c>
    </row>
    <row r="423" spans="1:30" ht="15.75">
      <c r="A423" s="13" t="str">
        <f>IFERROR(VLOOKUP($G:$G,scan!$A:$B,2,0),"**")</f>
        <v>**</v>
      </c>
      <c r="B423" s="13" t="str">
        <f>IFERROR(VLOOKUP($G423,scan!A:C,3,0),"**")</f>
        <v>**</v>
      </c>
      <c r="C423" s="47">
        <v>422</v>
      </c>
      <c r="F423" s="78"/>
      <c r="G423" s="2"/>
      <c r="H423" s="47" t="s">
        <v>4926</v>
      </c>
      <c r="I423" s="43">
        <v>6042070338</v>
      </c>
      <c r="J423" s="43" t="s">
        <v>4927</v>
      </c>
      <c r="K423" s="47" t="s">
        <v>4928</v>
      </c>
      <c r="L423" s="67" t="e">
        <f>VLOOKUP(G423,Input!C:Q,12,FALSE)</f>
        <v>#N/A</v>
      </c>
      <c r="M423" s="68" t="e">
        <f>VLOOKUP(G423,Input!C:Q,15,FALSE)</f>
        <v>#N/A</v>
      </c>
      <c r="N423" s="69" t="e">
        <f>VLOOKUP(G423,Input!C:Q,14,FALSE)</f>
        <v>#N/A</v>
      </c>
      <c r="Q423" s="48">
        <v>1</v>
      </c>
      <c r="R423" s="75" t="e">
        <f>VLOOKUP(G423,Input!C:H,5,FALSE)</f>
        <v>#N/A</v>
      </c>
      <c r="T423" s="47">
        <v>1</v>
      </c>
      <c r="U423" s="47" t="str">
        <f t="shared" si="6"/>
        <v>422,422,**,</v>
      </c>
      <c r="AC423" s="47">
        <v>422</v>
      </c>
      <c r="AD423" s="47">
        <v>422</v>
      </c>
    </row>
    <row r="424" spans="1:30" ht="15.75">
      <c r="A424" s="13" t="str">
        <f>IFERROR(VLOOKUP($G:$G,scan!$A:$B,2,0),"**")</f>
        <v>**</v>
      </c>
      <c r="B424" s="13" t="str">
        <f>IFERROR(VLOOKUP($G424,scan!A:C,3,0),"**")</f>
        <v>**</v>
      </c>
      <c r="C424" s="47">
        <v>423</v>
      </c>
      <c r="F424" s="78"/>
      <c r="G424" s="2"/>
      <c r="H424" s="47" t="s">
        <v>4926</v>
      </c>
      <c r="I424" s="43">
        <v>6042070338</v>
      </c>
      <c r="J424" s="43" t="s">
        <v>4927</v>
      </c>
      <c r="K424" s="47" t="s">
        <v>4928</v>
      </c>
      <c r="L424" s="67" t="e">
        <f>VLOOKUP(G424,Input!C:Q,12,FALSE)</f>
        <v>#N/A</v>
      </c>
      <c r="M424" s="68" t="e">
        <f>VLOOKUP(G424,Input!C:Q,15,FALSE)</f>
        <v>#N/A</v>
      </c>
      <c r="N424" s="69" t="e">
        <f>VLOOKUP(G424,Input!C:Q,14,FALSE)</f>
        <v>#N/A</v>
      </c>
      <c r="Q424" s="48">
        <v>1</v>
      </c>
      <c r="R424" s="75" t="e">
        <f>VLOOKUP(G424,Input!C:H,5,FALSE)</f>
        <v>#N/A</v>
      </c>
      <c r="T424" s="47">
        <v>1</v>
      </c>
      <c r="U424" s="47" t="str">
        <f t="shared" si="6"/>
        <v>423,423,**,</v>
      </c>
      <c r="AC424" s="47">
        <v>423</v>
      </c>
      <c r="AD424" s="47">
        <v>423</v>
      </c>
    </row>
    <row r="425" spans="1:30" ht="15.75">
      <c r="A425" s="13" t="str">
        <f>IFERROR(VLOOKUP($G:$G,scan!$A:$B,2,0),"**")</f>
        <v>**</v>
      </c>
      <c r="B425" s="13" t="str">
        <f>IFERROR(VLOOKUP($G425,scan!A:C,3,0),"**")</f>
        <v>**</v>
      </c>
      <c r="C425" s="47">
        <v>424</v>
      </c>
      <c r="F425" s="78"/>
      <c r="G425" s="2"/>
      <c r="H425" s="47" t="s">
        <v>4926</v>
      </c>
      <c r="I425" s="43">
        <v>6042070338</v>
      </c>
      <c r="J425" s="43" t="s">
        <v>4927</v>
      </c>
      <c r="K425" s="47" t="s">
        <v>4928</v>
      </c>
      <c r="L425" s="67" t="e">
        <f>VLOOKUP(G425,Input!C:Q,12,FALSE)</f>
        <v>#N/A</v>
      </c>
      <c r="M425" s="68" t="e">
        <f>VLOOKUP(G425,Input!C:Q,15,FALSE)</f>
        <v>#N/A</v>
      </c>
      <c r="N425" s="69" t="e">
        <f>VLOOKUP(G425,Input!C:Q,14,FALSE)</f>
        <v>#N/A</v>
      </c>
      <c r="Q425" s="48">
        <v>1</v>
      </c>
      <c r="R425" s="75" t="e">
        <f>VLOOKUP(G425,Input!C:H,5,FALSE)</f>
        <v>#N/A</v>
      </c>
      <c r="T425" s="47">
        <v>1</v>
      </c>
      <c r="U425" s="47" t="str">
        <f t="shared" si="6"/>
        <v>424,424,**,</v>
      </c>
      <c r="AC425" s="47">
        <v>424</v>
      </c>
      <c r="AD425" s="47">
        <v>424</v>
      </c>
    </row>
    <row r="426" spans="1:30" ht="15.75">
      <c r="A426" s="13" t="str">
        <f>IFERROR(VLOOKUP($G:$G,scan!$A:$B,2,0),"**")</f>
        <v>**</v>
      </c>
      <c r="B426" s="13" t="str">
        <f>IFERROR(VLOOKUP($G426,scan!A:C,3,0),"**")</f>
        <v>**</v>
      </c>
      <c r="C426" s="47">
        <v>425</v>
      </c>
      <c r="F426" s="78"/>
      <c r="G426" s="2"/>
      <c r="H426" s="47" t="s">
        <v>4926</v>
      </c>
      <c r="I426" s="43">
        <v>6042070338</v>
      </c>
      <c r="J426" s="43" t="s">
        <v>4927</v>
      </c>
      <c r="K426" s="47" t="s">
        <v>4928</v>
      </c>
      <c r="L426" s="67" t="e">
        <f>VLOOKUP(G426,Input!C:Q,12,FALSE)</f>
        <v>#N/A</v>
      </c>
      <c r="M426" s="68" t="e">
        <f>VLOOKUP(G426,Input!C:Q,15,FALSE)</f>
        <v>#N/A</v>
      </c>
      <c r="N426" s="69" t="e">
        <f>VLOOKUP(G426,Input!C:Q,14,FALSE)</f>
        <v>#N/A</v>
      </c>
      <c r="Q426" s="48">
        <v>1</v>
      </c>
      <c r="R426" s="75" t="e">
        <f>VLOOKUP(G426,Input!C:H,5,FALSE)</f>
        <v>#N/A</v>
      </c>
      <c r="T426" s="47">
        <v>1</v>
      </c>
      <c r="U426" s="47" t="str">
        <f t="shared" si="6"/>
        <v>425,425,**,</v>
      </c>
      <c r="AC426" s="47">
        <v>425</v>
      </c>
      <c r="AD426" s="47">
        <v>425</v>
      </c>
    </row>
    <row r="427" spans="1:30" ht="15.75">
      <c r="A427" s="13" t="str">
        <f>IFERROR(VLOOKUP($G:$G,scan!$A:$B,2,0),"**")</f>
        <v>**</v>
      </c>
      <c r="B427" s="13" t="str">
        <f>IFERROR(VLOOKUP($G427,scan!A:C,3,0),"**")</f>
        <v>**</v>
      </c>
      <c r="C427" s="47">
        <v>426</v>
      </c>
      <c r="F427" s="78"/>
      <c r="G427" s="2"/>
      <c r="H427" s="47" t="s">
        <v>4926</v>
      </c>
      <c r="I427" s="43">
        <v>6042070338</v>
      </c>
      <c r="J427" s="43" t="s">
        <v>4927</v>
      </c>
      <c r="K427" s="47" t="s">
        <v>4928</v>
      </c>
      <c r="L427" s="67" t="e">
        <f>VLOOKUP(G427,Input!C:Q,12,FALSE)</f>
        <v>#N/A</v>
      </c>
      <c r="M427" s="68" t="e">
        <f>VLOOKUP(G427,Input!C:Q,15,FALSE)</f>
        <v>#N/A</v>
      </c>
      <c r="N427" s="69" t="e">
        <f>VLOOKUP(G427,Input!C:Q,14,FALSE)</f>
        <v>#N/A</v>
      </c>
      <c r="Q427" s="48">
        <v>1</v>
      </c>
      <c r="R427" s="75" t="e">
        <f>VLOOKUP(G427,Input!C:H,5,FALSE)</f>
        <v>#N/A</v>
      </c>
      <c r="T427" s="47">
        <v>1</v>
      </c>
      <c r="U427" s="47" t="str">
        <f t="shared" si="6"/>
        <v>426,426,**,</v>
      </c>
      <c r="AC427" s="47">
        <v>426</v>
      </c>
      <c r="AD427" s="47">
        <v>426</v>
      </c>
    </row>
    <row r="428" spans="1:30" ht="15.75">
      <c r="A428" s="13" t="str">
        <f>IFERROR(VLOOKUP($G:$G,scan!$A:$B,2,0),"**")</f>
        <v>**</v>
      </c>
      <c r="B428" s="13" t="str">
        <f>IFERROR(VLOOKUP($G428,scan!A:C,3,0),"**")</f>
        <v>**</v>
      </c>
      <c r="C428" s="47">
        <v>427</v>
      </c>
      <c r="F428" s="78"/>
      <c r="G428" s="2"/>
      <c r="H428" s="47" t="s">
        <v>4926</v>
      </c>
      <c r="I428" s="43">
        <v>6042070338</v>
      </c>
      <c r="J428" s="43" t="s">
        <v>4927</v>
      </c>
      <c r="K428" s="47" t="s">
        <v>4928</v>
      </c>
      <c r="L428" s="67" t="e">
        <f>VLOOKUP(G428,Input!C:Q,12,FALSE)</f>
        <v>#N/A</v>
      </c>
      <c r="M428" s="68" t="e">
        <f>VLOOKUP(G428,Input!C:Q,15,FALSE)</f>
        <v>#N/A</v>
      </c>
      <c r="N428" s="69" t="e">
        <f>VLOOKUP(G428,Input!C:Q,14,FALSE)</f>
        <v>#N/A</v>
      </c>
      <c r="Q428" s="48">
        <v>1</v>
      </c>
      <c r="R428" s="75" t="e">
        <f>VLOOKUP(G428,Input!C:H,5,FALSE)</f>
        <v>#N/A</v>
      </c>
      <c r="T428" s="47">
        <v>1</v>
      </c>
      <c r="U428" s="47" t="str">
        <f t="shared" si="6"/>
        <v>427,427,**,</v>
      </c>
      <c r="AC428" s="47">
        <v>427</v>
      </c>
      <c r="AD428" s="47">
        <v>427</v>
      </c>
    </row>
    <row r="429" spans="1:30" ht="15.75">
      <c r="A429" s="13" t="str">
        <f>IFERROR(VLOOKUP($G:$G,scan!$A:$B,2,0),"**")</f>
        <v>**</v>
      </c>
      <c r="B429" s="13" t="str">
        <f>IFERROR(VLOOKUP($G429,scan!A:C,3,0),"**")</f>
        <v>**</v>
      </c>
      <c r="C429" s="47">
        <v>428</v>
      </c>
      <c r="F429" s="78"/>
      <c r="G429" s="2"/>
      <c r="H429" s="47" t="s">
        <v>4926</v>
      </c>
      <c r="I429" s="43">
        <v>6042070338</v>
      </c>
      <c r="J429" s="43" t="s">
        <v>4927</v>
      </c>
      <c r="K429" s="47" t="s">
        <v>4928</v>
      </c>
      <c r="L429" s="67" t="e">
        <f>VLOOKUP(G429,Input!C:Q,12,FALSE)</f>
        <v>#N/A</v>
      </c>
      <c r="M429" s="68" t="e">
        <f>VLOOKUP(G429,Input!C:Q,15,FALSE)</f>
        <v>#N/A</v>
      </c>
      <c r="N429" s="69" t="e">
        <f>VLOOKUP(G429,Input!C:Q,14,FALSE)</f>
        <v>#N/A</v>
      </c>
      <c r="Q429" s="48">
        <v>1</v>
      </c>
      <c r="R429" s="75" t="e">
        <f>VLOOKUP(G429,Input!C:H,5,FALSE)</f>
        <v>#N/A</v>
      </c>
      <c r="T429" s="47">
        <v>1</v>
      </c>
      <c r="U429" s="47" t="str">
        <f t="shared" si="6"/>
        <v>428,428,**,</v>
      </c>
      <c r="AC429" s="47">
        <v>428</v>
      </c>
      <c r="AD429" s="47">
        <v>428</v>
      </c>
    </row>
    <row r="430" spans="1:30" ht="15.75">
      <c r="A430" s="13" t="str">
        <f>IFERROR(VLOOKUP($G:$G,scan!$A:$B,2,0),"**")</f>
        <v>**</v>
      </c>
      <c r="B430" s="13" t="str">
        <f>IFERROR(VLOOKUP($G430,scan!A:C,3,0),"**")</f>
        <v>**</v>
      </c>
      <c r="C430" s="47">
        <v>429</v>
      </c>
      <c r="F430" s="78"/>
      <c r="G430" s="2"/>
      <c r="H430" s="47" t="s">
        <v>4926</v>
      </c>
      <c r="I430" s="43">
        <v>6042070338</v>
      </c>
      <c r="J430" s="43" t="s">
        <v>4927</v>
      </c>
      <c r="K430" s="47" t="s">
        <v>4928</v>
      </c>
      <c r="L430" s="67" t="e">
        <f>VLOOKUP(G430,Input!C:Q,12,FALSE)</f>
        <v>#N/A</v>
      </c>
      <c r="M430" s="68" t="e">
        <f>VLOOKUP(G430,Input!C:Q,15,FALSE)</f>
        <v>#N/A</v>
      </c>
      <c r="N430" s="69" t="e">
        <f>VLOOKUP(G430,Input!C:Q,14,FALSE)</f>
        <v>#N/A</v>
      </c>
      <c r="Q430" s="48">
        <v>1</v>
      </c>
      <c r="R430" s="75" t="e">
        <f>VLOOKUP(G430,Input!C:H,5,FALSE)</f>
        <v>#N/A</v>
      </c>
      <c r="T430" s="47">
        <v>1</v>
      </c>
      <c r="U430" s="47" t="str">
        <f t="shared" si="6"/>
        <v>429,429,**,</v>
      </c>
      <c r="AC430" s="47">
        <v>429</v>
      </c>
      <c r="AD430" s="47">
        <v>429</v>
      </c>
    </row>
    <row r="431" spans="1:30" ht="15.75">
      <c r="A431" s="13" t="str">
        <f>IFERROR(VLOOKUP($G:$G,scan!$A:$B,2,0),"**")</f>
        <v>**</v>
      </c>
      <c r="B431" s="13" t="str">
        <f>IFERROR(VLOOKUP($G431,scan!A:C,3,0),"**")</f>
        <v>**</v>
      </c>
      <c r="C431" s="47">
        <v>430</v>
      </c>
      <c r="F431" s="78"/>
      <c r="G431" s="2"/>
      <c r="H431" s="47" t="s">
        <v>4926</v>
      </c>
      <c r="I431" s="43">
        <v>6042070338</v>
      </c>
      <c r="J431" s="43" t="s">
        <v>4927</v>
      </c>
      <c r="K431" s="47" t="s">
        <v>4928</v>
      </c>
      <c r="L431" s="67" t="e">
        <f>VLOOKUP(G431,Input!C:Q,12,FALSE)</f>
        <v>#N/A</v>
      </c>
      <c r="M431" s="68" t="e">
        <f>VLOOKUP(G431,Input!C:Q,15,FALSE)</f>
        <v>#N/A</v>
      </c>
      <c r="N431" s="69" t="e">
        <f>VLOOKUP(G431,Input!C:Q,14,FALSE)</f>
        <v>#N/A</v>
      </c>
      <c r="Q431" s="48">
        <v>1</v>
      </c>
      <c r="R431" s="75" t="e">
        <f>VLOOKUP(G431,Input!C:H,5,FALSE)</f>
        <v>#N/A</v>
      </c>
      <c r="T431" s="47">
        <v>1</v>
      </c>
      <c r="U431" s="47" t="str">
        <f t="shared" si="6"/>
        <v>430,430,**,</v>
      </c>
      <c r="AC431" s="47">
        <v>430</v>
      </c>
      <c r="AD431" s="47">
        <v>430</v>
      </c>
    </row>
    <row r="432" spans="1:30" ht="15.75">
      <c r="A432" s="13" t="str">
        <f>IFERROR(VLOOKUP($G:$G,scan!$A:$B,2,0),"**")</f>
        <v>**</v>
      </c>
      <c r="B432" s="13" t="str">
        <f>IFERROR(VLOOKUP($G432,scan!A:C,3,0),"**")</f>
        <v>**</v>
      </c>
      <c r="C432" s="47">
        <v>431</v>
      </c>
      <c r="F432" s="78"/>
      <c r="G432" s="2"/>
      <c r="H432" s="47" t="s">
        <v>4926</v>
      </c>
      <c r="I432" s="43">
        <v>6042070338</v>
      </c>
      <c r="J432" s="43" t="s">
        <v>4927</v>
      </c>
      <c r="K432" s="47" t="s">
        <v>4928</v>
      </c>
      <c r="L432" s="67" t="e">
        <f>VLOOKUP(G432,Input!C:Q,12,FALSE)</f>
        <v>#N/A</v>
      </c>
      <c r="M432" s="68" t="e">
        <f>VLOOKUP(G432,Input!C:Q,15,FALSE)</f>
        <v>#N/A</v>
      </c>
      <c r="N432" s="69" t="e">
        <f>VLOOKUP(G432,Input!C:Q,14,FALSE)</f>
        <v>#N/A</v>
      </c>
      <c r="Q432" s="48">
        <v>1</v>
      </c>
      <c r="R432" s="75" t="e">
        <f>VLOOKUP(G432,Input!C:H,5,FALSE)</f>
        <v>#N/A</v>
      </c>
      <c r="T432" s="47">
        <v>1</v>
      </c>
      <c r="U432" s="47" t="str">
        <f t="shared" si="6"/>
        <v>431,431,**,</v>
      </c>
      <c r="AC432" s="47">
        <v>431</v>
      </c>
      <c r="AD432" s="47">
        <v>431</v>
      </c>
    </row>
    <row r="433" spans="1:30" ht="15.75">
      <c r="A433" s="13" t="str">
        <f>IFERROR(VLOOKUP($G:$G,scan!$A:$B,2,0),"**")</f>
        <v>**</v>
      </c>
      <c r="B433" s="13" t="str">
        <f>IFERROR(VLOOKUP($G433,scan!A:C,3,0),"**")</f>
        <v>**</v>
      </c>
      <c r="C433" s="47">
        <v>432</v>
      </c>
      <c r="F433" s="78"/>
      <c r="G433" s="2"/>
      <c r="H433" s="47" t="s">
        <v>4926</v>
      </c>
      <c r="I433" s="43">
        <v>6042070338</v>
      </c>
      <c r="J433" s="43" t="s">
        <v>4927</v>
      </c>
      <c r="K433" s="47" t="s">
        <v>4928</v>
      </c>
      <c r="L433" s="67" t="e">
        <f>VLOOKUP(G433,Input!C:Q,12,FALSE)</f>
        <v>#N/A</v>
      </c>
      <c r="M433" s="68" t="e">
        <f>VLOOKUP(G433,Input!C:Q,15,FALSE)</f>
        <v>#N/A</v>
      </c>
      <c r="N433" s="69" t="e">
        <f>VLOOKUP(G433,Input!C:Q,14,FALSE)</f>
        <v>#N/A</v>
      </c>
      <c r="Q433" s="48">
        <v>1</v>
      </c>
      <c r="R433" s="75" t="e">
        <f>VLOOKUP(G433,Input!C:H,5,FALSE)</f>
        <v>#N/A</v>
      </c>
      <c r="T433" s="47">
        <v>1</v>
      </c>
      <c r="U433" s="47" t="str">
        <f t="shared" si="6"/>
        <v>432,432,**,</v>
      </c>
      <c r="AC433" s="47">
        <v>432</v>
      </c>
      <c r="AD433" s="47">
        <v>432</v>
      </c>
    </row>
    <row r="434" spans="1:30" ht="15.75">
      <c r="A434" s="13" t="str">
        <f>IFERROR(VLOOKUP($G:$G,scan!$A:$B,2,0),"**")</f>
        <v>**</v>
      </c>
      <c r="B434" s="13" t="str">
        <f>IFERROR(VLOOKUP($G434,scan!A:C,3,0),"**")</f>
        <v>**</v>
      </c>
      <c r="C434" s="47">
        <v>433</v>
      </c>
      <c r="F434" s="78"/>
      <c r="G434" s="2"/>
      <c r="H434" s="47" t="s">
        <v>4926</v>
      </c>
      <c r="I434" s="43">
        <v>6042070338</v>
      </c>
      <c r="J434" s="43" t="s">
        <v>4927</v>
      </c>
      <c r="K434" s="47" t="s">
        <v>4928</v>
      </c>
      <c r="L434" s="67" t="e">
        <f>VLOOKUP(G434,Input!C:Q,12,FALSE)</f>
        <v>#N/A</v>
      </c>
      <c r="M434" s="68" t="e">
        <f>VLOOKUP(G434,Input!C:Q,15,FALSE)</f>
        <v>#N/A</v>
      </c>
      <c r="N434" s="69" t="e">
        <f>VLOOKUP(G434,Input!C:Q,14,FALSE)</f>
        <v>#N/A</v>
      </c>
      <c r="Q434" s="48">
        <v>1</v>
      </c>
      <c r="R434" s="75" t="e">
        <f>VLOOKUP(G434,Input!C:H,5,FALSE)</f>
        <v>#N/A</v>
      </c>
      <c r="T434" s="47">
        <v>1</v>
      </c>
      <c r="U434" s="47" t="str">
        <f t="shared" si="6"/>
        <v>433,433,**,</v>
      </c>
      <c r="AC434" s="47">
        <v>433</v>
      </c>
      <c r="AD434" s="47">
        <v>433</v>
      </c>
    </row>
    <row r="435" spans="1:30" ht="15.75">
      <c r="A435" s="13" t="str">
        <f>IFERROR(VLOOKUP($G:$G,scan!$A:$B,2,0),"**")</f>
        <v>**</v>
      </c>
      <c r="B435" s="13" t="str">
        <f>IFERROR(VLOOKUP($G435,scan!A:C,3,0),"**")</f>
        <v>**</v>
      </c>
      <c r="C435" s="47">
        <v>434</v>
      </c>
      <c r="F435" s="78"/>
      <c r="G435" s="2"/>
      <c r="H435" s="47" t="s">
        <v>4926</v>
      </c>
      <c r="I435" s="43">
        <v>6042070338</v>
      </c>
      <c r="J435" s="43" t="s">
        <v>4927</v>
      </c>
      <c r="K435" s="47" t="s">
        <v>4928</v>
      </c>
      <c r="L435" s="67" t="e">
        <f>VLOOKUP(G435,Input!C:Q,12,FALSE)</f>
        <v>#N/A</v>
      </c>
      <c r="M435" s="68" t="e">
        <f>VLOOKUP(G435,Input!C:Q,15,FALSE)</f>
        <v>#N/A</v>
      </c>
      <c r="N435" s="69" t="e">
        <f>VLOOKUP(G435,Input!C:Q,14,FALSE)</f>
        <v>#N/A</v>
      </c>
      <c r="Q435" s="48">
        <v>1</v>
      </c>
      <c r="R435" s="75" t="e">
        <f>VLOOKUP(G435,Input!C:H,5,FALSE)</f>
        <v>#N/A</v>
      </c>
      <c r="T435" s="47">
        <v>1</v>
      </c>
      <c r="U435" s="47" t="str">
        <f t="shared" si="6"/>
        <v>434,434,**,</v>
      </c>
      <c r="AC435" s="47">
        <v>434</v>
      </c>
      <c r="AD435" s="47">
        <v>434</v>
      </c>
    </row>
    <row r="436" spans="1:30" ht="15.75">
      <c r="A436" s="13" t="str">
        <f>IFERROR(VLOOKUP($G:$G,scan!$A:$B,2,0),"**")</f>
        <v>**</v>
      </c>
      <c r="B436" s="13" t="str">
        <f>IFERROR(VLOOKUP($G436,scan!A:C,3,0),"**")</f>
        <v>**</v>
      </c>
      <c r="C436" s="47">
        <v>435</v>
      </c>
      <c r="F436" s="78"/>
      <c r="G436" s="2"/>
      <c r="H436" s="47" t="s">
        <v>4926</v>
      </c>
      <c r="I436" s="43">
        <v>6042070338</v>
      </c>
      <c r="J436" s="43" t="s">
        <v>4927</v>
      </c>
      <c r="K436" s="47" t="s">
        <v>4928</v>
      </c>
      <c r="L436" s="67" t="e">
        <f>VLOOKUP(G436,Input!C:Q,12,FALSE)</f>
        <v>#N/A</v>
      </c>
      <c r="M436" s="68" t="e">
        <f>VLOOKUP(G436,Input!C:Q,15,FALSE)</f>
        <v>#N/A</v>
      </c>
      <c r="N436" s="69" t="e">
        <f>VLOOKUP(G436,Input!C:Q,14,FALSE)</f>
        <v>#N/A</v>
      </c>
      <c r="Q436" s="48">
        <v>1</v>
      </c>
      <c r="R436" s="75" t="e">
        <f>VLOOKUP(G436,Input!C:H,5,FALSE)</f>
        <v>#N/A</v>
      </c>
      <c r="T436" s="47">
        <v>1</v>
      </c>
      <c r="U436" s="47" t="str">
        <f t="shared" si="6"/>
        <v>435,435,**,</v>
      </c>
      <c r="AC436" s="47">
        <v>435</v>
      </c>
      <c r="AD436" s="47">
        <v>435</v>
      </c>
    </row>
    <row r="437" spans="1:30" ht="15.75">
      <c r="A437" s="13" t="str">
        <f>IFERROR(VLOOKUP($G:$G,scan!$A:$B,2,0),"**")</f>
        <v>**</v>
      </c>
      <c r="B437" s="13" t="str">
        <f>IFERROR(VLOOKUP($G437,scan!A:C,3,0),"**")</f>
        <v>**</v>
      </c>
      <c r="C437" s="47">
        <v>436</v>
      </c>
      <c r="F437" s="78"/>
      <c r="G437" s="2"/>
      <c r="H437" s="47" t="s">
        <v>4926</v>
      </c>
      <c r="I437" s="43">
        <v>6042070338</v>
      </c>
      <c r="J437" s="43" t="s">
        <v>4927</v>
      </c>
      <c r="K437" s="47" t="s">
        <v>4928</v>
      </c>
      <c r="L437" s="67" t="e">
        <f>VLOOKUP(G437,Input!C:Q,12,FALSE)</f>
        <v>#N/A</v>
      </c>
      <c r="M437" s="68" t="e">
        <f>VLOOKUP(G437,Input!C:Q,15,FALSE)</f>
        <v>#N/A</v>
      </c>
      <c r="N437" s="69" t="e">
        <f>VLOOKUP(G437,Input!C:Q,14,FALSE)</f>
        <v>#N/A</v>
      </c>
      <c r="Q437" s="48">
        <v>1</v>
      </c>
      <c r="R437" s="75" t="e">
        <f>VLOOKUP(G437,Input!C:H,5,FALSE)</f>
        <v>#N/A</v>
      </c>
      <c r="T437" s="47">
        <v>1</v>
      </c>
      <c r="U437" s="47" t="str">
        <f t="shared" si="6"/>
        <v>436,436,**,</v>
      </c>
      <c r="AC437" s="47">
        <v>436</v>
      </c>
      <c r="AD437" s="47">
        <v>436</v>
      </c>
    </row>
    <row r="438" spans="1:30" ht="15.75">
      <c r="A438" s="13" t="str">
        <f>IFERROR(VLOOKUP($G:$G,scan!$A:$B,2,0),"**")</f>
        <v>**</v>
      </c>
      <c r="B438" s="13" t="str">
        <f>IFERROR(VLOOKUP($G438,scan!A:C,3,0),"**")</f>
        <v>**</v>
      </c>
      <c r="C438" s="47">
        <v>437</v>
      </c>
      <c r="F438" s="78"/>
      <c r="G438" s="2"/>
      <c r="H438" s="47" t="s">
        <v>4926</v>
      </c>
      <c r="I438" s="43">
        <v>6042070338</v>
      </c>
      <c r="J438" s="43" t="s">
        <v>4927</v>
      </c>
      <c r="K438" s="47" t="s">
        <v>4928</v>
      </c>
      <c r="L438" s="67" t="e">
        <f>VLOOKUP(G438,Input!C:Q,12,FALSE)</f>
        <v>#N/A</v>
      </c>
      <c r="M438" s="68" t="e">
        <f>VLOOKUP(G438,Input!C:Q,15,FALSE)</f>
        <v>#N/A</v>
      </c>
      <c r="N438" s="69" t="e">
        <f>VLOOKUP(G438,Input!C:Q,14,FALSE)</f>
        <v>#N/A</v>
      </c>
      <c r="Q438" s="48">
        <v>1</v>
      </c>
      <c r="R438" s="75" t="e">
        <f>VLOOKUP(G438,Input!C:H,5,FALSE)</f>
        <v>#N/A</v>
      </c>
      <c r="T438" s="47">
        <v>1</v>
      </c>
      <c r="U438" s="47" t="str">
        <f t="shared" si="6"/>
        <v>437,437,**,</v>
      </c>
      <c r="AC438" s="47">
        <v>437</v>
      </c>
      <c r="AD438" s="47">
        <v>437</v>
      </c>
    </row>
    <row r="439" spans="1:30" ht="15.75">
      <c r="A439" s="13" t="str">
        <f>IFERROR(VLOOKUP($G:$G,scan!$A:$B,2,0),"**")</f>
        <v>**</v>
      </c>
      <c r="B439" s="13" t="str">
        <f>IFERROR(VLOOKUP($G439,scan!A:C,3,0),"**")</f>
        <v>**</v>
      </c>
      <c r="C439" s="47">
        <v>438</v>
      </c>
      <c r="F439" s="78"/>
      <c r="G439" s="2"/>
      <c r="H439" s="47" t="s">
        <v>4926</v>
      </c>
      <c r="I439" s="43">
        <v>6042070338</v>
      </c>
      <c r="J439" s="43" t="s">
        <v>4927</v>
      </c>
      <c r="K439" s="47" t="s">
        <v>4928</v>
      </c>
      <c r="L439" s="67" t="e">
        <f>VLOOKUP(G439,Input!C:Q,12,FALSE)</f>
        <v>#N/A</v>
      </c>
      <c r="M439" s="68" t="e">
        <f>VLOOKUP(G439,Input!C:Q,15,FALSE)</f>
        <v>#N/A</v>
      </c>
      <c r="N439" s="69" t="e">
        <f>VLOOKUP(G439,Input!C:Q,14,FALSE)</f>
        <v>#N/A</v>
      </c>
      <c r="Q439" s="48">
        <v>1</v>
      </c>
      <c r="R439" s="75" t="e">
        <f>VLOOKUP(G439,Input!C:H,5,FALSE)</f>
        <v>#N/A</v>
      </c>
      <c r="T439" s="47">
        <v>1</v>
      </c>
      <c r="U439" s="47" t="str">
        <f t="shared" si="6"/>
        <v>438,438,**,</v>
      </c>
      <c r="AC439" s="47">
        <v>438</v>
      </c>
      <c r="AD439" s="47">
        <v>438</v>
      </c>
    </row>
    <row r="440" spans="1:30" ht="15.75">
      <c r="A440" s="13" t="str">
        <f>IFERROR(VLOOKUP($G:$G,scan!$A:$B,2,0),"**")</f>
        <v>**</v>
      </c>
      <c r="B440" s="13" t="str">
        <f>IFERROR(VLOOKUP($G440,scan!A:C,3,0),"**")</f>
        <v>**</v>
      </c>
      <c r="C440" s="47">
        <v>439</v>
      </c>
      <c r="F440" s="78"/>
      <c r="G440" s="2"/>
      <c r="H440" s="47" t="s">
        <v>4926</v>
      </c>
      <c r="I440" s="43">
        <v>6042070338</v>
      </c>
      <c r="J440" s="43" t="s">
        <v>4927</v>
      </c>
      <c r="K440" s="47" t="s">
        <v>4928</v>
      </c>
      <c r="L440" s="67" t="e">
        <f>VLOOKUP(G440,Input!C:Q,12,FALSE)</f>
        <v>#N/A</v>
      </c>
      <c r="M440" s="68" t="e">
        <f>VLOOKUP(G440,Input!C:Q,15,FALSE)</f>
        <v>#N/A</v>
      </c>
      <c r="N440" s="69" t="e">
        <f>VLOOKUP(G440,Input!C:Q,14,FALSE)</f>
        <v>#N/A</v>
      </c>
      <c r="Q440" s="48">
        <v>1</v>
      </c>
      <c r="R440" s="75" t="e">
        <f>VLOOKUP(G440,Input!C:H,5,FALSE)</f>
        <v>#N/A</v>
      </c>
      <c r="T440" s="47">
        <v>1</v>
      </c>
      <c r="U440" s="47" t="str">
        <f t="shared" ref="U440:U503" si="7">CONCATENATE(AC440,",",C440,",",B440,",",G440)</f>
        <v>439,439,**,</v>
      </c>
      <c r="AC440" s="47">
        <v>439</v>
      </c>
      <c r="AD440" s="47">
        <v>439</v>
      </c>
    </row>
    <row r="441" spans="1:30" ht="15.75">
      <c r="A441" s="13" t="str">
        <f>IFERROR(VLOOKUP($G:$G,scan!$A:$B,2,0),"**")</f>
        <v>**</v>
      </c>
      <c r="B441" s="13" t="str">
        <f>IFERROR(VLOOKUP($G441,scan!A:C,3,0),"**")</f>
        <v>**</v>
      </c>
      <c r="C441" s="47">
        <v>440</v>
      </c>
      <c r="F441" s="78"/>
      <c r="G441" s="2"/>
      <c r="H441" s="47" t="s">
        <v>4926</v>
      </c>
      <c r="I441" s="43">
        <v>6042070338</v>
      </c>
      <c r="J441" s="43" t="s">
        <v>4927</v>
      </c>
      <c r="K441" s="47" t="s">
        <v>4928</v>
      </c>
      <c r="L441" s="67" t="e">
        <f>VLOOKUP(G441,Input!C:Q,12,FALSE)</f>
        <v>#N/A</v>
      </c>
      <c r="M441" s="68" t="e">
        <f>VLOOKUP(G441,Input!C:Q,15,FALSE)</f>
        <v>#N/A</v>
      </c>
      <c r="N441" s="69" t="e">
        <f>VLOOKUP(G441,Input!C:Q,14,FALSE)</f>
        <v>#N/A</v>
      </c>
      <c r="Q441" s="48">
        <v>1</v>
      </c>
      <c r="R441" s="75" t="e">
        <f>VLOOKUP(G441,Input!C:H,5,FALSE)</f>
        <v>#N/A</v>
      </c>
      <c r="T441" s="47">
        <v>1</v>
      </c>
      <c r="U441" s="47" t="str">
        <f t="shared" si="7"/>
        <v>440,440,**,</v>
      </c>
      <c r="AC441" s="47">
        <v>440</v>
      </c>
      <c r="AD441" s="47">
        <v>440</v>
      </c>
    </row>
    <row r="442" spans="1:30" ht="15.75">
      <c r="A442" s="13" t="str">
        <f>IFERROR(VLOOKUP($G:$G,scan!$A:$B,2,0),"**")</f>
        <v>**</v>
      </c>
      <c r="B442" s="13" t="str">
        <f>IFERROR(VLOOKUP($G442,scan!A:C,3,0),"**")</f>
        <v>**</v>
      </c>
      <c r="C442" s="47">
        <v>441</v>
      </c>
      <c r="F442" s="78"/>
      <c r="G442" s="2"/>
      <c r="H442" s="47" t="s">
        <v>4926</v>
      </c>
      <c r="I442" s="43">
        <v>6042070338</v>
      </c>
      <c r="J442" s="43" t="s">
        <v>4927</v>
      </c>
      <c r="K442" s="47" t="s">
        <v>4928</v>
      </c>
      <c r="L442" s="67" t="e">
        <f>VLOOKUP(G442,Input!C:Q,12,FALSE)</f>
        <v>#N/A</v>
      </c>
      <c r="M442" s="68" t="e">
        <f>VLOOKUP(G442,Input!C:Q,15,FALSE)</f>
        <v>#N/A</v>
      </c>
      <c r="N442" s="69" t="e">
        <f>VLOOKUP(G442,Input!C:Q,14,FALSE)</f>
        <v>#N/A</v>
      </c>
      <c r="Q442" s="48">
        <v>1</v>
      </c>
      <c r="R442" s="75" t="e">
        <f>VLOOKUP(G442,Input!C:H,5,FALSE)</f>
        <v>#N/A</v>
      </c>
      <c r="T442" s="47">
        <v>1</v>
      </c>
      <c r="U442" s="47" t="str">
        <f t="shared" si="7"/>
        <v>441,441,**,</v>
      </c>
      <c r="AC442" s="47">
        <v>441</v>
      </c>
      <c r="AD442" s="47">
        <v>441</v>
      </c>
    </row>
    <row r="443" spans="1:30" ht="15.75">
      <c r="A443" s="13" t="str">
        <f>IFERROR(VLOOKUP($G:$G,scan!$A:$B,2,0),"**")</f>
        <v>**</v>
      </c>
      <c r="B443" s="13" t="str">
        <f>IFERROR(VLOOKUP($G443,scan!A:C,3,0),"**")</f>
        <v>**</v>
      </c>
      <c r="C443" s="47">
        <v>442</v>
      </c>
      <c r="F443" s="78"/>
      <c r="G443" s="2"/>
      <c r="H443" s="47" t="s">
        <v>4926</v>
      </c>
      <c r="I443" s="43">
        <v>6042070338</v>
      </c>
      <c r="J443" s="43" t="s">
        <v>4927</v>
      </c>
      <c r="K443" s="47" t="s">
        <v>4928</v>
      </c>
      <c r="L443" s="67" t="e">
        <f>VLOOKUP(G443,Input!C:Q,12,FALSE)</f>
        <v>#N/A</v>
      </c>
      <c r="M443" s="68" t="e">
        <f>VLOOKUP(G443,Input!C:Q,15,FALSE)</f>
        <v>#N/A</v>
      </c>
      <c r="N443" s="69" t="e">
        <f>VLOOKUP(G443,Input!C:Q,14,FALSE)</f>
        <v>#N/A</v>
      </c>
      <c r="Q443" s="48">
        <v>1</v>
      </c>
      <c r="R443" s="75" t="e">
        <f>VLOOKUP(G443,Input!C:H,5,FALSE)</f>
        <v>#N/A</v>
      </c>
      <c r="T443" s="47">
        <v>1</v>
      </c>
      <c r="U443" s="47" t="str">
        <f t="shared" si="7"/>
        <v>442,442,**,</v>
      </c>
      <c r="AC443" s="47">
        <v>442</v>
      </c>
      <c r="AD443" s="47">
        <v>442</v>
      </c>
    </row>
    <row r="444" spans="1:30" ht="15.75">
      <c r="A444" s="13" t="str">
        <f>IFERROR(VLOOKUP($G:$G,scan!$A:$B,2,0),"**")</f>
        <v>**</v>
      </c>
      <c r="B444" s="13" t="str">
        <f>IFERROR(VLOOKUP($G444,scan!A:C,3,0),"**")</f>
        <v>**</v>
      </c>
      <c r="C444" s="47">
        <v>443</v>
      </c>
      <c r="F444" s="78"/>
      <c r="G444" s="2"/>
      <c r="H444" s="47" t="s">
        <v>4926</v>
      </c>
      <c r="I444" s="43">
        <v>6042070338</v>
      </c>
      <c r="J444" s="43" t="s">
        <v>4927</v>
      </c>
      <c r="K444" s="47" t="s">
        <v>4928</v>
      </c>
      <c r="L444" s="67" t="e">
        <f>VLOOKUP(G444,Input!C:Q,12,FALSE)</f>
        <v>#N/A</v>
      </c>
      <c r="M444" s="68" t="e">
        <f>VLOOKUP(G444,Input!C:Q,15,FALSE)</f>
        <v>#N/A</v>
      </c>
      <c r="N444" s="69" t="e">
        <f>VLOOKUP(G444,Input!C:Q,14,FALSE)</f>
        <v>#N/A</v>
      </c>
      <c r="Q444" s="48">
        <v>1</v>
      </c>
      <c r="R444" s="75" t="e">
        <f>VLOOKUP(G444,Input!C:H,5,FALSE)</f>
        <v>#N/A</v>
      </c>
      <c r="T444" s="47">
        <v>1</v>
      </c>
      <c r="U444" s="47" t="str">
        <f t="shared" si="7"/>
        <v>443,443,**,</v>
      </c>
      <c r="AC444" s="47">
        <v>443</v>
      </c>
      <c r="AD444" s="47">
        <v>443</v>
      </c>
    </row>
    <row r="445" spans="1:30" ht="15.75">
      <c r="A445" s="13" t="str">
        <f>IFERROR(VLOOKUP($G:$G,scan!$A:$B,2,0),"**")</f>
        <v>**</v>
      </c>
      <c r="B445" s="13" t="str">
        <f>IFERROR(VLOOKUP($G445,scan!A:C,3,0),"**")</f>
        <v>**</v>
      </c>
      <c r="C445" s="47">
        <v>444</v>
      </c>
      <c r="F445" s="78"/>
      <c r="G445" s="2"/>
      <c r="H445" s="47" t="s">
        <v>4926</v>
      </c>
      <c r="I445" s="43">
        <v>6042070338</v>
      </c>
      <c r="J445" s="43" t="s">
        <v>4927</v>
      </c>
      <c r="K445" s="47" t="s">
        <v>4928</v>
      </c>
      <c r="L445" s="67" t="e">
        <f>VLOOKUP(G445,Input!C:Q,12,FALSE)</f>
        <v>#N/A</v>
      </c>
      <c r="M445" s="68" t="e">
        <f>VLOOKUP(G445,Input!C:Q,15,FALSE)</f>
        <v>#N/A</v>
      </c>
      <c r="N445" s="69" t="e">
        <f>VLOOKUP(G445,Input!C:Q,14,FALSE)</f>
        <v>#N/A</v>
      </c>
      <c r="Q445" s="48">
        <v>1</v>
      </c>
      <c r="R445" s="75" t="e">
        <f>VLOOKUP(G445,Input!C:H,5,FALSE)</f>
        <v>#N/A</v>
      </c>
      <c r="T445" s="47">
        <v>1</v>
      </c>
      <c r="U445" s="47" t="str">
        <f t="shared" si="7"/>
        <v>444,444,**,</v>
      </c>
      <c r="AC445" s="47">
        <v>444</v>
      </c>
      <c r="AD445" s="47">
        <v>444</v>
      </c>
    </row>
    <row r="446" spans="1:30" ht="15.75">
      <c r="A446" s="13" t="str">
        <f>IFERROR(VLOOKUP($G:$G,scan!$A:$B,2,0),"**")</f>
        <v>**</v>
      </c>
      <c r="B446" s="13" t="str">
        <f>IFERROR(VLOOKUP($G446,scan!A:C,3,0),"**")</f>
        <v>**</v>
      </c>
      <c r="C446" s="47">
        <v>445</v>
      </c>
      <c r="F446" s="78"/>
      <c r="G446" s="2"/>
      <c r="H446" s="47" t="s">
        <v>4926</v>
      </c>
      <c r="I446" s="43">
        <v>6042070338</v>
      </c>
      <c r="J446" s="43" t="s">
        <v>4927</v>
      </c>
      <c r="K446" s="47" t="s">
        <v>4928</v>
      </c>
      <c r="L446" s="67" t="e">
        <f>VLOOKUP(G446,Input!C:Q,12,FALSE)</f>
        <v>#N/A</v>
      </c>
      <c r="M446" s="68" t="e">
        <f>VLOOKUP(G446,Input!C:Q,15,FALSE)</f>
        <v>#N/A</v>
      </c>
      <c r="N446" s="69" t="e">
        <f>VLOOKUP(G446,Input!C:Q,14,FALSE)</f>
        <v>#N/A</v>
      </c>
      <c r="Q446" s="48">
        <v>1</v>
      </c>
      <c r="R446" s="75" t="e">
        <f>VLOOKUP(G446,Input!C:H,5,FALSE)</f>
        <v>#N/A</v>
      </c>
      <c r="T446" s="47">
        <v>1</v>
      </c>
      <c r="U446" s="47" t="str">
        <f t="shared" si="7"/>
        <v>445,445,**,</v>
      </c>
      <c r="AC446" s="47">
        <v>445</v>
      </c>
      <c r="AD446" s="47">
        <v>445</v>
      </c>
    </row>
    <row r="447" spans="1:30" ht="15.75">
      <c r="A447" s="13" t="str">
        <f>IFERROR(VLOOKUP($G:$G,scan!$A:$B,2,0),"**")</f>
        <v>**</v>
      </c>
      <c r="B447" s="13" t="str">
        <f>IFERROR(VLOOKUP($G447,scan!A:C,3,0),"**")</f>
        <v>**</v>
      </c>
      <c r="C447" s="47">
        <v>446</v>
      </c>
      <c r="F447" s="78"/>
      <c r="G447" s="2"/>
      <c r="H447" s="47" t="s">
        <v>4926</v>
      </c>
      <c r="I447" s="43">
        <v>6042070338</v>
      </c>
      <c r="J447" s="43" t="s">
        <v>4927</v>
      </c>
      <c r="K447" s="47" t="s">
        <v>4928</v>
      </c>
      <c r="L447" s="67" t="e">
        <f>VLOOKUP(G447,Input!C:Q,12,FALSE)</f>
        <v>#N/A</v>
      </c>
      <c r="M447" s="68" t="e">
        <f>VLOOKUP(G447,Input!C:Q,15,FALSE)</f>
        <v>#N/A</v>
      </c>
      <c r="N447" s="69" t="e">
        <f>VLOOKUP(G447,Input!C:Q,14,FALSE)</f>
        <v>#N/A</v>
      </c>
      <c r="Q447" s="48">
        <v>1</v>
      </c>
      <c r="R447" s="75" t="e">
        <f>VLOOKUP(G447,Input!C:H,5,FALSE)</f>
        <v>#N/A</v>
      </c>
      <c r="T447" s="47">
        <v>1</v>
      </c>
      <c r="U447" s="47" t="str">
        <f t="shared" si="7"/>
        <v>446,446,**,</v>
      </c>
      <c r="AC447" s="47">
        <v>446</v>
      </c>
      <c r="AD447" s="47">
        <v>446</v>
      </c>
    </row>
    <row r="448" spans="1:30" ht="15.75">
      <c r="A448" s="13" t="str">
        <f>IFERROR(VLOOKUP($G:$G,scan!$A:$B,2,0),"**")</f>
        <v>**</v>
      </c>
      <c r="B448" s="13" t="str">
        <f>IFERROR(VLOOKUP($G448,scan!A:C,3,0),"**")</f>
        <v>**</v>
      </c>
      <c r="C448" s="47">
        <v>447</v>
      </c>
      <c r="F448" s="78"/>
      <c r="G448" s="2"/>
      <c r="H448" s="47" t="s">
        <v>4926</v>
      </c>
      <c r="I448" s="43">
        <v>6042070338</v>
      </c>
      <c r="J448" s="43" t="s">
        <v>4927</v>
      </c>
      <c r="K448" s="47" t="s">
        <v>4928</v>
      </c>
      <c r="L448" s="67" t="e">
        <f>VLOOKUP(G448,Input!C:Q,12,FALSE)</f>
        <v>#N/A</v>
      </c>
      <c r="M448" s="68" t="e">
        <f>VLOOKUP(G448,Input!C:Q,15,FALSE)</f>
        <v>#N/A</v>
      </c>
      <c r="N448" s="69" t="e">
        <f>VLOOKUP(G448,Input!C:Q,14,FALSE)</f>
        <v>#N/A</v>
      </c>
      <c r="Q448" s="48">
        <v>1</v>
      </c>
      <c r="R448" s="75" t="e">
        <f>VLOOKUP(G448,Input!C:H,5,FALSE)</f>
        <v>#N/A</v>
      </c>
      <c r="T448" s="47">
        <v>1</v>
      </c>
      <c r="U448" s="47" t="str">
        <f t="shared" si="7"/>
        <v>447,447,**,</v>
      </c>
      <c r="AC448" s="47">
        <v>447</v>
      </c>
      <c r="AD448" s="47">
        <v>447</v>
      </c>
    </row>
    <row r="449" spans="1:30" ht="15.75">
      <c r="A449" s="13" t="str">
        <f>IFERROR(VLOOKUP($G:$G,scan!$A:$B,2,0),"**")</f>
        <v>**</v>
      </c>
      <c r="B449" s="13" t="str">
        <f>IFERROR(VLOOKUP($G449,scan!A:C,3,0),"**")</f>
        <v>**</v>
      </c>
      <c r="C449" s="47">
        <v>448</v>
      </c>
      <c r="F449" s="78"/>
      <c r="G449" s="2"/>
      <c r="H449" s="47" t="s">
        <v>4926</v>
      </c>
      <c r="I449" s="43">
        <v>6042070338</v>
      </c>
      <c r="J449" s="43" t="s">
        <v>4927</v>
      </c>
      <c r="K449" s="47" t="s">
        <v>4928</v>
      </c>
      <c r="L449" s="67" t="e">
        <f>VLOOKUP(G449,Input!C:Q,12,FALSE)</f>
        <v>#N/A</v>
      </c>
      <c r="M449" s="68" t="e">
        <f>VLOOKUP(G449,Input!C:Q,15,FALSE)</f>
        <v>#N/A</v>
      </c>
      <c r="N449" s="69" t="e">
        <f>VLOOKUP(G449,Input!C:Q,14,FALSE)</f>
        <v>#N/A</v>
      </c>
      <c r="Q449" s="48">
        <v>1</v>
      </c>
      <c r="R449" s="75" t="e">
        <f>VLOOKUP(G449,Input!C:H,5,FALSE)</f>
        <v>#N/A</v>
      </c>
      <c r="T449" s="47">
        <v>1</v>
      </c>
      <c r="U449" s="47" t="str">
        <f t="shared" si="7"/>
        <v>448,448,**,</v>
      </c>
      <c r="AC449" s="47">
        <v>448</v>
      </c>
      <c r="AD449" s="47">
        <v>448</v>
      </c>
    </row>
    <row r="450" spans="1:30" ht="15.75">
      <c r="A450" s="13" t="str">
        <f>IFERROR(VLOOKUP($G:$G,scan!$A:$B,2,0),"**")</f>
        <v>**</v>
      </c>
      <c r="B450" s="13" t="str">
        <f>IFERROR(VLOOKUP($G450,scan!A:C,3,0),"**")</f>
        <v>**</v>
      </c>
      <c r="C450" s="47">
        <v>449</v>
      </c>
      <c r="F450" s="78"/>
      <c r="G450" s="2"/>
      <c r="H450" s="47" t="s">
        <v>4926</v>
      </c>
      <c r="I450" s="43">
        <v>6042070338</v>
      </c>
      <c r="J450" s="43" t="s">
        <v>4927</v>
      </c>
      <c r="K450" s="47" t="s">
        <v>4928</v>
      </c>
      <c r="L450" s="67" t="e">
        <f>VLOOKUP(G450,Input!C:Q,12,FALSE)</f>
        <v>#N/A</v>
      </c>
      <c r="M450" s="68" t="e">
        <f>VLOOKUP(G450,Input!C:Q,15,FALSE)</f>
        <v>#N/A</v>
      </c>
      <c r="N450" s="69" t="e">
        <f>VLOOKUP(G450,Input!C:Q,14,FALSE)</f>
        <v>#N/A</v>
      </c>
      <c r="Q450" s="48">
        <v>1</v>
      </c>
      <c r="R450" s="75" t="e">
        <f>VLOOKUP(G450,Input!C:H,5,FALSE)</f>
        <v>#N/A</v>
      </c>
      <c r="T450" s="47">
        <v>1</v>
      </c>
      <c r="U450" s="47" t="str">
        <f t="shared" si="7"/>
        <v>449,449,**,</v>
      </c>
      <c r="AC450" s="47">
        <v>449</v>
      </c>
      <c r="AD450" s="47">
        <v>449</v>
      </c>
    </row>
    <row r="451" spans="1:30" ht="15.75">
      <c r="A451" s="13" t="str">
        <f>IFERROR(VLOOKUP($G:$G,scan!$A:$B,2,0),"**")</f>
        <v>**</v>
      </c>
      <c r="B451" s="13" t="str">
        <f>IFERROR(VLOOKUP($G451,scan!A:C,3,0),"**")</f>
        <v>**</v>
      </c>
      <c r="C451" s="47">
        <v>450</v>
      </c>
      <c r="F451" s="78"/>
      <c r="G451" s="2"/>
      <c r="H451" s="47" t="s">
        <v>4926</v>
      </c>
      <c r="I451" s="43">
        <v>6042070338</v>
      </c>
      <c r="J451" s="43" t="s">
        <v>4927</v>
      </c>
      <c r="K451" s="47" t="s">
        <v>4928</v>
      </c>
      <c r="L451" s="67" t="e">
        <f>VLOOKUP(G451,Input!C:Q,12,FALSE)</f>
        <v>#N/A</v>
      </c>
      <c r="M451" s="68" t="e">
        <f>VLOOKUP(G451,Input!C:Q,15,FALSE)</f>
        <v>#N/A</v>
      </c>
      <c r="N451" s="69" t="e">
        <f>VLOOKUP(G451,Input!C:Q,14,FALSE)</f>
        <v>#N/A</v>
      </c>
      <c r="Q451" s="48">
        <v>1</v>
      </c>
      <c r="R451" s="75" t="e">
        <f>VLOOKUP(G451,Input!C:H,5,FALSE)</f>
        <v>#N/A</v>
      </c>
      <c r="T451" s="47">
        <v>1</v>
      </c>
      <c r="U451" s="47" t="str">
        <f t="shared" si="7"/>
        <v>450,450,**,</v>
      </c>
      <c r="AC451" s="47">
        <v>450</v>
      </c>
      <c r="AD451" s="47">
        <v>450</v>
      </c>
    </row>
    <row r="452" spans="1:30" ht="15.75">
      <c r="A452" s="13" t="str">
        <f>IFERROR(VLOOKUP($G:$G,scan!$A:$B,2,0),"**")</f>
        <v>**</v>
      </c>
      <c r="B452" s="13" t="str">
        <f>IFERROR(VLOOKUP($G452,scan!A:C,3,0),"**")</f>
        <v>**</v>
      </c>
      <c r="C452" s="47">
        <v>451</v>
      </c>
      <c r="F452" s="78"/>
      <c r="G452" s="2"/>
      <c r="H452" s="47" t="s">
        <v>4926</v>
      </c>
      <c r="I452" s="43">
        <v>6042070338</v>
      </c>
      <c r="J452" s="43" t="s">
        <v>4927</v>
      </c>
      <c r="K452" s="47" t="s">
        <v>4928</v>
      </c>
      <c r="L452" s="67" t="e">
        <f>VLOOKUP(G452,Input!C:Q,12,FALSE)</f>
        <v>#N/A</v>
      </c>
      <c r="M452" s="68" t="e">
        <f>VLOOKUP(G452,Input!C:Q,15,FALSE)</f>
        <v>#N/A</v>
      </c>
      <c r="N452" s="69" t="e">
        <f>VLOOKUP(G452,Input!C:Q,14,FALSE)</f>
        <v>#N/A</v>
      </c>
      <c r="Q452" s="48">
        <v>1</v>
      </c>
      <c r="R452" s="75" t="e">
        <f>VLOOKUP(G452,Input!C:H,5,FALSE)</f>
        <v>#N/A</v>
      </c>
      <c r="T452" s="47">
        <v>1</v>
      </c>
      <c r="U452" s="47" t="str">
        <f t="shared" si="7"/>
        <v>451,451,**,</v>
      </c>
      <c r="AC452" s="47">
        <v>451</v>
      </c>
      <c r="AD452" s="47">
        <v>451</v>
      </c>
    </row>
    <row r="453" spans="1:30" ht="15.75">
      <c r="A453" s="13" t="str">
        <f>IFERROR(VLOOKUP($G:$G,scan!$A:$B,2,0),"**")</f>
        <v>**</v>
      </c>
      <c r="B453" s="13" t="str">
        <f>IFERROR(VLOOKUP($G453,scan!A:C,3,0),"**")</f>
        <v>**</v>
      </c>
      <c r="C453" s="47">
        <v>452</v>
      </c>
      <c r="F453" s="78"/>
      <c r="G453" s="2"/>
      <c r="H453" s="47" t="s">
        <v>4926</v>
      </c>
      <c r="I453" s="43">
        <v>6042070338</v>
      </c>
      <c r="J453" s="43" t="s">
        <v>4927</v>
      </c>
      <c r="K453" s="47" t="s">
        <v>4928</v>
      </c>
      <c r="L453" s="67" t="e">
        <f>VLOOKUP(G453,Input!C:Q,12,FALSE)</f>
        <v>#N/A</v>
      </c>
      <c r="M453" s="68" t="e">
        <f>VLOOKUP(G453,Input!C:Q,15,FALSE)</f>
        <v>#N/A</v>
      </c>
      <c r="N453" s="69" t="e">
        <f>VLOOKUP(G453,Input!C:Q,14,FALSE)</f>
        <v>#N/A</v>
      </c>
      <c r="Q453" s="48">
        <v>1</v>
      </c>
      <c r="R453" s="75" t="e">
        <f>VLOOKUP(G453,Input!C:H,5,FALSE)</f>
        <v>#N/A</v>
      </c>
      <c r="T453" s="47">
        <v>1</v>
      </c>
      <c r="U453" s="47" t="str">
        <f t="shared" si="7"/>
        <v>452,452,**,</v>
      </c>
      <c r="AC453" s="47">
        <v>452</v>
      </c>
      <c r="AD453" s="47">
        <v>452</v>
      </c>
    </row>
    <row r="454" spans="1:30" ht="15.75">
      <c r="A454" s="13" t="str">
        <f>IFERROR(VLOOKUP($G:$G,scan!$A:$B,2,0),"**")</f>
        <v>**</v>
      </c>
      <c r="B454" s="13" t="str">
        <f>IFERROR(VLOOKUP($G454,scan!A:C,3,0),"**")</f>
        <v>**</v>
      </c>
      <c r="C454" s="47">
        <v>453</v>
      </c>
      <c r="F454" s="78"/>
      <c r="G454" s="2"/>
      <c r="H454" s="47" t="s">
        <v>4926</v>
      </c>
      <c r="I454" s="43">
        <v>6042070338</v>
      </c>
      <c r="J454" s="43" t="s">
        <v>4927</v>
      </c>
      <c r="K454" s="47" t="s">
        <v>4928</v>
      </c>
      <c r="L454" s="67" t="e">
        <f>VLOOKUP(G454,Input!C:Q,12,FALSE)</f>
        <v>#N/A</v>
      </c>
      <c r="M454" s="68" t="e">
        <f>VLOOKUP(G454,Input!C:Q,15,FALSE)</f>
        <v>#N/A</v>
      </c>
      <c r="N454" s="69" t="e">
        <f>VLOOKUP(G454,Input!C:Q,14,FALSE)</f>
        <v>#N/A</v>
      </c>
      <c r="Q454" s="48">
        <v>1</v>
      </c>
      <c r="R454" s="75" t="e">
        <f>VLOOKUP(G454,Input!C:H,5,FALSE)</f>
        <v>#N/A</v>
      </c>
      <c r="T454" s="47">
        <v>1</v>
      </c>
      <c r="U454" s="47" t="str">
        <f t="shared" si="7"/>
        <v>453,453,**,</v>
      </c>
      <c r="AC454" s="47">
        <v>453</v>
      </c>
      <c r="AD454" s="47">
        <v>453</v>
      </c>
    </row>
    <row r="455" spans="1:30" ht="15.75">
      <c r="A455" s="13" t="str">
        <f>IFERROR(VLOOKUP($G:$G,scan!$A:$B,2,0),"**")</f>
        <v>**</v>
      </c>
      <c r="B455" s="13" t="str">
        <f>IFERROR(VLOOKUP($G455,scan!A:C,3,0),"**")</f>
        <v>**</v>
      </c>
      <c r="C455" s="47">
        <v>454</v>
      </c>
      <c r="F455" s="78"/>
      <c r="G455" s="2"/>
      <c r="H455" s="47" t="s">
        <v>4926</v>
      </c>
      <c r="I455" s="43">
        <v>6042070338</v>
      </c>
      <c r="J455" s="43" t="s">
        <v>4927</v>
      </c>
      <c r="K455" s="47" t="s">
        <v>4928</v>
      </c>
      <c r="L455" s="67" t="e">
        <f>VLOOKUP(G455,Input!C:Q,12,FALSE)</f>
        <v>#N/A</v>
      </c>
      <c r="M455" s="68" t="e">
        <f>VLOOKUP(G455,Input!C:Q,15,FALSE)</f>
        <v>#N/A</v>
      </c>
      <c r="N455" s="69" t="e">
        <f>VLOOKUP(G455,Input!C:Q,14,FALSE)</f>
        <v>#N/A</v>
      </c>
      <c r="Q455" s="48">
        <v>1</v>
      </c>
      <c r="R455" s="75" t="e">
        <f>VLOOKUP(G455,Input!C:H,5,FALSE)</f>
        <v>#N/A</v>
      </c>
      <c r="T455" s="47">
        <v>1</v>
      </c>
      <c r="U455" s="47" t="str">
        <f t="shared" si="7"/>
        <v>454,454,**,</v>
      </c>
      <c r="AC455" s="47">
        <v>454</v>
      </c>
      <c r="AD455" s="47">
        <v>454</v>
      </c>
    </row>
    <row r="456" spans="1:30" ht="15.75">
      <c r="A456" s="13" t="str">
        <f>IFERROR(VLOOKUP($G:$G,scan!$A:$B,2,0),"**")</f>
        <v>**</v>
      </c>
      <c r="B456" s="13" t="str">
        <f>IFERROR(VLOOKUP($G456,scan!A:C,3,0),"**")</f>
        <v>**</v>
      </c>
      <c r="C456" s="47">
        <v>455</v>
      </c>
      <c r="F456" s="78"/>
      <c r="G456" s="2"/>
      <c r="H456" s="47" t="s">
        <v>4926</v>
      </c>
      <c r="I456" s="43">
        <v>6042070338</v>
      </c>
      <c r="J456" s="43" t="s">
        <v>4927</v>
      </c>
      <c r="K456" s="47" t="s">
        <v>4928</v>
      </c>
      <c r="L456" s="67" t="e">
        <f>VLOOKUP(G456,Input!C:Q,12,FALSE)</f>
        <v>#N/A</v>
      </c>
      <c r="M456" s="68" t="e">
        <f>VLOOKUP(G456,Input!C:Q,15,FALSE)</f>
        <v>#N/A</v>
      </c>
      <c r="N456" s="69" t="e">
        <f>VLOOKUP(G456,Input!C:Q,14,FALSE)</f>
        <v>#N/A</v>
      </c>
      <c r="Q456" s="48">
        <v>1</v>
      </c>
      <c r="R456" s="75" t="e">
        <f>VLOOKUP(G456,Input!C:H,5,FALSE)</f>
        <v>#N/A</v>
      </c>
      <c r="T456" s="47">
        <v>1</v>
      </c>
      <c r="U456" s="47" t="str">
        <f t="shared" si="7"/>
        <v>455,455,**,</v>
      </c>
      <c r="AC456" s="47">
        <v>455</v>
      </c>
      <c r="AD456" s="47">
        <v>455</v>
      </c>
    </row>
    <row r="457" spans="1:30" ht="15.75">
      <c r="A457" s="13" t="str">
        <f>IFERROR(VLOOKUP($G:$G,scan!$A:$B,2,0),"**")</f>
        <v>**</v>
      </c>
      <c r="B457" s="13" t="str">
        <f>IFERROR(VLOOKUP($G457,scan!A:C,3,0),"**")</f>
        <v>**</v>
      </c>
      <c r="C457" s="47">
        <v>456</v>
      </c>
      <c r="F457" s="78"/>
      <c r="G457" s="2"/>
      <c r="H457" s="47" t="s">
        <v>4926</v>
      </c>
      <c r="I457" s="43">
        <v>6042070338</v>
      </c>
      <c r="J457" s="43" t="s">
        <v>4927</v>
      </c>
      <c r="K457" s="47" t="s">
        <v>4928</v>
      </c>
      <c r="L457" s="67" t="e">
        <f>VLOOKUP(G457,Input!C:Q,12,FALSE)</f>
        <v>#N/A</v>
      </c>
      <c r="M457" s="68" t="e">
        <f>VLOOKUP(G457,Input!C:Q,15,FALSE)</f>
        <v>#N/A</v>
      </c>
      <c r="N457" s="69" t="e">
        <f>VLOOKUP(G457,Input!C:Q,14,FALSE)</f>
        <v>#N/A</v>
      </c>
      <c r="Q457" s="48">
        <v>1</v>
      </c>
      <c r="R457" s="75" t="e">
        <f>VLOOKUP(G457,Input!C:H,5,FALSE)</f>
        <v>#N/A</v>
      </c>
      <c r="T457" s="47">
        <v>1</v>
      </c>
      <c r="U457" s="47" t="str">
        <f t="shared" si="7"/>
        <v>456,456,**,</v>
      </c>
      <c r="AC457" s="47">
        <v>456</v>
      </c>
      <c r="AD457" s="47">
        <v>456</v>
      </c>
    </row>
    <row r="458" spans="1:30" ht="15.75">
      <c r="A458" s="13" t="str">
        <f>IFERROR(VLOOKUP($G:$G,scan!$A:$B,2,0),"**")</f>
        <v>**</v>
      </c>
      <c r="B458" s="13" t="str">
        <f>IFERROR(VLOOKUP($G458,scan!A:C,3,0),"**")</f>
        <v>**</v>
      </c>
      <c r="C458" s="47">
        <v>457</v>
      </c>
      <c r="F458" s="78"/>
      <c r="G458" s="2"/>
      <c r="H458" s="47" t="s">
        <v>4926</v>
      </c>
      <c r="I458" s="43">
        <v>6042070338</v>
      </c>
      <c r="J458" s="43" t="s">
        <v>4927</v>
      </c>
      <c r="K458" s="47" t="s">
        <v>4928</v>
      </c>
      <c r="L458" s="67" t="e">
        <f>VLOOKUP(G458,Input!C:Q,12,FALSE)</f>
        <v>#N/A</v>
      </c>
      <c r="M458" s="68" t="e">
        <f>VLOOKUP(G458,Input!C:Q,15,FALSE)</f>
        <v>#N/A</v>
      </c>
      <c r="N458" s="69" t="e">
        <f>VLOOKUP(G458,Input!C:Q,14,FALSE)</f>
        <v>#N/A</v>
      </c>
      <c r="Q458" s="48">
        <v>1</v>
      </c>
      <c r="R458" s="75" t="e">
        <f>VLOOKUP(G458,Input!C:H,5,FALSE)</f>
        <v>#N/A</v>
      </c>
      <c r="T458" s="47">
        <v>1</v>
      </c>
      <c r="U458" s="47" t="str">
        <f t="shared" si="7"/>
        <v>457,457,**,</v>
      </c>
      <c r="AC458" s="47">
        <v>457</v>
      </c>
      <c r="AD458" s="47">
        <v>457</v>
      </c>
    </row>
    <row r="459" spans="1:30" ht="15.75">
      <c r="A459" s="13" t="str">
        <f>IFERROR(VLOOKUP($G:$G,scan!$A:$B,2,0),"**")</f>
        <v>**</v>
      </c>
      <c r="B459" s="13" t="str">
        <f>IFERROR(VLOOKUP($G459,scan!A:C,3,0),"**")</f>
        <v>**</v>
      </c>
      <c r="C459" s="47">
        <v>458</v>
      </c>
      <c r="F459" s="78"/>
      <c r="G459" s="2"/>
      <c r="H459" s="47" t="s">
        <v>4926</v>
      </c>
      <c r="I459" s="43">
        <v>6042070338</v>
      </c>
      <c r="J459" s="43" t="s">
        <v>4927</v>
      </c>
      <c r="K459" s="47" t="s">
        <v>4928</v>
      </c>
      <c r="L459" s="67" t="e">
        <f>VLOOKUP(G459,Input!C:Q,12,FALSE)</f>
        <v>#N/A</v>
      </c>
      <c r="M459" s="68" t="e">
        <f>VLOOKUP(G459,Input!C:Q,15,FALSE)</f>
        <v>#N/A</v>
      </c>
      <c r="N459" s="69" t="e">
        <f>VLOOKUP(G459,Input!C:Q,14,FALSE)</f>
        <v>#N/A</v>
      </c>
      <c r="Q459" s="48">
        <v>1</v>
      </c>
      <c r="R459" s="75" t="e">
        <f>VLOOKUP(G459,Input!C:H,5,FALSE)</f>
        <v>#N/A</v>
      </c>
      <c r="T459" s="47">
        <v>1</v>
      </c>
      <c r="U459" s="47" t="str">
        <f t="shared" si="7"/>
        <v>458,458,**,</v>
      </c>
      <c r="AC459" s="47">
        <v>458</v>
      </c>
      <c r="AD459" s="47">
        <v>458</v>
      </c>
    </row>
    <row r="460" spans="1:30" ht="15.75">
      <c r="A460" s="13" t="str">
        <f>IFERROR(VLOOKUP($G:$G,scan!$A:$B,2,0),"**")</f>
        <v>**</v>
      </c>
      <c r="B460" s="13" t="str">
        <f>IFERROR(VLOOKUP($G460,scan!A:C,3,0),"**")</f>
        <v>**</v>
      </c>
      <c r="C460" s="47">
        <v>459</v>
      </c>
      <c r="F460" s="78"/>
      <c r="G460" s="2"/>
      <c r="H460" s="47" t="s">
        <v>4926</v>
      </c>
      <c r="I460" s="43">
        <v>6042070338</v>
      </c>
      <c r="J460" s="43" t="s">
        <v>4927</v>
      </c>
      <c r="K460" s="47" t="s">
        <v>4928</v>
      </c>
      <c r="L460" s="67" t="e">
        <f>VLOOKUP(G460,Input!C:Q,12,FALSE)</f>
        <v>#N/A</v>
      </c>
      <c r="M460" s="68" t="e">
        <f>VLOOKUP(G460,Input!C:Q,15,FALSE)</f>
        <v>#N/A</v>
      </c>
      <c r="N460" s="69" t="e">
        <f>VLOOKUP(G460,Input!C:Q,14,FALSE)</f>
        <v>#N/A</v>
      </c>
      <c r="Q460" s="48">
        <v>1</v>
      </c>
      <c r="R460" s="75" t="e">
        <f>VLOOKUP(G460,Input!C:H,5,FALSE)</f>
        <v>#N/A</v>
      </c>
      <c r="T460" s="47">
        <v>1</v>
      </c>
      <c r="U460" s="47" t="str">
        <f t="shared" si="7"/>
        <v>459,459,**,</v>
      </c>
      <c r="AC460" s="47">
        <v>459</v>
      </c>
      <c r="AD460" s="47">
        <v>459</v>
      </c>
    </row>
    <row r="461" spans="1:30" ht="15.75">
      <c r="A461" s="13" t="str">
        <f>IFERROR(VLOOKUP($G:$G,scan!$A:$B,2,0),"**")</f>
        <v>**</v>
      </c>
      <c r="B461" s="13" t="str">
        <f>IFERROR(VLOOKUP($G461,scan!A:C,3,0),"**")</f>
        <v>**</v>
      </c>
      <c r="C461" s="47">
        <v>460</v>
      </c>
      <c r="F461" s="78"/>
      <c r="G461" s="2"/>
      <c r="H461" s="47" t="s">
        <v>4926</v>
      </c>
      <c r="I461" s="43">
        <v>6042070338</v>
      </c>
      <c r="J461" s="43" t="s">
        <v>4927</v>
      </c>
      <c r="K461" s="47" t="s">
        <v>4928</v>
      </c>
      <c r="L461" s="67" t="e">
        <f>VLOOKUP(G461,Input!C:Q,12,FALSE)</f>
        <v>#N/A</v>
      </c>
      <c r="M461" s="68" t="e">
        <f>VLOOKUP(G461,Input!C:Q,15,FALSE)</f>
        <v>#N/A</v>
      </c>
      <c r="N461" s="69" t="e">
        <f>VLOOKUP(G461,Input!C:Q,14,FALSE)</f>
        <v>#N/A</v>
      </c>
      <c r="Q461" s="48">
        <v>1</v>
      </c>
      <c r="R461" s="75" t="e">
        <f>VLOOKUP(G461,Input!C:H,5,FALSE)</f>
        <v>#N/A</v>
      </c>
      <c r="T461" s="47">
        <v>1</v>
      </c>
      <c r="U461" s="47" t="str">
        <f t="shared" si="7"/>
        <v>460,460,**,</v>
      </c>
      <c r="AC461" s="47">
        <v>460</v>
      </c>
      <c r="AD461" s="47">
        <v>460</v>
      </c>
    </row>
    <row r="462" spans="1:30" ht="15.75">
      <c r="A462" s="13" t="str">
        <f>IFERROR(VLOOKUP($G:$G,scan!$A:$B,2,0),"**")</f>
        <v>**</v>
      </c>
      <c r="B462" s="13" t="str">
        <f>IFERROR(VLOOKUP($G462,scan!A:C,3,0),"**")</f>
        <v>**</v>
      </c>
      <c r="C462" s="47">
        <v>461</v>
      </c>
      <c r="F462" s="78"/>
      <c r="G462" s="2"/>
      <c r="H462" s="47" t="s">
        <v>4926</v>
      </c>
      <c r="I462" s="43">
        <v>6042070338</v>
      </c>
      <c r="J462" s="43" t="s">
        <v>4927</v>
      </c>
      <c r="K462" s="47" t="s">
        <v>4928</v>
      </c>
      <c r="L462" s="67" t="e">
        <f>VLOOKUP(G462,Input!C:Q,12,FALSE)</f>
        <v>#N/A</v>
      </c>
      <c r="M462" s="68" t="e">
        <f>VLOOKUP(G462,Input!C:Q,15,FALSE)</f>
        <v>#N/A</v>
      </c>
      <c r="N462" s="69" t="e">
        <f>VLOOKUP(G462,Input!C:Q,14,FALSE)</f>
        <v>#N/A</v>
      </c>
      <c r="Q462" s="48">
        <v>1</v>
      </c>
      <c r="R462" s="75" t="e">
        <f>VLOOKUP(G462,Input!C:H,5,FALSE)</f>
        <v>#N/A</v>
      </c>
      <c r="T462" s="47">
        <v>1</v>
      </c>
      <c r="U462" s="47" t="str">
        <f t="shared" si="7"/>
        <v>461,461,**,</v>
      </c>
      <c r="AC462" s="47">
        <v>461</v>
      </c>
      <c r="AD462" s="47">
        <v>461</v>
      </c>
    </row>
    <row r="463" spans="1:30" ht="15.75">
      <c r="A463" s="13" t="str">
        <f>IFERROR(VLOOKUP($G:$G,scan!$A:$B,2,0),"**")</f>
        <v>**</v>
      </c>
      <c r="B463" s="13" t="str">
        <f>IFERROR(VLOOKUP($G463,scan!A:C,3,0),"**")</f>
        <v>**</v>
      </c>
      <c r="C463" s="47">
        <v>462</v>
      </c>
      <c r="F463" s="78"/>
      <c r="G463" s="2"/>
      <c r="H463" s="47" t="s">
        <v>4926</v>
      </c>
      <c r="I463" s="43">
        <v>6042070338</v>
      </c>
      <c r="J463" s="43" t="s">
        <v>4927</v>
      </c>
      <c r="K463" s="47" t="s">
        <v>4928</v>
      </c>
      <c r="L463" s="67" t="e">
        <f>VLOOKUP(G463,Input!C:Q,12,FALSE)</f>
        <v>#N/A</v>
      </c>
      <c r="M463" s="68" t="e">
        <f>VLOOKUP(G463,Input!C:Q,15,FALSE)</f>
        <v>#N/A</v>
      </c>
      <c r="N463" s="69" t="e">
        <f>VLOOKUP(G463,Input!C:Q,14,FALSE)</f>
        <v>#N/A</v>
      </c>
      <c r="Q463" s="48">
        <v>1</v>
      </c>
      <c r="R463" s="75" t="e">
        <f>VLOOKUP(G463,Input!C:H,5,FALSE)</f>
        <v>#N/A</v>
      </c>
      <c r="T463" s="47">
        <v>1</v>
      </c>
      <c r="U463" s="47" t="str">
        <f t="shared" si="7"/>
        <v>462,462,**,</v>
      </c>
      <c r="AC463" s="47">
        <v>462</v>
      </c>
      <c r="AD463" s="47">
        <v>462</v>
      </c>
    </row>
    <row r="464" spans="1:30" ht="15.75">
      <c r="A464" s="13" t="str">
        <f>IFERROR(VLOOKUP($G:$G,scan!$A:$B,2,0),"**")</f>
        <v>**</v>
      </c>
      <c r="B464" s="13" t="str">
        <f>IFERROR(VLOOKUP($G464,scan!A:C,3,0),"**")</f>
        <v>**</v>
      </c>
      <c r="C464" s="47">
        <v>463</v>
      </c>
      <c r="F464" s="78"/>
      <c r="G464" s="2"/>
      <c r="H464" s="47" t="s">
        <v>4926</v>
      </c>
      <c r="I464" s="43">
        <v>6042070338</v>
      </c>
      <c r="J464" s="43" t="s">
        <v>4927</v>
      </c>
      <c r="K464" s="47" t="s">
        <v>4928</v>
      </c>
      <c r="L464" s="67" t="e">
        <f>VLOOKUP(G464,Input!C:Q,12,FALSE)</f>
        <v>#N/A</v>
      </c>
      <c r="M464" s="68" t="e">
        <f>VLOOKUP(G464,Input!C:Q,15,FALSE)</f>
        <v>#N/A</v>
      </c>
      <c r="N464" s="69" t="e">
        <f>VLOOKUP(G464,Input!C:Q,14,FALSE)</f>
        <v>#N/A</v>
      </c>
      <c r="Q464" s="48">
        <v>1</v>
      </c>
      <c r="R464" s="75" t="e">
        <f>VLOOKUP(G464,Input!C:H,5,FALSE)</f>
        <v>#N/A</v>
      </c>
      <c r="T464" s="47">
        <v>1</v>
      </c>
      <c r="U464" s="47" t="str">
        <f t="shared" si="7"/>
        <v>463,463,**,</v>
      </c>
      <c r="AC464" s="47">
        <v>463</v>
      </c>
      <c r="AD464" s="47">
        <v>463</v>
      </c>
    </row>
    <row r="465" spans="1:30" ht="15.75">
      <c r="A465" s="13" t="str">
        <f>IFERROR(VLOOKUP($G:$G,scan!$A:$B,2,0),"**")</f>
        <v>**</v>
      </c>
      <c r="B465" s="13" t="str">
        <f>IFERROR(VLOOKUP($G465,scan!A:C,3,0),"**")</f>
        <v>**</v>
      </c>
      <c r="C465" s="47">
        <v>464</v>
      </c>
      <c r="F465" s="78"/>
      <c r="G465" s="2"/>
      <c r="H465" s="47" t="s">
        <v>4926</v>
      </c>
      <c r="I465" s="43">
        <v>6042070338</v>
      </c>
      <c r="J465" s="43" t="s">
        <v>4927</v>
      </c>
      <c r="K465" s="47" t="s">
        <v>4928</v>
      </c>
      <c r="L465" s="67" t="e">
        <f>VLOOKUP(G465,Input!C:Q,12,FALSE)</f>
        <v>#N/A</v>
      </c>
      <c r="M465" s="68" t="e">
        <f>VLOOKUP(G465,Input!C:Q,15,FALSE)</f>
        <v>#N/A</v>
      </c>
      <c r="N465" s="69" t="e">
        <f>VLOOKUP(G465,Input!C:Q,14,FALSE)</f>
        <v>#N/A</v>
      </c>
      <c r="Q465" s="48">
        <v>1</v>
      </c>
      <c r="R465" s="75" t="e">
        <f>VLOOKUP(G465,Input!C:H,5,FALSE)</f>
        <v>#N/A</v>
      </c>
      <c r="T465" s="47">
        <v>1</v>
      </c>
      <c r="U465" s="47" t="str">
        <f t="shared" si="7"/>
        <v>464,464,**,</v>
      </c>
      <c r="AC465" s="47">
        <v>464</v>
      </c>
      <c r="AD465" s="47">
        <v>464</v>
      </c>
    </row>
    <row r="466" spans="1:30" ht="15.75">
      <c r="A466" s="13" t="str">
        <f>IFERROR(VLOOKUP($G:$G,scan!$A:$B,2,0),"**")</f>
        <v>**</v>
      </c>
      <c r="B466" s="13" t="str">
        <f>IFERROR(VLOOKUP($G466,scan!A:C,3,0),"**")</f>
        <v>**</v>
      </c>
      <c r="C466" s="47">
        <v>465</v>
      </c>
      <c r="F466" s="78"/>
      <c r="G466" s="2"/>
      <c r="H466" s="47" t="s">
        <v>4926</v>
      </c>
      <c r="I466" s="43">
        <v>6042070338</v>
      </c>
      <c r="J466" s="43" t="s">
        <v>4927</v>
      </c>
      <c r="K466" s="47" t="s">
        <v>4928</v>
      </c>
      <c r="L466" s="67" t="e">
        <f>VLOOKUP(G466,Input!C:Q,12,FALSE)</f>
        <v>#N/A</v>
      </c>
      <c r="M466" s="68" t="e">
        <f>VLOOKUP(G466,Input!C:Q,15,FALSE)</f>
        <v>#N/A</v>
      </c>
      <c r="N466" s="69" t="e">
        <f>VLOOKUP(G466,Input!C:Q,14,FALSE)</f>
        <v>#N/A</v>
      </c>
      <c r="Q466" s="48">
        <v>1</v>
      </c>
      <c r="R466" s="75" t="e">
        <f>VLOOKUP(G466,Input!C:H,5,FALSE)</f>
        <v>#N/A</v>
      </c>
      <c r="T466" s="47">
        <v>1</v>
      </c>
      <c r="U466" s="47" t="str">
        <f t="shared" si="7"/>
        <v>465,465,**,</v>
      </c>
      <c r="AC466" s="47">
        <v>465</v>
      </c>
      <c r="AD466" s="47">
        <v>465</v>
      </c>
    </row>
    <row r="467" spans="1:30" ht="15.75">
      <c r="A467" s="13" t="str">
        <f>IFERROR(VLOOKUP($G:$G,scan!$A:$B,2,0),"**")</f>
        <v>**</v>
      </c>
      <c r="B467" s="13" t="str">
        <f>IFERROR(VLOOKUP($G467,scan!A:C,3,0),"**")</f>
        <v>**</v>
      </c>
      <c r="C467" s="47">
        <v>466</v>
      </c>
      <c r="F467" s="78"/>
      <c r="G467" s="2"/>
      <c r="H467" s="47" t="s">
        <v>4926</v>
      </c>
      <c r="I467" s="43">
        <v>6042070338</v>
      </c>
      <c r="J467" s="43" t="s">
        <v>4927</v>
      </c>
      <c r="K467" s="47" t="s">
        <v>4928</v>
      </c>
      <c r="L467" s="67" t="e">
        <f>VLOOKUP(G467,Input!C:Q,12,FALSE)</f>
        <v>#N/A</v>
      </c>
      <c r="M467" s="68" t="e">
        <f>VLOOKUP(G467,Input!C:Q,15,FALSE)</f>
        <v>#N/A</v>
      </c>
      <c r="N467" s="69" t="e">
        <f>VLOOKUP(G467,Input!C:Q,14,FALSE)</f>
        <v>#N/A</v>
      </c>
      <c r="Q467" s="48">
        <v>1</v>
      </c>
      <c r="R467" s="75" t="e">
        <f>VLOOKUP(G467,Input!C:H,5,FALSE)</f>
        <v>#N/A</v>
      </c>
      <c r="T467" s="47">
        <v>1</v>
      </c>
      <c r="U467" s="47" t="str">
        <f t="shared" si="7"/>
        <v>466,466,**,</v>
      </c>
      <c r="AC467" s="47">
        <v>466</v>
      </c>
      <c r="AD467" s="47">
        <v>466</v>
      </c>
    </row>
    <row r="468" spans="1:30" ht="15.75">
      <c r="A468" s="13" t="str">
        <f>IFERROR(VLOOKUP($G:$G,scan!$A:$B,2,0),"**")</f>
        <v>**</v>
      </c>
      <c r="B468" s="13" t="str">
        <f>IFERROR(VLOOKUP($G468,scan!A:C,3,0),"**")</f>
        <v>**</v>
      </c>
      <c r="C468" s="47">
        <v>467</v>
      </c>
      <c r="F468" s="78"/>
      <c r="G468" s="2"/>
      <c r="H468" s="47" t="s">
        <v>4926</v>
      </c>
      <c r="I468" s="43">
        <v>6042070338</v>
      </c>
      <c r="J468" s="43" t="s">
        <v>4927</v>
      </c>
      <c r="K468" s="47" t="s">
        <v>4928</v>
      </c>
      <c r="L468" s="67" t="e">
        <f>VLOOKUP(G468,Input!C:Q,12,FALSE)</f>
        <v>#N/A</v>
      </c>
      <c r="M468" s="68" t="e">
        <f>VLOOKUP(G468,Input!C:Q,15,FALSE)</f>
        <v>#N/A</v>
      </c>
      <c r="N468" s="69" t="e">
        <f>VLOOKUP(G468,Input!C:Q,14,FALSE)</f>
        <v>#N/A</v>
      </c>
      <c r="Q468" s="48">
        <v>1</v>
      </c>
      <c r="R468" s="75" t="e">
        <f>VLOOKUP(G468,Input!C:H,5,FALSE)</f>
        <v>#N/A</v>
      </c>
      <c r="T468" s="47">
        <v>1</v>
      </c>
      <c r="U468" s="47" t="str">
        <f t="shared" si="7"/>
        <v>467,467,**,</v>
      </c>
      <c r="AC468" s="47">
        <v>467</v>
      </c>
      <c r="AD468" s="47">
        <v>467</v>
      </c>
    </row>
    <row r="469" spans="1:30" ht="15.75">
      <c r="A469" s="13" t="str">
        <f>IFERROR(VLOOKUP($G:$G,scan!$A:$B,2,0),"**")</f>
        <v>**</v>
      </c>
      <c r="B469" s="13" t="str">
        <f>IFERROR(VLOOKUP($G469,scan!A:C,3,0),"**")</f>
        <v>**</v>
      </c>
      <c r="C469" s="47">
        <v>468</v>
      </c>
      <c r="F469" s="78"/>
      <c r="G469" s="2"/>
      <c r="H469" s="47" t="s">
        <v>4926</v>
      </c>
      <c r="I469" s="43">
        <v>6042070338</v>
      </c>
      <c r="J469" s="43" t="s">
        <v>4927</v>
      </c>
      <c r="K469" s="47" t="s">
        <v>4928</v>
      </c>
      <c r="L469" s="67" t="e">
        <f>VLOOKUP(G469,Input!C:Q,12,FALSE)</f>
        <v>#N/A</v>
      </c>
      <c r="M469" s="68" t="e">
        <f>VLOOKUP(G469,Input!C:Q,15,FALSE)</f>
        <v>#N/A</v>
      </c>
      <c r="N469" s="69" t="e">
        <f>VLOOKUP(G469,Input!C:Q,14,FALSE)</f>
        <v>#N/A</v>
      </c>
      <c r="Q469" s="48">
        <v>1</v>
      </c>
      <c r="R469" s="75" t="e">
        <f>VLOOKUP(G469,Input!C:H,5,FALSE)</f>
        <v>#N/A</v>
      </c>
      <c r="T469" s="47">
        <v>1</v>
      </c>
      <c r="U469" s="47" t="str">
        <f t="shared" si="7"/>
        <v>468,468,**,</v>
      </c>
      <c r="AC469" s="47">
        <v>468</v>
      </c>
      <c r="AD469" s="47">
        <v>468</v>
      </c>
    </row>
    <row r="470" spans="1:30" ht="15.75">
      <c r="A470" s="13" t="str">
        <f>IFERROR(VLOOKUP($G:$G,scan!$A:$B,2,0),"**")</f>
        <v>**</v>
      </c>
      <c r="B470" s="13" t="str">
        <f>IFERROR(VLOOKUP($G470,scan!A:C,3,0),"**")</f>
        <v>**</v>
      </c>
      <c r="C470" s="47">
        <v>469</v>
      </c>
      <c r="F470" s="78"/>
      <c r="G470" s="2"/>
      <c r="H470" s="47" t="s">
        <v>4926</v>
      </c>
      <c r="I470" s="43">
        <v>6042070338</v>
      </c>
      <c r="J470" s="43" t="s">
        <v>4927</v>
      </c>
      <c r="K470" s="47" t="s">
        <v>4928</v>
      </c>
      <c r="L470" s="67" t="e">
        <f>VLOOKUP(G470,Input!C:Q,12,FALSE)</f>
        <v>#N/A</v>
      </c>
      <c r="M470" s="68" t="e">
        <f>VLOOKUP(G470,Input!C:Q,15,FALSE)</f>
        <v>#N/A</v>
      </c>
      <c r="N470" s="69" t="e">
        <f>VLOOKUP(G470,Input!C:Q,14,FALSE)</f>
        <v>#N/A</v>
      </c>
      <c r="Q470" s="48">
        <v>1</v>
      </c>
      <c r="R470" s="75" t="e">
        <f>VLOOKUP(G470,Input!C:H,5,FALSE)</f>
        <v>#N/A</v>
      </c>
      <c r="T470" s="47">
        <v>1</v>
      </c>
      <c r="U470" s="47" t="str">
        <f t="shared" si="7"/>
        <v>469,469,**,</v>
      </c>
      <c r="AC470" s="47">
        <v>469</v>
      </c>
      <c r="AD470" s="47">
        <v>469</v>
      </c>
    </row>
    <row r="471" spans="1:30" ht="15.75">
      <c r="A471" s="13" t="str">
        <f>IFERROR(VLOOKUP($G:$G,scan!$A:$B,2,0),"**")</f>
        <v>**</v>
      </c>
      <c r="B471" s="13" t="str">
        <f>IFERROR(VLOOKUP($G471,scan!A:C,3,0),"**")</f>
        <v>**</v>
      </c>
      <c r="C471" s="47">
        <v>470</v>
      </c>
      <c r="F471" s="78"/>
      <c r="G471" s="2"/>
      <c r="H471" s="47" t="s">
        <v>4926</v>
      </c>
      <c r="I471" s="43">
        <v>6042070338</v>
      </c>
      <c r="J471" s="43" t="s">
        <v>4927</v>
      </c>
      <c r="K471" s="47" t="s">
        <v>4928</v>
      </c>
      <c r="L471" s="67" t="e">
        <f>VLOOKUP(G471,Input!C:Q,12,FALSE)</f>
        <v>#N/A</v>
      </c>
      <c r="M471" s="68" t="e">
        <f>VLOOKUP(G471,Input!C:Q,15,FALSE)</f>
        <v>#N/A</v>
      </c>
      <c r="N471" s="69" t="e">
        <f>VLOOKUP(G471,Input!C:Q,14,FALSE)</f>
        <v>#N/A</v>
      </c>
      <c r="Q471" s="48">
        <v>1</v>
      </c>
      <c r="R471" s="75" t="e">
        <f>VLOOKUP(G471,Input!C:H,5,FALSE)</f>
        <v>#N/A</v>
      </c>
      <c r="T471" s="47">
        <v>1</v>
      </c>
      <c r="U471" s="47" t="str">
        <f t="shared" si="7"/>
        <v>470,470,**,</v>
      </c>
      <c r="AC471" s="47">
        <v>470</v>
      </c>
      <c r="AD471" s="47">
        <v>470</v>
      </c>
    </row>
    <row r="472" spans="1:30" ht="15.75">
      <c r="A472" s="13" t="str">
        <f>IFERROR(VLOOKUP($G:$G,scan!$A:$B,2,0),"**")</f>
        <v>**</v>
      </c>
      <c r="B472" s="13" t="str">
        <f>IFERROR(VLOOKUP($G472,scan!A:C,3,0),"**")</f>
        <v>**</v>
      </c>
      <c r="C472" s="47">
        <v>471</v>
      </c>
      <c r="F472" s="78"/>
      <c r="G472" s="2"/>
      <c r="H472" s="47" t="s">
        <v>4926</v>
      </c>
      <c r="I472" s="43">
        <v>6042070338</v>
      </c>
      <c r="J472" s="43" t="s">
        <v>4927</v>
      </c>
      <c r="K472" s="47" t="s">
        <v>4928</v>
      </c>
      <c r="L472" s="67" t="e">
        <f>VLOOKUP(G472,Input!C:Q,12,FALSE)</f>
        <v>#N/A</v>
      </c>
      <c r="M472" s="68" t="e">
        <f>VLOOKUP(G472,Input!C:Q,15,FALSE)</f>
        <v>#N/A</v>
      </c>
      <c r="N472" s="69" t="e">
        <f>VLOOKUP(G472,Input!C:Q,14,FALSE)</f>
        <v>#N/A</v>
      </c>
      <c r="Q472" s="48">
        <v>1</v>
      </c>
      <c r="R472" s="75" t="e">
        <f>VLOOKUP(G472,Input!C:H,5,FALSE)</f>
        <v>#N/A</v>
      </c>
      <c r="T472" s="47">
        <v>1</v>
      </c>
      <c r="U472" s="47" t="str">
        <f t="shared" si="7"/>
        <v>471,471,**,</v>
      </c>
      <c r="AC472" s="47">
        <v>471</v>
      </c>
      <c r="AD472" s="47">
        <v>471</v>
      </c>
    </row>
    <row r="473" spans="1:30" ht="15.75">
      <c r="A473" s="13" t="str">
        <f>IFERROR(VLOOKUP($G:$G,scan!$A:$B,2,0),"**")</f>
        <v>**</v>
      </c>
      <c r="B473" s="13" t="str">
        <f>IFERROR(VLOOKUP($G473,scan!A:C,3,0),"**")</f>
        <v>**</v>
      </c>
      <c r="C473" s="47">
        <v>472</v>
      </c>
      <c r="F473" s="78"/>
      <c r="G473" s="2"/>
      <c r="H473" s="47" t="s">
        <v>4926</v>
      </c>
      <c r="I473" s="43">
        <v>6042070338</v>
      </c>
      <c r="J473" s="43" t="s">
        <v>4927</v>
      </c>
      <c r="K473" s="47" t="s">
        <v>4928</v>
      </c>
      <c r="L473" s="67" t="e">
        <f>VLOOKUP(G473,Input!C:Q,12,FALSE)</f>
        <v>#N/A</v>
      </c>
      <c r="M473" s="68" t="e">
        <f>VLOOKUP(G473,Input!C:Q,15,FALSE)</f>
        <v>#N/A</v>
      </c>
      <c r="N473" s="69" t="e">
        <f>VLOOKUP(G473,Input!C:Q,14,FALSE)</f>
        <v>#N/A</v>
      </c>
      <c r="Q473" s="48">
        <v>1</v>
      </c>
      <c r="R473" s="75" t="e">
        <f>VLOOKUP(G473,Input!C:H,5,FALSE)</f>
        <v>#N/A</v>
      </c>
      <c r="T473" s="47">
        <v>1</v>
      </c>
      <c r="U473" s="47" t="str">
        <f t="shared" si="7"/>
        <v>472,472,**,</v>
      </c>
      <c r="AC473" s="47">
        <v>472</v>
      </c>
      <c r="AD473" s="47">
        <v>472</v>
      </c>
    </row>
    <row r="474" spans="1:30" ht="15.75">
      <c r="A474" s="13" t="str">
        <f>IFERROR(VLOOKUP($G:$G,scan!$A:$B,2,0),"**")</f>
        <v>**</v>
      </c>
      <c r="B474" s="13" t="str">
        <f>IFERROR(VLOOKUP($G474,scan!A:C,3,0),"**")</f>
        <v>**</v>
      </c>
      <c r="C474" s="47">
        <v>473</v>
      </c>
      <c r="F474" s="78"/>
      <c r="G474" s="2"/>
      <c r="H474" s="47" t="s">
        <v>4926</v>
      </c>
      <c r="I474" s="43">
        <v>6042070338</v>
      </c>
      <c r="J474" s="43" t="s">
        <v>4927</v>
      </c>
      <c r="K474" s="47" t="s">
        <v>4928</v>
      </c>
      <c r="L474" s="67" t="e">
        <f>VLOOKUP(G474,Input!C:Q,12,FALSE)</f>
        <v>#N/A</v>
      </c>
      <c r="M474" s="68" t="e">
        <f>VLOOKUP(G474,Input!C:Q,15,FALSE)</f>
        <v>#N/A</v>
      </c>
      <c r="N474" s="69" t="e">
        <f>VLOOKUP(G474,Input!C:Q,14,FALSE)</f>
        <v>#N/A</v>
      </c>
      <c r="Q474" s="48">
        <v>1</v>
      </c>
      <c r="R474" s="75" t="e">
        <f>VLOOKUP(G474,Input!C:H,5,FALSE)</f>
        <v>#N/A</v>
      </c>
      <c r="T474" s="47">
        <v>1</v>
      </c>
      <c r="U474" s="47" t="str">
        <f t="shared" si="7"/>
        <v>473,473,**,</v>
      </c>
      <c r="AC474" s="47">
        <v>473</v>
      </c>
      <c r="AD474" s="47">
        <v>473</v>
      </c>
    </row>
    <row r="475" spans="1:30" ht="15.75">
      <c r="A475" s="13" t="str">
        <f>IFERROR(VLOOKUP($G:$G,scan!$A:$B,2,0),"**")</f>
        <v>**</v>
      </c>
      <c r="B475" s="13" t="str">
        <f>IFERROR(VLOOKUP($G475,scan!A:C,3,0),"**")</f>
        <v>**</v>
      </c>
      <c r="C475" s="47">
        <v>474</v>
      </c>
      <c r="F475" s="78"/>
      <c r="G475" s="2"/>
      <c r="H475" s="47" t="s">
        <v>4926</v>
      </c>
      <c r="I475" s="43">
        <v>6042070338</v>
      </c>
      <c r="J475" s="43" t="s">
        <v>4927</v>
      </c>
      <c r="K475" s="47" t="s">
        <v>4928</v>
      </c>
      <c r="L475" s="67" t="e">
        <f>VLOOKUP(G475,Input!C:Q,12,FALSE)</f>
        <v>#N/A</v>
      </c>
      <c r="M475" s="68" t="e">
        <f>VLOOKUP(G475,Input!C:Q,15,FALSE)</f>
        <v>#N/A</v>
      </c>
      <c r="N475" s="69" t="e">
        <f>VLOOKUP(G475,Input!C:Q,14,FALSE)</f>
        <v>#N/A</v>
      </c>
      <c r="Q475" s="48">
        <v>1</v>
      </c>
      <c r="R475" s="75" t="e">
        <f>VLOOKUP(G475,Input!C:H,5,FALSE)</f>
        <v>#N/A</v>
      </c>
      <c r="T475" s="47">
        <v>1</v>
      </c>
      <c r="U475" s="47" t="str">
        <f t="shared" si="7"/>
        <v>474,474,**,</v>
      </c>
      <c r="AC475" s="47">
        <v>474</v>
      </c>
      <c r="AD475" s="47">
        <v>474</v>
      </c>
    </row>
    <row r="476" spans="1:30" ht="15.75">
      <c r="A476" s="13" t="str">
        <f>IFERROR(VLOOKUP($G:$G,scan!$A:$B,2,0),"**")</f>
        <v>**</v>
      </c>
      <c r="B476" s="13" t="str">
        <f>IFERROR(VLOOKUP($G476,scan!A:C,3,0),"**")</f>
        <v>**</v>
      </c>
      <c r="C476" s="47">
        <v>475</v>
      </c>
      <c r="F476" s="78"/>
      <c r="G476" s="2"/>
      <c r="H476" s="47" t="s">
        <v>4926</v>
      </c>
      <c r="I476" s="43">
        <v>6042070338</v>
      </c>
      <c r="J476" s="43" t="s">
        <v>4927</v>
      </c>
      <c r="K476" s="47" t="s">
        <v>4928</v>
      </c>
      <c r="L476" s="67" t="e">
        <f>VLOOKUP(G476,Input!C:Q,12,FALSE)</f>
        <v>#N/A</v>
      </c>
      <c r="M476" s="68" t="e">
        <f>VLOOKUP(G476,Input!C:Q,15,FALSE)</f>
        <v>#N/A</v>
      </c>
      <c r="N476" s="69" t="e">
        <f>VLOOKUP(G476,Input!C:Q,14,FALSE)</f>
        <v>#N/A</v>
      </c>
      <c r="Q476" s="48">
        <v>1</v>
      </c>
      <c r="R476" s="75" t="e">
        <f>VLOOKUP(G476,Input!C:H,5,FALSE)</f>
        <v>#N/A</v>
      </c>
      <c r="T476" s="47">
        <v>1</v>
      </c>
      <c r="U476" s="47" t="str">
        <f t="shared" si="7"/>
        <v>475,475,**,</v>
      </c>
      <c r="AC476" s="47">
        <v>475</v>
      </c>
      <c r="AD476" s="47">
        <v>475</v>
      </c>
    </row>
    <row r="477" spans="1:30" ht="15.75">
      <c r="A477" s="13" t="str">
        <f>IFERROR(VLOOKUP($G:$G,scan!$A:$B,2,0),"**")</f>
        <v>**</v>
      </c>
      <c r="B477" s="13" t="str">
        <f>IFERROR(VLOOKUP($G477,scan!A:C,3,0),"**")</f>
        <v>**</v>
      </c>
      <c r="C477" s="47">
        <v>476</v>
      </c>
      <c r="F477" s="78"/>
      <c r="G477" s="2"/>
      <c r="H477" s="47" t="s">
        <v>4926</v>
      </c>
      <c r="I477" s="43">
        <v>6042070338</v>
      </c>
      <c r="J477" s="43" t="s">
        <v>4927</v>
      </c>
      <c r="K477" s="47" t="s">
        <v>4928</v>
      </c>
      <c r="L477" s="67" t="e">
        <f>VLOOKUP(G477,Input!C:Q,12,FALSE)</f>
        <v>#N/A</v>
      </c>
      <c r="M477" s="68" t="e">
        <f>VLOOKUP(G477,Input!C:Q,15,FALSE)</f>
        <v>#N/A</v>
      </c>
      <c r="N477" s="69" t="e">
        <f>VLOOKUP(G477,Input!C:Q,14,FALSE)</f>
        <v>#N/A</v>
      </c>
      <c r="Q477" s="48">
        <v>1</v>
      </c>
      <c r="R477" s="75" t="e">
        <f>VLOOKUP(G477,Input!C:H,5,FALSE)</f>
        <v>#N/A</v>
      </c>
      <c r="T477" s="47">
        <v>1</v>
      </c>
      <c r="U477" s="47" t="str">
        <f t="shared" si="7"/>
        <v>476,476,**,</v>
      </c>
      <c r="AC477" s="47">
        <v>476</v>
      </c>
      <c r="AD477" s="47">
        <v>476</v>
      </c>
    </row>
    <row r="478" spans="1:30" ht="15.75">
      <c r="A478" s="13" t="str">
        <f>IFERROR(VLOOKUP($G:$G,scan!$A:$B,2,0),"**")</f>
        <v>**</v>
      </c>
      <c r="B478" s="13" t="str">
        <f>IFERROR(VLOOKUP($G478,scan!A:C,3,0),"**")</f>
        <v>**</v>
      </c>
      <c r="C478" s="47">
        <v>477</v>
      </c>
      <c r="F478" s="78"/>
      <c r="G478" s="2"/>
      <c r="H478" s="47" t="s">
        <v>4926</v>
      </c>
      <c r="I478" s="43">
        <v>6042070338</v>
      </c>
      <c r="J478" s="43" t="s">
        <v>4927</v>
      </c>
      <c r="K478" s="47" t="s">
        <v>4928</v>
      </c>
      <c r="L478" s="67" t="e">
        <f>VLOOKUP(G478,Input!C:Q,12,FALSE)</f>
        <v>#N/A</v>
      </c>
      <c r="M478" s="68" t="e">
        <f>VLOOKUP(G478,Input!C:Q,15,FALSE)</f>
        <v>#N/A</v>
      </c>
      <c r="N478" s="69" t="e">
        <f>VLOOKUP(G478,Input!C:Q,14,FALSE)</f>
        <v>#N/A</v>
      </c>
      <c r="Q478" s="48">
        <v>1</v>
      </c>
      <c r="R478" s="75" t="e">
        <f>VLOOKUP(G478,Input!C:H,5,FALSE)</f>
        <v>#N/A</v>
      </c>
      <c r="T478" s="47">
        <v>1</v>
      </c>
      <c r="U478" s="47" t="str">
        <f t="shared" si="7"/>
        <v>477,477,**,</v>
      </c>
      <c r="AC478" s="47">
        <v>477</v>
      </c>
      <c r="AD478" s="47">
        <v>477</v>
      </c>
    </row>
    <row r="479" spans="1:30" ht="15.75">
      <c r="A479" s="13" t="str">
        <f>IFERROR(VLOOKUP($G:$G,scan!$A:$B,2,0),"**")</f>
        <v>**</v>
      </c>
      <c r="B479" s="13" t="str">
        <f>IFERROR(VLOOKUP($G479,scan!A:C,3,0),"**")</f>
        <v>**</v>
      </c>
      <c r="C479" s="47">
        <v>478</v>
      </c>
      <c r="F479" s="78"/>
      <c r="G479" s="2"/>
      <c r="H479" s="47" t="s">
        <v>4926</v>
      </c>
      <c r="I479" s="43">
        <v>6042070338</v>
      </c>
      <c r="J479" s="43" t="s">
        <v>4927</v>
      </c>
      <c r="K479" s="47" t="s">
        <v>4928</v>
      </c>
      <c r="L479" s="67" t="e">
        <f>VLOOKUP(G479,Input!C:Q,12,FALSE)</f>
        <v>#N/A</v>
      </c>
      <c r="M479" s="68" t="e">
        <f>VLOOKUP(G479,Input!C:Q,15,FALSE)</f>
        <v>#N/A</v>
      </c>
      <c r="N479" s="69" t="e">
        <f>VLOOKUP(G479,Input!C:Q,14,FALSE)</f>
        <v>#N/A</v>
      </c>
      <c r="Q479" s="48">
        <v>1</v>
      </c>
      <c r="R479" s="75" t="e">
        <f>VLOOKUP(G479,Input!C:H,5,FALSE)</f>
        <v>#N/A</v>
      </c>
      <c r="T479" s="47">
        <v>1</v>
      </c>
      <c r="U479" s="47" t="str">
        <f t="shared" si="7"/>
        <v>478,478,**,</v>
      </c>
      <c r="AC479" s="47">
        <v>478</v>
      </c>
      <c r="AD479" s="47">
        <v>478</v>
      </c>
    </row>
    <row r="480" spans="1:30" ht="15.75">
      <c r="A480" s="13" t="str">
        <f>IFERROR(VLOOKUP($G:$G,scan!$A:$B,2,0),"**")</f>
        <v>**</v>
      </c>
      <c r="B480" s="13" t="str">
        <f>IFERROR(VLOOKUP($G480,scan!A:C,3,0),"**")</f>
        <v>**</v>
      </c>
      <c r="C480" s="47">
        <v>479</v>
      </c>
      <c r="F480" s="78"/>
      <c r="G480" s="2"/>
      <c r="H480" s="47" t="s">
        <v>4926</v>
      </c>
      <c r="I480" s="43">
        <v>6042070338</v>
      </c>
      <c r="J480" s="43" t="s">
        <v>4927</v>
      </c>
      <c r="K480" s="47" t="s">
        <v>4928</v>
      </c>
      <c r="L480" s="67" t="e">
        <f>VLOOKUP(G480,Input!C:Q,12,FALSE)</f>
        <v>#N/A</v>
      </c>
      <c r="M480" s="68" t="e">
        <f>VLOOKUP(G480,Input!C:Q,15,FALSE)</f>
        <v>#N/A</v>
      </c>
      <c r="N480" s="69" t="e">
        <f>VLOOKUP(G480,Input!C:Q,14,FALSE)</f>
        <v>#N/A</v>
      </c>
      <c r="Q480" s="48">
        <v>1</v>
      </c>
      <c r="R480" s="75" t="e">
        <f>VLOOKUP(G480,Input!C:H,5,FALSE)</f>
        <v>#N/A</v>
      </c>
      <c r="T480" s="47">
        <v>1</v>
      </c>
      <c r="U480" s="47" t="str">
        <f t="shared" si="7"/>
        <v>479,479,**,</v>
      </c>
      <c r="AC480" s="47">
        <v>479</v>
      </c>
      <c r="AD480" s="47">
        <v>479</v>
      </c>
    </row>
    <row r="481" spans="1:30" ht="15.75">
      <c r="A481" s="13" t="str">
        <f>IFERROR(VLOOKUP($G:$G,scan!$A:$B,2,0),"**")</f>
        <v>**</v>
      </c>
      <c r="B481" s="13" t="str">
        <f>IFERROR(VLOOKUP($G481,scan!A:C,3,0),"**")</f>
        <v>**</v>
      </c>
      <c r="C481" s="47">
        <v>480</v>
      </c>
      <c r="F481" s="78"/>
      <c r="G481" s="2"/>
      <c r="H481" s="47" t="s">
        <v>4926</v>
      </c>
      <c r="I481" s="43">
        <v>6042070338</v>
      </c>
      <c r="J481" s="43" t="s">
        <v>4927</v>
      </c>
      <c r="K481" s="47" t="s">
        <v>4928</v>
      </c>
      <c r="L481" s="67" t="e">
        <f>VLOOKUP(G481,Input!C:Q,12,FALSE)</f>
        <v>#N/A</v>
      </c>
      <c r="M481" s="68" t="e">
        <f>VLOOKUP(G481,Input!C:Q,15,FALSE)</f>
        <v>#N/A</v>
      </c>
      <c r="N481" s="69" t="e">
        <f>VLOOKUP(G481,Input!C:Q,14,FALSE)</f>
        <v>#N/A</v>
      </c>
      <c r="Q481" s="48">
        <v>1</v>
      </c>
      <c r="R481" s="75" t="e">
        <f>VLOOKUP(G481,Input!C:H,5,FALSE)</f>
        <v>#N/A</v>
      </c>
      <c r="T481" s="47">
        <v>1</v>
      </c>
      <c r="U481" s="47" t="str">
        <f t="shared" si="7"/>
        <v>480,480,**,</v>
      </c>
      <c r="AC481" s="47">
        <v>480</v>
      </c>
      <c r="AD481" s="47">
        <v>480</v>
      </c>
    </row>
    <row r="482" spans="1:30" ht="15.75">
      <c r="A482" s="13" t="str">
        <f>IFERROR(VLOOKUP($G:$G,scan!$A:$B,2,0),"**")</f>
        <v>**</v>
      </c>
      <c r="B482" s="13" t="str">
        <f>IFERROR(VLOOKUP($G482,scan!A:C,3,0),"**")</f>
        <v>**</v>
      </c>
      <c r="C482" s="47">
        <v>481</v>
      </c>
      <c r="F482" s="78"/>
      <c r="G482" s="2"/>
      <c r="H482" s="47" t="s">
        <v>4926</v>
      </c>
      <c r="I482" s="43">
        <v>6042070338</v>
      </c>
      <c r="J482" s="43" t="s">
        <v>4927</v>
      </c>
      <c r="K482" s="47" t="s">
        <v>4928</v>
      </c>
      <c r="L482" s="67" t="e">
        <f>VLOOKUP(G482,Input!C:Q,12,FALSE)</f>
        <v>#N/A</v>
      </c>
      <c r="M482" s="68" t="e">
        <f>VLOOKUP(G482,Input!C:Q,15,FALSE)</f>
        <v>#N/A</v>
      </c>
      <c r="N482" s="69" t="e">
        <f>VLOOKUP(G482,Input!C:Q,14,FALSE)</f>
        <v>#N/A</v>
      </c>
      <c r="Q482" s="48">
        <v>1</v>
      </c>
      <c r="R482" s="75" t="e">
        <f>VLOOKUP(G482,Input!C:H,5,FALSE)</f>
        <v>#N/A</v>
      </c>
      <c r="T482" s="47">
        <v>1</v>
      </c>
      <c r="U482" s="47" t="str">
        <f t="shared" si="7"/>
        <v>481,481,**,</v>
      </c>
      <c r="AC482" s="47">
        <v>481</v>
      </c>
      <c r="AD482" s="47">
        <v>481</v>
      </c>
    </row>
    <row r="483" spans="1:30" ht="15.75">
      <c r="A483" s="13" t="str">
        <f>IFERROR(VLOOKUP($G:$G,scan!$A:$B,2,0),"**")</f>
        <v>**</v>
      </c>
      <c r="B483" s="13" t="str">
        <f>IFERROR(VLOOKUP($G483,scan!A:C,3,0),"**")</f>
        <v>**</v>
      </c>
      <c r="C483" s="47">
        <v>482</v>
      </c>
      <c r="F483" s="78"/>
      <c r="G483" s="2"/>
      <c r="H483" s="47" t="s">
        <v>4926</v>
      </c>
      <c r="I483" s="43">
        <v>6042070338</v>
      </c>
      <c r="J483" s="43" t="s">
        <v>4927</v>
      </c>
      <c r="K483" s="47" t="s">
        <v>4928</v>
      </c>
      <c r="L483" s="67" t="e">
        <f>VLOOKUP(G483,Input!C:Q,12,FALSE)</f>
        <v>#N/A</v>
      </c>
      <c r="M483" s="68" t="e">
        <f>VLOOKUP(G483,Input!C:Q,15,FALSE)</f>
        <v>#N/A</v>
      </c>
      <c r="N483" s="69" t="e">
        <f>VLOOKUP(G483,Input!C:Q,14,FALSE)</f>
        <v>#N/A</v>
      </c>
      <c r="Q483" s="48">
        <v>1</v>
      </c>
      <c r="R483" s="75" t="e">
        <f>VLOOKUP(G483,Input!C:H,5,FALSE)</f>
        <v>#N/A</v>
      </c>
      <c r="T483" s="47">
        <v>1</v>
      </c>
      <c r="U483" s="47" t="str">
        <f t="shared" si="7"/>
        <v>482,482,**,</v>
      </c>
      <c r="AC483" s="47">
        <v>482</v>
      </c>
      <c r="AD483" s="47">
        <v>482</v>
      </c>
    </row>
    <row r="484" spans="1:30" ht="15.75">
      <c r="A484" s="13" t="str">
        <f>IFERROR(VLOOKUP($G:$G,scan!$A:$B,2,0),"**")</f>
        <v>**</v>
      </c>
      <c r="B484" s="13" t="str">
        <f>IFERROR(VLOOKUP($G484,scan!A:C,3,0),"**")</f>
        <v>**</v>
      </c>
      <c r="C484" s="47">
        <v>483</v>
      </c>
      <c r="F484" s="78"/>
      <c r="G484" s="2"/>
      <c r="H484" s="47" t="s">
        <v>4926</v>
      </c>
      <c r="I484" s="43">
        <v>6042070338</v>
      </c>
      <c r="J484" s="43" t="s">
        <v>4927</v>
      </c>
      <c r="K484" s="47" t="s">
        <v>4928</v>
      </c>
      <c r="L484" s="67" t="e">
        <f>VLOOKUP(G484,Input!C:Q,12,FALSE)</f>
        <v>#N/A</v>
      </c>
      <c r="M484" s="68" t="e">
        <f>VLOOKUP(G484,Input!C:Q,15,FALSE)</f>
        <v>#N/A</v>
      </c>
      <c r="N484" s="69" t="e">
        <f>VLOOKUP(G484,Input!C:Q,14,FALSE)</f>
        <v>#N/A</v>
      </c>
      <c r="Q484" s="48">
        <v>1</v>
      </c>
      <c r="R484" s="75" t="e">
        <f>VLOOKUP(G484,Input!C:H,5,FALSE)</f>
        <v>#N/A</v>
      </c>
      <c r="T484" s="47">
        <v>1</v>
      </c>
      <c r="U484" s="47" t="str">
        <f t="shared" si="7"/>
        <v>483,483,**,</v>
      </c>
      <c r="AC484" s="47">
        <v>483</v>
      </c>
      <c r="AD484" s="47">
        <v>483</v>
      </c>
    </row>
    <row r="485" spans="1:30" ht="15.75">
      <c r="A485" s="13" t="str">
        <f>IFERROR(VLOOKUP($G:$G,scan!$A:$B,2,0),"**")</f>
        <v>**</v>
      </c>
      <c r="B485" s="13" t="str">
        <f>IFERROR(VLOOKUP($G485,scan!A:C,3,0),"**")</f>
        <v>**</v>
      </c>
      <c r="C485" s="47">
        <v>484</v>
      </c>
      <c r="F485" s="78"/>
      <c r="G485" s="2"/>
      <c r="H485" s="47" t="s">
        <v>4926</v>
      </c>
      <c r="I485" s="43">
        <v>6042070338</v>
      </c>
      <c r="J485" s="43" t="s">
        <v>4927</v>
      </c>
      <c r="K485" s="47" t="s">
        <v>4928</v>
      </c>
      <c r="L485" s="67" t="e">
        <f>VLOOKUP(G485,Input!C:Q,12,FALSE)</f>
        <v>#N/A</v>
      </c>
      <c r="M485" s="68" t="e">
        <f>VLOOKUP(G485,Input!C:Q,15,FALSE)</f>
        <v>#N/A</v>
      </c>
      <c r="N485" s="69" t="e">
        <f>VLOOKUP(G485,Input!C:Q,14,FALSE)</f>
        <v>#N/A</v>
      </c>
      <c r="Q485" s="48">
        <v>1</v>
      </c>
      <c r="R485" s="75" t="e">
        <f>VLOOKUP(G485,Input!C:H,5,FALSE)</f>
        <v>#N/A</v>
      </c>
      <c r="T485" s="47">
        <v>1</v>
      </c>
      <c r="U485" s="47" t="str">
        <f t="shared" si="7"/>
        <v>484,484,**,</v>
      </c>
      <c r="AC485" s="47">
        <v>484</v>
      </c>
      <c r="AD485" s="47">
        <v>484</v>
      </c>
    </row>
    <row r="486" spans="1:30" ht="15.75">
      <c r="A486" s="13" t="str">
        <f>IFERROR(VLOOKUP($G:$G,scan!$A:$B,2,0),"**")</f>
        <v>**</v>
      </c>
      <c r="B486" s="13" t="str">
        <f>IFERROR(VLOOKUP($G486,scan!A:C,3,0),"**")</f>
        <v>**</v>
      </c>
      <c r="C486" s="47">
        <v>485</v>
      </c>
      <c r="F486" s="78"/>
      <c r="G486" s="2"/>
      <c r="H486" s="47" t="s">
        <v>4926</v>
      </c>
      <c r="I486" s="43">
        <v>6042070338</v>
      </c>
      <c r="J486" s="43" t="s">
        <v>4927</v>
      </c>
      <c r="K486" s="47" t="s">
        <v>4928</v>
      </c>
      <c r="L486" s="67" t="e">
        <f>VLOOKUP(G486,Input!C:Q,12,FALSE)</f>
        <v>#N/A</v>
      </c>
      <c r="M486" s="68" t="e">
        <f>VLOOKUP(G486,Input!C:Q,15,FALSE)</f>
        <v>#N/A</v>
      </c>
      <c r="N486" s="69" t="e">
        <f>VLOOKUP(G486,Input!C:Q,14,FALSE)</f>
        <v>#N/A</v>
      </c>
      <c r="Q486" s="48">
        <v>1</v>
      </c>
      <c r="R486" s="75" t="e">
        <f>VLOOKUP(G486,Input!C:H,5,FALSE)</f>
        <v>#N/A</v>
      </c>
      <c r="T486" s="47">
        <v>1</v>
      </c>
      <c r="U486" s="47" t="str">
        <f t="shared" si="7"/>
        <v>485,485,**,</v>
      </c>
      <c r="AC486" s="47">
        <v>485</v>
      </c>
      <c r="AD486" s="47">
        <v>485</v>
      </c>
    </row>
    <row r="487" spans="1:30" ht="15.75">
      <c r="A487" s="13" t="str">
        <f>IFERROR(VLOOKUP($G:$G,scan!$A:$B,2,0),"**")</f>
        <v>**</v>
      </c>
      <c r="B487" s="13" t="str">
        <f>IFERROR(VLOOKUP($G487,scan!A:C,3,0),"**")</f>
        <v>**</v>
      </c>
      <c r="C487" s="47">
        <v>486</v>
      </c>
      <c r="F487" s="78"/>
      <c r="G487" s="2"/>
      <c r="H487" s="47" t="s">
        <v>4926</v>
      </c>
      <c r="I487" s="43">
        <v>6042070338</v>
      </c>
      <c r="J487" s="43" t="s">
        <v>4927</v>
      </c>
      <c r="K487" s="47" t="s">
        <v>4928</v>
      </c>
      <c r="L487" s="67" t="e">
        <f>VLOOKUP(G487,Input!C:Q,12,FALSE)</f>
        <v>#N/A</v>
      </c>
      <c r="M487" s="68" t="e">
        <f>VLOOKUP(G487,Input!C:Q,15,FALSE)</f>
        <v>#N/A</v>
      </c>
      <c r="N487" s="69" t="e">
        <f>VLOOKUP(G487,Input!C:Q,14,FALSE)</f>
        <v>#N/A</v>
      </c>
      <c r="Q487" s="48">
        <v>1</v>
      </c>
      <c r="R487" s="75" t="e">
        <f>VLOOKUP(G487,Input!C:H,5,FALSE)</f>
        <v>#N/A</v>
      </c>
      <c r="T487" s="47">
        <v>1</v>
      </c>
      <c r="U487" s="47" t="str">
        <f t="shared" si="7"/>
        <v>486,486,**,</v>
      </c>
      <c r="AC487" s="47">
        <v>486</v>
      </c>
      <c r="AD487" s="47">
        <v>486</v>
      </c>
    </row>
    <row r="488" spans="1:30" ht="15.75">
      <c r="A488" s="13" t="str">
        <f>IFERROR(VLOOKUP($G:$G,scan!$A:$B,2,0),"**")</f>
        <v>**</v>
      </c>
      <c r="B488" s="13" t="str">
        <f>IFERROR(VLOOKUP($G488,scan!A:C,3,0),"**")</f>
        <v>**</v>
      </c>
      <c r="C488" s="47">
        <v>487</v>
      </c>
      <c r="F488" s="78"/>
      <c r="G488" s="2"/>
      <c r="H488" s="47" t="s">
        <v>4926</v>
      </c>
      <c r="I488" s="43">
        <v>6042070338</v>
      </c>
      <c r="J488" s="43" t="s">
        <v>4927</v>
      </c>
      <c r="K488" s="47" t="s">
        <v>4928</v>
      </c>
      <c r="L488" s="67" t="e">
        <f>VLOOKUP(G488,Input!C:Q,12,FALSE)</f>
        <v>#N/A</v>
      </c>
      <c r="M488" s="68" t="e">
        <f>VLOOKUP(G488,Input!C:Q,15,FALSE)</f>
        <v>#N/A</v>
      </c>
      <c r="N488" s="69" t="e">
        <f>VLOOKUP(G488,Input!C:Q,14,FALSE)</f>
        <v>#N/A</v>
      </c>
      <c r="Q488" s="48">
        <v>1</v>
      </c>
      <c r="R488" s="75" t="e">
        <f>VLOOKUP(G488,Input!C:H,5,FALSE)</f>
        <v>#N/A</v>
      </c>
      <c r="T488" s="47">
        <v>1</v>
      </c>
      <c r="U488" s="47" t="str">
        <f t="shared" si="7"/>
        <v>487,487,**,</v>
      </c>
      <c r="AC488" s="47">
        <v>487</v>
      </c>
      <c r="AD488" s="47">
        <v>487</v>
      </c>
    </row>
    <row r="489" spans="1:30" ht="15.75">
      <c r="A489" s="13" t="str">
        <f>IFERROR(VLOOKUP($G:$G,scan!$A:$B,2,0),"**")</f>
        <v>**</v>
      </c>
      <c r="B489" s="13" t="str">
        <f>IFERROR(VLOOKUP($G489,scan!A:C,3,0),"**")</f>
        <v>**</v>
      </c>
      <c r="C489" s="47">
        <v>488</v>
      </c>
      <c r="F489" s="78"/>
      <c r="G489" s="2"/>
      <c r="H489" s="47" t="s">
        <v>4926</v>
      </c>
      <c r="I489" s="43">
        <v>6042070338</v>
      </c>
      <c r="J489" s="43" t="s">
        <v>4927</v>
      </c>
      <c r="K489" s="47" t="s">
        <v>4928</v>
      </c>
      <c r="L489" s="67" t="e">
        <f>VLOOKUP(G489,Input!C:Q,12,FALSE)</f>
        <v>#N/A</v>
      </c>
      <c r="M489" s="68" t="e">
        <f>VLOOKUP(G489,Input!C:Q,15,FALSE)</f>
        <v>#N/A</v>
      </c>
      <c r="N489" s="69" t="e">
        <f>VLOOKUP(G489,Input!C:Q,14,FALSE)</f>
        <v>#N/A</v>
      </c>
      <c r="Q489" s="48">
        <v>1</v>
      </c>
      <c r="R489" s="75" t="e">
        <f>VLOOKUP(G489,Input!C:H,5,FALSE)</f>
        <v>#N/A</v>
      </c>
      <c r="T489" s="47">
        <v>1</v>
      </c>
      <c r="U489" s="47" t="str">
        <f t="shared" si="7"/>
        <v>488,488,**,</v>
      </c>
      <c r="AC489" s="47">
        <v>488</v>
      </c>
      <c r="AD489" s="47">
        <v>488</v>
      </c>
    </row>
    <row r="490" spans="1:30" ht="15.75">
      <c r="A490" s="13" t="str">
        <f>IFERROR(VLOOKUP($G:$G,scan!$A:$B,2,0),"**")</f>
        <v>**</v>
      </c>
      <c r="B490" s="13" t="str">
        <f>IFERROR(VLOOKUP($G490,scan!A:C,3,0),"**")</f>
        <v>**</v>
      </c>
      <c r="C490" s="47">
        <v>489</v>
      </c>
      <c r="F490" s="78"/>
      <c r="G490" s="2"/>
      <c r="H490" s="47" t="s">
        <v>4926</v>
      </c>
      <c r="I490" s="43">
        <v>6042070338</v>
      </c>
      <c r="J490" s="43" t="s">
        <v>4927</v>
      </c>
      <c r="K490" s="47" t="s">
        <v>4928</v>
      </c>
      <c r="L490" s="67" t="e">
        <f>VLOOKUP(G490,Input!C:Q,12,FALSE)</f>
        <v>#N/A</v>
      </c>
      <c r="M490" s="68" t="e">
        <f>VLOOKUP(G490,Input!C:Q,15,FALSE)</f>
        <v>#N/A</v>
      </c>
      <c r="N490" s="69" t="e">
        <f>VLOOKUP(G490,Input!C:Q,14,FALSE)</f>
        <v>#N/A</v>
      </c>
      <c r="Q490" s="48">
        <v>1</v>
      </c>
      <c r="R490" s="75" t="e">
        <f>VLOOKUP(G490,Input!C:H,5,FALSE)</f>
        <v>#N/A</v>
      </c>
      <c r="T490" s="47">
        <v>1</v>
      </c>
      <c r="U490" s="47" t="str">
        <f t="shared" si="7"/>
        <v>489,489,**,</v>
      </c>
      <c r="AC490" s="47">
        <v>489</v>
      </c>
      <c r="AD490" s="47">
        <v>489</v>
      </c>
    </row>
    <row r="491" spans="1:30" ht="15.75">
      <c r="A491" s="13" t="str">
        <f>IFERROR(VLOOKUP($G:$G,scan!$A:$B,2,0),"**")</f>
        <v>**</v>
      </c>
      <c r="B491" s="13" t="str">
        <f>IFERROR(VLOOKUP($G491,scan!A:C,3,0),"**")</f>
        <v>**</v>
      </c>
      <c r="C491" s="47">
        <v>490</v>
      </c>
      <c r="F491" s="78"/>
      <c r="G491" s="2"/>
      <c r="H491" s="47" t="s">
        <v>4926</v>
      </c>
      <c r="I491" s="43">
        <v>6042070338</v>
      </c>
      <c r="J491" s="43" t="s">
        <v>4927</v>
      </c>
      <c r="K491" s="47" t="s">
        <v>4928</v>
      </c>
      <c r="L491" s="67" t="e">
        <f>VLOOKUP(G491,Input!C:Q,12,FALSE)</f>
        <v>#N/A</v>
      </c>
      <c r="M491" s="68" t="e">
        <f>VLOOKUP(G491,Input!C:Q,15,FALSE)</f>
        <v>#N/A</v>
      </c>
      <c r="N491" s="69" t="e">
        <f>VLOOKUP(G491,Input!C:Q,14,FALSE)</f>
        <v>#N/A</v>
      </c>
      <c r="Q491" s="48">
        <v>1</v>
      </c>
      <c r="R491" s="75" t="e">
        <f>VLOOKUP(G491,Input!C:H,5,FALSE)</f>
        <v>#N/A</v>
      </c>
      <c r="T491" s="47">
        <v>1</v>
      </c>
      <c r="U491" s="47" t="str">
        <f t="shared" si="7"/>
        <v>490,490,**,</v>
      </c>
      <c r="AC491" s="47">
        <v>490</v>
      </c>
      <c r="AD491" s="47">
        <v>490</v>
      </c>
    </row>
    <row r="492" spans="1:30" ht="15.75">
      <c r="A492" s="13" t="str">
        <f>IFERROR(VLOOKUP($G:$G,scan!$A:$B,2,0),"**")</f>
        <v>**</v>
      </c>
      <c r="B492" s="13" t="str">
        <f>IFERROR(VLOOKUP($G492,scan!A:C,3,0),"**")</f>
        <v>**</v>
      </c>
      <c r="C492" s="47">
        <v>491</v>
      </c>
      <c r="F492" s="78"/>
      <c r="G492" s="2"/>
      <c r="H492" s="47" t="s">
        <v>4926</v>
      </c>
      <c r="I492" s="43">
        <v>6042070338</v>
      </c>
      <c r="J492" s="43" t="s">
        <v>4927</v>
      </c>
      <c r="K492" s="47" t="s">
        <v>4928</v>
      </c>
      <c r="L492" s="67" t="e">
        <f>VLOOKUP(G492,Input!C:Q,12,FALSE)</f>
        <v>#N/A</v>
      </c>
      <c r="M492" s="68" t="e">
        <f>VLOOKUP(G492,Input!C:Q,15,FALSE)</f>
        <v>#N/A</v>
      </c>
      <c r="N492" s="69" t="e">
        <f>VLOOKUP(G492,Input!C:Q,14,FALSE)</f>
        <v>#N/A</v>
      </c>
      <c r="Q492" s="48">
        <v>1</v>
      </c>
      <c r="R492" s="75" t="e">
        <f>VLOOKUP(G492,Input!C:H,5,FALSE)</f>
        <v>#N/A</v>
      </c>
      <c r="T492" s="47">
        <v>1</v>
      </c>
      <c r="U492" s="47" t="str">
        <f t="shared" si="7"/>
        <v>491,491,**,</v>
      </c>
      <c r="AC492" s="47">
        <v>491</v>
      </c>
      <c r="AD492" s="47">
        <v>491</v>
      </c>
    </row>
    <row r="493" spans="1:30" ht="15.75">
      <c r="A493" s="13" t="str">
        <f>IFERROR(VLOOKUP($G:$G,scan!$A:$B,2,0),"**")</f>
        <v>**</v>
      </c>
      <c r="B493" s="13" t="str">
        <f>IFERROR(VLOOKUP($G493,scan!A:C,3,0),"**")</f>
        <v>**</v>
      </c>
      <c r="C493" s="47">
        <v>492</v>
      </c>
      <c r="F493" s="78"/>
      <c r="G493" s="2"/>
      <c r="H493" s="47" t="s">
        <v>4926</v>
      </c>
      <c r="I493" s="43">
        <v>6042070338</v>
      </c>
      <c r="J493" s="43" t="s">
        <v>4927</v>
      </c>
      <c r="K493" s="47" t="s">
        <v>4928</v>
      </c>
      <c r="L493" s="67" t="e">
        <f>VLOOKUP(G493,Input!C:Q,12,FALSE)</f>
        <v>#N/A</v>
      </c>
      <c r="M493" s="68" t="e">
        <f>VLOOKUP(G493,Input!C:Q,15,FALSE)</f>
        <v>#N/A</v>
      </c>
      <c r="N493" s="69" t="e">
        <f>VLOOKUP(G493,Input!C:Q,14,FALSE)</f>
        <v>#N/A</v>
      </c>
      <c r="Q493" s="48">
        <v>1</v>
      </c>
      <c r="R493" s="75" t="e">
        <f>VLOOKUP(G493,Input!C:H,5,FALSE)</f>
        <v>#N/A</v>
      </c>
      <c r="T493" s="47">
        <v>1</v>
      </c>
      <c r="U493" s="47" t="str">
        <f t="shared" si="7"/>
        <v>492,492,**,</v>
      </c>
      <c r="AC493" s="47">
        <v>492</v>
      </c>
      <c r="AD493" s="47">
        <v>492</v>
      </c>
    </row>
    <row r="494" spans="1:30" ht="15.75">
      <c r="A494" s="13" t="str">
        <f>IFERROR(VLOOKUP($G:$G,scan!$A:$B,2,0),"**")</f>
        <v>**</v>
      </c>
      <c r="B494" s="13" t="str">
        <f>IFERROR(VLOOKUP($G494,scan!A:C,3,0),"**")</f>
        <v>**</v>
      </c>
      <c r="C494" s="47">
        <v>493</v>
      </c>
      <c r="F494" s="78"/>
      <c r="G494" s="2"/>
      <c r="H494" s="47" t="s">
        <v>4926</v>
      </c>
      <c r="I494" s="43">
        <v>6042070338</v>
      </c>
      <c r="J494" s="43" t="s">
        <v>4927</v>
      </c>
      <c r="K494" s="47" t="s">
        <v>4928</v>
      </c>
      <c r="L494" s="67" t="e">
        <f>VLOOKUP(G494,Input!C:Q,12,FALSE)</f>
        <v>#N/A</v>
      </c>
      <c r="M494" s="68" t="e">
        <f>VLOOKUP(G494,Input!C:Q,15,FALSE)</f>
        <v>#N/A</v>
      </c>
      <c r="N494" s="69" t="e">
        <f>VLOOKUP(G494,Input!C:Q,14,FALSE)</f>
        <v>#N/A</v>
      </c>
      <c r="Q494" s="48">
        <v>1</v>
      </c>
      <c r="R494" s="75" t="e">
        <f>VLOOKUP(G494,Input!C:H,5,FALSE)</f>
        <v>#N/A</v>
      </c>
      <c r="T494" s="47">
        <v>1</v>
      </c>
      <c r="U494" s="47" t="str">
        <f t="shared" si="7"/>
        <v>493,493,**,</v>
      </c>
      <c r="AC494" s="47">
        <v>493</v>
      </c>
      <c r="AD494" s="47">
        <v>493</v>
      </c>
    </row>
    <row r="495" spans="1:30" ht="15.75">
      <c r="A495" s="13" t="str">
        <f>IFERROR(VLOOKUP($G:$G,scan!$A:$B,2,0),"**")</f>
        <v>**</v>
      </c>
      <c r="B495" s="13" t="str">
        <f>IFERROR(VLOOKUP($G495,scan!A:C,3,0),"**")</f>
        <v>**</v>
      </c>
      <c r="C495" s="47">
        <v>494</v>
      </c>
      <c r="F495" s="78"/>
      <c r="G495" s="2"/>
      <c r="H495" s="47" t="s">
        <v>4926</v>
      </c>
      <c r="I495" s="43">
        <v>6042070338</v>
      </c>
      <c r="J495" s="43" t="s">
        <v>4927</v>
      </c>
      <c r="K495" s="47" t="s">
        <v>4928</v>
      </c>
      <c r="L495" s="67" t="e">
        <f>VLOOKUP(G495,Input!C:Q,12,FALSE)</f>
        <v>#N/A</v>
      </c>
      <c r="M495" s="68" t="e">
        <f>VLOOKUP(G495,Input!C:Q,15,FALSE)</f>
        <v>#N/A</v>
      </c>
      <c r="N495" s="69" t="e">
        <f>VLOOKUP(G495,Input!C:Q,14,FALSE)</f>
        <v>#N/A</v>
      </c>
      <c r="Q495" s="48">
        <v>1</v>
      </c>
      <c r="R495" s="75" t="e">
        <f>VLOOKUP(G495,Input!C:H,5,FALSE)</f>
        <v>#N/A</v>
      </c>
      <c r="T495" s="47">
        <v>1</v>
      </c>
      <c r="U495" s="47" t="str">
        <f t="shared" si="7"/>
        <v>494,494,**,</v>
      </c>
      <c r="AC495" s="47">
        <v>494</v>
      </c>
      <c r="AD495" s="47">
        <v>494</v>
      </c>
    </row>
    <row r="496" spans="1:30" ht="15.75">
      <c r="A496" s="13" t="str">
        <f>IFERROR(VLOOKUP($G:$G,scan!$A:$B,2,0),"**")</f>
        <v>**</v>
      </c>
      <c r="B496" s="13" t="str">
        <f>IFERROR(VLOOKUP($G496,scan!A:C,3,0),"**")</f>
        <v>**</v>
      </c>
      <c r="C496" s="47">
        <v>495</v>
      </c>
      <c r="F496" s="78"/>
      <c r="G496" s="2"/>
      <c r="H496" s="47" t="s">
        <v>4926</v>
      </c>
      <c r="I496" s="43">
        <v>6042070338</v>
      </c>
      <c r="J496" s="43" t="s">
        <v>4927</v>
      </c>
      <c r="K496" s="47" t="s">
        <v>4928</v>
      </c>
      <c r="L496" s="67" t="e">
        <f>VLOOKUP(G496,Input!C:Q,12,FALSE)</f>
        <v>#N/A</v>
      </c>
      <c r="M496" s="68" t="e">
        <f>VLOOKUP(G496,Input!C:Q,15,FALSE)</f>
        <v>#N/A</v>
      </c>
      <c r="N496" s="69" t="e">
        <f>VLOOKUP(G496,Input!C:Q,14,FALSE)</f>
        <v>#N/A</v>
      </c>
      <c r="Q496" s="48">
        <v>1</v>
      </c>
      <c r="R496" s="75" t="e">
        <f>VLOOKUP(G496,Input!C:H,5,FALSE)</f>
        <v>#N/A</v>
      </c>
      <c r="T496" s="47">
        <v>1</v>
      </c>
      <c r="U496" s="47" t="str">
        <f t="shared" si="7"/>
        <v>495,495,**,</v>
      </c>
      <c r="AC496" s="47">
        <v>495</v>
      </c>
      <c r="AD496" s="47">
        <v>495</v>
      </c>
    </row>
    <row r="497" spans="1:30" ht="15.75">
      <c r="A497" s="13" t="str">
        <f>IFERROR(VLOOKUP($G:$G,scan!$A:$B,2,0),"**")</f>
        <v>**</v>
      </c>
      <c r="B497" s="13" t="str">
        <f>IFERROR(VLOOKUP($G497,scan!A:C,3,0),"**")</f>
        <v>**</v>
      </c>
      <c r="C497" s="47">
        <v>496</v>
      </c>
      <c r="F497" s="78"/>
      <c r="G497" s="2"/>
      <c r="H497" s="47" t="s">
        <v>4926</v>
      </c>
      <c r="I497" s="43">
        <v>6042070338</v>
      </c>
      <c r="J497" s="43" t="s">
        <v>4927</v>
      </c>
      <c r="K497" s="47" t="s">
        <v>4928</v>
      </c>
      <c r="L497" s="67" t="e">
        <f>VLOOKUP(G497,Input!C:Q,12,FALSE)</f>
        <v>#N/A</v>
      </c>
      <c r="M497" s="68" t="e">
        <f>VLOOKUP(G497,Input!C:Q,15,FALSE)</f>
        <v>#N/A</v>
      </c>
      <c r="N497" s="69" t="e">
        <f>VLOOKUP(G497,Input!C:Q,14,FALSE)</f>
        <v>#N/A</v>
      </c>
      <c r="Q497" s="48">
        <v>1</v>
      </c>
      <c r="R497" s="75" t="e">
        <f>VLOOKUP(G497,Input!C:H,5,FALSE)</f>
        <v>#N/A</v>
      </c>
      <c r="T497" s="47">
        <v>1</v>
      </c>
      <c r="U497" s="47" t="str">
        <f t="shared" si="7"/>
        <v>496,496,**,</v>
      </c>
      <c r="AC497" s="47">
        <v>496</v>
      </c>
      <c r="AD497" s="47">
        <v>496</v>
      </c>
    </row>
    <row r="498" spans="1:30" ht="15.75">
      <c r="A498" s="13" t="str">
        <f>IFERROR(VLOOKUP($G:$G,scan!$A:$B,2,0),"**")</f>
        <v>**</v>
      </c>
      <c r="B498" s="13" t="str">
        <f>IFERROR(VLOOKUP($G498,scan!A:C,3,0),"**")</f>
        <v>**</v>
      </c>
      <c r="C498" s="47">
        <v>497</v>
      </c>
      <c r="F498" s="78"/>
      <c r="G498" s="2"/>
      <c r="H498" s="47" t="s">
        <v>4926</v>
      </c>
      <c r="I498" s="43">
        <v>6042070338</v>
      </c>
      <c r="J498" s="43" t="s">
        <v>4927</v>
      </c>
      <c r="K498" s="47" t="s">
        <v>4928</v>
      </c>
      <c r="L498" s="67" t="e">
        <f>VLOOKUP(G498,Input!C:Q,12,FALSE)</f>
        <v>#N/A</v>
      </c>
      <c r="M498" s="68" t="e">
        <f>VLOOKUP(G498,Input!C:Q,15,FALSE)</f>
        <v>#N/A</v>
      </c>
      <c r="N498" s="69" t="e">
        <f>VLOOKUP(G498,Input!C:Q,14,FALSE)</f>
        <v>#N/A</v>
      </c>
      <c r="Q498" s="48">
        <v>1</v>
      </c>
      <c r="R498" s="75" t="e">
        <f>VLOOKUP(G498,Input!C:H,5,FALSE)</f>
        <v>#N/A</v>
      </c>
      <c r="T498" s="47">
        <v>1</v>
      </c>
      <c r="U498" s="47" t="str">
        <f t="shared" si="7"/>
        <v>497,497,**,</v>
      </c>
      <c r="AC498" s="47">
        <v>497</v>
      </c>
      <c r="AD498" s="47">
        <v>497</v>
      </c>
    </row>
    <row r="499" spans="1:30" ht="15.75">
      <c r="A499" s="13" t="str">
        <f>IFERROR(VLOOKUP($G:$G,scan!$A:$B,2,0),"**")</f>
        <v>**</v>
      </c>
      <c r="B499" s="13" t="str">
        <f>IFERROR(VLOOKUP($G499,scan!A:C,3,0),"**")</f>
        <v>**</v>
      </c>
      <c r="C499" s="47">
        <v>498</v>
      </c>
      <c r="F499" s="78"/>
      <c r="G499" s="2"/>
      <c r="H499" s="47" t="s">
        <v>4926</v>
      </c>
      <c r="I499" s="43">
        <v>6042070338</v>
      </c>
      <c r="J499" s="43" t="s">
        <v>4927</v>
      </c>
      <c r="K499" s="47" t="s">
        <v>4928</v>
      </c>
      <c r="L499" s="67" t="e">
        <f>VLOOKUP(G499,Input!C:Q,12,FALSE)</f>
        <v>#N/A</v>
      </c>
      <c r="M499" s="68" t="e">
        <f>VLOOKUP(G499,Input!C:Q,15,FALSE)</f>
        <v>#N/A</v>
      </c>
      <c r="N499" s="69" t="e">
        <f>VLOOKUP(G499,Input!C:Q,14,FALSE)</f>
        <v>#N/A</v>
      </c>
      <c r="Q499" s="48">
        <v>1</v>
      </c>
      <c r="R499" s="75" t="e">
        <f>VLOOKUP(G499,Input!C:H,5,FALSE)</f>
        <v>#N/A</v>
      </c>
      <c r="T499" s="47">
        <v>1</v>
      </c>
      <c r="U499" s="47" t="str">
        <f t="shared" si="7"/>
        <v>498,498,**,</v>
      </c>
      <c r="AC499" s="47">
        <v>498</v>
      </c>
      <c r="AD499" s="47">
        <v>498</v>
      </c>
    </row>
    <row r="500" spans="1:30" ht="15.75">
      <c r="A500" s="13" t="str">
        <f>IFERROR(VLOOKUP($G:$G,scan!$A:$B,2,0),"**")</f>
        <v>**</v>
      </c>
      <c r="B500" s="13" t="str">
        <f>IFERROR(VLOOKUP($G500,scan!A:C,3,0),"**")</f>
        <v>**</v>
      </c>
      <c r="C500" s="47">
        <v>499</v>
      </c>
      <c r="F500" s="78"/>
      <c r="G500" s="2"/>
      <c r="H500" s="47" t="s">
        <v>4926</v>
      </c>
      <c r="I500" s="43">
        <v>6042070338</v>
      </c>
      <c r="J500" s="43" t="s">
        <v>4927</v>
      </c>
      <c r="K500" s="47" t="s">
        <v>4928</v>
      </c>
      <c r="L500" s="67" t="e">
        <f>VLOOKUP(G500,Input!C:Q,12,FALSE)</f>
        <v>#N/A</v>
      </c>
      <c r="M500" s="68" t="e">
        <f>VLOOKUP(G500,Input!C:Q,15,FALSE)</f>
        <v>#N/A</v>
      </c>
      <c r="N500" s="69" t="e">
        <f>VLOOKUP(G500,Input!C:Q,14,FALSE)</f>
        <v>#N/A</v>
      </c>
      <c r="Q500" s="48">
        <v>1</v>
      </c>
      <c r="R500" s="75" t="e">
        <f>VLOOKUP(G500,Input!C:H,5,FALSE)</f>
        <v>#N/A</v>
      </c>
      <c r="T500" s="47">
        <v>1</v>
      </c>
      <c r="U500" s="47" t="str">
        <f t="shared" si="7"/>
        <v>499,499,**,</v>
      </c>
      <c r="AC500" s="47">
        <v>499</v>
      </c>
      <c r="AD500" s="47">
        <v>499</v>
      </c>
    </row>
    <row r="501" spans="1:30" ht="15.75">
      <c r="A501" s="13" t="str">
        <f>IFERROR(VLOOKUP($G:$G,scan!$A:$B,2,0),"**")</f>
        <v>**</v>
      </c>
      <c r="B501" s="13" t="str">
        <f>IFERROR(VLOOKUP($G501,scan!A:C,3,0),"**")</f>
        <v>**</v>
      </c>
      <c r="C501" s="47">
        <v>500</v>
      </c>
      <c r="F501" s="78"/>
      <c r="G501" s="2"/>
      <c r="H501" s="47" t="s">
        <v>4926</v>
      </c>
      <c r="I501" s="43">
        <v>6042070338</v>
      </c>
      <c r="J501" s="43" t="s">
        <v>4927</v>
      </c>
      <c r="K501" s="47" t="s">
        <v>4928</v>
      </c>
      <c r="L501" s="67" t="e">
        <f>VLOOKUP(G501,Input!C:Q,12,FALSE)</f>
        <v>#N/A</v>
      </c>
      <c r="M501" s="68" t="e">
        <f>VLOOKUP(G501,Input!C:Q,15,FALSE)</f>
        <v>#N/A</v>
      </c>
      <c r="N501" s="69" t="e">
        <f>VLOOKUP(G501,Input!C:Q,14,FALSE)</f>
        <v>#N/A</v>
      </c>
      <c r="Q501" s="48">
        <v>1</v>
      </c>
      <c r="R501" s="75" t="e">
        <f>VLOOKUP(G501,Input!C:H,5,FALSE)</f>
        <v>#N/A</v>
      </c>
      <c r="T501" s="47">
        <v>1</v>
      </c>
      <c r="U501" s="47" t="str">
        <f t="shared" si="7"/>
        <v>500,500,**,</v>
      </c>
      <c r="AC501" s="47">
        <v>500</v>
      </c>
      <c r="AD501" s="47">
        <v>500</v>
      </c>
    </row>
    <row r="502" spans="1:30" ht="15.75">
      <c r="A502" s="13" t="str">
        <f>IFERROR(VLOOKUP($G:$G,scan!$A:$B,2,0),"**")</f>
        <v>**</v>
      </c>
      <c r="B502" s="13" t="str">
        <f>IFERROR(VLOOKUP($G502,scan!A:C,3,0),"**")</f>
        <v>**</v>
      </c>
      <c r="C502" s="47">
        <v>501</v>
      </c>
      <c r="F502" s="78"/>
      <c r="G502" s="2"/>
      <c r="H502" s="47" t="s">
        <v>4926</v>
      </c>
      <c r="I502" s="43">
        <v>6042070338</v>
      </c>
      <c r="J502" s="43" t="s">
        <v>4927</v>
      </c>
      <c r="K502" s="47" t="s">
        <v>4928</v>
      </c>
      <c r="L502" s="67" t="e">
        <f>VLOOKUP(G502,Input!C:Q,12,FALSE)</f>
        <v>#N/A</v>
      </c>
      <c r="M502" s="68" t="e">
        <f>VLOOKUP(G502,Input!C:Q,15,FALSE)</f>
        <v>#N/A</v>
      </c>
      <c r="N502" s="69" t="e">
        <f>VLOOKUP(G502,Input!C:Q,14,FALSE)</f>
        <v>#N/A</v>
      </c>
      <c r="Q502" s="48">
        <v>1</v>
      </c>
      <c r="R502" s="75" t="e">
        <f>VLOOKUP(G502,Input!C:H,5,FALSE)</f>
        <v>#N/A</v>
      </c>
      <c r="T502" s="47">
        <v>1</v>
      </c>
      <c r="U502" s="47" t="str">
        <f t="shared" si="7"/>
        <v>501,501,**,</v>
      </c>
      <c r="AC502" s="47">
        <v>501</v>
      </c>
      <c r="AD502" s="47">
        <v>501</v>
      </c>
    </row>
    <row r="503" spans="1:30" ht="15.75">
      <c r="A503" s="13" t="str">
        <f>IFERROR(VLOOKUP($G:$G,scan!$A:$B,2,0),"**")</f>
        <v>**</v>
      </c>
      <c r="B503" s="13" t="str">
        <f>IFERROR(VLOOKUP($G503,scan!A:C,3,0),"**")</f>
        <v>**</v>
      </c>
      <c r="C503" s="47">
        <v>502</v>
      </c>
      <c r="F503" s="78"/>
      <c r="G503" s="2"/>
      <c r="H503" s="47" t="s">
        <v>4926</v>
      </c>
      <c r="I503" s="43">
        <v>6042070338</v>
      </c>
      <c r="J503" s="43" t="s">
        <v>4927</v>
      </c>
      <c r="K503" s="47" t="s">
        <v>4928</v>
      </c>
      <c r="L503" s="67" t="e">
        <f>VLOOKUP(G503,Input!C:Q,12,FALSE)</f>
        <v>#N/A</v>
      </c>
      <c r="M503" s="68" t="e">
        <f>VLOOKUP(G503,Input!C:Q,15,FALSE)</f>
        <v>#N/A</v>
      </c>
      <c r="N503" s="69" t="e">
        <f>VLOOKUP(G503,Input!C:Q,14,FALSE)</f>
        <v>#N/A</v>
      </c>
      <c r="Q503" s="48">
        <v>1</v>
      </c>
      <c r="R503" s="75" t="e">
        <f>VLOOKUP(G503,Input!C:H,5,FALSE)</f>
        <v>#N/A</v>
      </c>
      <c r="T503" s="47">
        <v>1</v>
      </c>
      <c r="U503" s="47" t="str">
        <f t="shared" si="7"/>
        <v>502,502,**,</v>
      </c>
      <c r="AC503" s="47">
        <v>502</v>
      </c>
      <c r="AD503" s="47">
        <v>502</v>
      </c>
    </row>
    <row r="504" spans="1:30" ht="15.75">
      <c r="A504" s="13" t="str">
        <f>IFERROR(VLOOKUP($G:$G,scan!$A:$B,2,0),"**")</f>
        <v>**</v>
      </c>
      <c r="B504" s="13" t="str">
        <f>IFERROR(VLOOKUP($G504,scan!A:C,3,0),"**")</f>
        <v>**</v>
      </c>
      <c r="C504" s="47">
        <v>503</v>
      </c>
      <c r="F504" s="78"/>
      <c r="G504" s="2"/>
      <c r="H504" s="47" t="s">
        <v>4926</v>
      </c>
      <c r="I504" s="43">
        <v>6042070338</v>
      </c>
      <c r="J504" s="43" t="s">
        <v>4927</v>
      </c>
      <c r="K504" s="47" t="s">
        <v>4928</v>
      </c>
      <c r="L504" s="67" t="e">
        <f>VLOOKUP(G504,Input!C:Q,12,FALSE)</f>
        <v>#N/A</v>
      </c>
      <c r="M504" s="68" t="e">
        <f>VLOOKUP(G504,Input!C:Q,15,FALSE)</f>
        <v>#N/A</v>
      </c>
      <c r="N504" s="69" t="e">
        <f>VLOOKUP(G504,Input!C:Q,14,FALSE)</f>
        <v>#N/A</v>
      </c>
      <c r="Q504" s="48">
        <v>1</v>
      </c>
      <c r="R504" s="75" t="e">
        <f>VLOOKUP(G504,Input!C:H,5,FALSE)</f>
        <v>#N/A</v>
      </c>
      <c r="T504" s="47">
        <v>1</v>
      </c>
      <c r="U504" s="47" t="str">
        <f t="shared" ref="U504:U567" si="8">CONCATENATE(AC504,",",C504,",",B504,",",G504)</f>
        <v>503,503,**,</v>
      </c>
      <c r="AC504" s="47">
        <v>503</v>
      </c>
      <c r="AD504" s="47">
        <v>503</v>
      </c>
    </row>
    <row r="505" spans="1:30" ht="15.75">
      <c r="A505" s="13" t="str">
        <f>IFERROR(VLOOKUP($G:$G,scan!$A:$B,2,0),"**")</f>
        <v>**</v>
      </c>
      <c r="B505" s="13" t="str">
        <f>IFERROR(VLOOKUP($G505,scan!A:C,3,0),"**")</f>
        <v>**</v>
      </c>
      <c r="C505" s="47">
        <v>504</v>
      </c>
      <c r="F505" s="78"/>
      <c r="G505" s="2"/>
      <c r="H505" s="47" t="s">
        <v>4926</v>
      </c>
      <c r="I505" s="43">
        <v>6042070338</v>
      </c>
      <c r="J505" s="43" t="s">
        <v>4927</v>
      </c>
      <c r="K505" s="47" t="s">
        <v>4928</v>
      </c>
      <c r="L505" s="67" t="e">
        <f>VLOOKUP(G505,Input!C:Q,12,FALSE)</f>
        <v>#N/A</v>
      </c>
      <c r="M505" s="68" t="e">
        <f>VLOOKUP(G505,Input!C:Q,15,FALSE)</f>
        <v>#N/A</v>
      </c>
      <c r="N505" s="69" t="e">
        <f>VLOOKUP(G505,Input!C:Q,14,FALSE)</f>
        <v>#N/A</v>
      </c>
      <c r="Q505" s="48">
        <v>1</v>
      </c>
      <c r="R505" s="75" t="e">
        <f>VLOOKUP(G505,Input!C:H,5,FALSE)</f>
        <v>#N/A</v>
      </c>
      <c r="T505" s="47">
        <v>1</v>
      </c>
      <c r="U505" s="47" t="str">
        <f t="shared" si="8"/>
        <v>504,504,**,</v>
      </c>
      <c r="AC505" s="47">
        <v>504</v>
      </c>
      <c r="AD505" s="47">
        <v>504</v>
      </c>
    </row>
    <row r="506" spans="1:30" ht="15.75">
      <c r="A506" s="13" t="str">
        <f>IFERROR(VLOOKUP($G:$G,scan!$A:$B,2,0),"**")</f>
        <v>**</v>
      </c>
      <c r="B506" s="13" t="str">
        <f>IFERROR(VLOOKUP($G506,scan!A:C,3,0),"**")</f>
        <v>**</v>
      </c>
      <c r="C506" s="47">
        <v>505</v>
      </c>
      <c r="F506" s="78"/>
      <c r="G506" s="2"/>
      <c r="H506" s="47" t="s">
        <v>4926</v>
      </c>
      <c r="I506" s="43">
        <v>6042070338</v>
      </c>
      <c r="J506" s="43" t="s">
        <v>4927</v>
      </c>
      <c r="K506" s="47" t="s">
        <v>4928</v>
      </c>
      <c r="L506" s="67" t="e">
        <f>VLOOKUP(G506,Input!C:Q,12,FALSE)</f>
        <v>#N/A</v>
      </c>
      <c r="M506" s="68" t="e">
        <f>VLOOKUP(G506,Input!C:Q,15,FALSE)</f>
        <v>#N/A</v>
      </c>
      <c r="N506" s="69" t="e">
        <f>VLOOKUP(G506,Input!C:Q,14,FALSE)</f>
        <v>#N/A</v>
      </c>
      <c r="Q506" s="48">
        <v>1</v>
      </c>
      <c r="R506" s="75" t="e">
        <f>VLOOKUP(G506,Input!C:H,5,FALSE)</f>
        <v>#N/A</v>
      </c>
      <c r="T506" s="47">
        <v>1</v>
      </c>
      <c r="U506" s="47" t="str">
        <f t="shared" si="8"/>
        <v>505,505,**,</v>
      </c>
      <c r="AC506" s="47">
        <v>505</v>
      </c>
      <c r="AD506" s="47">
        <v>505</v>
      </c>
    </row>
    <row r="507" spans="1:30" ht="15.75">
      <c r="A507" s="13" t="str">
        <f>IFERROR(VLOOKUP($G:$G,scan!$A:$B,2,0),"**")</f>
        <v>**</v>
      </c>
      <c r="B507" s="13" t="str">
        <f>IFERROR(VLOOKUP($G507,scan!A:C,3,0),"**")</f>
        <v>**</v>
      </c>
      <c r="C507" s="47">
        <v>506</v>
      </c>
      <c r="F507" s="78"/>
      <c r="G507" s="2"/>
      <c r="H507" s="47" t="s">
        <v>4926</v>
      </c>
      <c r="I507" s="43">
        <v>6042070338</v>
      </c>
      <c r="J507" s="43" t="s">
        <v>4927</v>
      </c>
      <c r="K507" s="47" t="s">
        <v>4928</v>
      </c>
      <c r="L507" s="67" t="e">
        <f>VLOOKUP(G507,Input!C:Q,12,FALSE)</f>
        <v>#N/A</v>
      </c>
      <c r="M507" s="68" t="e">
        <f>VLOOKUP(G507,Input!C:Q,15,FALSE)</f>
        <v>#N/A</v>
      </c>
      <c r="N507" s="69" t="e">
        <f>VLOOKUP(G507,Input!C:Q,14,FALSE)</f>
        <v>#N/A</v>
      </c>
      <c r="Q507" s="48">
        <v>1</v>
      </c>
      <c r="R507" s="75" t="e">
        <f>VLOOKUP(G507,Input!C:H,5,FALSE)</f>
        <v>#N/A</v>
      </c>
      <c r="T507" s="47">
        <v>1</v>
      </c>
      <c r="U507" s="47" t="str">
        <f t="shared" si="8"/>
        <v>506,506,**,</v>
      </c>
      <c r="AC507" s="47">
        <v>506</v>
      </c>
      <c r="AD507" s="47">
        <v>506</v>
      </c>
    </row>
    <row r="508" spans="1:30" ht="15.75">
      <c r="A508" s="13" t="str">
        <f>IFERROR(VLOOKUP($G:$G,scan!$A:$B,2,0),"**")</f>
        <v>**</v>
      </c>
      <c r="B508" s="13" t="str">
        <f>IFERROR(VLOOKUP($G508,scan!A:C,3,0),"**")</f>
        <v>**</v>
      </c>
      <c r="C508" s="47">
        <v>507</v>
      </c>
      <c r="F508" s="78"/>
      <c r="G508" s="2"/>
      <c r="H508" s="47" t="s">
        <v>4926</v>
      </c>
      <c r="I508" s="43">
        <v>6042070338</v>
      </c>
      <c r="J508" s="43" t="s">
        <v>4927</v>
      </c>
      <c r="K508" s="47" t="s">
        <v>4928</v>
      </c>
      <c r="L508" s="67" t="e">
        <f>VLOOKUP(G508,Input!C:Q,12,FALSE)</f>
        <v>#N/A</v>
      </c>
      <c r="M508" s="68" t="e">
        <f>VLOOKUP(G508,Input!C:Q,15,FALSE)</f>
        <v>#N/A</v>
      </c>
      <c r="N508" s="69" t="e">
        <f>VLOOKUP(G508,Input!C:Q,14,FALSE)</f>
        <v>#N/A</v>
      </c>
      <c r="Q508" s="48">
        <v>1</v>
      </c>
      <c r="R508" s="75" t="e">
        <f>VLOOKUP(G508,Input!C:H,5,FALSE)</f>
        <v>#N/A</v>
      </c>
      <c r="T508" s="47">
        <v>1</v>
      </c>
      <c r="U508" s="47" t="str">
        <f t="shared" si="8"/>
        <v>507,507,**,</v>
      </c>
      <c r="AC508" s="47">
        <v>507</v>
      </c>
      <c r="AD508" s="47">
        <v>507</v>
      </c>
    </row>
    <row r="509" spans="1:30" ht="15.75">
      <c r="A509" s="13" t="str">
        <f>IFERROR(VLOOKUP($G:$G,scan!$A:$B,2,0),"**")</f>
        <v>**</v>
      </c>
      <c r="B509" s="13" t="str">
        <f>IFERROR(VLOOKUP($G509,scan!A:C,3,0),"**")</f>
        <v>**</v>
      </c>
      <c r="C509" s="47">
        <v>508</v>
      </c>
      <c r="F509" s="78"/>
      <c r="G509" s="2"/>
      <c r="H509" s="47" t="s">
        <v>4926</v>
      </c>
      <c r="I509" s="43">
        <v>6042070338</v>
      </c>
      <c r="J509" s="43" t="s">
        <v>4927</v>
      </c>
      <c r="K509" s="47" t="s">
        <v>4928</v>
      </c>
      <c r="L509" s="67" t="e">
        <f>VLOOKUP(G509,Input!C:Q,12,FALSE)</f>
        <v>#N/A</v>
      </c>
      <c r="M509" s="68" t="e">
        <f>VLOOKUP(G509,Input!C:Q,15,FALSE)</f>
        <v>#N/A</v>
      </c>
      <c r="N509" s="69" t="e">
        <f>VLOOKUP(G509,Input!C:Q,14,FALSE)</f>
        <v>#N/A</v>
      </c>
      <c r="Q509" s="48">
        <v>1</v>
      </c>
      <c r="R509" s="75" t="e">
        <f>VLOOKUP(G509,Input!C:H,5,FALSE)</f>
        <v>#N/A</v>
      </c>
      <c r="T509" s="47">
        <v>1</v>
      </c>
      <c r="U509" s="47" t="str">
        <f t="shared" si="8"/>
        <v>508,508,**,</v>
      </c>
      <c r="AC509" s="47">
        <v>508</v>
      </c>
      <c r="AD509" s="47">
        <v>508</v>
      </c>
    </row>
    <row r="510" spans="1:30" ht="15.75">
      <c r="A510" s="13" t="str">
        <f>IFERROR(VLOOKUP($G:$G,scan!$A:$B,2,0),"**")</f>
        <v>**</v>
      </c>
      <c r="B510" s="13" t="str">
        <f>IFERROR(VLOOKUP($G510,scan!A:C,3,0),"**")</f>
        <v>**</v>
      </c>
      <c r="C510" s="47">
        <v>509</v>
      </c>
      <c r="F510" s="78"/>
      <c r="G510" s="2"/>
      <c r="H510" s="47" t="s">
        <v>4926</v>
      </c>
      <c r="I510" s="43">
        <v>6042070338</v>
      </c>
      <c r="J510" s="43" t="s">
        <v>4927</v>
      </c>
      <c r="K510" s="47" t="s">
        <v>4928</v>
      </c>
      <c r="L510" s="67" t="e">
        <f>VLOOKUP(G510,Input!C:Q,12,FALSE)</f>
        <v>#N/A</v>
      </c>
      <c r="M510" s="68" t="e">
        <f>VLOOKUP(G510,Input!C:Q,15,FALSE)</f>
        <v>#N/A</v>
      </c>
      <c r="N510" s="69" t="e">
        <f>VLOOKUP(G510,Input!C:Q,14,FALSE)</f>
        <v>#N/A</v>
      </c>
      <c r="Q510" s="48">
        <v>1</v>
      </c>
      <c r="R510" s="75" t="e">
        <f>VLOOKUP(G510,Input!C:H,5,FALSE)</f>
        <v>#N/A</v>
      </c>
      <c r="T510" s="47">
        <v>1</v>
      </c>
      <c r="U510" s="47" t="str">
        <f t="shared" si="8"/>
        <v>509,509,**,</v>
      </c>
      <c r="AC510" s="47">
        <v>509</v>
      </c>
      <c r="AD510" s="47">
        <v>509</v>
      </c>
    </row>
    <row r="511" spans="1:30" ht="15.75">
      <c r="A511" s="13" t="str">
        <f>IFERROR(VLOOKUP($G:$G,scan!$A:$B,2,0),"**")</f>
        <v>**</v>
      </c>
      <c r="B511" s="13" t="str">
        <f>IFERROR(VLOOKUP($G511,scan!A:C,3,0),"**")</f>
        <v>**</v>
      </c>
      <c r="C511" s="47">
        <v>510</v>
      </c>
      <c r="F511" s="78"/>
      <c r="G511" s="2"/>
      <c r="H511" s="47" t="s">
        <v>4926</v>
      </c>
      <c r="I511" s="43">
        <v>6042070338</v>
      </c>
      <c r="J511" s="43" t="s">
        <v>4927</v>
      </c>
      <c r="K511" s="47" t="s">
        <v>4928</v>
      </c>
      <c r="L511" s="67" t="e">
        <f>VLOOKUP(G511,Input!C:Q,12,FALSE)</f>
        <v>#N/A</v>
      </c>
      <c r="M511" s="68" t="e">
        <f>VLOOKUP(G511,Input!C:Q,15,FALSE)</f>
        <v>#N/A</v>
      </c>
      <c r="N511" s="69" t="e">
        <f>VLOOKUP(G511,Input!C:Q,14,FALSE)</f>
        <v>#N/A</v>
      </c>
      <c r="Q511" s="48">
        <v>1</v>
      </c>
      <c r="R511" s="75" t="e">
        <f>VLOOKUP(G511,Input!C:H,5,FALSE)</f>
        <v>#N/A</v>
      </c>
      <c r="T511" s="47">
        <v>1</v>
      </c>
      <c r="U511" s="47" t="str">
        <f t="shared" si="8"/>
        <v>510,510,**,</v>
      </c>
      <c r="AC511" s="47">
        <v>510</v>
      </c>
      <c r="AD511" s="47">
        <v>510</v>
      </c>
    </row>
    <row r="512" spans="1:30" ht="15.75">
      <c r="A512" s="13" t="str">
        <f>IFERROR(VLOOKUP($G:$G,scan!$A:$B,2,0),"**")</f>
        <v>**</v>
      </c>
      <c r="B512" s="13" t="str">
        <f>IFERROR(VLOOKUP($G512,scan!A:C,3,0),"**")</f>
        <v>**</v>
      </c>
      <c r="C512" s="47">
        <v>511</v>
      </c>
      <c r="F512" s="78"/>
      <c r="G512" s="2"/>
      <c r="H512" s="47" t="s">
        <v>4926</v>
      </c>
      <c r="I512" s="43">
        <v>6042070338</v>
      </c>
      <c r="J512" s="43" t="s">
        <v>4927</v>
      </c>
      <c r="K512" s="47" t="s">
        <v>4928</v>
      </c>
      <c r="L512" s="67" t="e">
        <f>VLOOKUP(G512,Input!C:Q,12,FALSE)</f>
        <v>#N/A</v>
      </c>
      <c r="M512" s="68" t="e">
        <f>VLOOKUP(G512,Input!C:Q,15,FALSE)</f>
        <v>#N/A</v>
      </c>
      <c r="N512" s="69" t="e">
        <f>VLOOKUP(G512,Input!C:Q,14,FALSE)</f>
        <v>#N/A</v>
      </c>
      <c r="Q512" s="48">
        <v>1</v>
      </c>
      <c r="R512" s="75" t="e">
        <f>VLOOKUP(G512,Input!C:H,5,FALSE)</f>
        <v>#N/A</v>
      </c>
      <c r="T512" s="47">
        <v>1</v>
      </c>
      <c r="U512" s="47" t="str">
        <f t="shared" si="8"/>
        <v>511,511,**,</v>
      </c>
      <c r="AC512" s="47">
        <v>511</v>
      </c>
      <c r="AD512" s="47">
        <v>511</v>
      </c>
    </row>
    <row r="513" spans="1:30" ht="15.75">
      <c r="A513" s="13" t="str">
        <f>IFERROR(VLOOKUP($G:$G,scan!$A:$B,2,0),"**")</f>
        <v>**</v>
      </c>
      <c r="B513" s="13" t="str">
        <f>IFERROR(VLOOKUP($G513,scan!A:C,3,0),"**")</f>
        <v>**</v>
      </c>
      <c r="C513" s="47">
        <v>512</v>
      </c>
      <c r="F513" s="78"/>
      <c r="G513" s="2"/>
      <c r="H513" s="47" t="s">
        <v>4926</v>
      </c>
      <c r="I513" s="43">
        <v>6042070338</v>
      </c>
      <c r="J513" s="43" t="s">
        <v>4927</v>
      </c>
      <c r="K513" s="47" t="s">
        <v>4928</v>
      </c>
      <c r="L513" s="67" t="e">
        <f>VLOOKUP(G513,Input!C:Q,12,FALSE)</f>
        <v>#N/A</v>
      </c>
      <c r="M513" s="68" t="e">
        <f>VLOOKUP(G513,Input!C:Q,15,FALSE)</f>
        <v>#N/A</v>
      </c>
      <c r="N513" s="69" t="e">
        <f>VLOOKUP(G513,Input!C:Q,14,FALSE)</f>
        <v>#N/A</v>
      </c>
      <c r="Q513" s="48">
        <v>1</v>
      </c>
      <c r="R513" s="75" t="e">
        <f>VLOOKUP(G513,Input!C:H,5,FALSE)</f>
        <v>#N/A</v>
      </c>
      <c r="T513" s="47">
        <v>1</v>
      </c>
      <c r="U513" s="47" t="str">
        <f t="shared" si="8"/>
        <v>512,512,**,</v>
      </c>
      <c r="AC513" s="47">
        <v>512</v>
      </c>
      <c r="AD513" s="47">
        <v>512</v>
      </c>
    </row>
    <row r="514" spans="1:30" ht="15.75">
      <c r="A514" s="13" t="str">
        <f>IFERROR(VLOOKUP($G:$G,scan!$A:$B,2,0),"**")</f>
        <v>**</v>
      </c>
      <c r="B514" s="13" t="str">
        <f>IFERROR(VLOOKUP($G514,scan!A:C,3,0),"**")</f>
        <v>**</v>
      </c>
      <c r="C514" s="47">
        <v>513</v>
      </c>
      <c r="F514" s="78"/>
      <c r="G514" s="2"/>
      <c r="H514" s="47" t="s">
        <v>4926</v>
      </c>
      <c r="I514" s="43">
        <v>6042070338</v>
      </c>
      <c r="J514" s="43" t="s">
        <v>4927</v>
      </c>
      <c r="K514" s="47" t="s">
        <v>4928</v>
      </c>
      <c r="L514" s="67" t="e">
        <f>VLOOKUP(G514,Input!C:Q,12,FALSE)</f>
        <v>#N/A</v>
      </c>
      <c r="M514" s="68" t="e">
        <f>VLOOKUP(G514,Input!C:Q,15,FALSE)</f>
        <v>#N/A</v>
      </c>
      <c r="N514" s="69" t="e">
        <f>VLOOKUP(G514,Input!C:Q,14,FALSE)</f>
        <v>#N/A</v>
      </c>
      <c r="Q514" s="48">
        <v>1</v>
      </c>
      <c r="R514" s="75" t="e">
        <f>VLOOKUP(G514,Input!C:H,5,FALSE)</f>
        <v>#N/A</v>
      </c>
      <c r="T514" s="47">
        <v>1</v>
      </c>
      <c r="U514" s="47" t="str">
        <f t="shared" si="8"/>
        <v>513,513,**,</v>
      </c>
      <c r="AC514" s="47">
        <v>513</v>
      </c>
      <c r="AD514" s="47">
        <v>513</v>
      </c>
    </row>
    <row r="515" spans="1:30" ht="15.75">
      <c r="A515" s="13" t="str">
        <f>IFERROR(VLOOKUP($G:$G,scan!$A:$B,2,0),"**")</f>
        <v>**</v>
      </c>
      <c r="B515" s="13" t="str">
        <f>IFERROR(VLOOKUP($G515,scan!A:C,3,0),"**")</f>
        <v>**</v>
      </c>
      <c r="C515" s="47">
        <v>514</v>
      </c>
      <c r="F515" s="78"/>
      <c r="G515" s="2"/>
      <c r="H515" s="47" t="s">
        <v>4926</v>
      </c>
      <c r="I515" s="43">
        <v>6042070338</v>
      </c>
      <c r="J515" s="43" t="s">
        <v>4927</v>
      </c>
      <c r="K515" s="47" t="s">
        <v>4928</v>
      </c>
      <c r="L515" s="67" t="e">
        <f>VLOOKUP(G515,Input!C:Q,12,FALSE)</f>
        <v>#N/A</v>
      </c>
      <c r="M515" s="68" t="e">
        <f>VLOOKUP(G515,Input!C:Q,15,FALSE)</f>
        <v>#N/A</v>
      </c>
      <c r="N515" s="69" t="e">
        <f>VLOOKUP(G515,Input!C:Q,14,FALSE)</f>
        <v>#N/A</v>
      </c>
      <c r="Q515" s="48">
        <v>1</v>
      </c>
      <c r="R515" s="75" t="e">
        <f>VLOOKUP(G515,Input!C:H,5,FALSE)</f>
        <v>#N/A</v>
      </c>
      <c r="T515" s="47">
        <v>1</v>
      </c>
      <c r="U515" s="47" t="str">
        <f t="shared" si="8"/>
        <v>514,514,**,</v>
      </c>
      <c r="AC515" s="47">
        <v>514</v>
      </c>
      <c r="AD515" s="47">
        <v>514</v>
      </c>
    </row>
    <row r="516" spans="1:30" ht="15.75">
      <c r="A516" s="13" t="str">
        <f>IFERROR(VLOOKUP($G:$G,scan!$A:$B,2,0),"**")</f>
        <v>**</v>
      </c>
      <c r="B516" s="13" t="str">
        <f>IFERROR(VLOOKUP($G516,scan!A:C,3,0),"**")</f>
        <v>**</v>
      </c>
      <c r="C516" s="47">
        <v>515</v>
      </c>
      <c r="F516" s="78"/>
      <c r="G516" s="2"/>
      <c r="H516" s="47" t="s">
        <v>4926</v>
      </c>
      <c r="I516" s="43">
        <v>6042070338</v>
      </c>
      <c r="J516" s="43" t="s">
        <v>4927</v>
      </c>
      <c r="K516" s="47" t="s">
        <v>4928</v>
      </c>
      <c r="L516" s="67" t="e">
        <f>VLOOKUP(G516,Input!C:Q,12,FALSE)</f>
        <v>#N/A</v>
      </c>
      <c r="M516" s="68" t="e">
        <f>VLOOKUP(G516,Input!C:Q,15,FALSE)</f>
        <v>#N/A</v>
      </c>
      <c r="N516" s="69" t="e">
        <f>VLOOKUP(G516,Input!C:Q,14,FALSE)</f>
        <v>#N/A</v>
      </c>
      <c r="Q516" s="48">
        <v>1</v>
      </c>
      <c r="R516" s="75" t="e">
        <f>VLOOKUP(G516,Input!C:H,5,FALSE)</f>
        <v>#N/A</v>
      </c>
      <c r="T516" s="47">
        <v>1</v>
      </c>
      <c r="U516" s="47" t="str">
        <f t="shared" si="8"/>
        <v>515,515,**,</v>
      </c>
      <c r="AC516" s="47">
        <v>515</v>
      </c>
      <c r="AD516" s="47">
        <v>515</v>
      </c>
    </row>
    <row r="517" spans="1:30" ht="15.75">
      <c r="A517" s="13" t="str">
        <f>IFERROR(VLOOKUP($G:$G,scan!$A:$B,2,0),"**")</f>
        <v>**</v>
      </c>
      <c r="B517" s="13" t="str">
        <f>IFERROR(VLOOKUP($G517,scan!A:C,3,0),"**")</f>
        <v>**</v>
      </c>
      <c r="C517" s="47">
        <v>516</v>
      </c>
      <c r="F517" s="78"/>
      <c r="G517" s="2"/>
      <c r="H517" s="47" t="s">
        <v>4926</v>
      </c>
      <c r="I517" s="43">
        <v>6042070338</v>
      </c>
      <c r="J517" s="43" t="s">
        <v>4927</v>
      </c>
      <c r="K517" s="47" t="s">
        <v>4928</v>
      </c>
      <c r="L517" s="67" t="e">
        <f>VLOOKUP(G517,Input!C:Q,12,FALSE)</f>
        <v>#N/A</v>
      </c>
      <c r="M517" s="68" t="e">
        <f>VLOOKUP(G517,Input!C:Q,15,FALSE)</f>
        <v>#N/A</v>
      </c>
      <c r="N517" s="69" t="e">
        <f>VLOOKUP(G517,Input!C:Q,14,FALSE)</f>
        <v>#N/A</v>
      </c>
      <c r="Q517" s="48">
        <v>1</v>
      </c>
      <c r="R517" s="75" t="e">
        <f>VLOOKUP(G517,Input!C:H,5,FALSE)</f>
        <v>#N/A</v>
      </c>
      <c r="T517" s="47">
        <v>1</v>
      </c>
      <c r="U517" s="47" t="str">
        <f t="shared" si="8"/>
        <v>516,516,**,</v>
      </c>
      <c r="AC517" s="47">
        <v>516</v>
      </c>
      <c r="AD517" s="47">
        <v>516</v>
      </c>
    </row>
    <row r="518" spans="1:30" ht="15.75">
      <c r="A518" s="13" t="str">
        <f>IFERROR(VLOOKUP($G:$G,scan!$A:$B,2,0),"**")</f>
        <v>**</v>
      </c>
      <c r="B518" s="13" t="str">
        <f>IFERROR(VLOOKUP($G518,scan!A:C,3,0),"**")</f>
        <v>**</v>
      </c>
      <c r="C518" s="47">
        <v>517</v>
      </c>
      <c r="F518" s="78"/>
      <c r="G518" s="2"/>
      <c r="H518" s="47" t="s">
        <v>4926</v>
      </c>
      <c r="I518" s="43">
        <v>6042070338</v>
      </c>
      <c r="J518" s="43" t="s">
        <v>4927</v>
      </c>
      <c r="K518" s="47" t="s">
        <v>4928</v>
      </c>
      <c r="L518" s="67" t="e">
        <f>VLOOKUP(G518,Input!C:Q,12,FALSE)</f>
        <v>#N/A</v>
      </c>
      <c r="M518" s="68" t="e">
        <f>VLOOKUP(G518,Input!C:Q,15,FALSE)</f>
        <v>#N/A</v>
      </c>
      <c r="N518" s="69" t="e">
        <f>VLOOKUP(G518,Input!C:Q,14,FALSE)</f>
        <v>#N/A</v>
      </c>
      <c r="Q518" s="48">
        <v>1</v>
      </c>
      <c r="R518" s="75" t="e">
        <f>VLOOKUP(G518,Input!C:H,5,FALSE)</f>
        <v>#N/A</v>
      </c>
      <c r="T518" s="47">
        <v>1</v>
      </c>
      <c r="U518" s="47" t="str">
        <f t="shared" si="8"/>
        <v>517,517,**,</v>
      </c>
      <c r="AC518" s="47">
        <v>517</v>
      </c>
      <c r="AD518" s="47">
        <v>517</v>
      </c>
    </row>
    <row r="519" spans="1:30" ht="15.75">
      <c r="A519" s="13" t="str">
        <f>IFERROR(VLOOKUP($G:$G,scan!$A:$B,2,0),"**")</f>
        <v>**</v>
      </c>
      <c r="B519" s="13" t="str">
        <f>IFERROR(VLOOKUP($G519,scan!A:C,3,0),"**")</f>
        <v>**</v>
      </c>
      <c r="C519" s="47">
        <v>518</v>
      </c>
      <c r="F519" s="78"/>
      <c r="G519" s="2"/>
      <c r="H519" s="47" t="s">
        <v>4926</v>
      </c>
      <c r="I519" s="43">
        <v>6042070338</v>
      </c>
      <c r="J519" s="43" t="s">
        <v>4927</v>
      </c>
      <c r="K519" s="47" t="s">
        <v>4928</v>
      </c>
      <c r="L519" s="67" t="e">
        <f>VLOOKUP(G519,Input!C:Q,12,FALSE)</f>
        <v>#N/A</v>
      </c>
      <c r="M519" s="68" t="e">
        <f>VLOOKUP(G519,Input!C:Q,15,FALSE)</f>
        <v>#N/A</v>
      </c>
      <c r="N519" s="69" t="e">
        <f>VLOOKUP(G519,Input!C:Q,14,FALSE)</f>
        <v>#N/A</v>
      </c>
      <c r="Q519" s="48">
        <v>1</v>
      </c>
      <c r="R519" s="75" t="e">
        <f>VLOOKUP(G519,Input!C:H,5,FALSE)</f>
        <v>#N/A</v>
      </c>
      <c r="T519" s="47">
        <v>1</v>
      </c>
      <c r="U519" s="47" t="str">
        <f t="shared" si="8"/>
        <v>518,518,**,</v>
      </c>
      <c r="AC519" s="47">
        <v>518</v>
      </c>
      <c r="AD519" s="47">
        <v>518</v>
      </c>
    </row>
    <row r="520" spans="1:30" ht="15.75">
      <c r="A520" s="13" t="str">
        <f>IFERROR(VLOOKUP($G:$G,scan!$A:$B,2,0),"**")</f>
        <v>**</v>
      </c>
      <c r="B520" s="13" t="str">
        <f>IFERROR(VLOOKUP($G520,scan!A:C,3,0),"**")</f>
        <v>**</v>
      </c>
      <c r="C520" s="47">
        <v>519</v>
      </c>
      <c r="F520" s="78"/>
      <c r="G520" s="2"/>
      <c r="H520" s="47" t="s">
        <v>4926</v>
      </c>
      <c r="I520" s="43">
        <v>6042070338</v>
      </c>
      <c r="J520" s="43" t="s">
        <v>4927</v>
      </c>
      <c r="K520" s="47" t="s">
        <v>4928</v>
      </c>
      <c r="L520" s="67" t="e">
        <f>VLOOKUP(G520,Input!C:Q,12,FALSE)</f>
        <v>#N/A</v>
      </c>
      <c r="M520" s="68" t="e">
        <f>VLOOKUP(G520,Input!C:Q,15,FALSE)</f>
        <v>#N/A</v>
      </c>
      <c r="N520" s="69" t="e">
        <f>VLOOKUP(G520,Input!C:Q,14,FALSE)</f>
        <v>#N/A</v>
      </c>
      <c r="Q520" s="48">
        <v>1</v>
      </c>
      <c r="R520" s="75" t="e">
        <f>VLOOKUP(G520,Input!C:H,5,FALSE)</f>
        <v>#N/A</v>
      </c>
      <c r="T520" s="47">
        <v>1</v>
      </c>
      <c r="U520" s="47" t="str">
        <f t="shared" si="8"/>
        <v>519,519,**,</v>
      </c>
      <c r="AC520" s="47">
        <v>519</v>
      </c>
      <c r="AD520" s="47">
        <v>519</v>
      </c>
    </row>
    <row r="521" spans="1:30" ht="15.75">
      <c r="A521" s="13" t="str">
        <f>IFERROR(VLOOKUP($G:$G,scan!$A:$B,2,0),"**")</f>
        <v>**</v>
      </c>
      <c r="B521" s="13" t="str">
        <f>IFERROR(VLOOKUP($G521,scan!A:C,3,0),"**")</f>
        <v>**</v>
      </c>
      <c r="C521" s="47">
        <v>520</v>
      </c>
      <c r="F521" s="78"/>
      <c r="G521" s="2"/>
      <c r="H521" s="47" t="s">
        <v>4926</v>
      </c>
      <c r="I521" s="43">
        <v>6042070338</v>
      </c>
      <c r="J521" s="43" t="s">
        <v>4927</v>
      </c>
      <c r="K521" s="47" t="s">
        <v>4928</v>
      </c>
      <c r="L521" s="67" t="e">
        <f>VLOOKUP(G521,Input!C:Q,12,FALSE)</f>
        <v>#N/A</v>
      </c>
      <c r="M521" s="68" t="e">
        <f>VLOOKUP(G521,Input!C:Q,15,FALSE)</f>
        <v>#N/A</v>
      </c>
      <c r="N521" s="69" t="e">
        <f>VLOOKUP(G521,Input!C:Q,14,FALSE)</f>
        <v>#N/A</v>
      </c>
      <c r="Q521" s="48">
        <v>1</v>
      </c>
      <c r="R521" s="75" t="e">
        <f>VLOOKUP(G521,Input!C:H,5,FALSE)</f>
        <v>#N/A</v>
      </c>
      <c r="T521" s="47">
        <v>1</v>
      </c>
      <c r="U521" s="47" t="str">
        <f t="shared" si="8"/>
        <v>520,520,**,</v>
      </c>
      <c r="AC521" s="47">
        <v>520</v>
      </c>
      <c r="AD521" s="47">
        <v>520</v>
      </c>
    </row>
    <row r="522" spans="1:30" ht="15.75">
      <c r="A522" s="13" t="str">
        <f>IFERROR(VLOOKUP($G:$G,scan!$A:$B,2,0),"**")</f>
        <v>**</v>
      </c>
      <c r="B522" s="13" t="str">
        <f>IFERROR(VLOOKUP($G522,scan!A:C,3,0),"**")</f>
        <v>**</v>
      </c>
      <c r="C522" s="47">
        <v>521</v>
      </c>
      <c r="F522" s="78"/>
      <c r="G522" s="2"/>
      <c r="H522" s="47" t="s">
        <v>4926</v>
      </c>
      <c r="I522" s="43">
        <v>6042070338</v>
      </c>
      <c r="J522" s="43" t="s">
        <v>4927</v>
      </c>
      <c r="K522" s="47" t="s">
        <v>4928</v>
      </c>
      <c r="L522" s="67" t="e">
        <f>VLOOKUP(G522,Input!C:Q,12,FALSE)</f>
        <v>#N/A</v>
      </c>
      <c r="M522" s="68" t="e">
        <f>VLOOKUP(G522,Input!C:Q,15,FALSE)</f>
        <v>#N/A</v>
      </c>
      <c r="N522" s="69" t="e">
        <f>VLOOKUP(G522,Input!C:Q,14,FALSE)</f>
        <v>#N/A</v>
      </c>
      <c r="Q522" s="48">
        <v>1</v>
      </c>
      <c r="R522" s="75" t="e">
        <f>VLOOKUP(G522,Input!C:H,5,FALSE)</f>
        <v>#N/A</v>
      </c>
      <c r="T522" s="47">
        <v>1</v>
      </c>
      <c r="U522" s="47" t="str">
        <f t="shared" si="8"/>
        <v>521,521,**,</v>
      </c>
      <c r="AC522" s="47">
        <v>521</v>
      </c>
      <c r="AD522" s="47">
        <v>521</v>
      </c>
    </row>
    <row r="523" spans="1:30" ht="15.75">
      <c r="A523" s="13" t="str">
        <f>IFERROR(VLOOKUP($G:$G,scan!$A:$B,2,0),"**")</f>
        <v>**</v>
      </c>
      <c r="B523" s="13" t="str">
        <f>IFERROR(VLOOKUP($G523,scan!A:C,3,0),"**")</f>
        <v>**</v>
      </c>
      <c r="C523" s="47">
        <v>522</v>
      </c>
      <c r="F523" s="78"/>
      <c r="G523" s="2"/>
      <c r="H523" s="47" t="s">
        <v>4926</v>
      </c>
      <c r="I523" s="43">
        <v>6042070338</v>
      </c>
      <c r="J523" s="43" t="s">
        <v>4927</v>
      </c>
      <c r="K523" s="47" t="s">
        <v>4928</v>
      </c>
      <c r="L523" s="67" t="e">
        <f>VLOOKUP(G523,Input!C:Q,12,FALSE)</f>
        <v>#N/A</v>
      </c>
      <c r="M523" s="68" t="e">
        <f>VLOOKUP(G523,Input!C:Q,15,FALSE)</f>
        <v>#N/A</v>
      </c>
      <c r="N523" s="69" t="e">
        <f>VLOOKUP(G523,Input!C:Q,14,FALSE)</f>
        <v>#N/A</v>
      </c>
      <c r="Q523" s="48">
        <v>1</v>
      </c>
      <c r="R523" s="75" t="e">
        <f>VLOOKUP(G523,Input!C:H,5,FALSE)</f>
        <v>#N/A</v>
      </c>
      <c r="T523" s="47">
        <v>1</v>
      </c>
      <c r="U523" s="47" t="str">
        <f t="shared" si="8"/>
        <v>522,522,**,</v>
      </c>
      <c r="AC523" s="47">
        <v>522</v>
      </c>
      <c r="AD523" s="47">
        <v>522</v>
      </c>
    </row>
    <row r="524" spans="1:30" ht="15.75">
      <c r="A524" s="13" t="str">
        <f>IFERROR(VLOOKUP($G:$G,scan!$A:$B,2,0),"**")</f>
        <v>**</v>
      </c>
      <c r="B524" s="13" t="str">
        <f>IFERROR(VLOOKUP($G524,scan!A:C,3,0),"**")</f>
        <v>**</v>
      </c>
      <c r="C524" s="47">
        <v>523</v>
      </c>
      <c r="F524" s="78"/>
      <c r="G524" s="2"/>
      <c r="H524" s="47" t="s">
        <v>4926</v>
      </c>
      <c r="I524" s="43">
        <v>6042070338</v>
      </c>
      <c r="J524" s="43" t="s">
        <v>4927</v>
      </c>
      <c r="K524" s="47" t="s">
        <v>4928</v>
      </c>
      <c r="L524" s="67" t="e">
        <f>VLOOKUP(G524,Input!C:Q,12,FALSE)</f>
        <v>#N/A</v>
      </c>
      <c r="M524" s="68" t="e">
        <f>VLOOKUP(G524,Input!C:Q,15,FALSE)</f>
        <v>#N/A</v>
      </c>
      <c r="N524" s="69" t="e">
        <f>VLOOKUP(G524,Input!C:Q,14,FALSE)</f>
        <v>#N/A</v>
      </c>
      <c r="Q524" s="48">
        <v>1</v>
      </c>
      <c r="R524" s="75" t="e">
        <f>VLOOKUP(G524,Input!C:H,5,FALSE)</f>
        <v>#N/A</v>
      </c>
      <c r="T524" s="47">
        <v>1</v>
      </c>
      <c r="U524" s="47" t="str">
        <f t="shared" si="8"/>
        <v>523,523,**,</v>
      </c>
      <c r="AC524" s="47">
        <v>523</v>
      </c>
      <c r="AD524" s="47">
        <v>523</v>
      </c>
    </row>
    <row r="525" spans="1:30" ht="15.75">
      <c r="A525" s="13" t="str">
        <f>IFERROR(VLOOKUP($G:$G,scan!$A:$B,2,0),"**")</f>
        <v>**</v>
      </c>
      <c r="B525" s="13" t="str">
        <f>IFERROR(VLOOKUP($G525,scan!A:C,3,0),"**")</f>
        <v>**</v>
      </c>
      <c r="C525" s="47">
        <v>524</v>
      </c>
      <c r="F525" s="78"/>
      <c r="G525" s="2"/>
      <c r="H525" s="47" t="s">
        <v>4926</v>
      </c>
      <c r="I525" s="43">
        <v>6042070338</v>
      </c>
      <c r="J525" s="43" t="s">
        <v>4927</v>
      </c>
      <c r="K525" s="47" t="s">
        <v>4928</v>
      </c>
      <c r="L525" s="67" t="e">
        <f>VLOOKUP(G525,Input!C:Q,12,FALSE)</f>
        <v>#N/A</v>
      </c>
      <c r="M525" s="68" t="e">
        <f>VLOOKUP(G525,Input!C:Q,15,FALSE)</f>
        <v>#N/A</v>
      </c>
      <c r="N525" s="69" t="e">
        <f>VLOOKUP(G525,Input!C:Q,14,FALSE)</f>
        <v>#N/A</v>
      </c>
      <c r="Q525" s="48">
        <v>1</v>
      </c>
      <c r="R525" s="75" t="e">
        <f>VLOOKUP(G525,Input!C:H,5,FALSE)</f>
        <v>#N/A</v>
      </c>
      <c r="T525" s="47">
        <v>1</v>
      </c>
      <c r="U525" s="47" t="str">
        <f t="shared" si="8"/>
        <v>524,524,**,</v>
      </c>
      <c r="AC525" s="47">
        <v>524</v>
      </c>
      <c r="AD525" s="47">
        <v>524</v>
      </c>
    </row>
    <row r="526" spans="1:30" ht="15.75">
      <c r="A526" s="13" t="str">
        <f>IFERROR(VLOOKUP($G:$G,scan!$A:$B,2,0),"**")</f>
        <v>**</v>
      </c>
      <c r="B526" s="13" t="str">
        <f>IFERROR(VLOOKUP($G526,scan!A:C,3,0),"**")</f>
        <v>**</v>
      </c>
      <c r="C526" s="47">
        <v>525</v>
      </c>
      <c r="F526" s="78"/>
      <c r="G526" s="2"/>
      <c r="H526" s="47" t="s">
        <v>4926</v>
      </c>
      <c r="I526" s="43">
        <v>6042070338</v>
      </c>
      <c r="J526" s="43" t="s">
        <v>4927</v>
      </c>
      <c r="K526" s="47" t="s">
        <v>4928</v>
      </c>
      <c r="L526" s="67" t="e">
        <f>VLOOKUP(G526,Input!C:Q,12,FALSE)</f>
        <v>#N/A</v>
      </c>
      <c r="M526" s="68" t="e">
        <f>VLOOKUP(G526,Input!C:Q,15,FALSE)</f>
        <v>#N/A</v>
      </c>
      <c r="N526" s="69" t="e">
        <f>VLOOKUP(G526,Input!C:Q,14,FALSE)</f>
        <v>#N/A</v>
      </c>
      <c r="Q526" s="48">
        <v>1</v>
      </c>
      <c r="R526" s="75" t="e">
        <f>VLOOKUP(G526,Input!C:H,5,FALSE)</f>
        <v>#N/A</v>
      </c>
      <c r="T526" s="47">
        <v>1</v>
      </c>
      <c r="U526" s="47" t="str">
        <f t="shared" si="8"/>
        <v>525,525,**,</v>
      </c>
      <c r="AC526" s="47">
        <v>525</v>
      </c>
      <c r="AD526" s="47">
        <v>525</v>
      </c>
    </row>
    <row r="527" spans="1:30" ht="15.75">
      <c r="A527" s="13" t="str">
        <f>IFERROR(VLOOKUP($G:$G,scan!$A:$B,2,0),"**")</f>
        <v>**</v>
      </c>
      <c r="B527" s="13" t="str">
        <f>IFERROR(VLOOKUP($G527,scan!A:C,3,0),"**")</f>
        <v>**</v>
      </c>
      <c r="C527" s="47">
        <v>526</v>
      </c>
      <c r="F527" s="78"/>
      <c r="G527" s="2"/>
      <c r="H527" s="47" t="s">
        <v>4926</v>
      </c>
      <c r="I527" s="43">
        <v>6042070338</v>
      </c>
      <c r="J527" s="43" t="s">
        <v>4927</v>
      </c>
      <c r="K527" s="47" t="s">
        <v>4928</v>
      </c>
      <c r="L527" s="67" t="e">
        <f>VLOOKUP(G527,Input!C:Q,12,FALSE)</f>
        <v>#N/A</v>
      </c>
      <c r="M527" s="68" t="e">
        <f>VLOOKUP(G527,Input!C:Q,15,FALSE)</f>
        <v>#N/A</v>
      </c>
      <c r="N527" s="69" t="e">
        <f>VLOOKUP(G527,Input!C:Q,14,FALSE)</f>
        <v>#N/A</v>
      </c>
      <c r="Q527" s="48">
        <v>1</v>
      </c>
      <c r="R527" s="75" t="e">
        <f>VLOOKUP(G527,Input!C:H,5,FALSE)</f>
        <v>#N/A</v>
      </c>
      <c r="T527" s="47">
        <v>1</v>
      </c>
      <c r="U527" s="47" t="str">
        <f t="shared" si="8"/>
        <v>526,526,**,</v>
      </c>
      <c r="AC527" s="47">
        <v>526</v>
      </c>
      <c r="AD527" s="47">
        <v>526</v>
      </c>
    </row>
    <row r="528" spans="1:30" ht="15.75">
      <c r="A528" s="13" t="str">
        <f>IFERROR(VLOOKUP($G:$G,scan!$A:$B,2,0),"**")</f>
        <v>**</v>
      </c>
      <c r="B528" s="13" t="str">
        <f>IFERROR(VLOOKUP($G528,scan!A:C,3,0),"**")</f>
        <v>**</v>
      </c>
      <c r="C528" s="47">
        <v>527</v>
      </c>
      <c r="F528" s="78"/>
      <c r="G528" s="2"/>
      <c r="H528" s="47" t="s">
        <v>4926</v>
      </c>
      <c r="I528" s="43">
        <v>6042070338</v>
      </c>
      <c r="J528" s="43" t="s">
        <v>4927</v>
      </c>
      <c r="K528" s="47" t="s">
        <v>4928</v>
      </c>
      <c r="L528" s="67" t="e">
        <f>VLOOKUP(G528,Input!C:Q,12,FALSE)</f>
        <v>#N/A</v>
      </c>
      <c r="M528" s="68" t="e">
        <f>VLOOKUP(G528,Input!C:Q,15,FALSE)</f>
        <v>#N/A</v>
      </c>
      <c r="N528" s="69" t="e">
        <f>VLOOKUP(G528,Input!C:Q,14,FALSE)</f>
        <v>#N/A</v>
      </c>
      <c r="Q528" s="48">
        <v>1</v>
      </c>
      <c r="R528" s="75" t="e">
        <f>VLOOKUP(G528,Input!C:H,5,FALSE)</f>
        <v>#N/A</v>
      </c>
      <c r="T528" s="47">
        <v>1</v>
      </c>
      <c r="U528" s="47" t="str">
        <f t="shared" si="8"/>
        <v>527,527,**,</v>
      </c>
      <c r="AC528" s="47">
        <v>527</v>
      </c>
      <c r="AD528" s="47">
        <v>527</v>
      </c>
    </row>
    <row r="529" spans="1:30" ht="15.75">
      <c r="A529" s="13" t="str">
        <f>IFERROR(VLOOKUP($G:$G,scan!$A:$B,2,0),"**")</f>
        <v>**</v>
      </c>
      <c r="B529" s="13" t="str">
        <f>IFERROR(VLOOKUP($G529,scan!A:C,3,0),"**")</f>
        <v>**</v>
      </c>
      <c r="C529" s="47">
        <v>528</v>
      </c>
      <c r="F529" s="78"/>
      <c r="G529" s="2"/>
      <c r="H529" s="47" t="s">
        <v>4926</v>
      </c>
      <c r="I529" s="43">
        <v>6042070338</v>
      </c>
      <c r="J529" s="43" t="s">
        <v>4927</v>
      </c>
      <c r="K529" s="47" t="s">
        <v>4928</v>
      </c>
      <c r="L529" s="67" t="e">
        <f>VLOOKUP(G529,Input!C:Q,12,FALSE)</f>
        <v>#N/A</v>
      </c>
      <c r="M529" s="68" t="e">
        <f>VLOOKUP(G529,Input!C:Q,15,FALSE)</f>
        <v>#N/A</v>
      </c>
      <c r="N529" s="69" t="e">
        <f>VLOOKUP(G529,Input!C:Q,14,FALSE)</f>
        <v>#N/A</v>
      </c>
      <c r="Q529" s="48">
        <v>1</v>
      </c>
      <c r="R529" s="75" t="e">
        <f>VLOOKUP(G529,Input!C:H,5,FALSE)</f>
        <v>#N/A</v>
      </c>
      <c r="T529" s="47">
        <v>1</v>
      </c>
      <c r="U529" s="47" t="str">
        <f t="shared" si="8"/>
        <v>528,528,**,</v>
      </c>
      <c r="AC529" s="47">
        <v>528</v>
      </c>
      <c r="AD529" s="47">
        <v>528</v>
      </c>
    </row>
    <row r="530" spans="1:30" ht="15.75">
      <c r="A530" s="13" t="str">
        <f>IFERROR(VLOOKUP($G:$G,scan!$A:$B,2,0),"**")</f>
        <v>**</v>
      </c>
      <c r="B530" s="13" t="str">
        <f>IFERROR(VLOOKUP($G530,scan!A:C,3,0),"**")</f>
        <v>**</v>
      </c>
      <c r="C530" s="47">
        <v>529</v>
      </c>
      <c r="F530" s="78"/>
      <c r="G530" s="2"/>
      <c r="H530" s="47" t="s">
        <v>4926</v>
      </c>
      <c r="I530" s="43">
        <v>6042070338</v>
      </c>
      <c r="J530" s="43" t="s">
        <v>4927</v>
      </c>
      <c r="K530" s="47" t="s">
        <v>4928</v>
      </c>
      <c r="L530" s="67" t="e">
        <f>VLOOKUP(G530,Input!C:Q,12,FALSE)</f>
        <v>#N/A</v>
      </c>
      <c r="M530" s="68" t="e">
        <f>VLOOKUP(G530,Input!C:Q,15,FALSE)</f>
        <v>#N/A</v>
      </c>
      <c r="N530" s="69" t="e">
        <f>VLOOKUP(G530,Input!C:Q,14,FALSE)</f>
        <v>#N/A</v>
      </c>
      <c r="Q530" s="48">
        <v>1</v>
      </c>
      <c r="R530" s="75" t="e">
        <f>VLOOKUP(G530,Input!C:H,5,FALSE)</f>
        <v>#N/A</v>
      </c>
      <c r="T530" s="47">
        <v>1</v>
      </c>
      <c r="U530" s="47" t="str">
        <f t="shared" si="8"/>
        <v>529,529,**,</v>
      </c>
      <c r="AC530" s="47">
        <v>529</v>
      </c>
      <c r="AD530" s="47">
        <v>529</v>
      </c>
    </row>
    <row r="531" spans="1:30" ht="15.75">
      <c r="A531" s="13" t="str">
        <f>IFERROR(VLOOKUP($G:$G,scan!$A:$B,2,0),"**")</f>
        <v>**</v>
      </c>
      <c r="B531" s="13" t="str">
        <f>IFERROR(VLOOKUP($G531,scan!A:C,3,0),"**")</f>
        <v>**</v>
      </c>
      <c r="C531" s="47">
        <v>530</v>
      </c>
      <c r="F531" s="78"/>
      <c r="G531" s="2"/>
      <c r="H531" s="47" t="s">
        <v>4926</v>
      </c>
      <c r="I531" s="43">
        <v>6042070338</v>
      </c>
      <c r="J531" s="43" t="s">
        <v>4927</v>
      </c>
      <c r="K531" s="47" t="s">
        <v>4928</v>
      </c>
      <c r="L531" s="67" t="e">
        <f>VLOOKUP(G531,Input!C:Q,12,FALSE)</f>
        <v>#N/A</v>
      </c>
      <c r="M531" s="68" t="e">
        <f>VLOOKUP(G531,Input!C:Q,15,FALSE)</f>
        <v>#N/A</v>
      </c>
      <c r="N531" s="69" t="e">
        <f>VLOOKUP(G531,Input!C:Q,14,FALSE)</f>
        <v>#N/A</v>
      </c>
      <c r="Q531" s="48">
        <v>1</v>
      </c>
      <c r="R531" s="75" t="e">
        <f>VLOOKUP(G531,Input!C:H,5,FALSE)</f>
        <v>#N/A</v>
      </c>
      <c r="T531" s="47">
        <v>1</v>
      </c>
      <c r="U531" s="47" t="str">
        <f t="shared" si="8"/>
        <v>530,530,**,</v>
      </c>
      <c r="AC531" s="47">
        <v>530</v>
      </c>
      <c r="AD531" s="47">
        <v>530</v>
      </c>
    </row>
    <row r="532" spans="1:30" ht="15.75">
      <c r="A532" s="13" t="str">
        <f>IFERROR(VLOOKUP($G:$G,scan!$A:$B,2,0),"**")</f>
        <v>**</v>
      </c>
      <c r="B532" s="13" t="str">
        <f>IFERROR(VLOOKUP($G532,scan!A:C,3,0),"**")</f>
        <v>**</v>
      </c>
      <c r="C532" s="47">
        <v>531</v>
      </c>
      <c r="F532" s="78"/>
      <c r="G532" s="2"/>
      <c r="H532" s="47" t="s">
        <v>4926</v>
      </c>
      <c r="I532" s="43">
        <v>6042070338</v>
      </c>
      <c r="J532" s="43" t="s">
        <v>4927</v>
      </c>
      <c r="K532" s="47" t="s">
        <v>4928</v>
      </c>
      <c r="L532" s="67" t="e">
        <f>VLOOKUP(G532,Input!C:Q,12,FALSE)</f>
        <v>#N/A</v>
      </c>
      <c r="M532" s="68" t="e">
        <f>VLOOKUP(G532,Input!C:Q,15,FALSE)</f>
        <v>#N/A</v>
      </c>
      <c r="N532" s="69" t="e">
        <f>VLOOKUP(G532,Input!C:Q,14,FALSE)</f>
        <v>#N/A</v>
      </c>
      <c r="Q532" s="48">
        <v>1</v>
      </c>
      <c r="R532" s="75" t="e">
        <f>VLOOKUP(G532,Input!C:H,5,FALSE)</f>
        <v>#N/A</v>
      </c>
      <c r="T532" s="47">
        <v>1</v>
      </c>
      <c r="U532" s="47" t="str">
        <f t="shared" si="8"/>
        <v>531,531,**,</v>
      </c>
      <c r="AC532" s="47">
        <v>531</v>
      </c>
      <c r="AD532" s="47">
        <v>531</v>
      </c>
    </row>
    <row r="533" spans="1:30" ht="15.75">
      <c r="A533" s="13" t="str">
        <f>IFERROR(VLOOKUP($G:$G,scan!$A:$B,2,0),"**")</f>
        <v>**</v>
      </c>
      <c r="B533" s="13" t="str">
        <f>IFERROR(VLOOKUP($G533,scan!A:C,3,0),"**")</f>
        <v>**</v>
      </c>
      <c r="C533" s="47">
        <v>532</v>
      </c>
      <c r="F533" s="78"/>
      <c r="G533" s="2"/>
      <c r="H533" s="47" t="s">
        <v>4926</v>
      </c>
      <c r="I533" s="43">
        <v>6042070338</v>
      </c>
      <c r="J533" s="43" t="s">
        <v>4927</v>
      </c>
      <c r="K533" s="47" t="s">
        <v>4928</v>
      </c>
      <c r="L533" s="67" t="e">
        <f>VLOOKUP(G533,Input!C:Q,12,FALSE)</f>
        <v>#N/A</v>
      </c>
      <c r="M533" s="68" t="e">
        <f>VLOOKUP(G533,Input!C:Q,15,FALSE)</f>
        <v>#N/A</v>
      </c>
      <c r="N533" s="69" t="e">
        <f>VLOOKUP(G533,Input!C:Q,14,FALSE)</f>
        <v>#N/A</v>
      </c>
      <c r="Q533" s="48">
        <v>1</v>
      </c>
      <c r="R533" s="75" t="e">
        <f>VLOOKUP(G533,Input!C:H,5,FALSE)</f>
        <v>#N/A</v>
      </c>
      <c r="T533" s="47">
        <v>1</v>
      </c>
      <c r="U533" s="47" t="str">
        <f t="shared" si="8"/>
        <v>532,532,**,</v>
      </c>
      <c r="AC533" s="47">
        <v>532</v>
      </c>
      <c r="AD533" s="47">
        <v>532</v>
      </c>
    </row>
    <row r="534" spans="1:30" ht="15.75">
      <c r="A534" s="13" t="str">
        <f>IFERROR(VLOOKUP($G:$G,scan!$A:$B,2,0),"**")</f>
        <v>**</v>
      </c>
      <c r="B534" s="13" t="str">
        <f>IFERROR(VLOOKUP($G534,scan!A:C,3,0),"**")</f>
        <v>**</v>
      </c>
      <c r="C534" s="47">
        <v>533</v>
      </c>
      <c r="F534" s="78"/>
      <c r="G534" s="2"/>
      <c r="H534" s="47" t="s">
        <v>4926</v>
      </c>
      <c r="I534" s="43">
        <v>6042070338</v>
      </c>
      <c r="J534" s="43" t="s">
        <v>4927</v>
      </c>
      <c r="K534" s="47" t="s">
        <v>4928</v>
      </c>
      <c r="L534" s="67" t="e">
        <f>VLOOKUP(G534,Input!C:Q,12,FALSE)</f>
        <v>#N/A</v>
      </c>
      <c r="M534" s="68" t="e">
        <f>VLOOKUP(G534,Input!C:Q,15,FALSE)</f>
        <v>#N/A</v>
      </c>
      <c r="N534" s="69" t="e">
        <f>VLOOKUP(G534,Input!C:Q,14,FALSE)</f>
        <v>#N/A</v>
      </c>
      <c r="Q534" s="48">
        <v>1</v>
      </c>
      <c r="R534" s="75" t="e">
        <f>VLOOKUP(G534,Input!C:H,5,FALSE)</f>
        <v>#N/A</v>
      </c>
      <c r="T534" s="47">
        <v>1</v>
      </c>
      <c r="U534" s="47" t="str">
        <f t="shared" si="8"/>
        <v>533,533,**,</v>
      </c>
      <c r="AC534" s="47">
        <v>533</v>
      </c>
      <c r="AD534" s="47">
        <v>533</v>
      </c>
    </row>
    <row r="535" spans="1:30" ht="15.75">
      <c r="A535" s="13" t="str">
        <f>IFERROR(VLOOKUP($G:$G,scan!$A:$B,2,0),"**")</f>
        <v>**</v>
      </c>
      <c r="B535" s="13" t="str">
        <f>IFERROR(VLOOKUP($G535,scan!A:C,3,0),"**")</f>
        <v>**</v>
      </c>
      <c r="C535" s="47">
        <v>534</v>
      </c>
      <c r="F535" s="78"/>
      <c r="G535" s="2"/>
      <c r="H535" s="47" t="s">
        <v>4926</v>
      </c>
      <c r="I535" s="43">
        <v>6042070338</v>
      </c>
      <c r="J535" s="43" t="s">
        <v>4927</v>
      </c>
      <c r="K535" s="47" t="s">
        <v>4928</v>
      </c>
      <c r="L535" s="67" t="e">
        <f>VLOOKUP(G535,Input!C:Q,12,FALSE)</f>
        <v>#N/A</v>
      </c>
      <c r="M535" s="68" t="e">
        <f>VLOOKUP(G535,Input!C:Q,15,FALSE)</f>
        <v>#N/A</v>
      </c>
      <c r="N535" s="69" t="e">
        <f>VLOOKUP(G535,Input!C:Q,14,FALSE)</f>
        <v>#N/A</v>
      </c>
      <c r="Q535" s="48">
        <v>1</v>
      </c>
      <c r="R535" s="75" t="e">
        <f>VLOOKUP(G535,Input!C:H,5,FALSE)</f>
        <v>#N/A</v>
      </c>
      <c r="T535" s="47">
        <v>1</v>
      </c>
      <c r="U535" s="47" t="str">
        <f t="shared" si="8"/>
        <v>534,534,**,</v>
      </c>
      <c r="AC535" s="47">
        <v>534</v>
      </c>
      <c r="AD535" s="47">
        <v>534</v>
      </c>
    </row>
    <row r="536" spans="1:30" ht="15.75">
      <c r="A536" s="13" t="str">
        <f>IFERROR(VLOOKUP($G:$G,scan!$A:$B,2,0),"**")</f>
        <v>**</v>
      </c>
      <c r="B536" s="13" t="str">
        <f>IFERROR(VLOOKUP($G536,scan!A:C,3,0),"**")</f>
        <v>**</v>
      </c>
      <c r="C536" s="47">
        <v>535</v>
      </c>
      <c r="F536" s="78"/>
      <c r="G536" s="2"/>
      <c r="H536" s="47" t="s">
        <v>4926</v>
      </c>
      <c r="I536" s="43">
        <v>6042070338</v>
      </c>
      <c r="J536" s="43" t="s">
        <v>4927</v>
      </c>
      <c r="K536" s="47" t="s">
        <v>4928</v>
      </c>
      <c r="L536" s="67" t="e">
        <f>VLOOKUP(G536,Input!C:Q,12,FALSE)</f>
        <v>#N/A</v>
      </c>
      <c r="M536" s="68" t="e">
        <f>VLOOKUP(G536,Input!C:Q,15,FALSE)</f>
        <v>#N/A</v>
      </c>
      <c r="N536" s="69" t="e">
        <f>VLOOKUP(G536,Input!C:Q,14,FALSE)</f>
        <v>#N/A</v>
      </c>
      <c r="Q536" s="48">
        <v>1</v>
      </c>
      <c r="R536" s="75" t="e">
        <f>VLOOKUP(G536,Input!C:H,5,FALSE)</f>
        <v>#N/A</v>
      </c>
      <c r="T536" s="47">
        <v>1</v>
      </c>
      <c r="U536" s="47" t="str">
        <f t="shared" si="8"/>
        <v>535,535,**,</v>
      </c>
      <c r="AC536" s="47">
        <v>535</v>
      </c>
      <c r="AD536" s="47">
        <v>535</v>
      </c>
    </row>
    <row r="537" spans="1:30" ht="15.75">
      <c r="A537" s="13" t="str">
        <f>IFERROR(VLOOKUP($G:$G,scan!$A:$B,2,0),"**")</f>
        <v>**</v>
      </c>
      <c r="B537" s="13" t="str">
        <f>IFERROR(VLOOKUP($G537,scan!A:C,3,0),"**")</f>
        <v>**</v>
      </c>
      <c r="C537" s="47">
        <v>536</v>
      </c>
      <c r="F537" s="78"/>
      <c r="G537" s="2"/>
      <c r="H537" s="47" t="s">
        <v>4926</v>
      </c>
      <c r="I537" s="43">
        <v>6042070338</v>
      </c>
      <c r="J537" s="43" t="s">
        <v>4927</v>
      </c>
      <c r="K537" s="47" t="s">
        <v>4928</v>
      </c>
      <c r="L537" s="67" t="e">
        <f>VLOOKUP(G537,Input!C:Q,12,FALSE)</f>
        <v>#N/A</v>
      </c>
      <c r="M537" s="68" t="e">
        <f>VLOOKUP(G537,Input!C:Q,15,FALSE)</f>
        <v>#N/A</v>
      </c>
      <c r="N537" s="69" t="e">
        <f>VLOOKUP(G537,Input!C:Q,14,FALSE)</f>
        <v>#N/A</v>
      </c>
      <c r="Q537" s="48">
        <v>1</v>
      </c>
      <c r="R537" s="75" t="e">
        <f>VLOOKUP(G537,Input!C:H,5,FALSE)</f>
        <v>#N/A</v>
      </c>
      <c r="T537" s="47">
        <v>1</v>
      </c>
      <c r="U537" s="47" t="str">
        <f t="shared" si="8"/>
        <v>536,536,**,</v>
      </c>
      <c r="AC537" s="47">
        <v>536</v>
      </c>
      <c r="AD537" s="47">
        <v>536</v>
      </c>
    </row>
    <row r="538" spans="1:30" ht="15.75">
      <c r="A538" s="13" t="str">
        <f>IFERROR(VLOOKUP($G:$G,scan!$A:$B,2,0),"**")</f>
        <v>**</v>
      </c>
      <c r="B538" s="13" t="str">
        <f>IFERROR(VLOOKUP($G538,scan!A:C,3,0),"**")</f>
        <v>**</v>
      </c>
      <c r="C538" s="47">
        <v>537</v>
      </c>
      <c r="F538" s="78"/>
      <c r="G538" s="2"/>
      <c r="H538" s="47" t="s">
        <v>4926</v>
      </c>
      <c r="I538" s="43">
        <v>6042070338</v>
      </c>
      <c r="J538" s="43" t="s">
        <v>4927</v>
      </c>
      <c r="K538" s="47" t="s">
        <v>4928</v>
      </c>
      <c r="L538" s="67" t="e">
        <f>VLOOKUP(G538,Input!C:Q,12,FALSE)</f>
        <v>#N/A</v>
      </c>
      <c r="M538" s="68" t="e">
        <f>VLOOKUP(G538,Input!C:Q,15,FALSE)</f>
        <v>#N/A</v>
      </c>
      <c r="N538" s="69" t="e">
        <f>VLOOKUP(G538,Input!C:Q,14,FALSE)</f>
        <v>#N/A</v>
      </c>
      <c r="Q538" s="48">
        <v>1</v>
      </c>
      <c r="R538" s="75" t="e">
        <f>VLOOKUP(G538,Input!C:H,5,FALSE)</f>
        <v>#N/A</v>
      </c>
      <c r="T538" s="47">
        <v>1</v>
      </c>
      <c r="U538" s="47" t="str">
        <f t="shared" si="8"/>
        <v>537,537,**,</v>
      </c>
      <c r="AC538" s="47">
        <v>537</v>
      </c>
      <c r="AD538" s="47">
        <v>537</v>
      </c>
    </row>
    <row r="539" spans="1:30" ht="15.75">
      <c r="A539" s="13" t="str">
        <f>IFERROR(VLOOKUP($G:$G,scan!$A:$B,2,0),"**")</f>
        <v>**</v>
      </c>
      <c r="B539" s="13" t="str">
        <f>IFERROR(VLOOKUP($G539,scan!A:C,3,0),"**")</f>
        <v>**</v>
      </c>
      <c r="C539" s="47">
        <v>538</v>
      </c>
      <c r="F539" s="78"/>
      <c r="G539" s="2"/>
      <c r="H539" s="47" t="s">
        <v>4926</v>
      </c>
      <c r="I539" s="43">
        <v>6042070338</v>
      </c>
      <c r="J539" s="43" t="s">
        <v>4927</v>
      </c>
      <c r="K539" s="47" t="s">
        <v>4928</v>
      </c>
      <c r="L539" s="67" t="e">
        <f>VLOOKUP(G539,Input!C:Q,12,FALSE)</f>
        <v>#N/A</v>
      </c>
      <c r="M539" s="68" t="e">
        <f>VLOOKUP(G539,Input!C:Q,15,FALSE)</f>
        <v>#N/A</v>
      </c>
      <c r="N539" s="69" t="e">
        <f>VLOOKUP(G539,Input!C:Q,14,FALSE)</f>
        <v>#N/A</v>
      </c>
      <c r="Q539" s="48">
        <v>1</v>
      </c>
      <c r="R539" s="75" t="e">
        <f>VLOOKUP(G539,Input!C:H,5,FALSE)</f>
        <v>#N/A</v>
      </c>
      <c r="T539" s="47">
        <v>1</v>
      </c>
      <c r="U539" s="47" t="str">
        <f t="shared" si="8"/>
        <v>538,538,**,</v>
      </c>
      <c r="AC539" s="47">
        <v>538</v>
      </c>
      <c r="AD539" s="47">
        <v>538</v>
      </c>
    </row>
    <row r="540" spans="1:30" ht="15.75">
      <c r="A540" s="13" t="str">
        <f>IFERROR(VLOOKUP($G:$G,scan!$A:$B,2,0),"**")</f>
        <v>**</v>
      </c>
      <c r="B540" s="13" t="str">
        <f>IFERROR(VLOOKUP($G540,scan!A:C,3,0),"**")</f>
        <v>**</v>
      </c>
      <c r="C540" s="47">
        <v>539</v>
      </c>
      <c r="F540" s="78"/>
      <c r="G540" s="2"/>
      <c r="H540" s="47" t="s">
        <v>4926</v>
      </c>
      <c r="I540" s="43">
        <v>6042070338</v>
      </c>
      <c r="J540" s="43" t="s">
        <v>4927</v>
      </c>
      <c r="K540" s="47" t="s">
        <v>4928</v>
      </c>
      <c r="L540" s="67" t="e">
        <f>VLOOKUP(G540,Input!C:Q,12,FALSE)</f>
        <v>#N/A</v>
      </c>
      <c r="M540" s="68" t="e">
        <f>VLOOKUP(G540,Input!C:Q,15,FALSE)</f>
        <v>#N/A</v>
      </c>
      <c r="N540" s="69" t="e">
        <f>VLOOKUP(G540,Input!C:Q,14,FALSE)</f>
        <v>#N/A</v>
      </c>
      <c r="Q540" s="48">
        <v>1</v>
      </c>
      <c r="R540" s="75" t="e">
        <f>VLOOKUP(G540,Input!C:H,5,FALSE)</f>
        <v>#N/A</v>
      </c>
      <c r="T540" s="47">
        <v>1</v>
      </c>
      <c r="U540" s="47" t="str">
        <f t="shared" si="8"/>
        <v>539,539,**,</v>
      </c>
      <c r="AC540" s="47">
        <v>539</v>
      </c>
      <c r="AD540" s="47">
        <v>539</v>
      </c>
    </row>
    <row r="541" spans="1:30" ht="15.75">
      <c r="A541" s="13" t="str">
        <f>IFERROR(VLOOKUP($G:$G,scan!$A:$B,2,0),"**")</f>
        <v>**</v>
      </c>
      <c r="B541" s="13" t="str">
        <f>IFERROR(VLOOKUP($G541,scan!A:C,3,0),"**")</f>
        <v>**</v>
      </c>
      <c r="C541" s="47">
        <v>540</v>
      </c>
      <c r="F541" s="78"/>
      <c r="G541" s="2"/>
      <c r="H541" s="47" t="s">
        <v>4926</v>
      </c>
      <c r="I541" s="43">
        <v>6042070338</v>
      </c>
      <c r="J541" s="43" t="s">
        <v>4927</v>
      </c>
      <c r="K541" s="47" t="s">
        <v>4928</v>
      </c>
      <c r="L541" s="67" t="e">
        <f>VLOOKUP(G541,Input!C:Q,12,FALSE)</f>
        <v>#N/A</v>
      </c>
      <c r="M541" s="68" t="e">
        <f>VLOOKUP(G541,Input!C:Q,15,FALSE)</f>
        <v>#N/A</v>
      </c>
      <c r="N541" s="69" t="e">
        <f>VLOOKUP(G541,Input!C:Q,14,FALSE)</f>
        <v>#N/A</v>
      </c>
      <c r="Q541" s="48">
        <v>1</v>
      </c>
      <c r="R541" s="75" t="e">
        <f>VLOOKUP(G541,Input!C:H,5,FALSE)</f>
        <v>#N/A</v>
      </c>
      <c r="T541" s="47">
        <v>1</v>
      </c>
      <c r="U541" s="47" t="str">
        <f t="shared" si="8"/>
        <v>540,540,**,</v>
      </c>
      <c r="AC541" s="47">
        <v>540</v>
      </c>
      <c r="AD541" s="47">
        <v>540</v>
      </c>
    </row>
    <row r="542" spans="1:30" ht="15.75">
      <c r="A542" s="13" t="str">
        <f>IFERROR(VLOOKUP($G:$G,scan!$A:$B,2,0),"**")</f>
        <v>**</v>
      </c>
      <c r="B542" s="13" t="str">
        <f>IFERROR(VLOOKUP($G542,scan!A:C,3,0),"**")</f>
        <v>**</v>
      </c>
      <c r="C542" s="47">
        <v>541</v>
      </c>
      <c r="F542" s="78"/>
      <c r="G542" s="2"/>
      <c r="H542" s="47" t="s">
        <v>4926</v>
      </c>
      <c r="I542" s="43">
        <v>6042070338</v>
      </c>
      <c r="J542" s="43" t="s">
        <v>4927</v>
      </c>
      <c r="K542" s="47" t="s">
        <v>4928</v>
      </c>
      <c r="L542" s="67" t="e">
        <f>VLOOKUP(G542,Input!C:Q,12,FALSE)</f>
        <v>#N/A</v>
      </c>
      <c r="M542" s="68" t="e">
        <f>VLOOKUP(G542,Input!C:Q,15,FALSE)</f>
        <v>#N/A</v>
      </c>
      <c r="N542" s="69" t="e">
        <f>VLOOKUP(G542,Input!C:Q,14,FALSE)</f>
        <v>#N/A</v>
      </c>
      <c r="Q542" s="48">
        <v>1</v>
      </c>
      <c r="R542" s="75" t="e">
        <f>VLOOKUP(G542,Input!C:H,5,FALSE)</f>
        <v>#N/A</v>
      </c>
      <c r="T542" s="47">
        <v>1</v>
      </c>
      <c r="U542" s="47" t="str">
        <f t="shared" si="8"/>
        <v>541,541,**,</v>
      </c>
      <c r="AC542" s="47">
        <v>541</v>
      </c>
      <c r="AD542" s="47">
        <v>541</v>
      </c>
    </row>
    <row r="543" spans="1:30" ht="15.75">
      <c r="A543" s="13" t="str">
        <f>IFERROR(VLOOKUP($G:$G,scan!$A:$B,2,0),"**")</f>
        <v>**</v>
      </c>
      <c r="B543" s="13" t="str">
        <f>IFERROR(VLOOKUP($G543,scan!A:C,3,0),"**")</f>
        <v>**</v>
      </c>
      <c r="C543" s="47">
        <v>542</v>
      </c>
      <c r="F543" s="78"/>
      <c r="G543" s="2"/>
      <c r="H543" s="47" t="s">
        <v>4926</v>
      </c>
      <c r="I543" s="43">
        <v>6042070338</v>
      </c>
      <c r="J543" s="43" t="s">
        <v>4927</v>
      </c>
      <c r="K543" s="47" t="s">
        <v>4928</v>
      </c>
      <c r="L543" s="67" t="e">
        <f>VLOOKUP(G543,Input!C:Q,12,FALSE)</f>
        <v>#N/A</v>
      </c>
      <c r="M543" s="68" t="e">
        <f>VLOOKUP(G543,Input!C:Q,15,FALSE)</f>
        <v>#N/A</v>
      </c>
      <c r="N543" s="69" t="e">
        <f>VLOOKUP(G543,Input!C:Q,14,FALSE)</f>
        <v>#N/A</v>
      </c>
      <c r="Q543" s="48">
        <v>1</v>
      </c>
      <c r="R543" s="75" t="e">
        <f>VLOOKUP(G543,Input!C:H,5,FALSE)</f>
        <v>#N/A</v>
      </c>
      <c r="T543" s="47">
        <v>1</v>
      </c>
      <c r="U543" s="47" t="str">
        <f t="shared" si="8"/>
        <v>542,542,**,</v>
      </c>
      <c r="AC543" s="47">
        <v>542</v>
      </c>
      <c r="AD543" s="47">
        <v>542</v>
      </c>
    </row>
    <row r="544" spans="1:30" ht="15.75">
      <c r="A544" s="13" t="str">
        <f>IFERROR(VLOOKUP($G:$G,scan!$A:$B,2,0),"**")</f>
        <v>**</v>
      </c>
      <c r="B544" s="13" t="str">
        <f>IFERROR(VLOOKUP($G544,scan!A:C,3,0),"**")</f>
        <v>**</v>
      </c>
      <c r="C544" s="47">
        <v>543</v>
      </c>
      <c r="F544" s="78"/>
      <c r="G544" s="2"/>
      <c r="H544" s="47" t="s">
        <v>4926</v>
      </c>
      <c r="I544" s="43">
        <v>6042070338</v>
      </c>
      <c r="J544" s="43" t="s">
        <v>4927</v>
      </c>
      <c r="K544" s="47" t="s">
        <v>4928</v>
      </c>
      <c r="L544" s="67" t="e">
        <f>VLOOKUP(G544,Input!C:Q,12,FALSE)</f>
        <v>#N/A</v>
      </c>
      <c r="M544" s="68" t="e">
        <f>VLOOKUP(G544,Input!C:Q,15,FALSE)</f>
        <v>#N/A</v>
      </c>
      <c r="N544" s="69" t="e">
        <f>VLOOKUP(G544,Input!C:Q,14,FALSE)</f>
        <v>#N/A</v>
      </c>
      <c r="Q544" s="48">
        <v>1</v>
      </c>
      <c r="R544" s="75" t="e">
        <f>VLOOKUP(G544,Input!C:H,5,FALSE)</f>
        <v>#N/A</v>
      </c>
      <c r="T544" s="47">
        <v>1</v>
      </c>
      <c r="U544" s="47" t="str">
        <f t="shared" si="8"/>
        <v>543,543,**,</v>
      </c>
      <c r="AC544" s="47">
        <v>543</v>
      </c>
      <c r="AD544" s="47">
        <v>543</v>
      </c>
    </row>
    <row r="545" spans="1:30" ht="15.75">
      <c r="A545" s="13" t="str">
        <f>IFERROR(VLOOKUP($G:$G,scan!$A:$B,2,0),"**")</f>
        <v>**</v>
      </c>
      <c r="B545" s="13" t="str">
        <f>IFERROR(VLOOKUP($G545,scan!A:C,3,0),"**")</f>
        <v>**</v>
      </c>
      <c r="C545" s="47">
        <v>544</v>
      </c>
      <c r="F545" s="78"/>
      <c r="G545" s="2"/>
      <c r="H545" s="47" t="s">
        <v>4926</v>
      </c>
      <c r="I545" s="43">
        <v>6042070338</v>
      </c>
      <c r="J545" s="43" t="s">
        <v>4927</v>
      </c>
      <c r="K545" s="47" t="s">
        <v>4928</v>
      </c>
      <c r="L545" s="67" t="e">
        <f>VLOOKUP(G545,Input!C:Q,12,FALSE)</f>
        <v>#N/A</v>
      </c>
      <c r="M545" s="68" t="e">
        <f>VLOOKUP(G545,Input!C:Q,15,FALSE)</f>
        <v>#N/A</v>
      </c>
      <c r="N545" s="69" t="e">
        <f>VLOOKUP(G545,Input!C:Q,14,FALSE)</f>
        <v>#N/A</v>
      </c>
      <c r="Q545" s="48">
        <v>1</v>
      </c>
      <c r="R545" s="75" t="e">
        <f>VLOOKUP(G545,Input!C:H,5,FALSE)</f>
        <v>#N/A</v>
      </c>
      <c r="T545" s="47">
        <v>1</v>
      </c>
      <c r="U545" s="47" t="str">
        <f t="shared" si="8"/>
        <v>544,544,**,</v>
      </c>
      <c r="AC545" s="47">
        <v>544</v>
      </c>
      <c r="AD545" s="47">
        <v>544</v>
      </c>
    </row>
    <row r="546" spans="1:30" ht="15.75">
      <c r="A546" s="13" t="str">
        <f>IFERROR(VLOOKUP($G:$G,scan!$A:$B,2,0),"**")</f>
        <v>**</v>
      </c>
      <c r="B546" s="13" t="str">
        <f>IFERROR(VLOOKUP($G546,scan!A:C,3,0),"**")</f>
        <v>**</v>
      </c>
      <c r="C546" s="47">
        <v>545</v>
      </c>
      <c r="F546" s="78"/>
      <c r="G546" s="2"/>
      <c r="H546" s="47" t="s">
        <v>4926</v>
      </c>
      <c r="I546" s="43">
        <v>6042070338</v>
      </c>
      <c r="J546" s="43" t="s">
        <v>4927</v>
      </c>
      <c r="K546" s="47" t="s">
        <v>4928</v>
      </c>
      <c r="L546" s="67" t="e">
        <f>VLOOKUP(G546,Input!C:Q,12,FALSE)</f>
        <v>#N/A</v>
      </c>
      <c r="M546" s="68" t="e">
        <f>VLOOKUP(G546,Input!C:Q,15,FALSE)</f>
        <v>#N/A</v>
      </c>
      <c r="N546" s="69" t="e">
        <f>VLOOKUP(G546,Input!C:Q,14,FALSE)</f>
        <v>#N/A</v>
      </c>
      <c r="Q546" s="48">
        <v>1</v>
      </c>
      <c r="R546" s="75" t="e">
        <f>VLOOKUP(G546,Input!C:H,5,FALSE)</f>
        <v>#N/A</v>
      </c>
      <c r="T546" s="47">
        <v>1</v>
      </c>
      <c r="U546" s="47" t="str">
        <f t="shared" si="8"/>
        <v>545,545,**,</v>
      </c>
      <c r="AC546" s="47">
        <v>545</v>
      </c>
      <c r="AD546" s="47">
        <v>545</v>
      </c>
    </row>
    <row r="547" spans="1:30" ht="15.75">
      <c r="A547" s="13" t="str">
        <f>IFERROR(VLOOKUP($G:$G,scan!$A:$B,2,0),"**")</f>
        <v>**</v>
      </c>
      <c r="B547" s="13" t="str">
        <f>IFERROR(VLOOKUP($G547,scan!A:C,3,0),"**")</f>
        <v>**</v>
      </c>
      <c r="C547" s="47">
        <v>546</v>
      </c>
      <c r="F547" s="78"/>
      <c r="G547" s="2"/>
      <c r="H547" s="47" t="s">
        <v>4926</v>
      </c>
      <c r="I547" s="43">
        <v>6042070338</v>
      </c>
      <c r="J547" s="43" t="s">
        <v>4927</v>
      </c>
      <c r="K547" s="47" t="s">
        <v>4928</v>
      </c>
      <c r="L547" s="67" t="e">
        <f>VLOOKUP(G547,Input!C:Q,12,FALSE)</f>
        <v>#N/A</v>
      </c>
      <c r="M547" s="68" t="e">
        <f>VLOOKUP(G547,Input!C:Q,15,FALSE)</f>
        <v>#N/A</v>
      </c>
      <c r="N547" s="69" t="e">
        <f>VLOOKUP(G547,Input!C:Q,14,FALSE)</f>
        <v>#N/A</v>
      </c>
      <c r="Q547" s="48">
        <v>1</v>
      </c>
      <c r="R547" s="75" t="e">
        <f>VLOOKUP(G547,Input!C:H,5,FALSE)</f>
        <v>#N/A</v>
      </c>
      <c r="T547" s="47">
        <v>1</v>
      </c>
      <c r="U547" s="47" t="str">
        <f t="shared" si="8"/>
        <v>546,546,**,</v>
      </c>
      <c r="AC547" s="47">
        <v>546</v>
      </c>
      <c r="AD547" s="47">
        <v>546</v>
      </c>
    </row>
    <row r="548" spans="1:30" ht="15.75">
      <c r="A548" s="13" t="str">
        <f>IFERROR(VLOOKUP($G:$G,scan!$A:$B,2,0),"**")</f>
        <v>**</v>
      </c>
      <c r="B548" s="13" t="str">
        <f>IFERROR(VLOOKUP($G548,scan!A:C,3,0),"**")</f>
        <v>**</v>
      </c>
      <c r="C548" s="47">
        <v>547</v>
      </c>
      <c r="F548" s="78"/>
      <c r="G548" s="2"/>
      <c r="H548" s="47" t="s">
        <v>4926</v>
      </c>
      <c r="I548" s="43">
        <v>6042070338</v>
      </c>
      <c r="J548" s="43" t="s">
        <v>4927</v>
      </c>
      <c r="K548" s="47" t="s">
        <v>4928</v>
      </c>
      <c r="L548" s="67" t="e">
        <f>VLOOKUP(G548,Input!C:Q,12,FALSE)</f>
        <v>#N/A</v>
      </c>
      <c r="M548" s="68" t="e">
        <f>VLOOKUP(G548,Input!C:Q,15,FALSE)</f>
        <v>#N/A</v>
      </c>
      <c r="N548" s="69" t="e">
        <f>VLOOKUP(G548,Input!C:Q,14,FALSE)</f>
        <v>#N/A</v>
      </c>
      <c r="Q548" s="48">
        <v>1</v>
      </c>
      <c r="R548" s="75" t="e">
        <f>VLOOKUP(G548,Input!C:H,5,FALSE)</f>
        <v>#N/A</v>
      </c>
      <c r="T548" s="47">
        <v>1</v>
      </c>
      <c r="U548" s="47" t="str">
        <f t="shared" si="8"/>
        <v>547,547,**,</v>
      </c>
      <c r="AC548" s="47">
        <v>547</v>
      </c>
      <c r="AD548" s="47">
        <v>547</v>
      </c>
    </row>
    <row r="549" spans="1:30" ht="15.75">
      <c r="A549" s="13" t="str">
        <f>IFERROR(VLOOKUP($G:$G,scan!$A:$B,2,0),"**")</f>
        <v>**</v>
      </c>
      <c r="B549" s="13" t="str">
        <f>IFERROR(VLOOKUP($G549,scan!A:C,3,0),"**")</f>
        <v>**</v>
      </c>
      <c r="C549" s="47">
        <v>548</v>
      </c>
      <c r="F549" s="78"/>
      <c r="G549" s="2"/>
      <c r="H549" s="47" t="s">
        <v>4926</v>
      </c>
      <c r="I549" s="43">
        <v>6042070338</v>
      </c>
      <c r="J549" s="43" t="s">
        <v>4927</v>
      </c>
      <c r="K549" s="47" t="s">
        <v>4928</v>
      </c>
      <c r="L549" s="67" t="e">
        <f>VLOOKUP(G549,Input!C:Q,12,FALSE)</f>
        <v>#N/A</v>
      </c>
      <c r="M549" s="68" t="e">
        <f>VLOOKUP(G549,Input!C:Q,15,FALSE)</f>
        <v>#N/A</v>
      </c>
      <c r="N549" s="69" t="e">
        <f>VLOOKUP(G549,Input!C:Q,14,FALSE)</f>
        <v>#N/A</v>
      </c>
      <c r="Q549" s="48">
        <v>1</v>
      </c>
      <c r="R549" s="75" t="e">
        <f>VLOOKUP(G549,Input!C:H,5,FALSE)</f>
        <v>#N/A</v>
      </c>
      <c r="T549" s="47">
        <v>1</v>
      </c>
      <c r="U549" s="47" t="str">
        <f t="shared" si="8"/>
        <v>548,548,**,</v>
      </c>
      <c r="AC549" s="47">
        <v>548</v>
      </c>
      <c r="AD549" s="47">
        <v>548</v>
      </c>
    </row>
    <row r="550" spans="1:30" ht="15.75">
      <c r="A550" s="13" t="str">
        <f>IFERROR(VLOOKUP($G:$G,scan!$A:$B,2,0),"**")</f>
        <v>**</v>
      </c>
      <c r="B550" s="13" t="str">
        <f>IFERROR(VLOOKUP($G550,scan!A:C,3,0),"**")</f>
        <v>**</v>
      </c>
      <c r="C550" s="47">
        <v>549</v>
      </c>
      <c r="F550" s="78"/>
      <c r="G550" s="2"/>
      <c r="H550" s="47" t="s">
        <v>4926</v>
      </c>
      <c r="I550" s="43">
        <v>6042070338</v>
      </c>
      <c r="J550" s="43" t="s">
        <v>4927</v>
      </c>
      <c r="K550" s="47" t="s">
        <v>4928</v>
      </c>
      <c r="L550" s="67" t="e">
        <f>VLOOKUP(G550,Input!C:Q,12,FALSE)</f>
        <v>#N/A</v>
      </c>
      <c r="M550" s="68" t="e">
        <f>VLOOKUP(G550,Input!C:Q,15,FALSE)</f>
        <v>#N/A</v>
      </c>
      <c r="N550" s="69" t="e">
        <f>VLOOKUP(G550,Input!C:Q,14,FALSE)</f>
        <v>#N/A</v>
      </c>
      <c r="Q550" s="48">
        <v>1</v>
      </c>
      <c r="R550" s="75" t="e">
        <f>VLOOKUP(G550,Input!C:H,5,FALSE)</f>
        <v>#N/A</v>
      </c>
      <c r="T550" s="47">
        <v>1</v>
      </c>
      <c r="U550" s="47" t="str">
        <f t="shared" si="8"/>
        <v>549,549,**,</v>
      </c>
      <c r="AC550" s="47">
        <v>549</v>
      </c>
      <c r="AD550" s="47">
        <v>549</v>
      </c>
    </row>
    <row r="551" spans="1:30" ht="15.75">
      <c r="A551" s="13" t="str">
        <f>IFERROR(VLOOKUP($G:$G,scan!$A:$B,2,0),"**")</f>
        <v>**</v>
      </c>
      <c r="B551" s="13" t="str">
        <f>IFERROR(VLOOKUP($G551,scan!A:C,3,0),"**")</f>
        <v>**</v>
      </c>
      <c r="C551" s="47">
        <v>550</v>
      </c>
      <c r="F551" s="78"/>
      <c r="G551" s="2"/>
      <c r="H551" s="47" t="s">
        <v>4926</v>
      </c>
      <c r="I551" s="43">
        <v>6042070338</v>
      </c>
      <c r="J551" s="43" t="s">
        <v>4927</v>
      </c>
      <c r="K551" s="47" t="s">
        <v>4928</v>
      </c>
      <c r="L551" s="67" t="e">
        <f>VLOOKUP(G551,Input!C:Q,12,FALSE)</f>
        <v>#N/A</v>
      </c>
      <c r="M551" s="68" t="e">
        <f>VLOOKUP(G551,Input!C:Q,15,FALSE)</f>
        <v>#N/A</v>
      </c>
      <c r="N551" s="69" t="e">
        <f>VLOOKUP(G551,Input!C:Q,14,FALSE)</f>
        <v>#N/A</v>
      </c>
      <c r="Q551" s="48">
        <v>1</v>
      </c>
      <c r="R551" s="75" t="e">
        <f>VLOOKUP(G551,Input!C:H,5,FALSE)</f>
        <v>#N/A</v>
      </c>
      <c r="T551" s="47">
        <v>1</v>
      </c>
      <c r="U551" s="47" t="str">
        <f t="shared" si="8"/>
        <v>550,550,**,</v>
      </c>
      <c r="AC551" s="47">
        <v>550</v>
      </c>
      <c r="AD551" s="47">
        <v>550</v>
      </c>
    </row>
    <row r="552" spans="1:30" ht="15.75">
      <c r="A552" s="13" t="str">
        <f>IFERROR(VLOOKUP($G:$G,scan!$A:$B,2,0),"**")</f>
        <v>**</v>
      </c>
      <c r="B552" s="13" t="str">
        <f>IFERROR(VLOOKUP($G552,scan!A:C,3,0),"**")</f>
        <v>**</v>
      </c>
      <c r="C552" s="47">
        <v>551</v>
      </c>
      <c r="F552" s="78"/>
      <c r="G552" s="2"/>
      <c r="H552" s="47" t="s">
        <v>4926</v>
      </c>
      <c r="I552" s="43">
        <v>6042070338</v>
      </c>
      <c r="J552" s="43" t="s">
        <v>4927</v>
      </c>
      <c r="K552" s="47" t="s">
        <v>4928</v>
      </c>
      <c r="L552" s="67" t="e">
        <f>VLOOKUP(G552,Input!C:Q,12,FALSE)</f>
        <v>#N/A</v>
      </c>
      <c r="M552" s="68" t="e">
        <f>VLOOKUP(G552,Input!C:Q,15,FALSE)</f>
        <v>#N/A</v>
      </c>
      <c r="N552" s="69" t="e">
        <f>VLOOKUP(G552,Input!C:Q,14,FALSE)</f>
        <v>#N/A</v>
      </c>
      <c r="Q552" s="48">
        <v>1</v>
      </c>
      <c r="R552" s="75" t="e">
        <f>VLOOKUP(G552,Input!C:H,5,FALSE)</f>
        <v>#N/A</v>
      </c>
      <c r="T552" s="47">
        <v>1</v>
      </c>
      <c r="U552" s="47" t="str">
        <f t="shared" si="8"/>
        <v>551,551,**,</v>
      </c>
      <c r="AC552" s="47">
        <v>551</v>
      </c>
      <c r="AD552" s="47">
        <v>551</v>
      </c>
    </row>
    <row r="553" spans="1:30" ht="15.75">
      <c r="A553" s="13" t="str">
        <f>IFERROR(VLOOKUP($G:$G,scan!$A:$B,2,0),"**")</f>
        <v>**</v>
      </c>
      <c r="B553" s="13" t="str">
        <f>IFERROR(VLOOKUP($G553,scan!A:C,3,0),"**")</f>
        <v>**</v>
      </c>
      <c r="C553" s="47">
        <v>552</v>
      </c>
      <c r="F553" s="78"/>
      <c r="G553" s="2"/>
      <c r="H553" s="47" t="s">
        <v>4926</v>
      </c>
      <c r="I553" s="43">
        <v>6042070338</v>
      </c>
      <c r="J553" s="43" t="s">
        <v>4927</v>
      </c>
      <c r="K553" s="47" t="s">
        <v>4928</v>
      </c>
      <c r="L553" s="67" t="e">
        <f>VLOOKUP(G553,Input!C:Q,12,FALSE)</f>
        <v>#N/A</v>
      </c>
      <c r="M553" s="68" t="e">
        <f>VLOOKUP(G553,Input!C:Q,15,FALSE)</f>
        <v>#N/A</v>
      </c>
      <c r="N553" s="69" t="e">
        <f>VLOOKUP(G553,Input!C:Q,14,FALSE)</f>
        <v>#N/A</v>
      </c>
      <c r="Q553" s="48">
        <v>1</v>
      </c>
      <c r="R553" s="75" t="e">
        <f>VLOOKUP(G553,Input!C:H,5,FALSE)</f>
        <v>#N/A</v>
      </c>
      <c r="T553" s="47">
        <v>1</v>
      </c>
      <c r="U553" s="47" t="str">
        <f t="shared" si="8"/>
        <v>552,552,**,</v>
      </c>
      <c r="AC553" s="47">
        <v>552</v>
      </c>
      <c r="AD553" s="47">
        <v>552</v>
      </c>
    </row>
    <row r="554" spans="1:30" ht="15.75">
      <c r="A554" s="13" t="str">
        <f>IFERROR(VLOOKUP($G:$G,scan!$A:$B,2,0),"**")</f>
        <v>**</v>
      </c>
      <c r="B554" s="13" t="str">
        <f>IFERROR(VLOOKUP($G554,scan!A:C,3,0),"**")</f>
        <v>**</v>
      </c>
      <c r="C554" s="47">
        <v>553</v>
      </c>
      <c r="F554" s="78"/>
      <c r="G554" s="2"/>
      <c r="H554" s="47" t="s">
        <v>4926</v>
      </c>
      <c r="I554" s="43">
        <v>6042070338</v>
      </c>
      <c r="J554" s="43" t="s">
        <v>4927</v>
      </c>
      <c r="K554" s="47" t="s">
        <v>4928</v>
      </c>
      <c r="L554" s="67" t="e">
        <f>VLOOKUP(G554,Input!C:Q,12,FALSE)</f>
        <v>#N/A</v>
      </c>
      <c r="M554" s="68" t="e">
        <f>VLOOKUP(G554,Input!C:Q,15,FALSE)</f>
        <v>#N/A</v>
      </c>
      <c r="N554" s="69" t="e">
        <f>VLOOKUP(G554,Input!C:Q,14,FALSE)</f>
        <v>#N/A</v>
      </c>
      <c r="Q554" s="48">
        <v>1</v>
      </c>
      <c r="R554" s="75" t="e">
        <f>VLOOKUP(G554,Input!C:H,5,FALSE)</f>
        <v>#N/A</v>
      </c>
      <c r="T554" s="47">
        <v>1</v>
      </c>
      <c r="U554" s="47" t="str">
        <f t="shared" si="8"/>
        <v>553,553,**,</v>
      </c>
      <c r="AC554" s="47">
        <v>553</v>
      </c>
      <c r="AD554" s="47">
        <v>553</v>
      </c>
    </row>
    <row r="555" spans="1:30" ht="15.75">
      <c r="A555" s="13" t="str">
        <f>IFERROR(VLOOKUP($G:$G,scan!$A:$B,2,0),"**")</f>
        <v>**</v>
      </c>
      <c r="B555" s="13" t="str">
        <f>IFERROR(VLOOKUP($G555,scan!A:C,3,0),"**")</f>
        <v>**</v>
      </c>
      <c r="C555" s="47">
        <v>554</v>
      </c>
      <c r="F555" s="78"/>
      <c r="G555" s="2"/>
      <c r="H555" s="47" t="s">
        <v>4926</v>
      </c>
      <c r="I555" s="43">
        <v>6042070338</v>
      </c>
      <c r="J555" s="43" t="s">
        <v>4927</v>
      </c>
      <c r="K555" s="47" t="s">
        <v>4928</v>
      </c>
      <c r="L555" s="67" t="e">
        <f>VLOOKUP(G555,Input!C:Q,12,FALSE)</f>
        <v>#N/A</v>
      </c>
      <c r="M555" s="68" t="e">
        <f>VLOOKUP(G555,Input!C:Q,15,FALSE)</f>
        <v>#N/A</v>
      </c>
      <c r="N555" s="69" t="e">
        <f>VLOOKUP(G555,Input!C:Q,14,FALSE)</f>
        <v>#N/A</v>
      </c>
      <c r="Q555" s="48">
        <v>1</v>
      </c>
      <c r="R555" s="75" t="e">
        <f>VLOOKUP(G555,Input!C:H,5,FALSE)</f>
        <v>#N/A</v>
      </c>
      <c r="T555" s="47">
        <v>1</v>
      </c>
      <c r="U555" s="47" t="str">
        <f t="shared" si="8"/>
        <v>554,554,**,</v>
      </c>
      <c r="AC555" s="47">
        <v>554</v>
      </c>
      <c r="AD555" s="47">
        <v>554</v>
      </c>
    </row>
    <row r="556" spans="1:30" ht="15.75">
      <c r="A556" s="13" t="str">
        <f>IFERROR(VLOOKUP($G:$G,scan!$A:$B,2,0),"**")</f>
        <v>**</v>
      </c>
      <c r="B556" s="13" t="str">
        <f>IFERROR(VLOOKUP($G556,scan!A:C,3,0),"**")</f>
        <v>**</v>
      </c>
      <c r="C556" s="47">
        <v>555</v>
      </c>
      <c r="F556" s="78"/>
      <c r="G556" s="2"/>
      <c r="H556" s="47" t="s">
        <v>4926</v>
      </c>
      <c r="I556" s="43">
        <v>6042070338</v>
      </c>
      <c r="J556" s="43" t="s">
        <v>4927</v>
      </c>
      <c r="K556" s="47" t="s">
        <v>4928</v>
      </c>
      <c r="L556" s="67" t="e">
        <f>VLOOKUP(G556,Input!C:Q,12,FALSE)</f>
        <v>#N/A</v>
      </c>
      <c r="M556" s="68" t="e">
        <f>VLOOKUP(G556,Input!C:Q,15,FALSE)</f>
        <v>#N/A</v>
      </c>
      <c r="N556" s="69" t="e">
        <f>VLOOKUP(G556,Input!C:Q,14,FALSE)</f>
        <v>#N/A</v>
      </c>
      <c r="Q556" s="48">
        <v>1</v>
      </c>
      <c r="R556" s="75" t="e">
        <f>VLOOKUP(G556,Input!C:H,5,FALSE)</f>
        <v>#N/A</v>
      </c>
      <c r="T556" s="47">
        <v>1</v>
      </c>
      <c r="U556" s="47" t="str">
        <f t="shared" si="8"/>
        <v>555,555,**,</v>
      </c>
      <c r="AC556" s="47">
        <v>555</v>
      </c>
      <c r="AD556" s="47">
        <v>555</v>
      </c>
    </row>
    <row r="557" spans="1:30" ht="15.75">
      <c r="A557" s="13" t="str">
        <f>IFERROR(VLOOKUP($G:$G,scan!$A:$B,2,0),"**")</f>
        <v>**</v>
      </c>
      <c r="B557" s="13" t="str">
        <f>IFERROR(VLOOKUP($G557,scan!A:C,3,0),"**")</f>
        <v>**</v>
      </c>
      <c r="C557" s="47">
        <v>556</v>
      </c>
      <c r="F557" s="78"/>
      <c r="G557" s="2"/>
      <c r="H557" s="47" t="s">
        <v>4926</v>
      </c>
      <c r="I557" s="43">
        <v>6042070338</v>
      </c>
      <c r="J557" s="43" t="s">
        <v>4927</v>
      </c>
      <c r="K557" s="47" t="s">
        <v>4928</v>
      </c>
      <c r="L557" s="67" t="e">
        <f>VLOOKUP(G557,Input!C:Q,12,FALSE)</f>
        <v>#N/A</v>
      </c>
      <c r="M557" s="68" t="e">
        <f>VLOOKUP(G557,Input!C:Q,15,FALSE)</f>
        <v>#N/A</v>
      </c>
      <c r="N557" s="69" t="e">
        <f>VLOOKUP(G557,Input!C:Q,14,FALSE)</f>
        <v>#N/A</v>
      </c>
      <c r="Q557" s="48">
        <v>1</v>
      </c>
      <c r="R557" s="75" t="e">
        <f>VLOOKUP(G557,Input!C:H,5,FALSE)</f>
        <v>#N/A</v>
      </c>
      <c r="T557" s="47">
        <v>1</v>
      </c>
      <c r="U557" s="47" t="str">
        <f t="shared" si="8"/>
        <v>556,556,**,</v>
      </c>
      <c r="AC557" s="47">
        <v>556</v>
      </c>
      <c r="AD557" s="47">
        <v>556</v>
      </c>
    </row>
    <row r="558" spans="1:30" ht="15.75">
      <c r="A558" s="13" t="str">
        <f>IFERROR(VLOOKUP($G:$G,scan!$A:$B,2,0),"**")</f>
        <v>**</v>
      </c>
      <c r="B558" s="13" t="str">
        <f>IFERROR(VLOOKUP($G558,scan!A:C,3,0),"**")</f>
        <v>**</v>
      </c>
      <c r="C558" s="47">
        <v>557</v>
      </c>
      <c r="F558" s="78"/>
      <c r="G558" s="2"/>
      <c r="H558" s="47" t="s">
        <v>4926</v>
      </c>
      <c r="I558" s="43">
        <v>6042070338</v>
      </c>
      <c r="J558" s="43" t="s">
        <v>4927</v>
      </c>
      <c r="K558" s="47" t="s">
        <v>4928</v>
      </c>
      <c r="L558" s="67" t="e">
        <f>VLOOKUP(G558,Input!C:Q,12,FALSE)</f>
        <v>#N/A</v>
      </c>
      <c r="M558" s="68" t="e">
        <f>VLOOKUP(G558,Input!C:Q,15,FALSE)</f>
        <v>#N/A</v>
      </c>
      <c r="N558" s="69" t="e">
        <f>VLOOKUP(G558,Input!C:Q,14,FALSE)</f>
        <v>#N/A</v>
      </c>
      <c r="Q558" s="48">
        <v>1</v>
      </c>
      <c r="R558" s="75" t="e">
        <f>VLOOKUP(G558,Input!C:H,5,FALSE)</f>
        <v>#N/A</v>
      </c>
      <c r="T558" s="47">
        <v>1</v>
      </c>
      <c r="U558" s="47" t="str">
        <f t="shared" si="8"/>
        <v>557,557,**,</v>
      </c>
      <c r="AC558" s="47">
        <v>557</v>
      </c>
      <c r="AD558" s="47">
        <v>557</v>
      </c>
    </row>
    <row r="559" spans="1:30" ht="15.75">
      <c r="A559" s="13" t="str">
        <f>IFERROR(VLOOKUP($G:$G,scan!$A:$B,2,0),"**")</f>
        <v>**</v>
      </c>
      <c r="B559" s="13" t="str">
        <f>IFERROR(VLOOKUP($G559,scan!A:C,3,0),"**")</f>
        <v>**</v>
      </c>
      <c r="C559" s="47">
        <v>558</v>
      </c>
      <c r="F559" s="78"/>
      <c r="G559" s="2"/>
      <c r="H559" s="47" t="s">
        <v>4926</v>
      </c>
      <c r="I559" s="43">
        <v>6042070338</v>
      </c>
      <c r="J559" s="43" t="s">
        <v>4927</v>
      </c>
      <c r="K559" s="47" t="s">
        <v>4928</v>
      </c>
      <c r="L559" s="67" t="e">
        <f>VLOOKUP(G559,Input!C:Q,12,FALSE)</f>
        <v>#N/A</v>
      </c>
      <c r="M559" s="68" t="e">
        <f>VLOOKUP(G559,Input!C:Q,15,FALSE)</f>
        <v>#N/A</v>
      </c>
      <c r="N559" s="69" t="e">
        <f>VLOOKUP(G559,Input!C:Q,14,FALSE)</f>
        <v>#N/A</v>
      </c>
      <c r="Q559" s="48">
        <v>1</v>
      </c>
      <c r="R559" s="75" t="e">
        <f>VLOOKUP(G559,Input!C:H,5,FALSE)</f>
        <v>#N/A</v>
      </c>
      <c r="T559" s="47">
        <v>1</v>
      </c>
      <c r="U559" s="47" t="str">
        <f t="shared" si="8"/>
        <v>558,558,**,</v>
      </c>
      <c r="AC559" s="47">
        <v>558</v>
      </c>
      <c r="AD559" s="47">
        <v>558</v>
      </c>
    </row>
    <row r="560" spans="1:30" ht="15.75">
      <c r="A560" s="13" t="str">
        <f>IFERROR(VLOOKUP($G:$G,scan!$A:$B,2,0),"**")</f>
        <v>**</v>
      </c>
      <c r="B560" s="13" t="str">
        <f>IFERROR(VLOOKUP($G560,scan!A:C,3,0),"**")</f>
        <v>**</v>
      </c>
      <c r="C560" s="47">
        <v>559</v>
      </c>
      <c r="F560" s="78"/>
      <c r="G560" s="2"/>
      <c r="H560" s="47" t="s">
        <v>4926</v>
      </c>
      <c r="I560" s="43">
        <v>6042070338</v>
      </c>
      <c r="J560" s="43" t="s">
        <v>4927</v>
      </c>
      <c r="K560" s="47" t="s">
        <v>4928</v>
      </c>
      <c r="L560" s="67" t="e">
        <f>VLOOKUP(G560,Input!C:Q,12,FALSE)</f>
        <v>#N/A</v>
      </c>
      <c r="M560" s="68" t="e">
        <f>VLOOKUP(G560,Input!C:Q,15,FALSE)</f>
        <v>#N/A</v>
      </c>
      <c r="N560" s="69" t="e">
        <f>VLOOKUP(G560,Input!C:Q,14,FALSE)</f>
        <v>#N/A</v>
      </c>
      <c r="Q560" s="48">
        <v>1</v>
      </c>
      <c r="R560" s="75" t="e">
        <f>VLOOKUP(G560,Input!C:H,5,FALSE)</f>
        <v>#N/A</v>
      </c>
      <c r="T560" s="47">
        <v>1</v>
      </c>
      <c r="U560" s="47" t="str">
        <f t="shared" si="8"/>
        <v>559,559,**,</v>
      </c>
      <c r="AC560" s="47">
        <v>559</v>
      </c>
      <c r="AD560" s="47">
        <v>559</v>
      </c>
    </row>
    <row r="561" spans="1:30" ht="15.75">
      <c r="A561" s="13" t="str">
        <f>IFERROR(VLOOKUP($G:$G,scan!$A:$B,2,0),"**")</f>
        <v>**</v>
      </c>
      <c r="B561" s="13" t="str">
        <f>IFERROR(VLOOKUP($G561,scan!A:C,3,0),"**")</f>
        <v>**</v>
      </c>
      <c r="C561" s="47">
        <v>560</v>
      </c>
      <c r="F561" s="78"/>
      <c r="G561" s="2"/>
      <c r="H561" s="47" t="s">
        <v>4926</v>
      </c>
      <c r="I561" s="43">
        <v>6042070338</v>
      </c>
      <c r="J561" s="43" t="s">
        <v>4927</v>
      </c>
      <c r="K561" s="47" t="s">
        <v>4928</v>
      </c>
      <c r="L561" s="67" t="e">
        <f>VLOOKUP(G561,Input!C:Q,12,FALSE)</f>
        <v>#N/A</v>
      </c>
      <c r="M561" s="68" t="e">
        <f>VLOOKUP(G561,Input!C:Q,15,FALSE)</f>
        <v>#N/A</v>
      </c>
      <c r="N561" s="69" t="e">
        <f>VLOOKUP(G561,Input!C:Q,14,FALSE)</f>
        <v>#N/A</v>
      </c>
      <c r="Q561" s="48">
        <v>1</v>
      </c>
      <c r="R561" s="75" t="e">
        <f>VLOOKUP(G561,Input!C:H,5,FALSE)</f>
        <v>#N/A</v>
      </c>
      <c r="T561" s="47">
        <v>1</v>
      </c>
      <c r="U561" s="47" t="str">
        <f t="shared" si="8"/>
        <v>560,560,**,</v>
      </c>
      <c r="AC561" s="47">
        <v>560</v>
      </c>
      <c r="AD561" s="47">
        <v>560</v>
      </c>
    </row>
    <row r="562" spans="1:30" ht="15.75">
      <c r="A562" s="13" t="str">
        <f>IFERROR(VLOOKUP($G:$G,scan!$A:$B,2,0),"**")</f>
        <v>**</v>
      </c>
      <c r="B562" s="13" t="str">
        <f>IFERROR(VLOOKUP($G562,scan!A:C,3,0),"**")</f>
        <v>**</v>
      </c>
      <c r="C562" s="47">
        <v>561</v>
      </c>
      <c r="F562" s="78"/>
      <c r="G562" s="2"/>
      <c r="H562" s="47" t="s">
        <v>4926</v>
      </c>
      <c r="I562" s="43">
        <v>6042070338</v>
      </c>
      <c r="J562" s="43" t="s">
        <v>4927</v>
      </c>
      <c r="K562" s="47" t="s">
        <v>4928</v>
      </c>
      <c r="L562" s="67" t="e">
        <f>VLOOKUP(G562,Input!C:Q,12,FALSE)</f>
        <v>#N/A</v>
      </c>
      <c r="M562" s="68" t="e">
        <f>VLOOKUP(G562,Input!C:Q,15,FALSE)</f>
        <v>#N/A</v>
      </c>
      <c r="N562" s="69" t="e">
        <f>VLOOKUP(G562,Input!C:Q,14,FALSE)</f>
        <v>#N/A</v>
      </c>
      <c r="Q562" s="48">
        <v>1</v>
      </c>
      <c r="R562" s="75" t="e">
        <f>VLOOKUP(G562,Input!C:H,5,FALSE)</f>
        <v>#N/A</v>
      </c>
      <c r="T562" s="47">
        <v>1</v>
      </c>
      <c r="U562" s="47" t="str">
        <f t="shared" si="8"/>
        <v>561,561,**,</v>
      </c>
      <c r="AC562" s="47">
        <v>561</v>
      </c>
      <c r="AD562" s="47">
        <v>561</v>
      </c>
    </row>
    <row r="563" spans="1:30" ht="15.75">
      <c r="A563" s="13" t="str">
        <f>IFERROR(VLOOKUP($G:$G,scan!$A:$B,2,0),"**")</f>
        <v>**</v>
      </c>
      <c r="B563" s="13" t="str">
        <f>IFERROR(VLOOKUP($G563,scan!A:C,3,0),"**")</f>
        <v>**</v>
      </c>
      <c r="C563" s="47">
        <v>562</v>
      </c>
      <c r="F563" s="78"/>
      <c r="G563" s="2"/>
      <c r="H563" s="47" t="s">
        <v>4926</v>
      </c>
      <c r="I563" s="43">
        <v>6042070338</v>
      </c>
      <c r="J563" s="43" t="s">
        <v>4927</v>
      </c>
      <c r="K563" s="47" t="s">
        <v>4928</v>
      </c>
      <c r="L563" s="67" t="e">
        <f>VLOOKUP(G563,Input!C:Q,12,FALSE)</f>
        <v>#N/A</v>
      </c>
      <c r="M563" s="68" t="e">
        <f>VLOOKUP(G563,Input!C:Q,15,FALSE)</f>
        <v>#N/A</v>
      </c>
      <c r="N563" s="69" t="e">
        <f>VLOOKUP(G563,Input!C:Q,14,FALSE)</f>
        <v>#N/A</v>
      </c>
      <c r="Q563" s="48">
        <v>1</v>
      </c>
      <c r="R563" s="75" t="e">
        <f>VLOOKUP(G563,Input!C:H,5,FALSE)</f>
        <v>#N/A</v>
      </c>
      <c r="T563" s="47">
        <v>1</v>
      </c>
      <c r="U563" s="47" t="str">
        <f t="shared" si="8"/>
        <v>562,562,**,</v>
      </c>
      <c r="AC563" s="47">
        <v>562</v>
      </c>
      <c r="AD563" s="47">
        <v>562</v>
      </c>
    </row>
    <row r="564" spans="1:30" ht="15.75">
      <c r="A564" s="13" t="str">
        <f>IFERROR(VLOOKUP($G:$G,scan!$A:$B,2,0),"**")</f>
        <v>**</v>
      </c>
      <c r="B564" s="13" t="str">
        <f>IFERROR(VLOOKUP($G564,scan!A:C,3,0),"**")</f>
        <v>**</v>
      </c>
      <c r="C564" s="47">
        <v>563</v>
      </c>
      <c r="F564" s="78"/>
      <c r="G564" s="2"/>
      <c r="H564" s="47" t="s">
        <v>4926</v>
      </c>
      <c r="I564" s="43">
        <v>6042070338</v>
      </c>
      <c r="J564" s="43" t="s">
        <v>4927</v>
      </c>
      <c r="K564" s="47" t="s">
        <v>4928</v>
      </c>
      <c r="L564" s="67" t="e">
        <f>VLOOKUP(G564,Input!C:Q,12,FALSE)</f>
        <v>#N/A</v>
      </c>
      <c r="M564" s="68" t="e">
        <f>VLOOKUP(G564,Input!C:Q,15,FALSE)</f>
        <v>#N/A</v>
      </c>
      <c r="N564" s="69" t="e">
        <f>VLOOKUP(G564,Input!C:Q,14,FALSE)</f>
        <v>#N/A</v>
      </c>
      <c r="Q564" s="48">
        <v>1</v>
      </c>
      <c r="R564" s="75" t="e">
        <f>VLOOKUP(G564,Input!C:H,5,FALSE)</f>
        <v>#N/A</v>
      </c>
      <c r="T564" s="47">
        <v>1</v>
      </c>
      <c r="U564" s="47" t="str">
        <f t="shared" si="8"/>
        <v>563,563,**,</v>
      </c>
      <c r="AC564" s="47">
        <v>563</v>
      </c>
      <c r="AD564" s="47">
        <v>563</v>
      </c>
    </row>
    <row r="565" spans="1:30" ht="15.75">
      <c r="A565" s="13" t="str">
        <f>IFERROR(VLOOKUP($G:$G,scan!$A:$B,2,0),"**")</f>
        <v>**</v>
      </c>
      <c r="B565" s="13" t="str">
        <f>IFERROR(VLOOKUP($G565,scan!A:C,3,0),"**")</f>
        <v>**</v>
      </c>
      <c r="C565" s="47">
        <v>564</v>
      </c>
      <c r="F565" s="78"/>
      <c r="G565" s="2"/>
      <c r="H565" s="47" t="s">
        <v>4926</v>
      </c>
      <c r="I565" s="43">
        <v>6042070338</v>
      </c>
      <c r="J565" s="43" t="s">
        <v>4927</v>
      </c>
      <c r="K565" s="47" t="s">
        <v>4928</v>
      </c>
      <c r="L565" s="67" t="e">
        <f>VLOOKUP(G565,Input!C:Q,12,FALSE)</f>
        <v>#N/A</v>
      </c>
      <c r="M565" s="68" t="e">
        <f>VLOOKUP(G565,Input!C:Q,15,FALSE)</f>
        <v>#N/A</v>
      </c>
      <c r="N565" s="69" t="e">
        <f>VLOOKUP(G565,Input!C:Q,14,FALSE)</f>
        <v>#N/A</v>
      </c>
      <c r="Q565" s="48">
        <v>1</v>
      </c>
      <c r="R565" s="75" t="e">
        <f>VLOOKUP(G565,Input!C:H,5,FALSE)</f>
        <v>#N/A</v>
      </c>
      <c r="T565" s="47">
        <v>1</v>
      </c>
      <c r="U565" s="47" t="str">
        <f t="shared" si="8"/>
        <v>564,564,**,</v>
      </c>
      <c r="AC565" s="47">
        <v>564</v>
      </c>
      <c r="AD565" s="47">
        <v>564</v>
      </c>
    </row>
    <row r="566" spans="1:30" ht="15.75">
      <c r="A566" s="13" t="str">
        <f>IFERROR(VLOOKUP($G:$G,scan!$A:$B,2,0),"**")</f>
        <v>**</v>
      </c>
      <c r="B566" s="13" t="str">
        <f>IFERROR(VLOOKUP($G566,scan!A:C,3,0),"**")</f>
        <v>**</v>
      </c>
      <c r="C566" s="47">
        <v>565</v>
      </c>
      <c r="F566" s="78"/>
      <c r="G566" s="2"/>
      <c r="H566" s="47" t="s">
        <v>4926</v>
      </c>
      <c r="I566" s="43">
        <v>6042070338</v>
      </c>
      <c r="J566" s="43" t="s">
        <v>4927</v>
      </c>
      <c r="K566" s="47" t="s">
        <v>4928</v>
      </c>
      <c r="L566" s="67" t="e">
        <f>VLOOKUP(G566,Input!C:Q,12,FALSE)</f>
        <v>#N/A</v>
      </c>
      <c r="M566" s="68" t="e">
        <f>VLOOKUP(G566,Input!C:Q,15,FALSE)</f>
        <v>#N/A</v>
      </c>
      <c r="N566" s="69" t="e">
        <f>VLOOKUP(G566,Input!C:Q,14,FALSE)</f>
        <v>#N/A</v>
      </c>
      <c r="Q566" s="48">
        <v>1</v>
      </c>
      <c r="R566" s="75" t="e">
        <f>VLOOKUP(G566,Input!C:H,5,FALSE)</f>
        <v>#N/A</v>
      </c>
      <c r="T566" s="47">
        <v>1</v>
      </c>
      <c r="U566" s="47" t="str">
        <f t="shared" si="8"/>
        <v>565,565,**,</v>
      </c>
      <c r="AC566" s="47">
        <v>565</v>
      </c>
      <c r="AD566" s="47">
        <v>565</v>
      </c>
    </row>
    <row r="567" spans="1:30" ht="15.75">
      <c r="A567" s="13" t="str">
        <f>IFERROR(VLOOKUP($G:$G,scan!$A:$B,2,0),"**")</f>
        <v>**</v>
      </c>
      <c r="B567" s="13" t="str">
        <f>IFERROR(VLOOKUP($G567,scan!A:C,3,0),"**")</f>
        <v>**</v>
      </c>
      <c r="C567" s="47">
        <v>566</v>
      </c>
      <c r="F567" s="78"/>
      <c r="G567" s="2"/>
      <c r="H567" s="47" t="s">
        <v>4926</v>
      </c>
      <c r="I567" s="43">
        <v>6042070338</v>
      </c>
      <c r="J567" s="43" t="s">
        <v>4927</v>
      </c>
      <c r="K567" s="47" t="s">
        <v>4928</v>
      </c>
      <c r="L567" s="67" t="e">
        <f>VLOOKUP(G567,Input!C:Q,12,FALSE)</f>
        <v>#N/A</v>
      </c>
      <c r="M567" s="68" t="e">
        <f>VLOOKUP(G567,Input!C:Q,15,FALSE)</f>
        <v>#N/A</v>
      </c>
      <c r="N567" s="69" t="e">
        <f>VLOOKUP(G567,Input!C:Q,14,FALSE)</f>
        <v>#N/A</v>
      </c>
      <c r="Q567" s="48">
        <v>1</v>
      </c>
      <c r="R567" s="75" t="e">
        <f>VLOOKUP(G567,Input!C:H,5,FALSE)</f>
        <v>#N/A</v>
      </c>
      <c r="T567" s="47">
        <v>1</v>
      </c>
      <c r="U567" s="47" t="str">
        <f t="shared" si="8"/>
        <v>566,566,**,</v>
      </c>
      <c r="AC567" s="47">
        <v>566</v>
      </c>
      <c r="AD567" s="47">
        <v>566</v>
      </c>
    </row>
    <row r="568" spans="1:30" ht="15.75">
      <c r="A568" s="13" t="str">
        <f>IFERROR(VLOOKUP($G:$G,scan!$A:$B,2,0),"**")</f>
        <v>**</v>
      </c>
      <c r="B568" s="13" t="str">
        <f>IFERROR(VLOOKUP($G568,scan!A:C,3,0),"**")</f>
        <v>**</v>
      </c>
      <c r="C568" s="47">
        <v>567</v>
      </c>
      <c r="F568" s="78"/>
      <c r="G568" s="2"/>
      <c r="H568" s="47" t="s">
        <v>4926</v>
      </c>
      <c r="I568" s="43">
        <v>6042070338</v>
      </c>
      <c r="J568" s="43" t="s">
        <v>4927</v>
      </c>
      <c r="K568" s="47" t="s">
        <v>4928</v>
      </c>
      <c r="L568" s="67" t="e">
        <f>VLOOKUP(G568,Input!C:Q,12,FALSE)</f>
        <v>#N/A</v>
      </c>
      <c r="M568" s="68" t="e">
        <f>VLOOKUP(G568,Input!C:Q,15,FALSE)</f>
        <v>#N/A</v>
      </c>
      <c r="N568" s="69" t="e">
        <f>VLOOKUP(G568,Input!C:Q,14,FALSE)</f>
        <v>#N/A</v>
      </c>
      <c r="Q568" s="48">
        <v>1</v>
      </c>
      <c r="R568" s="75" t="e">
        <f>VLOOKUP(G568,Input!C:H,5,FALSE)</f>
        <v>#N/A</v>
      </c>
      <c r="T568" s="47">
        <v>1</v>
      </c>
      <c r="U568" s="47" t="str">
        <f t="shared" ref="U568:U631" si="9">CONCATENATE(AC568,",",C568,",",B568,",",G568)</f>
        <v>567,567,**,</v>
      </c>
      <c r="AC568" s="47">
        <v>567</v>
      </c>
      <c r="AD568" s="47">
        <v>567</v>
      </c>
    </row>
    <row r="569" spans="1:30" ht="15.75">
      <c r="A569" s="13" t="str">
        <f>IFERROR(VLOOKUP($G:$G,scan!$A:$B,2,0),"**")</f>
        <v>**</v>
      </c>
      <c r="B569" s="13" t="str">
        <f>IFERROR(VLOOKUP($G569,scan!A:C,3,0),"**")</f>
        <v>**</v>
      </c>
      <c r="C569" s="47">
        <v>568</v>
      </c>
      <c r="F569" s="78"/>
      <c r="G569" s="2"/>
      <c r="H569" s="47" t="s">
        <v>4926</v>
      </c>
      <c r="I569" s="43">
        <v>6042070338</v>
      </c>
      <c r="J569" s="43" t="s">
        <v>4927</v>
      </c>
      <c r="K569" s="47" t="s">
        <v>4928</v>
      </c>
      <c r="L569" s="67" t="e">
        <f>VLOOKUP(G569,Input!C:Q,12,FALSE)</f>
        <v>#N/A</v>
      </c>
      <c r="M569" s="68" t="e">
        <f>VLOOKUP(G569,Input!C:Q,15,FALSE)</f>
        <v>#N/A</v>
      </c>
      <c r="N569" s="69" t="e">
        <f>VLOOKUP(G569,Input!C:Q,14,FALSE)</f>
        <v>#N/A</v>
      </c>
      <c r="Q569" s="48">
        <v>1</v>
      </c>
      <c r="R569" s="75" t="e">
        <f>VLOOKUP(G569,Input!C:H,5,FALSE)</f>
        <v>#N/A</v>
      </c>
      <c r="T569" s="47">
        <v>1</v>
      </c>
      <c r="U569" s="47" t="str">
        <f t="shared" si="9"/>
        <v>568,568,**,</v>
      </c>
      <c r="AC569" s="47">
        <v>568</v>
      </c>
      <c r="AD569" s="47">
        <v>568</v>
      </c>
    </row>
    <row r="570" spans="1:30" ht="15.75">
      <c r="A570" s="13" t="str">
        <f>IFERROR(VLOOKUP($G:$G,scan!$A:$B,2,0),"**")</f>
        <v>**</v>
      </c>
      <c r="B570" s="13" t="str">
        <f>IFERROR(VLOOKUP($G570,scan!A:C,3,0),"**")</f>
        <v>**</v>
      </c>
      <c r="C570" s="47">
        <v>569</v>
      </c>
      <c r="F570" s="78"/>
      <c r="G570" s="2"/>
      <c r="H570" s="47" t="s">
        <v>4926</v>
      </c>
      <c r="I570" s="43">
        <v>6042070338</v>
      </c>
      <c r="J570" s="43" t="s">
        <v>4927</v>
      </c>
      <c r="K570" s="47" t="s">
        <v>4928</v>
      </c>
      <c r="L570" s="67" t="e">
        <f>VLOOKUP(G570,Input!C:Q,12,FALSE)</f>
        <v>#N/A</v>
      </c>
      <c r="M570" s="68" t="e">
        <f>VLOOKUP(G570,Input!C:Q,15,FALSE)</f>
        <v>#N/A</v>
      </c>
      <c r="N570" s="69" t="e">
        <f>VLOOKUP(G570,Input!C:Q,14,FALSE)</f>
        <v>#N/A</v>
      </c>
      <c r="Q570" s="48">
        <v>1</v>
      </c>
      <c r="R570" s="75" t="e">
        <f>VLOOKUP(G570,Input!C:H,5,FALSE)</f>
        <v>#N/A</v>
      </c>
      <c r="T570" s="47">
        <v>1</v>
      </c>
      <c r="U570" s="47" t="str">
        <f t="shared" si="9"/>
        <v>569,569,**,</v>
      </c>
      <c r="AC570" s="47">
        <v>569</v>
      </c>
      <c r="AD570" s="47">
        <v>569</v>
      </c>
    </row>
    <row r="571" spans="1:30" ht="15.75">
      <c r="A571" s="13" t="str">
        <f>IFERROR(VLOOKUP($G:$G,scan!$A:$B,2,0),"**")</f>
        <v>**</v>
      </c>
      <c r="B571" s="13" t="str">
        <f>IFERROR(VLOOKUP($G571,scan!A:C,3,0),"**")</f>
        <v>**</v>
      </c>
      <c r="C571" s="47">
        <v>570</v>
      </c>
      <c r="F571" s="78"/>
      <c r="G571" s="2"/>
      <c r="H571" s="47" t="s">
        <v>4926</v>
      </c>
      <c r="I571" s="43">
        <v>6042070338</v>
      </c>
      <c r="J571" s="43" t="s">
        <v>4927</v>
      </c>
      <c r="K571" s="47" t="s">
        <v>4928</v>
      </c>
      <c r="L571" s="67" t="e">
        <f>VLOOKUP(G571,Input!C:Q,12,FALSE)</f>
        <v>#N/A</v>
      </c>
      <c r="M571" s="68" t="e">
        <f>VLOOKUP(G571,Input!C:Q,15,FALSE)</f>
        <v>#N/A</v>
      </c>
      <c r="N571" s="69" t="e">
        <f>VLOOKUP(G571,Input!C:Q,14,FALSE)</f>
        <v>#N/A</v>
      </c>
      <c r="Q571" s="48">
        <v>1</v>
      </c>
      <c r="R571" s="75" t="e">
        <f>VLOOKUP(G571,Input!C:H,5,FALSE)</f>
        <v>#N/A</v>
      </c>
      <c r="T571" s="47">
        <v>1</v>
      </c>
      <c r="U571" s="47" t="str">
        <f t="shared" si="9"/>
        <v>570,570,**,</v>
      </c>
      <c r="AC571" s="47">
        <v>570</v>
      </c>
      <c r="AD571" s="47">
        <v>570</v>
      </c>
    </row>
    <row r="572" spans="1:30" ht="15.75">
      <c r="A572" s="13" t="str">
        <f>IFERROR(VLOOKUP($G:$G,scan!$A:$B,2,0),"**")</f>
        <v>**</v>
      </c>
      <c r="B572" s="13" t="str">
        <f>IFERROR(VLOOKUP($G572,scan!A:C,3,0),"**")</f>
        <v>**</v>
      </c>
      <c r="C572" s="47">
        <v>571</v>
      </c>
      <c r="F572" s="78"/>
      <c r="G572" s="2"/>
      <c r="H572" s="47" t="s">
        <v>4926</v>
      </c>
      <c r="I572" s="43">
        <v>6042070338</v>
      </c>
      <c r="J572" s="43" t="s">
        <v>4927</v>
      </c>
      <c r="K572" s="47" t="s">
        <v>4928</v>
      </c>
      <c r="L572" s="67" t="e">
        <f>VLOOKUP(G572,Input!C:Q,12,FALSE)</f>
        <v>#N/A</v>
      </c>
      <c r="M572" s="68" t="e">
        <f>VLOOKUP(G572,Input!C:Q,15,FALSE)</f>
        <v>#N/A</v>
      </c>
      <c r="N572" s="69" t="e">
        <f>VLOOKUP(G572,Input!C:Q,14,FALSE)</f>
        <v>#N/A</v>
      </c>
      <c r="Q572" s="48">
        <v>1</v>
      </c>
      <c r="R572" s="75" t="e">
        <f>VLOOKUP(G572,Input!C:H,5,FALSE)</f>
        <v>#N/A</v>
      </c>
      <c r="T572" s="47">
        <v>1</v>
      </c>
      <c r="U572" s="47" t="str">
        <f t="shared" si="9"/>
        <v>571,571,**,</v>
      </c>
      <c r="AC572" s="47">
        <v>571</v>
      </c>
      <c r="AD572" s="47">
        <v>571</v>
      </c>
    </row>
    <row r="573" spans="1:30" ht="15.75">
      <c r="A573" s="13" t="str">
        <f>IFERROR(VLOOKUP($G:$G,scan!$A:$B,2,0),"**")</f>
        <v>**</v>
      </c>
      <c r="B573" s="13" t="str">
        <f>IFERROR(VLOOKUP($G573,scan!A:C,3,0),"**")</f>
        <v>**</v>
      </c>
      <c r="C573" s="47">
        <v>572</v>
      </c>
      <c r="F573" s="78"/>
      <c r="G573" s="2"/>
      <c r="H573" s="47" t="s">
        <v>4926</v>
      </c>
      <c r="I573" s="43">
        <v>6042070338</v>
      </c>
      <c r="J573" s="43" t="s">
        <v>4927</v>
      </c>
      <c r="K573" s="47" t="s">
        <v>4928</v>
      </c>
      <c r="L573" s="67" t="e">
        <f>VLOOKUP(G573,Input!C:Q,12,FALSE)</f>
        <v>#N/A</v>
      </c>
      <c r="M573" s="68" t="e">
        <f>VLOOKUP(G573,Input!C:Q,15,FALSE)</f>
        <v>#N/A</v>
      </c>
      <c r="N573" s="69" t="e">
        <f>VLOOKUP(G573,Input!C:Q,14,FALSE)</f>
        <v>#N/A</v>
      </c>
      <c r="Q573" s="48">
        <v>1</v>
      </c>
      <c r="R573" s="75" t="e">
        <f>VLOOKUP(G573,Input!C:H,5,FALSE)</f>
        <v>#N/A</v>
      </c>
      <c r="T573" s="47">
        <v>1</v>
      </c>
      <c r="U573" s="47" t="str">
        <f t="shared" si="9"/>
        <v>572,572,**,</v>
      </c>
      <c r="AC573" s="47">
        <v>572</v>
      </c>
      <c r="AD573" s="47">
        <v>572</v>
      </c>
    </row>
    <row r="574" spans="1:30" ht="15.75">
      <c r="A574" s="13" t="str">
        <f>IFERROR(VLOOKUP($G:$G,scan!$A:$B,2,0),"**")</f>
        <v>**</v>
      </c>
      <c r="B574" s="13" t="str">
        <f>IFERROR(VLOOKUP($G574,scan!A:C,3,0),"**")</f>
        <v>**</v>
      </c>
      <c r="C574" s="47">
        <v>573</v>
      </c>
      <c r="F574" s="78"/>
      <c r="G574" s="2"/>
      <c r="H574" s="47" t="s">
        <v>4926</v>
      </c>
      <c r="I574" s="43">
        <v>6042070338</v>
      </c>
      <c r="J574" s="43" t="s">
        <v>4927</v>
      </c>
      <c r="K574" s="47" t="s">
        <v>4928</v>
      </c>
      <c r="L574" s="67" t="e">
        <f>VLOOKUP(G574,Input!C:Q,12,FALSE)</f>
        <v>#N/A</v>
      </c>
      <c r="M574" s="68" t="e">
        <f>VLOOKUP(G574,Input!C:Q,15,FALSE)</f>
        <v>#N/A</v>
      </c>
      <c r="N574" s="69" t="e">
        <f>VLOOKUP(G574,Input!C:Q,14,FALSE)</f>
        <v>#N/A</v>
      </c>
      <c r="Q574" s="48">
        <v>1</v>
      </c>
      <c r="R574" s="75" t="e">
        <f>VLOOKUP(G574,Input!C:H,5,FALSE)</f>
        <v>#N/A</v>
      </c>
      <c r="T574" s="47">
        <v>1</v>
      </c>
      <c r="U574" s="47" t="str">
        <f t="shared" si="9"/>
        <v>573,573,**,</v>
      </c>
      <c r="AC574" s="47">
        <v>573</v>
      </c>
      <c r="AD574" s="47">
        <v>573</v>
      </c>
    </row>
    <row r="575" spans="1:30" ht="15.75">
      <c r="A575" s="13" t="str">
        <f>IFERROR(VLOOKUP($G:$G,scan!$A:$B,2,0),"**")</f>
        <v>**</v>
      </c>
      <c r="B575" s="13" t="str">
        <f>IFERROR(VLOOKUP($G575,scan!A:C,3,0),"**")</f>
        <v>**</v>
      </c>
      <c r="C575" s="47">
        <v>574</v>
      </c>
      <c r="F575" s="78"/>
      <c r="G575" s="2"/>
      <c r="H575" s="47" t="s">
        <v>4926</v>
      </c>
      <c r="I575" s="43">
        <v>6042070338</v>
      </c>
      <c r="J575" s="43" t="s">
        <v>4927</v>
      </c>
      <c r="K575" s="47" t="s">
        <v>4928</v>
      </c>
      <c r="L575" s="67" t="e">
        <f>VLOOKUP(G575,Input!C:Q,12,FALSE)</f>
        <v>#N/A</v>
      </c>
      <c r="M575" s="68" t="e">
        <f>VLOOKUP(G575,Input!C:Q,15,FALSE)</f>
        <v>#N/A</v>
      </c>
      <c r="N575" s="69" t="e">
        <f>VLOOKUP(G575,Input!C:Q,14,FALSE)</f>
        <v>#N/A</v>
      </c>
      <c r="Q575" s="48">
        <v>1</v>
      </c>
      <c r="R575" s="75" t="e">
        <f>VLOOKUP(G575,Input!C:H,5,FALSE)</f>
        <v>#N/A</v>
      </c>
      <c r="T575" s="47">
        <v>1</v>
      </c>
      <c r="U575" s="47" t="str">
        <f t="shared" si="9"/>
        <v>574,574,**,</v>
      </c>
      <c r="AC575" s="47">
        <v>574</v>
      </c>
      <c r="AD575" s="47">
        <v>574</v>
      </c>
    </row>
    <row r="576" spans="1:30" ht="15.75">
      <c r="A576" s="13" t="str">
        <f>IFERROR(VLOOKUP($G:$G,scan!$A:$B,2,0),"**")</f>
        <v>**</v>
      </c>
      <c r="B576" s="13" t="str">
        <f>IFERROR(VLOOKUP($G576,scan!A:C,3,0),"**")</f>
        <v>**</v>
      </c>
      <c r="C576" s="47">
        <v>575</v>
      </c>
      <c r="F576" s="78"/>
      <c r="G576" s="2"/>
      <c r="H576" s="47" t="s">
        <v>4926</v>
      </c>
      <c r="I576" s="43">
        <v>6042070338</v>
      </c>
      <c r="J576" s="43" t="s">
        <v>4927</v>
      </c>
      <c r="K576" s="47" t="s">
        <v>4928</v>
      </c>
      <c r="L576" s="67" t="e">
        <f>VLOOKUP(G576,Input!C:Q,12,FALSE)</f>
        <v>#N/A</v>
      </c>
      <c r="M576" s="68" t="e">
        <f>VLOOKUP(G576,Input!C:Q,15,FALSE)</f>
        <v>#N/A</v>
      </c>
      <c r="N576" s="69" t="e">
        <f>VLOOKUP(G576,Input!C:Q,14,FALSE)</f>
        <v>#N/A</v>
      </c>
      <c r="Q576" s="48">
        <v>1</v>
      </c>
      <c r="R576" s="75" t="e">
        <f>VLOOKUP(G576,Input!C:H,5,FALSE)</f>
        <v>#N/A</v>
      </c>
      <c r="T576" s="47">
        <v>1</v>
      </c>
      <c r="U576" s="47" t="str">
        <f t="shared" si="9"/>
        <v>575,575,**,</v>
      </c>
      <c r="AC576" s="47">
        <v>575</v>
      </c>
      <c r="AD576" s="47">
        <v>575</v>
      </c>
    </row>
    <row r="577" spans="1:30" ht="15.75">
      <c r="A577" s="13" t="str">
        <f>IFERROR(VLOOKUP($G:$G,scan!$A:$B,2,0),"**")</f>
        <v>**</v>
      </c>
      <c r="B577" s="13" t="str">
        <f>IFERROR(VLOOKUP($G577,scan!A:C,3,0),"**")</f>
        <v>**</v>
      </c>
      <c r="C577" s="47">
        <v>576</v>
      </c>
      <c r="F577" s="78"/>
      <c r="G577" s="2"/>
      <c r="H577" s="47" t="s">
        <v>4926</v>
      </c>
      <c r="I577" s="43">
        <v>6042070338</v>
      </c>
      <c r="J577" s="43" t="s">
        <v>4927</v>
      </c>
      <c r="K577" s="47" t="s">
        <v>4928</v>
      </c>
      <c r="L577" s="67" t="e">
        <f>VLOOKUP(G577,Input!C:Q,12,FALSE)</f>
        <v>#N/A</v>
      </c>
      <c r="M577" s="68" t="e">
        <f>VLOOKUP(G577,Input!C:Q,15,FALSE)</f>
        <v>#N/A</v>
      </c>
      <c r="N577" s="69" t="e">
        <f>VLOOKUP(G577,Input!C:Q,14,FALSE)</f>
        <v>#N/A</v>
      </c>
      <c r="Q577" s="48">
        <v>1</v>
      </c>
      <c r="R577" s="75" t="e">
        <f>VLOOKUP(G577,Input!C:H,5,FALSE)</f>
        <v>#N/A</v>
      </c>
      <c r="T577" s="47">
        <v>1</v>
      </c>
      <c r="U577" s="47" t="str">
        <f t="shared" si="9"/>
        <v>576,576,**,</v>
      </c>
      <c r="AC577" s="47">
        <v>576</v>
      </c>
      <c r="AD577" s="47">
        <v>576</v>
      </c>
    </row>
    <row r="578" spans="1:30" ht="15.75">
      <c r="A578" s="13" t="str">
        <f>IFERROR(VLOOKUP($G:$G,scan!$A:$B,2,0),"**")</f>
        <v>**</v>
      </c>
      <c r="B578" s="13" t="str">
        <f>IFERROR(VLOOKUP($G578,scan!A:C,3,0),"**")</f>
        <v>**</v>
      </c>
      <c r="C578" s="47">
        <v>577</v>
      </c>
      <c r="F578" s="78"/>
      <c r="G578" s="2"/>
      <c r="H578" s="47" t="s">
        <v>4926</v>
      </c>
      <c r="I578" s="43">
        <v>6042070338</v>
      </c>
      <c r="J578" s="43" t="s">
        <v>4927</v>
      </c>
      <c r="K578" s="47" t="s">
        <v>4928</v>
      </c>
      <c r="L578" s="67" t="e">
        <f>VLOOKUP(G578,Input!C:Q,12,FALSE)</f>
        <v>#N/A</v>
      </c>
      <c r="M578" s="68" t="e">
        <f>VLOOKUP(G578,Input!C:Q,15,FALSE)</f>
        <v>#N/A</v>
      </c>
      <c r="N578" s="69" t="e">
        <f>VLOOKUP(G578,Input!C:Q,14,FALSE)</f>
        <v>#N/A</v>
      </c>
      <c r="Q578" s="48">
        <v>1</v>
      </c>
      <c r="R578" s="75" t="e">
        <f>VLOOKUP(G578,Input!C:H,5,FALSE)</f>
        <v>#N/A</v>
      </c>
      <c r="T578" s="47">
        <v>1</v>
      </c>
      <c r="U578" s="47" t="str">
        <f t="shared" si="9"/>
        <v>577,577,**,</v>
      </c>
      <c r="AC578" s="47">
        <v>577</v>
      </c>
      <c r="AD578" s="47">
        <v>577</v>
      </c>
    </row>
    <row r="579" spans="1:30" ht="15.75">
      <c r="A579" s="13" t="str">
        <f>IFERROR(VLOOKUP($G:$G,scan!$A:$B,2,0),"**")</f>
        <v>**</v>
      </c>
      <c r="B579" s="13" t="str">
        <f>IFERROR(VLOOKUP($G579,scan!A:C,3,0),"**")</f>
        <v>**</v>
      </c>
      <c r="C579" s="47">
        <v>578</v>
      </c>
      <c r="F579" s="78"/>
      <c r="G579" s="2"/>
      <c r="H579" s="47" t="s">
        <v>4926</v>
      </c>
      <c r="I579" s="43">
        <v>6042070338</v>
      </c>
      <c r="J579" s="43" t="s">
        <v>4927</v>
      </c>
      <c r="K579" s="47" t="s">
        <v>4928</v>
      </c>
      <c r="L579" s="67" t="e">
        <f>VLOOKUP(G579,Input!C:Q,12,FALSE)</f>
        <v>#N/A</v>
      </c>
      <c r="M579" s="68" t="e">
        <f>VLOOKUP(G579,Input!C:Q,15,FALSE)</f>
        <v>#N/A</v>
      </c>
      <c r="N579" s="69" t="e">
        <f>VLOOKUP(G579,Input!C:Q,14,FALSE)</f>
        <v>#N/A</v>
      </c>
      <c r="Q579" s="48">
        <v>1</v>
      </c>
      <c r="R579" s="75" t="e">
        <f>VLOOKUP(G579,Input!C:H,5,FALSE)</f>
        <v>#N/A</v>
      </c>
      <c r="T579" s="47">
        <v>1</v>
      </c>
      <c r="U579" s="47" t="str">
        <f t="shared" si="9"/>
        <v>578,578,**,</v>
      </c>
      <c r="AC579" s="47">
        <v>578</v>
      </c>
      <c r="AD579" s="47">
        <v>578</v>
      </c>
    </row>
    <row r="580" spans="1:30" ht="15.75">
      <c r="A580" s="13" t="str">
        <f>IFERROR(VLOOKUP($G:$G,scan!$A:$B,2,0),"**")</f>
        <v>**</v>
      </c>
      <c r="B580" s="13" t="str">
        <f>IFERROR(VLOOKUP($G580,scan!A:C,3,0),"**")</f>
        <v>**</v>
      </c>
      <c r="C580" s="47">
        <v>579</v>
      </c>
      <c r="F580" s="78"/>
      <c r="G580" s="2"/>
      <c r="H580" s="47" t="s">
        <v>4926</v>
      </c>
      <c r="I580" s="43">
        <v>6042070338</v>
      </c>
      <c r="J580" s="43" t="s">
        <v>4927</v>
      </c>
      <c r="K580" s="47" t="s">
        <v>4928</v>
      </c>
      <c r="L580" s="67" t="e">
        <f>VLOOKUP(G580,Input!C:Q,12,FALSE)</f>
        <v>#N/A</v>
      </c>
      <c r="M580" s="68" t="e">
        <f>VLOOKUP(G580,Input!C:Q,15,FALSE)</f>
        <v>#N/A</v>
      </c>
      <c r="N580" s="69" t="e">
        <f>VLOOKUP(G580,Input!C:Q,14,FALSE)</f>
        <v>#N/A</v>
      </c>
      <c r="Q580" s="48">
        <v>1</v>
      </c>
      <c r="R580" s="75" t="e">
        <f>VLOOKUP(G580,Input!C:H,5,FALSE)</f>
        <v>#N/A</v>
      </c>
      <c r="T580" s="47">
        <v>1</v>
      </c>
      <c r="U580" s="47" t="str">
        <f t="shared" si="9"/>
        <v>579,579,**,</v>
      </c>
      <c r="AC580" s="47">
        <v>579</v>
      </c>
      <c r="AD580" s="47">
        <v>579</v>
      </c>
    </row>
    <row r="581" spans="1:30" ht="15.75">
      <c r="A581" s="13" t="str">
        <f>IFERROR(VLOOKUP($G:$G,scan!$A:$B,2,0),"**")</f>
        <v>**</v>
      </c>
      <c r="B581" s="13" t="str">
        <f>IFERROR(VLOOKUP($G581,scan!A:C,3,0),"**")</f>
        <v>**</v>
      </c>
      <c r="C581" s="47">
        <v>580</v>
      </c>
      <c r="F581" s="78"/>
      <c r="G581" s="2"/>
      <c r="H581" s="47" t="s">
        <v>4926</v>
      </c>
      <c r="I581" s="43">
        <v>6042070338</v>
      </c>
      <c r="J581" s="43" t="s">
        <v>4927</v>
      </c>
      <c r="K581" s="47" t="s">
        <v>4928</v>
      </c>
      <c r="L581" s="67" t="e">
        <f>VLOOKUP(G581,Input!C:Q,12,FALSE)</f>
        <v>#N/A</v>
      </c>
      <c r="M581" s="68" t="e">
        <f>VLOOKUP(G581,Input!C:Q,15,FALSE)</f>
        <v>#N/A</v>
      </c>
      <c r="N581" s="69" t="e">
        <f>VLOOKUP(G581,Input!C:Q,14,FALSE)</f>
        <v>#N/A</v>
      </c>
      <c r="Q581" s="48">
        <v>1</v>
      </c>
      <c r="R581" s="75" t="e">
        <f>VLOOKUP(G581,Input!C:H,5,FALSE)</f>
        <v>#N/A</v>
      </c>
      <c r="T581" s="47">
        <v>1</v>
      </c>
      <c r="U581" s="47" t="str">
        <f t="shared" si="9"/>
        <v>580,580,**,</v>
      </c>
      <c r="AC581" s="47">
        <v>580</v>
      </c>
      <c r="AD581" s="47">
        <v>580</v>
      </c>
    </row>
    <row r="582" spans="1:30" ht="15.75">
      <c r="A582" s="13" t="str">
        <f>IFERROR(VLOOKUP($G:$G,scan!$A:$B,2,0),"**")</f>
        <v>**</v>
      </c>
      <c r="B582" s="13" t="str">
        <f>IFERROR(VLOOKUP($G582,scan!A:C,3,0),"**")</f>
        <v>**</v>
      </c>
      <c r="C582" s="47">
        <v>581</v>
      </c>
      <c r="F582" s="78"/>
      <c r="G582" s="2"/>
      <c r="H582" s="47" t="s">
        <v>4926</v>
      </c>
      <c r="I582" s="43">
        <v>6042070338</v>
      </c>
      <c r="J582" s="43" t="s">
        <v>4927</v>
      </c>
      <c r="K582" s="47" t="s">
        <v>4928</v>
      </c>
      <c r="L582" s="67" t="e">
        <f>VLOOKUP(G582,Input!C:Q,12,FALSE)</f>
        <v>#N/A</v>
      </c>
      <c r="M582" s="68" t="e">
        <f>VLOOKUP(G582,Input!C:Q,15,FALSE)</f>
        <v>#N/A</v>
      </c>
      <c r="N582" s="69" t="e">
        <f>VLOOKUP(G582,Input!C:Q,14,FALSE)</f>
        <v>#N/A</v>
      </c>
      <c r="Q582" s="48">
        <v>1</v>
      </c>
      <c r="R582" s="75" t="e">
        <f>VLOOKUP(G582,Input!C:H,5,FALSE)</f>
        <v>#N/A</v>
      </c>
      <c r="T582" s="47">
        <v>1</v>
      </c>
      <c r="U582" s="47" t="str">
        <f t="shared" si="9"/>
        <v>581,581,**,</v>
      </c>
      <c r="AC582" s="47">
        <v>581</v>
      </c>
      <c r="AD582" s="47">
        <v>581</v>
      </c>
    </row>
    <row r="583" spans="1:30" ht="15.75">
      <c r="A583" s="13" t="str">
        <f>IFERROR(VLOOKUP($G:$G,scan!$A:$B,2,0),"**")</f>
        <v>**</v>
      </c>
      <c r="B583" s="13" t="str">
        <f>IFERROR(VLOOKUP($G583,scan!A:C,3,0),"**")</f>
        <v>**</v>
      </c>
      <c r="C583" s="47">
        <v>582</v>
      </c>
      <c r="F583" s="78"/>
      <c r="G583" s="2"/>
      <c r="H583" s="47" t="s">
        <v>4926</v>
      </c>
      <c r="I583" s="43">
        <v>6042070338</v>
      </c>
      <c r="J583" s="43" t="s">
        <v>4927</v>
      </c>
      <c r="K583" s="47" t="s">
        <v>4928</v>
      </c>
      <c r="L583" s="67" t="e">
        <f>VLOOKUP(G583,Input!C:Q,12,FALSE)</f>
        <v>#N/A</v>
      </c>
      <c r="M583" s="68" t="e">
        <f>VLOOKUP(G583,Input!C:Q,15,FALSE)</f>
        <v>#N/A</v>
      </c>
      <c r="N583" s="69" t="e">
        <f>VLOOKUP(G583,Input!C:Q,14,FALSE)</f>
        <v>#N/A</v>
      </c>
      <c r="Q583" s="48">
        <v>1</v>
      </c>
      <c r="R583" s="75" t="e">
        <f>VLOOKUP(G583,Input!C:H,5,FALSE)</f>
        <v>#N/A</v>
      </c>
      <c r="T583" s="47">
        <v>1</v>
      </c>
      <c r="U583" s="47" t="str">
        <f t="shared" si="9"/>
        <v>582,582,**,</v>
      </c>
      <c r="AC583" s="47">
        <v>582</v>
      </c>
      <c r="AD583" s="47">
        <v>582</v>
      </c>
    </row>
    <row r="584" spans="1:30" ht="15.75">
      <c r="A584" s="13" t="str">
        <f>IFERROR(VLOOKUP($G:$G,scan!$A:$B,2,0),"**")</f>
        <v>**</v>
      </c>
      <c r="B584" s="13" t="str">
        <f>IFERROR(VLOOKUP($G584,scan!A:C,3,0),"**")</f>
        <v>**</v>
      </c>
      <c r="C584" s="47">
        <v>583</v>
      </c>
      <c r="F584" s="78"/>
      <c r="G584" s="2"/>
      <c r="H584" s="47" t="s">
        <v>4926</v>
      </c>
      <c r="I584" s="43">
        <v>6042070338</v>
      </c>
      <c r="J584" s="43" t="s">
        <v>4927</v>
      </c>
      <c r="K584" s="47" t="s">
        <v>4928</v>
      </c>
      <c r="L584" s="67" t="e">
        <f>VLOOKUP(G584,Input!C:Q,12,FALSE)</f>
        <v>#N/A</v>
      </c>
      <c r="M584" s="68" t="e">
        <f>VLOOKUP(G584,Input!C:Q,15,FALSE)</f>
        <v>#N/A</v>
      </c>
      <c r="N584" s="69" t="e">
        <f>VLOOKUP(G584,Input!C:Q,14,FALSE)</f>
        <v>#N/A</v>
      </c>
      <c r="Q584" s="48">
        <v>1</v>
      </c>
      <c r="R584" s="75" t="e">
        <f>VLOOKUP(G584,Input!C:H,5,FALSE)</f>
        <v>#N/A</v>
      </c>
      <c r="T584" s="47">
        <v>1</v>
      </c>
      <c r="U584" s="47" t="str">
        <f t="shared" si="9"/>
        <v>583,583,**,</v>
      </c>
      <c r="AC584" s="47">
        <v>583</v>
      </c>
      <c r="AD584" s="47">
        <v>583</v>
      </c>
    </row>
    <row r="585" spans="1:30" ht="15.75">
      <c r="A585" s="13" t="str">
        <f>IFERROR(VLOOKUP($G:$G,scan!$A:$B,2,0),"**")</f>
        <v>**</v>
      </c>
      <c r="B585" s="13" t="str">
        <f>IFERROR(VLOOKUP($G585,scan!A:C,3,0),"**")</f>
        <v>**</v>
      </c>
      <c r="C585" s="47">
        <v>584</v>
      </c>
      <c r="F585" s="78"/>
      <c r="G585" s="2"/>
      <c r="H585" s="47" t="s">
        <v>4926</v>
      </c>
      <c r="I585" s="43">
        <v>6042070338</v>
      </c>
      <c r="J585" s="43" t="s">
        <v>4927</v>
      </c>
      <c r="K585" s="47" t="s">
        <v>4928</v>
      </c>
      <c r="L585" s="67" t="e">
        <f>VLOOKUP(G585,Input!C:Q,12,FALSE)</f>
        <v>#N/A</v>
      </c>
      <c r="M585" s="68" t="e">
        <f>VLOOKUP(G585,Input!C:Q,15,FALSE)</f>
        <v>#N/A</v>
      </c>
      <c r="N585" s="69" t="e">
        <f>VLOOKUP(G585,Input!C:Q,14,FALSE)</f>
        <v>#N/A</v>
      </c>
      <c r="Q585" s="48">
        <v>1</v>
      </c>
      <c r="R585" s="75" t="e">
        <f>VLOOKUP(G585,Input!C:H,5,FALSE)</f>
        <v>#N/A</v>
      </c>
      <c r="T585" s="47">
        <v>1</v>
      </c>
      <c r="U585" s="47" t="str">
        <f t="shared" si="9"/>
        <v>584,584,**,</v>
      </c>
      <c r="AC585" s="47">
        <v>584</v>
      </c>
      <c r="AD585" s="47">
        <v>584</v>
      </c>
    </row>
    <row r="586" spans="1:30" ht="15.75">
      <c r="A586" s="13" t="str">
        <f>IFERROR(VLOOKUP($G:$G,scan!$A:$B,2,0),"**")</f>
        <v>**</v>
      </c>
      <c r="B586" s="13" t="str">
        <f>IFERROR(VLOOKUP($G586,scan!A:C,3,0),"**")</f>
        <v>**</v>
      </c>
      <c r="C586" s="47">
        <v>585</v>
      </c>
      <c r="F586" s="78"/>
      <c r="G586" s="2"/>
      <c r="H586" s="47" t="s">
        <v>4926</v>
      </c>
      <c r="I586" s="43">
        <v>6042070338</v>
      </c>
      <c r="J586" s="43" t="s">
        <v>4927</v>
      </c>
      <c r="K586" s="47" t="s">
        <v>4928</v>
      </c>
      <c r="L586" s="67" t="e">
        <f>VLOOKUP(G586,Input!C:Q,12,FALSE)</f>
        <v>#N/A</v>
      </c>
      <c r="M586" s="68" t="e">
        <f>VLOOKUP(G586,Input!C:Q,15,FALSE)</f>
        <v>#N/A</v>
      </c>
      <c r="N586" s="69" t="e">
        <f>VLOOKUP(G586,Input!C:Q,14,FALSE)</f>
        <v>#N/A</v>
      </c>
      <c r="Q586" s="48">
        <v>1</v>
      </c>
      <c r="R586" s="75" t="e">
        <f>VLOOKUP(G586,Input!C:H,5,FALSE)</f>
        <v>#N/A</v>
      </c>
      <c r="T586" s="47">
        <v>1</v>
      </c>
      <c r="U586" s="47" t="str">
        <f t="shared" si="9"/>
        <v>585,585,**,</v>
      </c>
      <c r="AC586" s="47">
        <v>585</v>
      </c>
      <c r="AD586" s="47">
        <v>585</v>
      </c>
    </row>
    <row r="587" spans="1:30" ht="15.75">
      <c r="A587" s="13" t="str">
        <f>IFERROR(VLOOKUP($G:$G,scan!$A:$B,2,0),"**")</f>
        <v>**</v>
      </c>
      <c r="B587" s="13" t="str">
        <f>IFERROR(VLOOKUP($G587,scan!A:C,3,0),"**")</f>
        <v>**</v>
      </c>
      <c r="C587" s="47">
        <v>586</v>
      </c>
      <c r="F587" s="78"/>
      <c r="G587" s="2"/>
      <c r="H587" s="47" t="s">
        <v>4926</v>
      </c>
      <c r="I587" s="43">
        <v>6042070338</v>
      </c>
      <c r="J587" s="43" t="s">
        <v>4927</v>
      </c>
      <c r="K587" s="47" t="s">
        <v>4928</v>
      </c>
      <c r="L587" s="67" t="e">
        <f>VLOOKUP(G587,Input!C:Q,12,FALSE)</f>
        <v>#N/A</v>
      </c>
      <c r="M587" s="68" t="e">
        <f>VLOOKUP(G587,Input!C:Q,15,FALSE)</f>
        <v>#N/A</v>
      </c>
      <c r="N587" s="69" t="e">
        <f>VLOOKUP(G587,Input!C:Q,14,FALSE)</f>
        <v>#N/A</v>
      </c>
      <c r="Q587" s="48">
        <v>1</v>
      </c>
      <c r="R587" s="75" t="e">
        <f>VLOOKUP(G587,Input!C:H,5,FALSE)</f>
        <v>#N/A</v>
      </c>
      <c r="T587" s="47">
        <v>1</v>
      </c>
      <c r="U587" s="47" t="str">
        <f t="shared" si="9"/>
        <v>586,586,**,</v>
      </c>
      <c r="AC587" s="47">
        <v>586</v>
      </c>
      <c r="AD587" s="47">
        <v>586</v>
      </c>
    </row>
    <row r="588" spans="1:30" ht="15.75">
      <c r="A588" s="13" t="str">
        <f>IFERROR(VLOOKUP($G:$G,scan!$A:$B,2,0),"**")</f>
        <v>**</v>
      </c>
      <c r="B588" s="13" t="str">
        <f>IFERROR(VLOOKUP($G588,scan!A:C,3,0),"**")</f>
        <v>**</v>
      </c>
      <c r="C588" s="47">
        <v>587</v>
      </c>
      <c r="F588" s="78"/>
      <c r="G588" s="2"/>
      <c r="H588" s="47" t="s">
        <v>4926</v>
      </c>
      <c r="I588" s="43">
        <v>6042070338</v>
      </c>
      <c r="J588" s="43" t="s">
        <v>4927</v>
      </c>
      <c r="K588" s="47" t="s">
        <v>4928</v>
      </c>
      <c r="L588" s="67" t="e">
        <f>VLOOKUP(G588,Input!C:Q,12,FALSE)</f>
        <v>#N/A</v>
      </c>
      <c r="M588" s="68" t="e">
        <f>VLOOKUP(G588,Input!C:Q,15,FALSE)</f>
        <v>#N/A</v>
      </c>
      <c r="N588" s="69" t="e">
        <f>VLOOKUP(G588,Input!C:Q,14,FALSE)</f>
        <v>#N/A</v>
      </c>
      <c r="Q588" s="48">
        <v>1</v>
      </c>
      <c r="R588" s="75" t="e">
        <f>VLOOKUP(G588,Input!C:H,5,FALSE)</f>
        <v>#N/A</v>
      </c>
      <c r="T588" s="47">
        <v>1</v>
      </c>
      <c r="U588" s="47" t="str">
        <f t="shared" si="9"/>
        <v>587,587,**,</v>
      </c>
      <c r="AC588" s="47">
        <v>587</v>
      </c>
      <c r="AD588" s="47">
        <v>587</v>
      </c>
    </row>
    <row r="589" spans="1:30" ht="15.75">
      <c r="A589" s="13" t="str">
        <f>IFERROR(VLOOKUP($G:$G,scan!$A:$B,2,0),"**")</f>
        <v>**</v>
      </c>
      <c r="B589" s="13" t="str">
        <f>IFERROR(VLOOKUP($G589,scan!A:C,3,0),"**")</f>
        <v>**</v>
      </c>
      <c r="C589" s="47">
        <v>588</v>
      </c>
      <c r="F589" s="78"/>
      <c r="G589" s="2"/>
      <c r="H589" s="47" t="s">
        <v>4926</v>
      </c>
      <c r="I589" s="43">
        <v>6042070338</v>
      </c>
      <c r="J589" s="43" t="s">
        <v>4927</v>
      </c>
      <c r="K589" s="47" t="s">
        <v>4928</v>
      </c>
      <c r="L589" s="67" t="e">
        <f>VLOOKUP(G589,Input!C:Q,12,FALSE)</f>
        <v>#N/A</v>
      </c>
      <c r="M589" s="68" t="e">
        <f>VLOOKUP(G589,Input!C:Q,15,FALSE)</f>
        <v>#N/A</v>
      </c>
      <c r="N589" s="69" t="e">
        <f>VLOOKUP(G589,Input!C:Q,14,FALSE)</f>
        <v>#N/A</v>
      </c>
      <c r="Q589" s="48">
        <v>1</v>
      </c>
      <c r="R589" s="75" t="e">
        <f>VLOOKUP(G589,Input!C:H,5,FALSE)</f>
        <v>#N/A</v>
      </c>
      <c r="T589" s="47">
        <v>1</v>
      </c>
      <c r="U589" s="47" t="str">
        <f t="shared" si="9"/>
        <v>588,588,**,</v>
      </c>
      <c r="AC589" s="47">
        <v>588</v>
      </c>
      <c r="AD589" s="47">
        <v>588</v>
      </c>
    </row>
    <row r="590" spans="1:30" ht="15.75">
      <c r="A590" s="13" t="str">
        <f>IFERROR(VLOOKUP($G:$G,scan!$A:$B,2,0),"**")</f>
        <v>**</v>
      </c>
      <c r="B590" s="13" t="str">
        <f>IFERROR(VLOOKUP($G590,scan!A:C,3,0),"**")</f>
        <v>**</v>
      </c>
      <c r="C590" s="47">
        <v>589</v>
      </c>
      <c r="F590" s="78"/>
      <c r="G590" s="2"/>
      <c r="H590" s="47" t="s">
        <v>4926</v>
      </c>
      <c r="I590" s="43">
        <v>6042070338</v>
      </c>
      <c r="J590" s="43" t="s">
        <v>4927</v>
      </c>
      <c r="K590" s="47" t="s">
        <v>4928</v>
      </c>
      <c r="L590" s="67" t="e">
        <f>VLOOKUP(G590,Input!C:Q,12,FALSE)</f>
        <v>#N/A</v>
      </c>
      <c r="M590" s="68" t="e">
        <f>VLOOKUP(G590,Input!C:Q,15,FALSE)</f>
        <v>#N/A</v>
      </c>
      <c r="N590" s="69" t="e">
        <f>VLOOKUP(G590,Input!C:Q,14,FALSE)</f>
        <v>#N/A</v>
      </c>
      <c r="Q590" s="48">
        <v>1</v>
      </c>
      <c r="R590" s="75" t="e">
        <f>VLOOKUP(G590,Input!C:H,5,FALSE)</f>
        <v>#N/A</v>
      </c>
      <c r="T590" s="47">
        <v>1</v>
      </c>
      <c r="U590" s="47" t="str">
        <f t="shared" si="9"/>
        <v>589,589,**,</v>
      </c>
      <c r="AC590" s="47">
        <v>589</v>
      </c>
      <c r="AD590" s="47">
        <v>589</v>
      </c>
    </row>
    <row r="591" spans="1:30" ht="15.75">
      <c r="A591" s="13" t="str">
        <f>IFERROR(VLOOKUP($G:$G,scan!$A:$B,2,0),"**")</f>
        <v>**</v>
      </c>
      <c r="B591" s="13" t="str">
        <f>IFERROR(VLOOKUP($G591,scan!A:C,3,0),"**")</f>
        <v>**</v>
      </c>
      <c r="C591" s="47">
        <v>590</v>
      </c>
      <c r="F591" s="78"/>
      <c r="G591" s="2"/>
      <c r="H591" s="47" t="s">
        <v>4926</v>
      </c>
      <c r="I591" s="43">
        <v>6042070338</v>
      </c>
      <c r="J591" s="43" t="s">
        <v>4927</v>
      </c>
      <c r="K591" s="47" t="s">
        <v>4928</v>
      </c>
      <c r="L591" s="67" t="e">
        <f>VLOOKUP(G591,Input!C:Q,12,FALSE)</f>
        <v>#N/A</v>
      </c>
      <c r="M591" s="68" t="e">
        <f>VLOOKUP(G591,Input!C:Q,15,FALSE)</f>
        <v>#N/A</v>
      </c>
      <c r="N591" s="69" t="e">
        <f>VLOOKUP(G591,Input!C:Q,14,FALSE)</f>
        <v>#N/A</v>
      </c>
      <c r="Q591" s="48">
        <v>1</v>
      </c>
      <c r="R591" s="75" t="e">
        <f>VLOOKUP(G591,Input!C:H,5,FALSE)</f>
        <v>#N/A</v>
      </c>
      <c r="T591" s="47">
        <v>1</v>
      </c>
      <c r="U591" s="47" t="str">
        <f t="shared" si="9"/>
        <v>590,590,**,</v>
      </c>
      <c r="AC591" s="47">
        <v>590</v>
      </c>
      <c r="AD591" s="47">
        <v>590</v>
      </c>
    </row>
    <row r="592" spans="1:30" ht="15.75">
      <c r="A592" s="13" t="str">
        <f>IFERROR(VLOOKUP($G:$G,scan!$A:$B,2,0),"**")</f>
        <v>**</v>
      </c>
      <c r="B592" s="13" t="str">
        <f>IFERROR(VLOOKUP($G592,scan!A:C,3,0),"**")</f>
        <v>**</v>
      </c>
      <c r="C592" s="47">
        <v>591</v>
      </c>
      <c r="F592" s="78"/>
      <c r="G592" s="2"/>
      <c r="H592" s="47" t="s">
        <v>4926</v>
      </c>
      <c r="I592" s="43">
        <v>6042070338</v>
      </c>
      <c r="J592" s="43" t="s">
        <v>4927</v>
      </c>
      <c r="K592" s="47" t="s">
        <v>4928</v>
      </c>
      <c r="L592" s="67" t="e">
        <f>VLOOKUP(G592,Input!C:Q,12,FALSE)</f>
        <v>#N/A</v>
      </c>
      <c r="M592" s="68" t="e">
        <f>VLOOKUP(G592,Input!C:Q,15,FALSE)</f>
        <v>#N/A</v>
      </c>
      <c r="N592" s="69" t="e">
        <f>VLOOKUP(G592,Input!C:Q,14,FALSE)</f>
        <v>#N/A</v>
      </c>
      <c r="Q592" s="48">
        <v>1</v>
      </c>
      <c r="R592" s="75" t="e">
        <f>VLOOKUP(G592,Input!C:H,5,FALSE)</f>
        <v>#N/A</v>
      </c>
      <c r="T592" s="47">
        <v>1</v>
      </c>
      <c r="U592" s="47" t="str">
        <f t="shared" si="9"/>
        <v>591,591,**,</v>
      </c>
      <c r="AC592" s="47">
        <v>591</v>
      </c>
      <c r="AD592" s="47">
        <v>591</v>
      </c>
    </row>
    <row r="593" spans="1:30" ht="15.75">
      <c r="A593" s="13" t="str">
        <f>IFERROR(VLOOKUP($G:$G,scan!$A:$B,2,0),"**")</f>
        <v>**</v>
      </c>
      <c r="B593" s="13" t="str">
        <f>IFERROR(VLOOKUP($G593,scan!A:C,3,0),"**")</f>
        <v>**</v>
      </c>
      <c r="C593" s="47">
        <v>592</v>
      </c>
      <c r="F593" s="78"/>
      <c r="G593" s="2"/>
      <c r="H593" s="47" t="s">
        <v>4926</v>
      </c>
      <c r="I593" s="43">
        <v>6042070338</v>
      </c>
      <c r="J593" s="43" t="s">
        <v>4927</v>
      </c>
      <c r="K593" s="47" t="s">
        <v>4928</v>
      </c>
      <c r="L593" s="67" t="e">
        <f>VLOOKUP(G593,Input!C:Q,12,FALSE)</f>
        <v>#N/A</v>
      </c>
      <c r="M593" s="68" t="e">
        <f>VLOOKUP(G593,Input!C:Q,15,FALSE)</f>
        <v>#N/A</v>
      </c>
      <c r="N593" s="69" t="e">
        <f>VLOOKUP(G593,Input!C:Q,14,FALSE)</f>
        <v>#N/A</v>
      </c>
      <c r="Q593" s="48">
        <v>1</v>
      </c>
      <c r="R593" s="75" t="e">
        <f>VLOOKUP(G593,Input!C:H,5,FALSE)</f>
        <v>#N/A</v>
      </c>
      <c r="T593" s="47">
        <v>1</v>
      </c>
      <c r="U593" s="47" t="str">
        <f t="shared" si="9"/>
        <v>592,592,**,</v>
      </c>
      <c r="AC593" s="47">
        <v>592</v>
      </c>
      <c r="AD593" s="47">
        <v>592</v>
      </c>
    </row>
    <row r="594" spans="1:30" ht="15.75">
      <c r="A594" s="13" t="str">
        <f>IFERROR(VLOOKUP($G:$G,scan!$A:$B,2,0),"**")</f>
        <v>**</v>
      </c>
      <c r="B594" s="13" t="str">
        <f>IFERROR(VLOOKUP($G594,scan!A:C,3,0),"**")</f>
        <v>**</v>
      </c>
      <c r="C594" s="47">
        <v>593</v>
      </c>
      <c r="F594" s="78"/>
      <c r="G594" s="2"/>
      <c r="H594" s="47" t="s">
        <v>4926</v>
      </c>
      <c r="I594" s="43">
        <v>6042070338</v>
      </c>
      <c r="J594" s="43" t="s">
        <v>4927</v>
      </c>
      <c r="K594" s="47" t="s">
        <v>4928</v>
      </c>
      <c r="L594" s="67" t="e">
        <f>VLOOKUP(G594,Input!C:Q,12,FALSE)</f>
        <v>#N/A</v>
      </c>
      <c r="M594" s="68" t="e">
        <f>VLOOKUP(G594,Input!C:Q,15,FALSE)</f>
        <v>#N/A</v>
      </c>
      <c r="N594" s="69" t="e">
        <f>VLOOKUP(G594,Input!C:Q,14,FALSE)</f>
        <v>#N/A</v>
      </c>
      <c r="Q594" s="48">
        <v>1</v>
      </c>
      <c r="R594" s="75" t="e">
        <f>VLOOKUP(G594,Input!C:H,5,FALSE)</f>
        <v>#N/A</v>
      </c>
      <c r="T594" s="47">
        <v>1</v>
      </c>
      <c r="U594" s="47" t="str">
        <f t="shared" si="9"/>
        <v>593,593,**,</v>
      </c>
      <c r="AC594" s="47">
        <v>593</v>
      </c>
      <c r="AD594" s="47">
        <v>593</v>
      </c>
    </row>
    <row r="595" spans="1:30" ht="15.75">
      <c r="A595" s="13" t="str">
        <f>IFERROR(VLOOKUP($G:$G,scan!$A:$B,2,0),"**")</f>
        <v>**</v>
      </c>
      <c r="B595" s="13" t="str">
        <f>IFERROR(VLOOKUP($G595,scan!A:C,3,0),"**")</f>
        <v>**</v>
      </c>
      <c r="C595" s="47">
        <v>594</v>
      </c>
      <c r="F595" s="78"/>
      <c r="G595" s="2"/>
      <c r="H595" s="47" t="s">
        <v>4926</v>
      </c>
      <c r="I595" s="43">
        <v>6042070338</v>
      </c>
      <c r="J595" s="43" t="s">
        <v>4927</v>
      </c>
      <c r="K595" s="47" t="s">
        <v>4928</v>
      </c>
      <c r="L595" s="67" t="e">
        <f>VLOOKUP(G595,Input!C:Q,12,FALSE)</f>
        <v>#N/A</v>
      </c>
      <c r="M595" s="68" t="e">
        <f>VLOOKUP(G595,Input!C:Q,15,FALSE)</f>
        <v>#N/A</v>
      </c>
      <c r="N595" s="69" t="e">
        <f>VLOOKUP(G595,Input!C:Q,14,FALSE)</f>
        <v>#N/A</v>
      </c>
      <c r="Q595" s="48">
        <v>1</v>
      </c>
      <c r="R595" s="75" t="e">
        <f>VLOOKUP(G595,Input!C:H,5,FALSE)</f>
        <v>#N/A</v>
      </c>
      <c r="T595" s="47">
        <v>1</v>
      </c>
      <c r="U595" s="47" t="str">
        <f t="shared" si="9"/>
        <v>594,594,**,</v>
      </c>
      <c r="AC595" s="47">
        <v>594</v>
      </c>
      <c r="AD595" s="47">
        <v>594</v>
      </c>
    </row>
    <row r="596" spans="1:30" ht="15.75">
      <c r="A596" s="13" t="str">
        <f>IFERROR(VLOOKUP($G:$G,scan!$A:$B,2,0),"**")</f>
        <v>**</v>
      </c>
      <c r="B596" s="13" t="str">
        <f>IFERROR(VLOOKUP($G596,scan!A:C,3,0),"**")</f>
        <v>**</v>
      </c>
      <c r="C596" s="47">
        <v>595</v>
      </c>
      <c r="F596" s="78"/>
      <c r="G596" s="2"/>
      <c r="H596" s="47" t="s">
        <v>4926</v>
      </c>
      <c r="I596" s="43">
        <v>6042070338</v>
      </c>
      <c r="J596" s="43" t="s">
        <v>4927</v>
      </c>
      <c r="K596" s="47" t="s">
        <v>4928</v>
      </c>
      <c r="L596" s="67" t="e">
        <f>VLOOKUP(G596,Input!C:Q,12,FALSE)</f>
        <v>#N/A</v>
      </c>
      <c r="M596" s="68" t="e">
        <f>VLOOKUP(G596,Input!C:Q,15,FALSE)</f>
        <v>#N/A</v>
      </c>
      <c r="N596" s="69" t="e">
        <f>VLOOKUP(G596,Input!C:Q,14,FALSE)</f>
        <v>#N/A</v>
      </c>
      <c r="Q596" s="48">
        <v>1</v>
      </c>
      <c r="R596" s="75" t="e">
        <f>VLOOKUP(G596,Input!C:H,5,FALSE)</f>
        <v>#N/A</v>
      </c>
      <c r="T596" s="47">
        <v>1</v>
      </c>
      <c r="U596" s="47" t="str">
        <f t="shared" si="9"/>
        <v>595,595,**,</v>
      </c>
      <c r="AC596" s="47">
        <v>595</v>
      </c>
      <c r="AD596" s="47">
        <v>595</v>
      </c>
    </row>
    <row r="597" spans="1:30" ht="15.75">
      <c r="A597" s="13" t="str">
        <f>IFERROR(VLOOKUP($G:$G,scan!$A:$B,2,0),"**")</f>
        <v>**</v>
      </c>
      <c r="B597" s="13" t="str">
        <f>IFERROR(VLOOKUP($G597,scan!A:C,3,0),"**")</f>
        <v>**</v>
      </c>
      <c r="C597" s="47">
        <v>596</v>
      </c>
      <c r="F597" s="78"/>
      <c r="G597" s="2"/>
      <c r="H597" s="47" t="s">
        <v>4926</v>
      </c>
      <c r="I597" s="43">
        <v>6042070338</v>
      </c>
      <c r="J597" s="43" t="s">
        <v>4927</v>
      </c>
      <c r="K597" s="47" t="s">
        <v>4928</v>
      </c>
      <c r="L597" s="67" t="e">
        <f>VLOOKUP(G597,Input!C:Q,12,FALSE)</f>
        <v>#N/A</v>
      </c>
      <c r="M597" s="68" t="e">
        <f>VLOOKUP(G597,Input!C:Q,15,FALSE)</f>
        <v>#N/A</v>
      </c>
      <c r="N597" s="69" t="e">
        <f>VLOOKUP(G597,Input!C:Q,14,FALSE)</f>
        <v>#N/A</v>
      </c>
      <c r="Q597" s="48">
        <v>1</v>
      </c>
      <c r="R597" s="75" t="e">
        <f>VLOOKUP(G597,Input!C:H,5,FALSE)</f>
        <v>#N/A</v>
      </c>
      <c r="T597" s="47">
        <v>1</v>
      </c>
      <c r="U597" s="47" t="str">
        <f t="shared" si="9"/>
        <v>596,596,**,</v>
      </c>
      <c r="AC597" s="47">
        <v>596</v>
      </c>
      <c r="AD597" s="47">
        <v>596</v>
      </c>
    </row>
    <row r="598" spans="1:30" ht="15.75">
      <c r="A598" s="13" t="str">
        <f>IFERROR(VLOOKUP($G:$G,scan!$A:$B,2,0),"**")</f>
        <v>**</v>
      </c>
      <c r="B598" s="13" t="str">
        <f>IFERROR(VLOOKUP($G598,scan!A:C,3,0),"**")</f>
        <v>**</v>
      </c>
      <c r="C598" s="47">
        <v>597</v>
      </c>
      <c r="F598" s="78"/>
      <c r="G598" s="2"/>
      <c r="H598" s="47" t="s">
        <v>4926</v>
      </c>
      <c r="I598" s="43">
        <v>6042070338</v>
      </c>
      <c r="J598" s="43" t="s">
        <v>4927</v>
      </c>
      <c r="K598" s="47" t="s">
        <v>4928</v>
      </c>
      <c r="L598" s="67" t="e">
        <f>VLOOKUP(G598,Input!C:Q,12,FALSE)</f>
        <v>#N/A</v>
      </c>
      <c r="M598" s="68" t="e">
        <f>VLOOKUP(G598,Input!C:Q,15,FALSE)</f>
        <v>#N/A</v>
      </c>
      <c r="N598" s="69" t="e">
        <f>VLOOKUP(G598,Input!C:Q,14,FALSE)</f>
        <v>#N/A</v>
      </c>
      <c r="Q598" s="48">
        <v>1</v>
      </c>
      <c r="R598" s="75" t="e">
        <f>VLOOKUP(G598,Input!C:H,5,FALSE)</f>
        <v>#N/A</v>
      </c>
      <c r="T598" s="47">
        <v>1</v>
      </c>
      <c r="U598" s="47" t="str">
        <f t="shared" si="9"/>
        <v>597,597,**,</v>
      </c>
      <c r="AC598" s="47">
        <v>597</v>
      </c>
      <c r="AD598" s="47">
        <v>597</v>
      </c>
    </row>
    <row r="599" spans="1:30" ht="15.75">
      <c r="A599" s="13" t="str">
        <f>IFERROR(VLOOKUP($G:$G,scan!$A:$B,2,0),"**")</f>
        <v>**</v>
      </c>
      <c r="B599" s="13" t="str">
        <f>IFERROR(VLOOKUP($G599,scan!A:C,3,0),"**")</f>
        <v>**</v>
      </c>
      <c r="C599" s="47">
        <v>598</v>
      </c>
      <c r="F599" s="78"/>
      <c r="G599" s="2"/>
      <c r="H599" s="47" t="s">
        <v>4926</v>
      </c>
      <c r="I599" s="43">
        <v>6042070338</v>
      </c>
      <c r="J599" s="43" t="s">
        <v>4927</v>
      </c>
      <c r="K599" s="47" t="s">
        <v>4928</v>
      </c>
      <c r="L599" s="67" t="e">
        <f>VLOOKUP(G599,Input!C:Q,12,FALSE)</f>
        <v>#N/A</v>
      </c>
      <c r="M599" s="68" t="e">
        <f>VLOOKUP(G599,Input!C:Q,15,FALSE)</f>
        <v>#N/A</v>
      </c>
      <c r="N599" s="69" t="e">
        <f>VLOOKUP(G599,Input!C:Q,14,FALSE)</f>
        <v>#N/A</v>
      </c>
      <c r="Q599" s="48">
        <v>1</v>
      </c>
      <c r="R599" s="75" t="e">
        <f>VLOOKUP(G599,Input!C:H,5,FALSE)</f>
        <v>#N/A</v>
      </c>
      <c r="T599" s="47">
        <v>1</v>
      </c>
      <c r="U599" s="47" t="str">
        <f t="shared" si="9"/>
        <v>598,598,**,</v>
      </c>
      <c r="AC599" s="47">
        <v>598</v>
      </c>
      <c r="AD599" s="47">
        <v>598</v>
      </c>
    </row>
    <row r="600" spans="1:30" ht="15.75">
      <c r="A600" s="13" t="str">
        <f>IFERROR(VLOOKUP($G:$G,scan!$A:$B,2,0),"**")</f>
        <v>**</v>
      </c>
      <c r="B600" s="13" t="str">
        <f>IFERROR(VLOOKUP($G600,scan!A:C,3,0),"**")</f>
        <v>**</v>
      </c>
      <c r="C600" s="47">
        <v>599</v>
      </c>
      <c r="F600" s="78"/>
      <c r="G600" s="2"/>
      <c r="H600" s="47" t="s">
        <v>4926</v>
      </c>
      <c r="I600" s="43">
        <v>6042070338</v>
      </c>
      <c r="J600" s="43" t="s">
        <v>4927</v>
      </c>
      <c r="K600" s="47" t="s">
        <v>4928</v>
      </c>
      <c r="L600" s="67" t="e">
        <f>VLOOKUP(G600,Input!C:Q,12,FALSE)</f>
        <v>#N/A</v>
      </c>
      <c r="M600" s="68" t="e">
        <f>VLOOKUP(G600,Input!C:Q,15,FALSE)</f>
        <v>#N/A</v>
      </c>
      <c r="N600" s="69" t="e">
        <f>VLOOKUP(G600,Input!C:Q,14,FALSE)</f>
        <v>#N/A</v>
      </c>
      <c r="Q600" s="48">
        <v>1</v>
      </c>
      <c r="R600" s="75" t="e">
        <f>VLOOKUP(G600,Input!C:H,5,FALSE)</f>
        <v>#N/A</v>
      </c>
      <c r="T600" s="47">
        <v>1</v>
      </c>
      <c r="U600" s="47" t="str">
        <f t="shared" si="9"/>
        <v>599,599,**,</v>
      </c>
      <c r="AC600" s="47">
        <v>599</v>
      </c>
      <c r="AD600" s="47">
        <v>599</v>
      </c>
    </row>
    <row r="601" spans="1:30" ht="15.75">
      <c r="A601" s="13" t="str">
        <f>IFERROR(VLOOKUP($G:$G,scan!$A:$B,2,0),"**")</f>
        <v>**</v>
      </c>
      <c r="B601" s="13" t="str">
        <f>IFERROR(VLOOKUP($G601,scan!A:C,3,0),"**")</f>
        <v>**</v>
      </c>
      <c r="C601" s="47">
        <v>600</v>
      </c>
      <c r="F601" s="78"/>
      <c r="G601" s="2"/>
      <c r="H601" s="47" t="s">
        <v>4926</v>
      </c>
      <c r="I601" s="43">
        <v>6042070338</v>
      </c>
      <c r="J601" s="43" t="s">
        <v>4927</v>
      </c>
      <c r="K601" s="47" t="s">
        <v>4928</v>
      </c>
      <c r="L601" s="67" t="e">
        <f>VLOOKUP(G601,Input!C:Q,12,FALSE)</f>
        <v>#N/A</v>
      </c>
      <c r="M601" s="68" t="e">
        <f>VLOOKUP(G601,Input!C:Q,15,FALSE)</f>
        <v>#N/A</v>
      </c>
      <c r="N601" s="69" t="e">
        <f>VLOOKUP(G601,Input!C:Q,14,FALSE)</f>
        <v>#N/A</v>
      </c>
      <c r="Q601" s="48">
        <v>1</v>
      </c>
      <c r="R601" s="75" t="e">
        <f>VLOOKUP(G601,Input!C:H,5,FALSE)</f>
        <v>#N/A</v>
      </c>
      <c r="T601" s="47">
        <v>1</v>
      </c>
      <c r="U601" s="47" t="str">
        <f t="shared" si="9"/>
        <v>600,600,**,</v>
      </c>
      <c r="AC601" s="47">
        <v>600</v>
      </c>
      <c r="AD601" s="47">
        <v>600</v>
      </c>
    </row>
    <row r="602" spans="1:30" ht="15.75">
      <c r="A602" s="13" t="str">
        <f>IFERROR(VLOOKUP($G:$G,scan!$A:$B,2,0),"**")</f>
        <v>**</v>
      </c>
      <c r="B602" s="13" t="str">
        <f>IFERROR(VLOOKUP($G602,scan!A:C,3,0),"**")</f>
        <v>**</v>
      </c>
      <c r="C602" s="47">
        <v>601</v>
      </c>
      <c r="F602" s="78"/>
      <c r="G602" s="2"/>
      <c r="H602" s="47" t="s">
        <v>4926</v>
      </c>
      <c r="I602" s="43">
        <v>6042070338</v>
      </c>
      <c r="J602" s="43" t="s">
        <v>4927</v>
      </c>
      <c r="K602" s="47" t="s">
        <v>4928</v>
      </c>
      <c r="L602" s="67" t="e">
        <f>VLOOKUP(G602,Input!C:Q,12,FALSE)</f>
        <v>#N/A</v>
      </c>
      <c r="M602" s="68" t="e">
        <f>VLOOKUP(G602,Input!C:Q,15,FALSE)</f>
        <v>#N/A</v>
      </c>
      <c r="N602" s="69" t="e">
        <f>VLOOKUP(G602,Input!C:Q,14,FALSE)</f>
        <v>#N/A</v>
      </c>
      <c r="Q602" s="48">
        <v>1</v>
      </c>
      <c r="R602" s="75" t="e">
        <f>VLOOKUP(G602,Input!C:H,5,FALSE)</f>
        <v>#N/A</v>
      </c>
      <c r="T602" s="47">
        <v>1</v>
      </c>
      <c r="U602" s="47" t="str">
        <f t="shared" si="9"/>
        <v>601,601,**,</v>
      </c>
      <c r="AC602" s="47">
        <v>601</v>
      </c>
      <c r="AD602" s="47">
        <v>601</v>
      </c>
    </row>
    <row r="603" spans="1:30" ht="15.75">
      <c r="A603" s="13" t="str">
        <f>IFERROR(VLOOKUP($G:$G,scan!$A:$B,2,0),"**")</f>
        <v>**</v>
      </c>
      <c r="B603" s="13" t="str">
        <f>IFERROR(VLOOKUP($G603,scan!A:C,3,0),"**")</f>
        <v>**</v>
      </c>
      <c r="C603" s="47">
        <v>602</v>
      </c>
      <c r="F603" s="78"/>
      <c r="G603" s="2"/>
      <c r="H603" s="47" t="s">
        <v>4926</v>
      </c>
      <c r="I603" s="43">
        <v>6042070338</v>
      </c>
      <c r="J603" s="43" t="s">
        <v>4927</v>
      </c>
      <c r="K603" s="47" t="s">
        <v>4928</v>
      </c>
      <c r="L603" s="67" t="e">
        <f>VLOOKUP(G603,Input!C:Q,12,FALSE)</f>
        <v>#N/A</v>
      </c>
      <c r="M603" s="68" t="e">
        <f>VLOOKUP(G603,Input!C:Q,15,FALSE)</f>
        <v>#N/A</v>
      </c>
      <c r="N603" s="69" t="e">
        <f>VLOOKUP(G603,Input!C:Q,14,FALSE)</f>
        <v>#N/A</v>
      </c>
      <c r="Q603" s="48">
        <v>1</v>
      </c>
      <c r="R603" s="75" t="e">
        <f>VLOOKUP(G603,Input!C:H,5,FALSE)</f>
        <v>#N/A</v>
      </c>
      <c r="T603" s="47">
        <v>1</v>
      </c>
      <c r="U603" s="47" t="str">
        <f t="shared" si="9"/>
        <v>602,602,**,</v>
      </c>
      <c r="AC603" s="47">
        <v>602</v>
      </c>
      <c r="AD603" s="47">
        <v>602</v>
      </c>
    </row>
    <row r="604" spans="1:30" ht="15.75">
      <c r="A604" s="13" t="str">
        <f>IFERROR(VLOOKUP($G:$G,scan!$A:$B,2,0),"**")</f>
        <v>**</v>
      </c>
      <c r="B604" s="13" t="str">
        <f>IFERROR(VLOOKUP($G604,scan!A:C,3,0),"**")</f>
        <v>**</v>
      </c>
      <c r="C604" s="47">
        <v>603</v>
      </c>
      <c r="F604" s="78"/>
      <c r="G604" s="2"/>
      <c r="H604" s="47" t="s">
        <v>4926</v>
      </c>
      <c r="I604" s="43">
        <v>6042070338</v>
      </c>
      <c r="J604" s="43" t="s">
        <v>4927</v>
      </c>
      <c r="K604" s="47" t="s">
        <v>4928</v>
      </c>
      <c r="L604" s="67" t="e">
        <f>VLOOKUP(G604,Input!C:Q,12,FALSE)</f>
        <v>#N/A</v>
      </c>
      <c r="M604" s="68" t="e">
        <f>VLOOKUP(G604,Input!C:Q,15,FALSE)</f>
        <v>#N/A</v>
      </c>
      <c r="N604" s="69" t="e">
        <f>VLOOKUP(G604,Input!C:Q,14,FALSE)</f>
        <v>#N/A</v>
      </c>
      <c r="Q604" s="48">
        <v>1</v>
      </c>
      <c r="R604" s="75" t="e">
        <f>VLOOKUP(G604,Input!C:H,5,FALSE)</f>
        <v>#N/A</v>
      </c>
      <c r="T604" s="47">
        <v>1</v>
      </c>
      <c r="U604" s="47" t="str">
        <f t="shared" si="9"/>
        <v>603,603,**,</v>
      </c>
      <c r="AC604" s="47">
        <v>603</v>
      </c>
      <c r="AD604" s="47">
        <v>603</v>
      </c>
    </row>
    <row r="605" spans="1:30" ht="15.75">
      <c r="A605" s="13" t="str">
        <f>IFERROR(VLOOKUP($G:$G,scan!$A:$B,2,0),"**")</f>
        <v>**</v>
      </c>
      <c r="B605" s="13" t="str">
        <f>IFERROR(VLOOKUP($G605,scan!A:C,3,0),"**")</f>
        <v>**</v>
      </c>
      <c r="C605" s="47">
        <v>604</v>
      </c>
      <c r="F605" s="78"/>
      <c r="G605" s="2"/>
      <c r="H605" s="47" t="s">
        <v>4926</v>
      </c>
      <c r="I605" s="43">
        <v>6042070338</v>
      </c>
      <c r="J605" s="43" t="s">
        <v>4927</v>
      </c>
      <c r="K605" s="47" t="s">
        <v>4928</v>
      </c>
      <c r="L605" s="67" t="e">
        <f>VLOOKUP(G605,Input!C:Q,12,FALSE)</f>
        <v>#N/A</v>
      </c>
      <c r="M605" s="68" t="e">
        <f>VLOOKUP(G605,Input!C:Q,15,FALSE)</f>
        <v>#N/A</v>
      </c>
      <c r="N605" s="69" t="e">
        <f>VLOOKUP(G605,Input!C:Q,14,FALSE)</f>
        <v>#N/A</v>
      </c>
      <c r="Q605" s="48">
        <v>1</v>
      </c>
      <c r="R605" s="75" t="e">
        <f>VLOOKUP(G605,Input!C:H,5,FALSE)</f>
        <v>#N/A</v>
      </c>
      <c r="T605" s="47">
        <v>1</v>
      </c>
      <c r="U605" s="47" t="str">
        <f t="shared" si="9"/>
        <v>604,604,**,</v>
      </c>
      <c r="AC605" s="47">
        <v>604</v>
      </c>
      <c r="AD605" s="47">
        <v>604</v>
      </c>
    </row>
    <row r="606" spans="1:30" ht="15.75">
      <c r="A606" s="13" t="str">
        <f>IFERROR(VLOOKUP($G:$G,scan!$A:$B,2,0),"**")</f>
        <v>**</v>
      </c>
      <c r="B606" s="13" t="str">
        <f>IFERROR(VLOOKUP($G606,scan!A:C,3,0),"**")</f>
        <v>**</v>
      </c>
      <c r="C606" s="47">
        <v>605</v>
      </c>
      <c r="F606" s="78"/>
      <c r="G606" s="2"/>
      <c r="H606" s="47" t="s">
        <v>4926</v>
      </c>
      <c r="I606" s="43">
        <v>6042070338</v>
      </c>
      <c r="J606" s="43" t="s">
        <v>4927</v>
      </c>
      <c r="K606" s="47" t="s">
        <v>4928</v>
      </c>
      <c r="L606" s="67" t="e">
        <f>VLOOKUP(G606,Input!C:Q,12,FALSE)</f>
        <v>#N/A</v>
      </c>
      <c r="M606" s="68" t="e">
        <f>VLOOKUP(G606,Input!C:Q,15,FALSE)</f>
        <v>#N/A</v>
      </c>
      <c r="N606" s="69" t="e">
        <f>VLOOKUP(G606,Input!C:Q,14,FALSE)</f>
        <v>#N/A</v>
      </c>
      <c r="Q606" s="48">
        <v>1</v>
      </c>
      <c r="R606" s="75" t="e">
        <f>VLOOKUP(G606,Input!C:H,5,FALSE)</f>
        <v>#N/A</v>
      </c>
      <c r="T606" s="47">
        <v>1</v>
      </c>
      <c r="U606" s="47" t="str">
        <f t="shared" si="9"/>
        <v>605,605,**,</v>
      </c>
      <c r="AC606" s="47">
        <v>605</v>
      </c>
      <c r="AD606" s="47">
        <v>605</v>
      </c>
    </row>
    <row r="607" spans="1:30" ht="15.75">
      <c r="A607" s="13" t="str">
        <f>IFERROR(VLOOKUP($G:$G,scan!$A:$B,2,0),"**")</f>
        <v>**</v>
      </c>
      <c r="B607" s="13" t="str">
        <f>IFERROR(VLOOKUP($G607,scan!A:C,3,0),"**")</f>
        <v>**</v>
      </c>
      <c r="C607" s="47">
        <v>606</v>
      </c>
      <c r="F607" s="78"/>
      <c r="G607" s="2"/>
      <c r="H607" s="47" t="s">
        <v>4926</v>
      </c>
      <c r="I607" s="43">
        <v>6042070338</v>
      </c>
      <c r="J607" s="43" t="s">
        <v>4927</v>
      </c>
      <c r="K607" s="47" t="s">
        <v>4928</v>
      </c>
      <c r="L607" s="67" t="e">
        <f>VLOOKUP(G607,Input!C:Q,12,FALSE)</f>
        <v>#N/A</v>
      </c>
      <c r="M607" s="68" t="e">
        <f>VLOOKUP(G607,Input!C:Q,15,FALSE)</f>
        <v>#N/A</v>
      </c>
      <c r="N607" s="69" t="e">
        <f>VLOOKUP(G607,Input!C:Q,14,FALSE)</f>
        <v>#N/A</v>
      </c>
      <c r="Q607" s="48">
        <v>1</v>
      </c>
      <c r="R607" s="75" t="e">
        <f>VLOOKUP(G607,Input!C:H,5,FALSE)</f>
        <v>#N/A</v>
      </c>
      <c r="T607" s="47">
        <v>1</v>
      </c>
      <c r="U607" s="47" t="str">
        <f t="shared" si="9"/>
        <v>606,606,**,</v>
      </c>
      <c r="AC607" s="47">
        <v>606</v>
      </c>
      <c r="AD607" s="47">
        <v>606</v>
      </c>
    </row>
    <row r="608" spans="1:30" ht="15.75">
      <c r="A608" s="13" t="str">
        <f>IFERROR(VLOOKUP($G:$G,scan!$A:$B,2,0),"**")</f>
        <v>**</v>
      </c>
      <c r="B608" s="13" t="str">
        <f>IFERROR(VLOOKUP($G608,scan!A:C,3,0),"**")</f>
        <v>**</v>
      </c>
      <c r="C608" s="47">
        <v>607</v>
      </c>
      <c r="F608" s="78"/>
      <c r="G608" s="2"/>
      <c r="H608" s="47" t="s">
        <v>4926</v>
      </c>
      <c r="I608" s="43">
        <v>6042070338</v>
      </c>
      <c r="J608" s="43" t="s">
        <v>4927</v>
      </c>
      <c r="K608" s="47" t="s">
        <v>4928</v>
      </c>
      <c r="L608" s="67" t="e">
        <f>VLOOKUP(G608,Input!C:Q,12,FALSE)</f>
        <v>#N/A</v>
      </c>
      <c r="M608" s="68" t="e">
        <f>VLOOKUP(G608,Input!C:Q,15,FALSE)</f>
        <v>#N/A</v>
      </c>
      <c r="N608" s="69" t="e">
        <f>VLOOKUP(G608,Input!C:Q,14,FALSE)</f>
        <v>#N/A</v>
      </c>
      <c r="Q608" s="48">
        <v>1</v>
      </c>
      <c r="R608" s="75" t="e">
        <f>VLOOKUP(G608,Input!C:H,5,FALSE)</f>
        <v>#N/A</v>
      </c>
      <c r="T608" s="47">
        <v>1</v>
      </c>
      <c r="U608" s="47" t="str">
        <f t="shared" si="9"/>
        <v>607,607,**,</v>
      </c>
      <c r="AC608" s="47">
        <v>607</v>
      </c>
      <c r="AD608" s="47">
        <v>607</v>
      </c>
    </row>
    <row r="609" spans="1:30" ht="15.75">
      <c r="A609" s="13" t="str">
        <f>IFERROR(VLOOKUP($G:$G,scan!$A:$B,2,0),"**")</f>
        <v>**</v>
      </c>
      <c r="B609" s="13" t="str">
        <f>IFERROR(VLOOKUP($G609,scan!A:C,3,0),"**")</f>
        <v>**</v>
      </c>
      <c r="C609" s="47">
        <v>608</v>
      </c>
      <c r="F609" s="78"/>
      <c r="G609" s="2"/>
      <c r="H609" s="47" t="s">
        <v>4926</v>
      </c>
      <c r="I609" s="43">
        <v>6042070338</v>
      </c>
      <c r="J609" s="43" t="s">
        <v>4927</v>
      </c>
      <c r="K609" s="47" t="s">
        <v>4928</v>
      </c>
      <c r="L609" s="67" t="e">
        <f>VLOOKUP(G609,Input!C:Q,12,FALSE)</f>
        <v>#N/A</v>
      </c>
      <c r="M609" s="68" t="e">
        <f>VLOOKUP(G609,Input!C:Q,15,FALSE)</f>
        <v>#N/A</v>
      </c>
      <c r="N609" s="69" t="e">
        <f>VLOOKUP(G609,Input!C:Q,14,FALSE)</f>
        <v>#N/A</v>
      </c>
      <c r="Q609" s="48">
        <v>1</v>
      </c>
      <c r="R609" s="75" t="e">
        <f>VLOOKUP(G609,Input!C:H,5,FALSE)</f>
        <v>#N/A</v>
      </c>
      <c r="T609" s="47">
        <v>1</v>
      </c>
      <c r="U609" s="47" t="str">
        <f t="shared" si="9"/>
        <v>608,608,**,</v>
      </c>
      <c r="AC609" s="47">
        <v>608</v>
      </c>
      <c r="AD609" s="47">
        <v>608</v>
      </c>
    </row>
    <row r="610" spans="1:30" ht="15.75">
      <c r="A610" s="13" t="str">
        <f>IFERROR(VLOOKUP($G:$G,scan!$A:$B,2,0),"**")</f>
        <v>**</v>
      </c>
      <c r="B610" s="13" t="str">
        <f>IFERROR(VLOOKUP($G610,scan!A:C,3,0),"**")</f>
        <v>**</v>
      </c>
      <c r="C610" s="47">
        <v>609</v>
      </c>
      <c r="F610" s="78"/>
      <c r="G610" s="2"/>
      <c r="H610" s="47" t="s">
        <v>4926</v>
      </c>
      <c r="I610" s="43">
        <v>6042070338</v>
      </c>
      <c r="J610" s="43" t="s">
        <v>4927</v>
      </c>
      <c r="K610" s="47" t="s">
        <v>4928</v>
      </c>
      <c r="L610" s="67" t="e">
        <f>VLOOKUP(G610,Input!C:Q,12,FALSE)</f>
        <v>#N/A</v>
      </c>
      <c r="M610" s="68" t="e">
        <f>VLOOKUP(G610,Input!C:Q,15,FALSE)</f>
        <v>#N/A</v>
      </c>
      <c r="N610" s="69" t="e">
        <f>VLOOKUP(G610,Input!C:Q,14,FALSE)</f>
        <v>#N/A</v>
      </c>
      <c r="Q610" s="48">
        <v>1</v>
      </c>
      <c r="R610" s="75" t="e">
        <f>VLOOKUP(G610,Input!C:H,5,FALSE)</f>
        <v>#N/A</v>
      </c>
      <c r="T610" s="47">
        <v>1</v>
      </c>
      <c r="U610" s="47" t="str">
        <f t="shared" si="9"/>
        <v>609,609,**,</v>
      </c>
      <c r="AC610" s="47">
        <v>609</v>
      </c>
      <c r="AD610" s="47">
        <v>609</v>
      </c>
    </row>
    <row r="611" spans="1:30" ht="15.75">
      <c r="A611" s="13" t="str">
        <f>IFERROR(VLOOKUP($G:$G,scan!$A:$B,2,0),"**")</f>
        <v>**</v>
      </c>
      <c r="B611" s="13" t="str">
        <f>IFERROR(VLOOKUP($G611,scan!A:C,3,0),"**")</f>
        <v>**</v>
      </c>
      <c r="C611" s="47">
        <v>610</v>
      </c>
      <c r="F611" s="78"/>
      <c r="G611" s="2"/>
      <c r="H611" s="47" t="s">
        <v>4926</v>
      </c>
      <c r="I611" s="43">
        <v>6042070338</v>
      </c>
      <c r="J611" s="43" t="s">
        <v>4927</v>
      </c>
      <c r="K611" s="47" t="s">
        <v>4928</v>
      </c>
      <c r="L611" s="67" t="e">
        <f>VLOOKUP(G611,Input!C:Q,12,FALSE)</f>
        <v>#N/A</v>
      </c>
      <c r="M611" s="68" t="e">
        <f>VLOOKUP(G611,Input!C:Q,15,FALSE)</f>
        <v>#N/A</v>
      </c>
      <c r="N611" s="69" t="e">
        <f>VLOOKUP(G611,Input!C:Q,14,FALSE)</f>
        <v>#N/A</v>
      </c>
      <c r="Q611" s="48">
        <v>1</v>
      </c>
      <c r="R611" s="75" t="e">
        <f>VLOOKUP(G611,Input!C:H,5,FALSE)</f>
        <v>#N/A</v>
      </c>
      <c r="T611" s="47">
        <v>1</v>
      </c>
      <c r="U611" s="47" t="str">
        <f t="shared" si="9"/>
        <v>610,610,**,</v>
      </c>
      <c r="AC611" s="47">
        <v>610</v>
      </c>
      <c r="AD611" s="47">
        <v>610</v>
      </c>
    </row>
    <row r="612" spans="1:30" ht="15.75">
      <c r="A612" s="13" t="str">
        <f>IFERROR(VLOOKUP($G:$G,scan!$A:$B,2,0),"**")</f>
        <v>**</v>
      </c>
      <c r="B612" s="13" t="str">
        <f>IFERROR(VLOOKUP($G612,scan!A:C,3,0),"**")</f>
        <v>**</v>
      </c>
      <c r="C612" s="47">
        <v>611</v>
      </c>
      <c r="F612" s="78"/>
      <c r="G612" s="2"/>
      <c r="H612" s="47" t="s">
        <v>4926</v>
      </c>
      <c r="I612" s="43">
        <v>6042070338</v>
      </c>
      <c r="J612" s="43" t="s">
        <v>4927</v>
      </c>
      <c r="K612" s="47" t="s">
        <v>4928</v>
      </c>
      <c r="L612" s="67" t="e">
        <f>VLOOKUP(G612,Input!C:Q,12,FALSE)</f>
        <v>#N/A</v>
      </c>
      <c r="M612" s="68" t="e">
        <f>VLOOKUP(G612,Input!C:Q,15,FALSE)</f>
        <v>#N/A</v>
      </c>
      <c r="N612" s="69" t="e">
        <f>VLOOKUP(G612,Input!C:Q,14,FALSE)</f>
        <v>#N/A</v>
      </c>
      <c r="Q612" s="48">
        <v>1</v>
      </c>
      <c r="R612" s="75" t="e">
        <f>VLOOKUP(G612,Input!C:H,5,FALSE)</f>
        <v>#N/A</v>
      </c>
      <c r="T612" s="47">
        <v>1</v>
      </c>
      <c r="U612" s="47" t="str">
        <f t="shared" si="9"/>
        <v>611,611,**,</v>
      </c>
      <c r="AC612" s="47">
        <v>611</v>
      </c>
      <c r="AD612" s="47">
        <v>611</v>
      </c>
    </row>
    <row r="613" spans="1:30" ht="15.75">
      <c r="A613" s="13" t="str">
        <f>IFERROR(VLOOKUP($G:$G,scan!$A:$B,2,0),"**")</f>
        <v>**</v>
      </c>
      <c r="B613" s="13" t="str">
        <f>IFERROR(VLOOKUP($G613,scan!A:C,3,0),"**")</f>
        <v>**</v>
      </c>
      <c r="C613" s="47">
        <v>612</v>
      </c>
      <c r="F613" s="78"/>
      <c r="G613" s="2"/>
      <c r="H613" s="47" t="s">
        <v>4926</v>
      </c>
      <c r="I613" s="43">
        <v>6042070338</v>
      </c>
      <c r="J613" s="43" t="s">
        <v>4927</v>
      </c>
      <c r="K613" s="47" t="s">
        <v>4928</v>
      </c>
      <c r="L613" s="67" t="e">
        <f>VLOOKUP(G613,Input!C:Q,12,FALSE)</f>
        <v>#N/A</v>
      </c>
      <c r="M613" s="68" t="e">
        <f>VLOOKUP(G613,Input!C:Q,15,FALSE)</f>
        <v>#N/A</v>
      </c>
      <c r="N613" s="69" t="e">
        <f>VLOOKUP(G613,Input!C:Q,14,FALSE)</f>
        <v>#N/A</v>
      </c>
      <c r="Q613" s="48">
        <v>1</v>
      </c>
      <c r="R613" s="75" t="e">
        <f>VLOOKUP(G613,Input!C:H,5,FALSE)</f>
        <v>#N/A</v>
      </c>
      <c r="T613" s="47">
        <v>1</v>
      </c>
      <c r="U613" s="47" t="str">
        <f t="shared" si="9"/>
        <v>612,612,**,</v>
      </c>
      <c r="AC613" s="47">
        <v>612</v>
      </c>
      <c r="AD613" s="47">
        <v>612</v>
      </c>
    </row>
    <row r="614" spans="1:30" ht="15.75">
      <c r="A614" s="13" t="str">
        <f>IFERROR(VLOOKUP($G:$G,scan!$A:$B,2,0),"**")</f>
        <v>**</v>
      </c>
      <c r="B614" s="13" t="str">
        <f>IFERROR(VLOOKUP($G614,scan!A:C,3,0),"**")</f>
        <v>**</v>
      </c>
      <c r="C614" s="47">
        <v>613</v>
      </c>
      <c r="F614" s="78"/>
      <c r="G614" s="2"/>
      <c r="H614" s="47" t="s">
        <v>4926</v>
      </c>
      <c r="I614" s="43">
        <v>6042070338</v>
      </c>
      <c r="J614" s="43" t="s">
        <v>4927</v>
      </c>
      <c r="K614" s="47" t="s">
        <v>4928</v>
      </c>
      <c r="L614" s="67" t="e">
        <f>VLOOKUP(G614,Input!C:Q,12,FALSE)</f>
        <v>#N/A</v>
      </c>
      <c r="M614" s="68" t="e">
        <f>VLOOKUP(G614,Input!C:Q,15,FALSE)</f>
        <v>#N/A</v>
      </c>
      <c r="N614" s="69" t="e">
        <f>VLOOKUP(G614,Input!C:Q,14,FALSE)</f>
        <v>#N/A</v>
      </c>
      <c r="Q614" s="48">
        <v>1</v>
      </c>
      <c r="R614" s="75" t="e">
        <f>VLOOKUP(G614,Input!C:H,5,FALSE)</f>
        <v>#N/A</v>
      </c>
      <c r="T614" s="47">
        <v>1</v>
      </c>
      <c r="U614" s="47" t="str">
        <f t="shared" si="9"/>
        <v>613,613,**,</v>
      </c>
      <c r="AC614" s="47">
        <v>613</v>
      </c>
      <c r="AD614" s="47">
        <v>613</v>
      </c>
    </row>
    <row r="615" spans="1:30" ht="15.75">
      <c r="A615" s="13" t="str">
        <f>IFERROR(VLOOKUP($G:$G,scan!$A:$B,2,0),"**")</f>
        <v>**</v>
      </c>
      <c r="B615" s="13" t="str">
        <f>IFERROR(VLOOKUP($G615,scan!A:C,3,0),"**")</f>
        <v>**</v>
      </c>
      <c r="C615" s="47">
        <v>614</v>
      </c>
      <c r="F615" s="78"/>
      <c r="G615" s="2"/>
      <c r="H615" s="47" t="s">
        <v>4926</v>
      </c>
      <c r="I615" s="43">
        <v>6042070338</v>
      </c>
      <c r="J615" s="43" t="s">
        <v>4927</v>
      </c>
      <c r="K615" s="47" t="s">
        <v>4928</v>
      </c>
      <c r="L615" s="67" t="e">
        <f>VLOOKUP(G615,Input!C:Q,12,FALSE)</f>
        <v>#N/A</v>
      </c>
      <c r="M615" s="68" t="e">
        <f>VLOOKUP(G615,Input!C:Q,15,FALSE)</f>
        <v>#N/A</v>
      </c>
      <c r="N615" s="69" t="e">
        <f>VLOOKUP(G615,Input!C:Q,14,FALSE)</f>
        <v>#N/A</v>
      </c>
      <c r="Q615" s="48">
        <v>1</v>
      </c>
      <c r="R615" s="75" t="e">
        <f>VLOOKUP(G615,Input!C:H,5,FALSE)</f>
        <v>#N/A</v>
      </c>
      <c r="T615" s="47">
        <v>1</v>
      </c>
      <c r="U615" s="47" t="str">
        <f t="shared" si="9"/>
        <v>614,614,**,</v>
      </c>
      <c r="AC615" s="47">
        <v>614</v>
      </c>
      <c r="AD615" s="47">
        <v>614</v>
      </c>
    </row>
    <row r="616" spans="1:30" ht="15.75">
      <c r="A616" s="13" t="str">
        <f>IFERROR(VLOOKUP($G:$G,scan!$A:$B,2,0),"**")</f>
        <v>**</v>
      </c>
      <c r="B616" s="13" t="str">
        <f>IFERROR(VLOOKUP($G616,scan!A:C,3,0),"**")</f>
        <v>**</v>
      </c>
      <c r="C616" s="47">
        <v>615</v>
      </c>
      <c r="F616" s="78"/>
      <c r="G616" s="2"/>
      <c r="H616" s="47" t="s">
        <v>4926</v>
      </c>
      <c r="I616" s="43">
        <v>6042070338</v>
      </c>
      <c r="J616" s="43" t="s">
        <v>4927</v>
      </c>
      <c r="K616" s="47" t="s">
        <v>4928</v>
      </c>
      <c r="L616" s="67" t="e">
        <f>VLOOKUP(G616,Input!C:Q,12,FALSE)</f>
        <v>#N/A</v>
      </c>
      <c r="M616" s="68" t="e">
        <f>VLOOKUP(G616,Input!C:Q,15,FALSE)</f>
        <v>#N/A</v>
      </c>
      <c r="N616" s="69" t="e">
        <f>VLOOKUP(G616,Input!C:Q,14,FALSE)</f>
        <v>#N/A</v>
      </c>
      <c r="Q616" s="48">
        <v>1</v>
      </c>
      <c r="R616" s="75" t="e">
        <f>VLOOKUP(G616,Input!C:H,5,FALSE)</f>
        <v>#N/A</v>
      </c>
      <c r="T616" s="47">
        <v>1</v>
      </c>
      <c r="U616" s="47" t="str">
        <f t="shared" si="9"/>
        <v>615,615,**,</v>
      </c>
      <c r="AC616" s="47">
        <v>615</v>
      </c>
      <c r="AD616" s="47">
        <v>615</v>
      </c>
    </row>
    <row r="617" spans="1:30" ht="15.75">
      <c r="A617" s="13" t="str">
        <f>IFERROR(VLOOKUP($G:$G,scan!$A:$B,2,0),"**")</f>
        <v>**</v>
      </c>
      <c r="B617" s="13" t="str">
        <f>IFERROR(VLOOKUP($G617,scan!A:C,3,0),"**")</f>
        <v>**</v>
      </c>
      <c r="C617" s="47">
        <v>616</v>
      </c>
      <c r="F617" s="78"/>
      <c r="G617" s="2"/>
      <c r="H617" s="47" t="s">
        <v>4926</v>
      </c>
      <c r="I617" s="43">
        <v>6042070338</v>
      </c>
      <c r="J617" s="43" t="s">
        <v>4927</v>
      </c>
      <c r="K617" s="47" t="s">
        <v>4928</v>
      </c>
      <c r="L617" s="67" t="e">
        <f>VLOOKUP(G617,Input!C:Q,12,FALSE)</f>
        <v>#N/A</v>
      </c>
      <c r="M617" s="68" t="e">
        <f>VLOOKUP(G617,Input!C:Q,15,FALSE)</f>
        <v>#N/A</v>
      </c>
      <c r="N617" s="69" t="e">
        <f>VLOOKUP(G617,Input!C:Q,14,FALSE)</f>
        <v>#N/A</v>
      </c>
      <c r="Q617" s="48">
        <v>1</v>
      </c>
      <c r="R617" s="75" t="e">
        <f>VLOOKUP(G617,Input!C:H,5,FALSE)</f>
        <v>#N/A</v>
      </c>
      <c r="T617" s="47">
        <v>1</v>
      </c>
      <c r="U617" s="47" t="str">
        <f t="shared" si="9"/>
        <v>616,616,**,</v>
      </c>
      <c r="AC617" s="47">
        <v>616</v>
      </c>
      <c r="AD617" s="47">
        <v>616</v>
      </c>
    </row>
    <row r="618" spans="1:30" ht="15.75">
      <c r="A618" s="13" t="str">
        <f>IFERROR(VLOOKUP($G:$G,scan!$A:$B,2,0),"**")</f>
        <v>**</v>
      </c>
      <c r="B618" s="13" t="str">
        <f>IFERROR(VLOOKUP($G618,scan!A:C,3,0),"**")</f>
        <v>**</v>
      </c>
      <c r="C618" s="47">
        <v>617</v>
      </c>
      <c r="F618" s="78"/>
      <c r="G618" s="2"/>
      <c r="H618" s="47" t="s">
        <v>4926</v>
      </c>
      <c r="I618" s="43">
        <v>6042070338</v>
      </c>
      <c r="J618" s="43" t="s">
        <v>4927</v>
      </c>
      <c r="K618" s="47" t="s">
        <v>4928</v>
      </c>
      <c r="L618" s="67" t="e">
        <f>VLOOKUP(G618,Input!C:Q,12,FALSE)</f>
        <v>#N/A</v>
      </c>
      <c r="M618" s="68" t="e">
        <f>VLOOKUP(G618,Input!C:Q,15,FALSE)</f>
        <v>#N/A</v>
      </c>
      <c r="N618" s="69" t="e">
        <f>VLOOKUP(G618,Input!C:Q,14,FALSE)</f>
        <v>#N/A</v>
      </c>
      <c r="Q618" s="48">
        <v>1</v>
      </c>
      <c r="R618" s="75" t="e">
        <f>VLOOKUP(G618,Input!C:H,5,FALSE)</f>
        <v>#N/A</v>
      </c>
      <c r="T618" s="47">
        <v>1</v>
      </c>
      <c r="U618" s="47" t="str">
        <f t="shared" si="9"/>
        <v>617,617,**,</v>
      </c>
      <c r="AC618" s="47">
        <v>617</v>
      </c>
      <c r="AD618" s="47">
        <v>617</v>
      </c>
    </row>
    <row r="619" spans="1:30" ht="15.75">
      <c r="A619" s="13" t="str">
        <f>IFERROR(VLOOKUP($G:$G,scan!$A:$B,2,0),"**")</f>
        <v>**</v>
      </c>
      <c r="B619" s="13" t="str">
        <f>IFERROR(VLOOKUP($G619,scan!A:C,3,0),"**")</f>
        <v>**</v>
      </c>
      <c r="C619" s="47">
        <v>618</v>
      </c>
      <c r="F619" s="78"/>
      <c r="G619" s="2"/>
      <c r="H619" s="47" t="s">
        <v>4926</v>
      </c>
      <c r="I619" s="43">
        <v>6042070338</v>
      </c>
      <c r="J619" s="43" t="s">
        <v>4927</v>
      </c>
      <c r="K619" s="47" t="s">
        <v>4928</v>
      </c>
      <c r="L619" s="67" t="e">
        <f>VLOOKUP(G619,Input!C:Q,12,FALSE)</f>
        <v>#N/A</v>
      </c>
      <c r="M619" s="68" t="e">
        <f>VLOOKUP(G619,Input!C:Q,15,FALSE)</f>
        <v>#N/A</v>
      </c>
      <c r="N619" s="69" t="e">
        <f>VLOOKUP(G619,Input!C:Q,14,FALSE)</f>
        <v>#N/A</v>
      </c>
      <c r="Q619" s="48">
        <v>1</v>
      </c>
      <c r="R619" s="75" t="e">
        <f>VLOOKUP(G619,Input!C:H,5,FALSE)</f>
        <v>#N/A</v>
      </c>
      <c r="T619" s="47">
        <v>1</v>
      </c>
      <c r="U619" s="47" t="str">
        <f t="shared" si="9"/>
        <v>618,618,**,</v>
      </c>
      <c r="AC619" s="47">
        <v>618</v>
      </c>
      <c r="AD619" s="47">
        <v>618</v>
      </c>
    </row>
    <row r="620" spans="1:30" ht="15.75">
      <c r="A620" s="13" t="str">
        <f>IFERROR(VLOOKUP($G:$G,scan!$A:$B,2,0),"**")</f>
        <v>**</v>
      </c>
      <c r="B620" s="13" t="str">
        <f>IFERROR(VLOOKUP($G620,scan!A:C,3,0),"**")</f>
        <v>**</v>
      </c>
      <c r="C620" s="47">
        <v>619</v>
      </c>
      <c r="F620" s="78"/>
      <c r="G620" s="2"/>
      <c r="H620" s="47" t="s">
        <v>4926</v>
      </c>
      <c r="I620" s="43">
        <v>6042070338</v>
      </c>
      <c r="J620" s="43" t="s">
        <v>4927</v>
      </c>
      <c r="K620" s="47" t="s">
        <v>4928</v>
      </c>
      <c r="L620" s="67" t="e">
        <f>VLOOKUP(G620,Input!C:Q,12,FALSE)</f>
        <v>#N/A</v>
      </c>
      <c r="M620" s="68" t="e">
        <f>VLOOKUP(G620,Input!C:Q,15,FALSE)</f>
        <v>#N/A</v>
      </c>
      <c r="N620" s="69" t="e">
        <f>VLOOKUP(G620,Input!C:Q,14,FALSE)</f>
        <v>#N/A</v>
      </c>
      <c r="Q620" s="48">
        <v>1</v>
      </c>
      <c r="R620" s="75" t="e">
        <f>VLOOKUP(G620,Input!C:H,5,FALSE)</f>
        <v>#N/A</v>
      </c>
      <c r="T620" s="47">
        <v>1</v>
      </c>
      <c r="U620" s="47" t="str">
        <f t="shared" si="9"/>
        <v>619,619,**,</v>
      </c>
      <c r="AC620" s="47">
        <v>619</v>
      </c>
      <c r="AD620" s="47">
        <v>619</v>
      </c>
    </row>
    <row r="621" spans="1:30" ht="15.75">
      <c r="A621" s="13" t="str">
        <f>IFERROR(VLOOKUP($G:$G,scan!$A:$B,2,0),"**")</f>
        <v>**</v>
      </c>
      <c r="B621" s="13" t="str">
        <f>IFERROR(VLOOKUP($G621,scan!A:C,3,0),"**")</f>
        <v>**</v>
      </c>
      <c r="C621" s="47">
        <v>620</v>
      </c>
      <c r="F621" s="78"/>
      <c r="G621" s="2"/>
      <c r="H621" s="47" t="s">
        <v>4926</v>
      </c>
      <c r="I621" s="43">
        <v>6042070338</v>
      </c>
      <c r="J621" s="43" t="s">
        <v>4927</v>
      </c>
      <c r="K621" s="47" t="s">
        <v>4928</v>
      </c>
      <c r="L621" s="67" t="e">
        <f>VLOOKUP(G621,Input!C:Q,12,FALSE)</f>
        <v>#N/A</v>
      </c>
      <c r="M621" s="68" t="e">
        <f>VLOOKUP(G621,Input!C:Q,15,FALSE)</f>
        <v>#N/A</v>
      </c>
      <c r="N621" s="69" t="e">
        <f>VLOOKUP(G621,Input!C:Q,14,FALSE)</f>
        <v>#N/A</v>
      </c>
      <c r="Q621" s="48">
        <v>1</v>
      </c>
      <c r="R621" s="75" t="e">
        <f>VLOOKUP(G621,Input!C:H,5,FALSE)</f>
        <v>#N/A</v>
      </c>
      <c r="T621" s="47">
        <v>1</v>
      </c>
      <c r="U621" s="47" t="str">
        <f t="shared" si="9"/>
        <v>620,620,**,</v>
      </c>
      <c r="AC621" s="47">
        <v>620</v>
      </c>
      <c r="AD621" s="47">
        <v>620</v>
      </c>
    </row>
    <row r="622" spans="1:30" ht="15.75">
      <c r="A622" s="13" t="str">
        <f>IFERROR(VLOOKUP($G:$G,scan!$A:$B,2,0),"**")</f>
        <v>**</v>
      </c>
      <c r="B622" s="13" t="str">
        <f>IFERROR(VLOOKUP($G622,scan!A:C,3,0),"**")</f>
        <v>**</v>
      </c>
      <c r="C622" s="47">
        <v>621</v>
      </c>
      <c r="F622" s="78"/>
      <c r="G622" s="2"/>
      <c r="H622" s="47" t="s">
        <v>4926</v>
      </c>
      <c r="I622" s="43">
        <v>6042070338</v>
      </c>
      <c r="J622" s="43" t="s">
        <v>4927</v>
      </c>
      <c r="K622" s="47" t="s">
        <v>4928</v>
      </c>
      <c r="L622" s="67" t="e">
        <f>VLOOKUP(G622,Input!C:Q,12,FALSE)</f>
        <v>#N/A</v>
      </c>
      <c r="M622" s="68" t="e">
        <f>VLOOKUP(G622,Input!C:Q,15,FALSE)</f>
        <v>#N/A</v>
      </c>
      <c r="N622" s="69" t="e">
        <f>VLOOKUP(G622,Input!C:Q,14,FALSE)</f>
        <v>#N/A</v>
      </c>
      <c r="Q622" s="48">
        <v>1</v>
      </c>
      <c r="R622" s="75" t="e">
        <f>VLOOKUP(G622,Input!C:H,5,FALSE)</f>
        <v>#N/A</v>
      </c>
      <c r="T622" s="47">
        <v>1</v>
      </c>
      <c r="U622" s="47" t="str">
        <f t="shared" si="9"/>
        <v>621,621,**,</v>
      </c>
      <c r="AC622" s="47">
        <v>621</v>
      </c>
      <c r="AD622" s="47">
        <v>621</v>
      </c>
    </row>
    <row r="623" spans="1:30" ht="15.75">
      <c r="A623" s="13" t="str">
        <f>IFERROR(VLOOKUP($G:$G,scan!$A:$B,2,0),"**")</f>
        <v>**</v>
      </c>
      <c r="B623" s="13" t="str">
        <f>IFERROR(VLOOKUP($G623,scan!A:C,3,0),"**")</f>
        <v>**</v>
      </c>
      <c r="C623" s="47">
        <v>622</v>
      </c>
      <c r="F623" s="78"/>
      <c r="G623" s="2"/>
      <c r="H623" s="47" t="s">
        <v>4926</v>
      </c>
      <c r="I623" s="43">
        <v>6042070338</v>
      </c>
      <c r="J623" s="43" t="s">
        <v>4927</v>
      </c>
      <c r="K623" s="47" t="s">
        <v>4928</v>
      </c>
      <c r="L623" s="67" t="e">
        <f>VLOOKUP(G623,Input!C:Q,12,FALSE)</f>
        <v>#N/A</v>
      </c>
      <c r="M623" s="68" t="e">
        <f>VLOOKUP(G623,Input!C:Q,15,FALSE)</f>
        <v>#N/A</v>
      </c>
      <c r="N623" s="69" t="e">
        <f>VLOOKUP(G623,Input!C:Q,14,FALSE)</f>
        <v>#N/A</v>
      </c>
      <c r="Q623" s="48">
        <v>1</v>
      </c>
      <c r="R623" s="75" t="e">
        <f>VLOOKUP(G623,Input!C:H,5,FALSE)</f>
        <v>#N/A</v>
      </c>
      <c r="T623" s="47">
        <v>1</v>
      </c>
      <c r="U623" s="47" t="str">
        <f t="shared" si="9"/>
        <v>622,622,**,</v>
      </c>
      <c r="AC623" s="47">
        <v>622</v>
      </c>
      <c r="AD623" s="47">
        <v>622</v>
      </c>
    </row>
    <row r="624" spans="1:30" ht="15.75">
      <c r="A624" s="13" t="str">
        <f>IFERROR(VLOOKUP($G:$G,scan!$A:$B,2,0),"**")</f>
        <v>**</v>
      </c>
      <c r="B624" s="13" t="str">
        <f>IFERROR(VLOOKUP($G624,scan!A:C,3,0),"**")</f>
        <v>**</v>
      </c>
      <c r="C624" s="47">
        <v>623</v>
      </c>
      <c r="F624" s="78"/>
      <c r="G624" s="2"/>
      <c r="H624" s="47" t="s">
        <v>4926</v>
      </c>
      <c r="I624" s="43">
        <v>6042070338</v>
      </c>
      <c r="J624" s="43" t="s">
        <v>4927</v>
      </c>
      <c r="K624" s="47" t="s">
        <v>4928</v>
      </c>
      <c r="L624" s="67" t="e">
        <f>VLOOKUP(G624,Input!C:Q,12,FALSE)</f>
        <v>#N/A</v>
      </c>
      <c r="M624" s="68" t="e">
        <f>VLOOKUP(G624,Input!C:Q,15,FALSE)</f>
        <v>#N/A</v>
      </c>
      <c r="N624" s="69" t="e">
        <f>VLOOKUP(G624,Input!C:Q,14,FALSE)</f>
        <v>#N/A</v>
      </c>
      <c r="Q624" s="48">
        <v>1</v>
      </c>
      <c r="R624" s="75" t="e">
        <f>VLOOKUP(G624,Input!C:H,5,FALSE)</f>
        <v>#N/A</v>
      </c>
      <c r="T624" s="47">
        <v>1</v>
      </c>
      <c r="U624" s="47" t="str">
        <f t="shared" si="9"/>
        <v>623,623,**,</v>
      </c>
      <c r="AC624" s="47">
        <v>623</v>
      </c>
      <c r="AD624" s="47">
        <v>623</v>
      </c>
    </row>
    <row r="625" spans="1:30" ht="15.75">
      <c r="A625" s="13" t="str">
        <f>IFERROR(VLOOKUP($G:$G,scan!$A:$B,2,0),"**")</f>
        <v>**</v>
      </c>
      <c r="B625" s="13" t="str">
        <f>IFERROR(VLOOKUP($G625,scan!A:C,3,0),"**")</f>
        <v>**</v>
      </c>
      <c r="C625" s="47">
        <v>624</v>
      </c>
      <c r="F625" s="78"/>
      <c r="G625" s="2"/>
      <c r="H625" s="47" t="s">
        <v>4926</v>
      </c>
      <c r="I625" s="43">
        <v>6042070338</v>
      </c>
      <c r="J625" s="43" t="s">
        <v>4927</v>
      </c>
      <c r="K625" s="47" t="s">
        <v>4928</v>
      </c>
      <c r="L625" s="67" t="e">
        <f>VLOOKUP(G625,Input!C:Q,12,FALSE)</f>
        <v>#N/A</v>
      </c>
      <c r="M625" s="68" t="e">
        <f>VLOOKUP(G625,Input!C:Q,15,FALSE)</f>
        <v>#N/A</v>
      </c>
      <c r="N625" s="69" t="e">
        <f>VLOOKUP(G625,Input!C:Q,14,FALSE)</f>
        <v>#N/A</v>
      </c>
      <c r="Q625" s="48">
        <v>1</v>
      </c>
      <c r="R625" s="75" t="e">
        <f>VLOOKUP(G625,Input!C:H,5,FALSE)</f>
        <v>#N/A</v>
      </c>
      <c r="T625" s="47">
        <v>1</v>
      </c>
      <c r="U625" s="47" t="str">
        <f t="shared" si="9"/>
        <v>624,624,**,</v>
      </c>
      <c r="AC625" s="47">
        <v>624</v>
      </c>
      <c r="AD625" s="47">
        <v>624</v>
      </c>
    </row>
    <row r="626" spans="1:30" ht="15.75">
      <c r="A626" s="13" t="str">
        <f>IFERROR(VLOOKUP($G:$G,scan!$A:$B,2,0),"**")</f>
        <v>**</v>
      </c>
      <c r="B626" s="13" t="str">
        <f>IFERROR(VLOOKUP($G626,scan!A:C,3,0),"**")</f>
        <v>**</v>
      </c>
      <c r="C626" s="47">
        <v>625</v>
      </c>
      <c r="F626" s="78"/>
      <c r="G626" s="2"/>
      <c r="H626" s="47" t="s">
        <v>4926</v>
      </c>
      <c r="I626" s="43">
        <v>6042070338</v>
      </c>
      <c r="J626" s="43" t="s">
        <v>4927</v>
      </c>
      <c r="K626" s="47" t="s">
        <v>4928</v>
      </c>
      <c r="L626" s="67" t="e">
        <f>VLOOKUP(G626,Input!C:Q,12,FALSE)</f>
        <v>#N/A</v>
      </c>
      <c r="M626" s="68" t="e">
        <f>VLOOKUP(G626,Input!C:Q,15,FALSE)</f>
        <v>#N/A</v>
      </c>
      <c r="N626" s="69" t="e">
        <f>VLOOKUP(G626,Input!C:Q,14,FALSE)</f>
        <v>#N/A</v>
      </c>
      <c r="Q626" s="48">
        <v>1</v>
      </c>
      <c r="R626" s="75" t="e">
        <f>VLOOKUP(G626,Input!C:H,5,FALSE)</f>
        <v>#N/A</v>
      </c>
      <c r="T626" s="47">
        <v>1</v>
      </c>
      <c r="U626" s="47" t="str">
        <f t="shared" si="9"/>
        <v>625,625,**,</v>
      </c>
      <c r="AC626" s="47">
        <v>625</v>
      </c>
      <c r="AD626" s="47">
        <v>625</v>
      </c>
    </row>
    <row r="627" spans="1:30" ht="15.75">
      <c r="A627" s="13" t="str">
        <f>IFERROR(VLOOKUP($G:$G,scan!$A:$B,2,0),"**")</f>
        <v>**</v>
      </c>
      <c r="B627" s="13" t="str">
        <f>IFERROR(VLOOKUP($G627,scan!A:C,3,0),"**")</f>
        <v>**</v>
      </c>
      <c r="C627" s="47">
        <v>626</v>
      </c>
      <c r="F627" s="78"/>
      <c r="G627" s="2"/>
      <c r="H627" s="47" t="s">
        <v>4926</v>
      </c>
      <c r="I627" s="43">
        <v>6042070338</v>
      </c>
      <c r="J627" s="43" t="s">
        <v>4927</v>
      </c>
      <c r="K627" s="47" t="s">
        <v>4928</v>
      </c>
      <c r="L627" s="67" t="e">
        <f>VLOOKUP(G627,Input!C:Q,12,FALSE)</f>
        <v>#N/A</v>
      </c>
      <c r="M627" s="68" t="e">
        <f>VLOOKUP(G627,Input!C:Q,15,FALSE)</f>
        <v>#N/A</v>
      </c>
      <c r="N627" s="69" t="e">
        <f>VLOOKUP(G627,Input!C:Q,14,FALSE)</f>
        <v>#N/A</v>
      </c>
      <c r="Q627" s="48">
        <v>1</v>
      </c>
      <c r="R627" s="75" t="e">
        <f>VLOOKUP(G627,Input!C:H,5,FALSE)</f>
        <v>#N/A</v>
      </c>
      <c r="T627" s="47">
        <v>1</v>
      </c>
      <c r="U627" s="47" t="str">
        <f t="shared" si="9"/>
        <v>626,626,**,</v>
      </c>
      <c r="AC627" s="47">
        <v>626</v>
      </c>
      <c r="AD627" s="47">
        <v>626</v>
      </c>
    </row>
    <row r="628" spans="1:30" ht="15.75">
      <c r="A628" s="13" t="str">
        <f>IFERROR(VLOOKUP($G:$G,scan!$A:$B,2,0),"**")</f>
        <v>**</v>
      </c>
      <c r="B628" s="13" t="str">
        <f>IFERROR(VLOOKUP($G628,scan!A:C,3,0),"**")</f>
        <v>**</v>
      </c>
      <c r="C628" s="47">
        <v>627</v>
      </c>
      <c r="F628" s="78"/>
      <c r="G628" s="2"/>
      <c r="H628" s="47" t="s">
        <v>4926</v>
      </c>
      <c r="I628" s="43">
        <v>6042070338</v>
      </c>
      <c r="J628" s="43" t="s">
        <v>4927</v>
      </c>
      <c r="K628" s="47" t="s">
        <v>4928</v>
      </c>
      <c r="L628" s="67" t="e">
        <f>VLOOKUP(G628,Input!C:Q,12,FALSE)</f>
        <v>#N/A</v>
      </c>
      <c r="M628" s="68" t="e">
        <f>VLOOKUP(G628,Input!C:Q,15,FALSE)</f>
        <v>#N/A</v>
      </c>
      <c r="N628" s="69" t="e">
        <f>VLOOKUP(G628,Input!C:Q,14,FALSE)</f>
        <v>#N/A</v>
      </c>
      <c r="Q628" s="48">
        <v>1</v>
      </c>
      <c r="R628" s="75" t="e">
        <f>VLOOKUP(G628,Input!C:H,5,FALSE)</f>
        <v>#N/A</v>
      </c>
      <c r="T628" s="47">
        <v>1</v>
      </c>
      <c r="U628" s="47" t="str">
        <f t="shared" si="9"/>
        <v>627,627,**,</v>
      </c>
      <c r="AC628" s="47">
        <v>627</v>
      </c>
      <c r="AD628" s="47">
        <v>627</v>
      </c>
    </row>
    <row r="629" spans="1:30" ht="15.75">
      <c r="A629" s="13" t="str">
        <f>IFERROR(VLOOKUP($G:$G,scan!$A:$B,2,0),"**")</f>
        <v>**</v>
      </c>
      <c r="B629" s="13" t="str">
        <f>IFERROR(VLOOKUP($G629,scan!A:C,3,0),"**")</f>
        <v>**</v>
      </c>
      <c r="C629" s="47">
        <v>628</v>
      </c>
      <c r="F629" s="78"/>
      <c r="G629" s="2"/>
      <c r="H629" s="47" t="s">
        <v>4926</v>
      </c>
      <c r="I629" s="43">
        <v>6042070338</v>
      </c>
      <c r="J629" s="43" t="s">
        <v>4927</v>
      </c>
      <c r="K629" s="47" t="s">
        <v>4928</v>
      </c>
      <c r="L629" s="67" t="e">
        <f>VLOOKUP(G629,Input!C:Q,12,FALSE)</f>
        <v>#N/A</v>
      </c>
      <c r="M629" s="68" t="e">
        <f>VLOOKUP(G629,Input!C:Q,15,FALSE)</f>
        <v>#N/A</v>
      </c>
      <c r="N629" s="69" t="e">
        <f>VLOOKUP(G629,Input!C:Q,14,FALSE)</f>
        <v>#N/A</v>
      </c>
      <c r="Q629" s="48">
        <v>1</v>
      </c>
      <c r="R629" s="75" t="e">
        <f>VLOOKUP(G629,Input!C:H,5,FALSE)</f>
        <v>#N/A</v>
      </c>
      <c r="T629" s="47">
        <v>1</v>
      </c>
      <c r="U629" s="47" t="str">
        <f t="shared" si="9"/>
        <v>628,628,**,</v>
      </c>
      <c r="AC629" s="47">
        <v>628</v>
      </c>
      <c r="AD629" s="47">
        <v>628</v>
      </c>
    </row>
    <row r="630" spans="1:30" ht="15.75">
      <c r="A630" s="13" t="str">
        <f>IFERROR(VLOOKUP($G:$G,scan!$A:$B,2,0),"**")</f>
        <v>**</v>
      </c>
      <c r="B630" s="13" t="str">
        <f>IFERROR(VLOOKUP($G630,scan!A:C,3,0),"**")</f>
        <v>**</v>
      </c>
      <c r="C630" s="47">
        <v>629</v>
      </c>
      <c r="F630" s="78"/>
      <c r="G630" s="2"/>
      <c r="H630" s="47" t="s">
        <v>4926</v>
      </c>
      <c r="I630" s="43">
        <v>6042070338</v>
      </c>
      <c r="J630" s="43" t="s">
        <v>4927</v>
      </c>
      <c r="K630" s="47" t="s">
        <v>4928</v>
      </c>
      <c r="L630" s="67" t="e">
        <f>VLOOKUP(G630,Input!C:Q,12,FALSE)</f>
        <v>#N/A</v>
      </c>
      <c r="M630" s="68" t="e">
        <f>VLOOKUP(G630,Input!C:Q,15,FALSE)</f>
        <v>#N/A</v>
      </c>
      <c r="N630" s="69" t="e">
        <f>VLOOKUP(G630,Input!C:Q,14,FALSE)</f>
        <v>#N/A</v>
      </c>
      <c r="Q630" s="48">
        <v>1</v>
      </c>
      <c r="R630" s="75" t="e">
        <f>VLOOKUP(G630,Input!C:H,5,FALSE)</f>
        <v>#N/A</v>
      </c>
      <c r="T630" s="47">
        <v>1</v>
      </c>
      <c r="U630" s="47" t="str">
        <f t="shared" si="9"/>
        <v>629,629,**,</v>
      </c>
      <c r="AC630" s="47">
        <v>629</v>
      </c>
      <c r="AD630" s="47">
        <v>629</v>
      </c>
    </row>
    <row r="631" spans="1:30" ht="15.75">
      <c r="A631" s="13" t="str">
        <f>IFERROR(VLOOKUP($G:$G,scan!$A:$B,2,0),"**")</f>
        <v>**</v>
      </c>
      <c r="B631" s="13" t="str">
        <f>IFERROR(VLOOKUP($G631,scan!A:C,3,0),"**")</f>
        <v>**</v>
      </c>
      <c r="C631" s="47">
        <v>630</v>
      </c>
      <c r="F631" s="78"/>
      <c r="G631" s="2"/>
      <c r="H631" s="47" t="s">
        <v>4926</v>
      </c>
      <c r="I631" s="43">
        <v>6042070338</v>
      </c>
      <c r="J631" s="43" t="s">
        <v>4927</v>
      </c>
      <c r="K631" s="47" t="s">
        <v>4928</v>
      </c>
      <c r="L631" s="67" t="e">
        <f>VLOOKUP(G631,Input!C:Q,12,FALSE)</f>
        <v>#N/A</v>
      </c>
      <c r="M631" s="68" t="e">
        <f>VLOOKUP(G631,Input!C:Q,15,FALSE)</f>
        <v>#N/A</v>
      </c>
      <c r="N631" s="69" t="e">
        <f>VLOOKUP(G631,Input!C:Q,14,FALSE)</f>
        <v>#N/A</v>
      </c>
      <c r="Q631" s="48">
        <v>1</v>
      </c>
      <c r="R631" s="75" t="e">
        <f>VLOOKUP(G631,Input!C:H,5,FALSE)</f>
        <v>#N/A</v>
      </c>
      <c r="T631" s="47">
        <v>1</v>
      </c>
      <c r="U631" s="47" t="str">
        <f t="shared" si="9"/>
        <v>630,630,**,</v>
      </c>
      <c r="AC631" s="47">
        <v>630</v>
      </c>
      <c r="AD631" s="47">
        <v>630</v>
      </c>
    </row>
    <row r="632" spans="1:30" ht="15.75">
      <c r="A632" s="13" t="str">
        <f>IFERROR(VLOOKUP($G:$G,scan!$A:$B,2,0),"**")</f>
        <v>**</v>
      </c>
      <c r="B632" s="13" t="str">
        <f>IFERROR(VLOOKUP($G632,scan!A:C,3,0),"**")</f>
        <v>**</v>
      </c>
      <c r="C632" s="47">
        <v>631</v>
      </c>
      <c r="F632" s="78"/>
      <c r="G632" s="2"/>
      <c r="H632" s="47" t="s">
        <v>4926</v>
      </c>
      <c r="I632" s="43">
        <v>6042070338</v>
      </c>
      <c r="J632" s="43" t="s">
        <v>4927</v>
      </c>
      <c r="K632" s="47" t="s">
        <v>4928</v>
      </c>
      <c r="L632" s="67" t="e">
        <f>VLOOKUP(G632,Input!C:Q,12,FALSE)</f>
        <v>#N/A</v>
      </c>
      <c r="M632" s="68" t="e">
        <f>VLOOKUP(G632,Input!C:Q,15,FALSE)</f>
        <v>#N/A</v>
      </c>
      <c r="N632" s="69" t="e">
        <f>VLOOKUP(G632,Input!C:Q,14,FALSE)</f>
        <v>#N/A</v>
      </c>
      <c r="Q632" s="48">
        <v>1</v>
      </c>
      <c r="R632" s="75" t="e">
        <f>VLOOKUP(G632,Input!C:H,5,FALSE)</f>
        <v>#N/A</v>
      </c>
      <c r="T632" s="47">
        <v>1</v>
      </c>
      <c r="U632" s="47" t="str">
        <f t="shared" ref="U632:U695" si="10">CONCATENATE(AC632,",",C632,",",B632,",",G632)</f>
        <v>631,631,**,</v>
      </c>
      <c r="AC632" s="47">
        <v>631</v>
      </c>
      <c r="AD632" s="47">
        <v>631</v>
      </c>
    </row>
    <row r="633" spans="1:30" ht="15.75">
      <c r="A633" s="13" t="str">
        <f>IFERROR(VLOOKUP($G:$G,scan!$A:$B,2,0),"**")</f>
        <v>**</v>
      </c>
      <c r="B633" s="13" t="str">
        <f>IFERROR(VLOOKUP($G633,scan!A:C,3,0),"**")</f>
        <v>**</v>
      </c>
      <c r="C633" s="47">
        <v>632</v>
      </c>
      <c r="F633" s="78"/>
      <c r="G633" s="2"/>
      <c r="H633" s="47" t="s">
        <v>4926</v>
      </c>
      <c r="I633" s="43">
        <v>6042070338</v>
      </c>
      <c r="J633" s="43" t="s">
        <v>4927</v>
      </c>
      <c r="K633" s="47" t="s">
        <v>4928</v>
      </c>
      <c r="L633" s="67" t="e">
        <f>VLOOKUP(G633,Input!C:Q,12,FALSE)</f>
        <v>#N/A</v>
      </c>
      <c r="M633" s="68" t="e">
        <f>VLOOKUP(G633,Input!C:Q,15,FALSE)</f>
        <v>#N/A</v>
      </c>
      <c r="N633" s="69" t="e">
        <f>VLOOKUP(G633,Input!C:Q,14,FALSE)</f>
        <v>#N/A</v>
      </c>
      <c r="Q633" s="48">
        <v>1</v>
      </c>
      <c r="R633" s="75" t="e">
        <f>VLOOKUP(G633,Input!C:H,5,FALSE)</f>
        <v>#N/A</v>
      </c>
      <c r="T633" s="47">
        <v>1</v>
      </c>
      <c r="U633" s="47" t="str">
        <f t="shared" si="10"/>
        <v>632,632,**,</v>
      </c>
      <c r="AC633" s="47">
        <v>632</v>
      </c>
      <c r="AD633" s="47">
        <v>632</v>
      </c>
    </row>
    <row r="634" spans="1:30" ht="15.75">
      <c r="A634" s="13" t="str">
        <f>IFERROR(VLOOKUP($G:$G,scan!$A:$B,2,0),"**")</f>
        <v>**</v>
      </c>
      <c r="B634" s="13" t="str">
        <f>IFERROR(VLOOKUP($G634,scan!A:C,3,0),"**")</f>
        <v>**</v>
      </c>
      <c r="C634" s="47">
        <v>633</v>
      </c>
      <c r="F634" s="78"/>
      <c r="G634" s="2"/>
      <c r="H634" s="47" t="s">
        <v>4926</v>
      </c>
      <c r="I634" s="43">
        <v>6042070338</v>
      </c>
      <c r="J634" s="43" t="s">
        <v>4927</v>
      </c>
      <c r="K634" s="47" t="s">
        <v>4928</v>
      </c>
      <c r="L634" s="67" t="e">
        <f>VLOOKUP(G634,Input!C:Q,12,FALSE)</f>
        <v>#N/A</v>
      </c>
      <c r="M634" s="68" t="e">
        <f>VLOOKUP(G634,Input!C:Q,15,FALSE)</f>
        <v>#N/A</v>
      </c>
      <c r="N634" s="69" t="e">
        <f>VLOOKUP(G634,Input!C:Q,14,FALSE)</f>
        <v>#N/A</v>
      </c>
      <c r="Q634" s="48">
        <v>1</v>
      </c>
      <c r="R634" s="75" t="e">
        <f>VLOOKUP(G634,Input!C:H,5,FALSE)</f>
        <v>#N/A</v>
      </c>
      <c r="T634" s="47">
        <v>1</v>
      </c>
      <c r="U634" s="47" t="str">
        <f t="shared" si="10"/>
        <v>633,633,**,</v>
      </c>
      <c r="AC634" s="47">
        <v>633</v>
      </c>
      <c r="AD634" s="47">
        <v>633</v>
      </c>
    </row>
    <row r="635" spans="1:30" ht="15.75">
      <c r="A635" s="13" t="str">
        <f>IFERROR(VLOOKUP($G:$G,scan!$A:$B,2,0),"**")</f>
        <v>**</v>
      </c>
      <c r="B635" s="13" t="str">
        <f>IFERROR(VLOOKUP($G635,scan!A:C,3,0),"**")</f>
        <v>**</v>
      </c>
      <c r="C635" s="47">
        <v>634</v>
      </c>
      <c r="F635" s="78"/>
      <c r="G635" s="2"/>
      <c r="H635" s="47" t="s">
        <v>4926</v>
      </c>
      <c r="I635" s="43">
        <v>6042070338</v>
      </c>
      <c r="J635" s="43" t="s">
        <v>4927</v>
      </c>
      <c r="K635" s="47" t="s">
        <v>4928</v>
      </c>
      <c r="L635" s="67" t="e">
        <f>VLOOKUP(G635,Input!C:Q,12,FALSE)</f>
        <v>#N/A</v>
      </c>
      <c r="M635" s="68" t="e">
        <f>VLOOKUP(G635,Input!C:Q,15,FALSE)</f>
        <v>#N/A</v>
      </c>
      <c r="N635" s="69" t="e">
        <f>VLOOKUP(G635,Input!C:Q,14,FALSE)</f>
        <v>#N/A</v>
      </c>
      <c r="Q635" s="48">
        <v>1</v>
      </c>
      <c r="R635" s="75" t="e">
        <f>VLOOKUP(G635,Input!C:H,5,FALSE)</f>
        <v>#N/A</v>
      </c>
      <c r="T635" s="47">
        <v>1</v>
      </c>
      <c r="U635" s="47" t="str">
        <f t="shared" si="10"/>
        <v>634,634,**,</v>
      </c>
      <c r="AC635" s="47">
        <v>634</v>
      </c>
      <c r="AD635" s="47">
        <v>634</v>
      </c>
    </row>
    <row r="636" spans="1:30" ht="15.75">
      <c r="A636" s="13" t="str">
        <f>IFERROR(VLOOKUP($G:$G,scan!$A:$B,2,0),"**")</f>
        <v>**</v>
      </c>
      <c r="B636" s="13" t="str">
        <f>IFERROR(VLOOKUP($G636,scan!A:C,3,0),"**")</f>
        <v>**</v>
      </c>
      <c r="C636" s="47">
        <v>635</v>
      </c>
      <c r="F636" s="78"/>
      <c r="G636" s="2"/>
      <c r="H636" s="47" t="s">
        <v>4926</v>
      </c>
      <c r="I636" s="43">
        <v>6042070338</v>
      </c>
      <c r="J636" s="43" t="s">
        <v>4927</v>
      </c>
      <c r="K636" s="47" t="s">
        <v>4928</v>
      </c>
      <c r="L636" s="67" t="e">
        <f>VLOOKUP(G636,Input!C:Q,12,FALSE)</f>
        <v>#N/A</v>
      </c>
      <c r="M636" s="68" t="e">
        <f>VLOOKUP(G636,Input!C:Q,15,FALSE)</f>
        <v>#N/A</v>
      </c>
      <c r="N636" s="69" t="e">
        <f>VLOOKUP(G636,Input!C:Q,14,FALSE)</f>
        <v>#N/A</v>
      </c>
      <c r="Q636" s="48">
        <v>1</v>
      </c>
      <c r="R636" s="75" t="e">
        <f>VLOOKUP(G636,Input!C:H,5,FALSE)</f>
        <v>#N/A</v>
      </c>
      <c r="T636" s="47">
        <v>1</v>
      </c>
      <c r="U636" s="47" t="str">
        <f t="shared" si="10"/>
        <v>635,635,**,</v>
      </c>
      <c r="AC636" s="47">
        <v>635</v>
      </c>
      <c r="AD636" s="47">
        <v>635</v>
      </c>
    </row>
    <row r="637" spans="1:30" ht="15.75">
      <c r="A637" s="13" t="str">
        <f>IFERROR(VLOOKUP($G:$G,scan!$A:$B,2,0),"**")</f>
        <v>**</v>
      </c>
      <c r="B637" s="13" t="str">
        <f>IFERROR(VLOOKUP($G637,scan!A:C,3,0),"**")</f>
        <v>**</v>
      </c>
      <c r="C637" s="47">
        <v>636</v>
      </c>
      <c r="F637" s="78"/>
      <c r="G637" s="2"/>
      <c r="H637" s="47" t="s">
        <v>4926</v>
      </c>
      <c r="I637" s="43">
        <v>6042070338</v>
      </c>
      <c r="J637" s="43" t="s">
        <v>4927</v>
      </c>
      <c r="K637" s="47" t="s">
        <v>4928</v>
      </c>
      <c r="L637" s="67" t="e">
        <f>VLOOKUP(G637,Input!C:Q,12,FALSE)</f>
        <v>#N/A</v>
      </c>
      <c r="M637" s="68" t="e">
        <f>VLOOKUP(G637,Input!C:Q,15,FALSE)</f>
        <v>#N/A</v>
      </c>
      <c r="N637" s="69" t="e">
        <f>VLOOKUP(G637,Input!C:Q,14,FALSE)</f>
        <v>#N/A</v>
      </c>
      <c r="Q637" s="48">
        <v>1</v>
      </c>
      <c r="R637" s="75" t="e">
        <f>VLOOKUP(G637,Input!C:H,5,FALSE)</f>
        <v>#N/A</v>
      </c>
      <c r="T637" s="47">
        <v>1</v>
      </c>
      <c r="U637" s="47" t="str">
        <f t="shared" si="10"/>
        <v>636,636,**,</v>
      </c>
      <c r="AC637" s="47">
        <v>636</v>
      </c>
      <c r="AD637" s="47">
        <v>636</v>
      </c>
    </row>
    <row r="638" spans="1:30" ht="15.75">
      <c r="A638" s="13" t="str">
        <f>IFERROR(VLOOKUP($G:$G,scan!$A:$B,2,0),"**")</f>
        <v>**</v>
      </c>
      <c r="B638" s="13" t="str">
        <f>IFERROR(VLOOKUP($G638,scan!A:C,3,0),"**")</f>
        <v>**</v>
      </c>
      <c r="C638" s="47">
        <v>637</v>
      </c>
      <c r="F638" s="78"/>
      <c r="G638" s="2"/>
      <c r="H638" s="47" t="s">
        <v>4926</v>
      </c>
      <c r="I638" s="43">
        <v>6042070338</v>
      </c>
      <c r="J638" s="43" t="s">
        <v>4927</v>
      </c>
      <c r="K638" s="47" t="s">
        <v>4928</v>
      </c>
      <c r="L638" s="67" t="e">
        <f>VLOOKUP(G638,Input!C:Q,12,FALSE)</f>
        <v>#N/A</v>
      </c>
      <c r="M638" s="68" t="e">
        <f>VLOOKUP(G638,Input!C:Q,15,FALSE)</f>
        <v>#N/A</v>
      </c>
      <c r="N638" s="69" t="e">
        <f>VLOOKUP(G638,Input!C:Q,14,FALSE)</f>
        <v>#N/A</v>
      </c>
      <c r="Q638" s="48">
        <v>1</v>
      </c>
      <c r="R638" s="75" t="e">
        <f>VLOOKUP(G638,Input!C:H,5,FALSE)</f>
        <v>#N/A</v>
      </c>
      <c r="T638" s="47">
        <v>1</v>
      </c>
      <c r="U638" s="47" t="str">
        <f t="shared" si="10"/>
        <v>637,637,**,</v>
      </c>
      <c r="AC638" s="47">
        <v>637</v>
      </c>
      <c r="AD638" s="47">
        <v>637</v>
      </c>
    </row>
    <row r="639" spans="1:30" ht="15.75">
      <c r="A639" s="13" t="str">
        <f>IFERROR(VLOOKUP($G:$G,scan!$A:$B,2,0),"**")</f>
        <v>**</v>
      </c>
      <c r="B639" s="13" t="str">
        <f>IFERROR(VLOOKUP($G639,scan!A:C,3,0),"**")</f>
        <v>**</v>
      </c>
      <c r="C639" s="47">
        <v>638</v>
      </c>
      <c r="F639" s="78"/>
      <c r="G639" s="2"/>
      <c r="H639" s="47" t="s">
        <v>4926</v>
      </c>
      <c r="I639" s="43">
        <v>6042070338</v>
      </c>
      <c r="J639" s="43" t="s">
        <v>4927</v>
      </c>
      <c r="K639" s="47" t="s">
        <v>4928</v>
      </c>
      <c r="L639" s="67" t="e">
        <f>VLOOKUP(G639,Input!C:Q,12,FALSE)</f>
        <v>#N/A</v>
      </c>
      <c r="M639" s="68" t="e">
        <f>VLOOKUP(G639,Input!C:Q,15,FALSE)</f>
        <v>#N/A</v>
      </c>
      <c r="N639" s="69" t="e">
        <f>VLOOKUP(G639,Input!C:Q,14,FALSE)</f>
        <v>#N/A</v>
      </c>
      <c r="Q639" s="48">
        <v>1</v>
      </c>
      <c r="R639" s="75" t="e">
        <f>VLOOKUP(G639,Input!C:H,5,FALSE)</f>
        <v>#N/A</v>
      </c>
      <c r="T639" s="47">
        <v>1</v>
      </c>
      <c r="U639" s="47" t="str">
        <f t="shared" si="10"/>
        <v>638,638,**,</v>
      </c>
      <c r="AC639" s="47">
        <v>638</v>
      </c>
      <c r="AD639" s="47">
        <v>638</v>
      </c>
    </row>
    <row r="640" spans="1:30" ht="15.75">
      <c r="A640" s="13" t="str">
        <f>IFERROR(VLOOKUP($G:$G,scan!$A:$B,2,0),"**")</f>
        <v>**</v>
      </c>
      <c r="B640" s="13" t="str">
        <f>IFERROR(VLOOKUP($G640,scan!A:C,3,0),"**")</f>
        <v>**</v>
      </c>
      <c r="C640" s="47">
        <v>639</v>
      </c>
      <c r="F640" s="78"/>
      <c r="G640" s="2"/>
      <c r="H640" s="47" t="s">
        <v>4926</v>
      </c>
      <c r="I640" s="43">
        <v>6042070338</v>
      </c>
      <c r="J640" s="43" t="s">
        <v>4927</v>
      </c>
      <c r="K640" s="47" t="s">
        <v>4928</v>
      </c>
      <c r="L640" s="67" t="e">
        <f>VLOOKUP(G640,Input!C:Q,12,FALSE)</f>
        <v>#N/A</v>
      </c>
      <c r="M640" s="68" t="e">
        <f>VLOOKUP(G640,Input!C:Q,15,FALSE)</f>
        <v>#N/A</v>
      </c>
      <c r="N640" s="69" t="e">
        <f>VLOOKUP(G640,Input!C:Q,14,FALSE)</f>
        <v>#N/A</v>
      </c>
      <c r="Q640" s="48">
        <v>1</v>
      </c>
      <c r="R640" s="75" t="e">
        <f>VLOOKUP(G640,Input!C:H,5,FALSE)</f>
        <v>#N/A</v>
      </c>
      <c r="T640" s="47">
        <v>1</v>
      </c>
      <c r="U640" s="47" t="str">
        <f t="shared" si="10"/>
        <v>639,639,**,</v>
      </c>
      <c r="AC640" s="47">
        <v>639</v>
      </c>
      <c r="AD640" s="47">
        <v>639</v>
      </c>
    </row>
    <row r="641" spans="1:30" ht="15.75">
      <c r="A641" s="13" t="str">
        <f>IFERROR(VLOOKUP($G:$G,scan!$A:$B,2,0),"**")</f>
        <v>**</v>
      </c>
      <c r="B641" s="13" t="str">
        <f>IFERROR(VLOOKUP($G641,scan!A:C,3,0),"**")</f>
        <v>**</v>
      </c>
      <c r="C641" s="47">
        <v>640</v>
      </c>
      <c r="F641" s="78"/>
      <c r="G641" s="2"/>
      <c r="H641" s="47" t="s">
        <v>4926</v>
      </c>
      <c r="I641" s="43">
        <v>6042070338</v>
      </c>
      <c r="J641" s="43" t="s">
        <v>4927</v>
      </c>
      <c r="K641" s="47" t="s">
        <v>4928</v>
      </c>
      <c r="L641" s="67" t="e">
        <f>VLOOKUP(G641,Input!C:Q,12,FALSE)</f>
        <v>#N/A</v>
      </c>
      <c r="M641" s="68" t="e">
        <f>VLOOKUP(G641,Input!C:Q,15,FALSE)</f>
        <v>#N/A</v>
      </c>
      <c r="N641" s="69" t="e">
        <f>VLOOKUP(G641,Input!C:Q,14,FALSE)</f>
        <v>#N/A</v>
      </c>
      <c r="Q641" s="48">
        <v>1</v>
      </c>
      <c r="R641" s="75" t="e">
        <f>VLOOKUP(G641,Input!C:H,5,FALSE)</f>
        <v>#N/A</v>
      </c>
      <c r="T641" s="47">
        <v>1</v>
      </c>
      <c r="U641" s="47" t="str">
        <f t="shared" si="10"/>
        <v>640,640,**,</v>
      </c>
      <c r="AC641" s="47">
        <v>640</v>
      </c>
      <c r="AD641" s="47">
        <v>640</v>
      </c>
    </row>
    <row r="642" spans="1:30" ht="15.75">
      <c r="A642" s="13" t="str">
        <f>IFERROR(VLOOKUP($G:$G,scan!$A:$B,2,0),"**")</f>
        <v>**</v>
      </c>
      <c r="B642" s="13" t="str">
        <f>IFERROR(VLOOKUP($G642,scan!A:C,3,0),"**")</f>
        <v>**</v>
      </c>
      <c r="C642" s="47">
        <v>641</v>
      </c>
      <c r="F642" s="78"/>
      <c r="G642" s="2"/>
      <c r="H642" s="47" t="s">
        <v>4926</v>
      </c>
      <c r="I642" s="43">
        <v>6042070338</v>
      </c>
      <c r="J642" s="43" t="s">
        <v>4927</v>
      </c>
      <c r="K642" s="47" t="s">
        <v>4928</v>
      </c>
      <c r="L642" s="67" t="e">
        <f>VLOOKUP(G642,Input!C:Q,12,FALSE)</f>
        <v>#N/A</v>
      </c>
      <c r="M642" s="68" t="e">
        <f>VLOOKUP(G642,Input!C:Q,15,FALSE)</f>
        <v>#N/A</v>
      </c>
      <c r="N642" s="69" t="e">
        <f>VLOOKUP(G642,Input!C:Q,14,FALSE)</f>
        <v>#N/A</v>
      </c>
      <c r="Q642" s="48">
        <v>1</v>
      </c>
      <c r="R642" s="75" t="e">
        <f>VLOOKUP(G642,Input!C:H,5,FALSE)</f>
        <v>#N/A</v>
      </c>
      <c r="T642" s="47">
        <v>1</v>
      </c>
      <c r="U642" s="47" t="str">
        <f t="shared" si="10"/>
        <v>641,641,**,</v>
      </c>
      <c r="AC642" s="47">
        <v>641</v>
      </c>
      <c r="AD642" s="47">
        <v>641</v>
      </c>
    </row>
    <row r="643" spans="1:30" ht="15.75">
      <c r="A643" s="13" t="str">
        <f>IFERROR(VLOOKUP($G:$G,scan!$A:$B,2,0),"**")</f>
        <v>**</v>
      </c>
      <c r="B643" s="13" t="str">
        <f>IFERROR(VLOOKUP($G643,scan!A:C,3,0),"**")</f>
        <v>**</v>
      </c>
      <c r="C643" s="47">
        <v>642</v>
      </c>
      <c r="F643" s="78"/>
      <c r="G643" s="2"/>
      <c r="H643" s="47" t="s">
        <v>4926</v>
      </c>
      <c r="I643" s="43">
        <v>6042070338</v>
      </c>
      <c r="J643" s="43" t="s">
        <v>4927</v>
      </c>
      <c r="K643" s="47" t="s">
        <v>4928</v>
      </c>
      <c r="L643" s="67" t="e">
        <f>VLOOKUP(G643,Input!C:Q,12,FALSE)</f>
        <v>#N/A</v>
      </c>
      <c r="M643" s="68" t="e">
        <f>VLOOKUP(G643,Input!C:Q,15,FALSE)</f>
        <v>#N/A</v>
      </c>
      <c r="N643" s="69" t="e">
        <f>VLOOKUP(G643,Input!C:Q,14,FALSE)</f>
        <v>#N/A</v>
      </c>
      <c r="Q643" s="48">
        <v>1</v>
      </c>
      <c r="R643" s="75" t="e">
        <f>VLOOKUP(G643,Input!C:H,5,FALSE)</f>
        <v>#N/A</v>
      </c>
      <c r="T643" s="47">
        <v>1</v>
      </c>
      <c r="U643" s="47" t="str">
        <f t="shared" si="10"/>
        <v>642,642,**,</v>
      </c>
      <c r="AC643" s="47">
        <v>642</v>
      </c>
      <c r="AD643" s="47">
        <v>642</v>
      </c>
    </row>
    <row r="644" spans="1:30" ht="15.75">
      <c r="A644" s="13" t="str">
        <f>IFERROR(VLOOKUP($G:$G,scan!$A:$B,2,0),"**")</f>
        <v>**</v>
      </c>
      <c r="B644" s="13" t="str">
        <f>IFERROR(VLOOKUP($G644,scan!A:C,3,0),"**")</f>
        <v>**</v>
      </c>
      <c r="C644" s="47">
        <v>643</v>
      </c>
      <c r="F644" s="78"/>
      <c r="G644" s="2"/>
      <c r="H644" s="47" t="s">
        <v>4926</v>
      </c>
      <c r="I644" s="43">
        <v>6042070338</v>
      </c>
      <c r="J644" s="43" t="s">
        <v>4927</v>
      </c>
      <c r="K644" s="47" t="s">
        <v>4928</v>
      </c>
      <c r="L644" s="67" t="e">
        <f>VLOOKUP(G644,Input!C:Q,12,FALSE)</f>
        <v>#N/A</v>
      </c>
      <c r="M644" s="68" t="e">
        <f>VLOOKUP(G644,Input!C:Q,15,FALSE)</f>
        <v>#N/A</v>
      </c>
      <c r="N644" s="69" t="e">
        <f>VLOOKUP(G644,Input!C:Q,14,FALSE)</f>
        <v>#N/A</v>
      </c>
      <c r="Q644" s="48">
        <v>1</v>
      </c>
      <c r="R644" s="75" t="e">
        <f>VLOOKUP(G644,Input!C:H,5,FALSE)</f>
        <v>#N/A</v>
      </c>
      <c r="T644" s="47">
        <v>1</v>
      </c>
      <c r="U644" s="47" t="str">
        <f t="shared" si="10"/>
        <v>643,643,**,</v>
      </c>
      <c r="AC644" s="47">
        <v>643</v>
      </c>
      <c r="AD644" s="47">
        <v>643</v>
      </c>
    </row>
    <row r="645" spans="1:30" ht="15.75">
      <c r="A645" s="13" t="str">
        <f>IFERROR(VLOOKUP($G:$G,scan!$A:$B,2,0),"**")</f>
        <v>**</v>
      </c>
      <c r="B645" s="13" t="str">
        <f>IFERROR(VLOOKUP($G645,scan!A:C,3,0),"**")</f>
        <v>**</v>
      </c>
      <c r="C645" s="47">
        <v>644</v>
      </c>
      <c r="F645" s="78"/>
      <c r="G645" s="2"/>
      <c r="H645" s="47" t="s">
        <v>4926</v>
      </c>
      <c r="I645" s="43">
        <v>6042070338</v>
      </c>
      <c r="J645" s="43" t="s">
        <v>4927</v>
      </c>
      <c r="K645" s="47" t="s">
        <v>4928</v>
      </c>
      <c r="L645" s="67" t="e">
        <f>VLOOKUP(G645,Input!C:Q,12,FALSE)</f>
        <v>#N/A</v>
      </c>
      <c r="M645" s="68" t="e">
        <f>VLOOKUP(G645,Input!C:Q,15,FALSE)</f>
        <v>#N/A</v>
      </c>
      <c r="N645" s="69" t="e">
        <f>VLOOKUP(G645,Input!C:Q,14,FALSE)</f>
        <v>#N/A</v>
      </c>
      <c r="Q645" s="48">
        <v>1</v>
      </c>
      <c r="R645" s="75" t="e">
        <f>VLOOKUP(G645,Input!C:H,5,FALSE)</f>
        <v>#N/A</v>
      </c>
      <c r="T645" s="47">
        <v>1</v>
      </c>
      <c r="U645" s="47" t="str">
        <f t="shared" si="10"/>
        <v>644,644,**,</v>
      </c>
      <c r="AC645" s="47">
        <v>644</v>
      </c>
      <c r="AD645" s="47">
        <v>644</v>
      </c>
    </row>
    <row r="646" spans="1:30" ht="15.75">
      <c r="A646" s="13" t="str">
        <f>IFERROR(VLOOKUP($G:$G,scan!$A:$B,2,0),"**")</f>
        <v>**</v>
      </c>
      <c r="B646" s="13" t="str">
        <f>IFERROR(VLOOKUP($G646,scan!A:C,3,0),"**")</f>
        <v>**</v>
      </c>
      <c r="C646" s="47">
        <v>645</v>
      </c>
      <c r="F646" s="78"/>
      <c r="G646" s="2"/>
      <c r="H646" s="47" t="s">
        <v>4926</v>
      </c>
      <c r="I646" s="43">
        <v>6042070338</v>
      </c>
      <c r="J646" s="43" t="s">
        <v>4927</v>
      </c>
      <c r="K646" s="47" t="s">
        <v>4928</v>
      </c>
      <c r="L646" s="67" t="e">
        <f>VLOOKUP(G646,Input!C:Q,12,FALSE)</f>
        <v>#N/A</v>
      </c>
      <c r="M646" s="68" t="e">
        <f>VLOOKUP(G646,Input!C:Q,15,FALSE)</f>
        <v>#N/A</v>
      </c>
      <c r="N646" s="69" t="e">
        <f>VLOOKUP(G646,Input!C:Q,14,FALSE)</f>
        <v>#N/A</v>
      </c>
      <c r="Q646" s="48">
        <v>1</v>
      </c>
      <c r="R646" s="75" t="e">
        <f>VLOOKUP(G646,Input!C:H,5,FALSE)</f>
        <v>#N/A</v>
      </c>
      <c r="T646" s="47">
        <v>1</v>
      </c>
      <c r="U646" s="47" t="str">
        <f t="shared" si="10"/>
        <v>645,645,**,</v>
      </c>
      <c r="AC646" s="47">
        <v>645</v>
      </c>
      <c r="AD646" s="47">
        <v>645</v>
      </c>
    </row>
    <row r="647" spans="1:30" ht="15.75">
      <c r="A647" s="13" t="str">
        <f>IFERROR(VLOOKUP($G:$G,scan!$A:$B,2,0),"**")</f>
        <v>**</v>
      </c>
      <c r="B647" s="13" t="str">
        <f>IFERROR(VLOOKUP($G647,scan!A:C,3,0),"**")</f>
        <v>**</v>
      </c>
      <c r="C647" s="47">
        <v>646</v>
      </c>
      <c r="F647" s="78"/>
      <c r="G647" s="2"/>
      <c r="H647" s="47" t="s">
        <v>4926</v>
      </c>
      <c r="I647" s="43">
        <v>6042070338</v>
      </c>
      <c r="J647" s="43" t="s">
        <v>4927</v>
      </c>
      <c r="K647" s="47" t="s">
        <v>4928</v>
      </c>
      <c r="L647" s="67" t="e">
        <f>VLOOKUP(G647,Input!C:Q,12,FALSE)</f>
        <v>#N/A</v>
      </c>
      <c r="M647" s="68" t="e">
        <f>VLOOKUP(G647,Input!C:Q,15,FALSE)</f>
        <v>#N/A</v>
      </c>
      <c r="N647" s="69" t="e">
        <f>VLOOKUP(G647,Input!C:Q,14,FALSE)</f>
        <v>#N/A</v>
      </c>
      <c r="Q647" s="48">
        <v>1</v>
      </c>
      <c r="R647" s="75" t="e">
        <f>VLOOKUP(G647,Input!C:H,5,FALSE)</f>
        <v>#N/A</v>
      </c>
      <c r="T647" s="47">
        <v>1</v>
      </c>
      <c r="U647" s="47" t="str">
        <f t="shared" si="10"/>
        <v>646,646,**,</v>
      </c>
      <c r="AC647" s="47">
        <v>646</v>
      </c>
      <c r="AD647" s="47">
        <v>646</v>
      </c>
    </row>
    <row r="648" spans="1:30" ht="15.75">
      <c r="A648" s="13" t="str">
        <f>IFERROR(VLOOKUP($G:$G,scan!$A:$B,2,0),"**")</f>
        <v>**</v>
      </c>
      <c r="B648" s="13" t="str">
        <f>IFERROR(VLOOKUP($G648,scan!A:C,3,0),"**")</f>
        <v>**</v>
      </c>
      <c r="C648" s="47">
        <v>647</v>
      </c>
      <c r="F648" s="78"/>
      <c r="G648" s="2"/>
      <c r="H648" s="47" t="s">
        <v>4926</v>
      </c>
      <c r="I648" s="43">
        <v>6042070338</v>
      </c>
      <c r="J648" s="43" t="s">
        <v>4927</v>
      </c>
      <c r="K648" s="47" t="s">
        <v>4928</v>
      </c>
      <c r="L648" s="67" t="e">
        <f>VLOOKUP(G648,Input!C:Q,12,FALSE)</f>
        <v>#N/A</v>
      </c>
      <c r="M648" s="68" t="e">
        <f>VLOOKUP(G648,Input!C:Q,15,FALSE)</f>
        <v>#N/A</v>
      </c>
      <c r="N648" s="69" t="e">
        <f>VLOOKUP(G648,Input!C:Q,14,FALSE)</f>
        <v>#N/A</v>
      </c>
      <c r="Q648" s="48">
        <v>1</v>
      </c>
      <c r="R648" s="75" t="e">
        <f>VLOOKUP(G648,Input!C:H,5,FALSE)</f>
        <v>#N/A</v>
      </c>
      <c r="T648" s="47">
        <v>1</v>
      </c>
      <c r="U648" s="47" t="str">
        <f t="shared" si="10"/>
        <v>647,647,**,</v>
      </c>
      <c r="AC648" s="47">
        <v>647</v>
      </c>
      <c r="AD648" s="47">
        <v>647</v>
      </c>
    </row>
    <row r="649" spans="1:30" ht="15.75">
      <c r="A649" s="13" t="str">
        <f>IFERROR(VLOOKUP($G:$G,scan!$A:$B,2,0),"**")</f>
        <v>**</v>
      </c>
      <c r="B649" s="13" t="str">
        <f>IFERROR(VLOOKUP($G649,scan!A:C,3,0),"**")</f>
        <v>**</v>
      </c>
      <c r="C649" s="47">
        <v>648</v>
      </c>
      <c r="F649" s="78"/>
      <c r="G649" s="2"/>
      <c r="H649" s="47" t="s">
        <v>4926</v>
      </c>
      <c r="I649" s="43">
        <v>6042070338</v>
      </c>
      <c r="J649" s="43" t="s">
        <v>4927</v>
      </c>
      <c r="K649" s="47" t="s">
        <v>4928</v>
      </c>
      <c r="L649" s="67" t="e">
        <f>VLOOKUP(G649,Input!C:Q,12,FALSE)</f>
        <v>#N/A</v>
      </c>
      <c r="M649" s="68" t="e">
        <f>VLOOKUP(G649,Input!C:Q,15,FALSE)</f>
        <v>#N/A</v>
      </c>
      <c r="N649" s="69" t="e">
        <f>VLOOKUP(G649,Input!C:Q,14,FALSE)</f>
        <v>#N/A</v>
      </c>
      <c r="Q649" s="48">
        <v>1</v>
      </c>
      <c r="R649" s="75" t="e">
        <f>VLOOKUP(G649,Input!C:H,5,FALSE)</f>
        <v>#N/A</v>
      </c>
      <c r="T649" s="47">
        <v>1</v>
      </c>
      <c r="U649" s="47" t="str">
        <f t="shared" si="10"/>
        <v>648,648,**,</v>
      </c>
      <c r="AC649" s="47">
        <v>648</v>
      </c>
      <c r="AD649" s="47">
        <v>648</v>
      </c>
    </row>
    <row r="650" spans="1:30" ht="15.75">
      <c r="A650" s="13" t="str">
        <f>IFERROR(VLOOKUP($G:$G,scan!$A:$B,2,0),"**")</f>
        <v>**</v>
      </c>
      <c r="B650" s="13" t="str">
        <f>IFERROR(VLOOKUP($G650,scan!A:C,3,0),"**")</f>
        <v>**</v>
      </c>
      <c r="C650" s="47">
        <v>649</v>
      </c>
      <c r="F650" s="78"/>
      <c r="G650" s="2"/>
      <c r="H650" s="47" t="s">
        <v>4926</v>
      </c>
      <c r="I650" s="43">
        <v>6042070338</v>
      </c>
      <c r="J650" s="43" t="s">
        <v>4927</v>
      </c>
      <c r="K650" s="47" t="s">
        <v>4928</v>
      </c>
      <c r="L650" s="67" t="e">
        <f>VLOOKUP(G650,Input!C:Q,12,FALSE)</f>
        <v>#N/A</v>
      </c>
      <c r="M650" s="68" t="e">
        <f>VLOOKUP(G650,Input!C:Q,15,FALSE)</f>
        <v>#N/A</v>
      </c>
      <c r="N650" s="69" t="e">
        <f>VLOOKUP(G650,Input!C:Q,14,FALSE)</f>
        <v>#N/A</v>
      </c>
      <c r="Q650" s="48">
        <v>1</v>
      </c>
      <c r="R650" s="75" t="e">
        <f>VLOOKUP(G650,Input!C:H,5,FALSE)</f>
        <v>#N/A</v>
      </c>
      <c r="T650" s="47">
        <v>1</v>
      </c>
      <c r="U650" s="47" t="str">
        <f t="shared" si="10"/>
        <v>649,649,**,</v>
      </c>
      <c r="AC650" s="47">
        <v>649</v>
      </c>
      <c r="AD650" s="47">
        <v>649</v>
      </c>
    </row>
    <row r="651" spans="1:30" ht="15.75">
      <c r="A651" s="13" t="str">
        <f>IFERROR(VLOOKUP($G:$G,scan!$A:$B,2,0),"**")</f>
        <v>**</v>
      </c>
      <c r="B651" s="13" t="str">
        <f>IFERROR(VLOOKUP($G651,scan!A:C,3,0),"**")</f>
        <v>**</v>
      </c>
      <c r="C651" s="47">
        <v>650</v>
      </c>
      <c r="F651" s="78"/>
      <c r="G651" s="2"/>
      <c r="H651" s="47" t="s">
        <v>4926</v>
      </c>
      <c r="I651" s="43">
        <v>6042070338</v>
      </c>
      <c r="J651" s="43" t="s">
        <v>4927</v>
      </c>
      <c r="K651" s="47" t="s">
        <v>4928</v>
      </c>
      <c r="L651" s="67" t="e">
        <f>VLOOKUP(G651,Input!C:Q,12,FALSE)</f>
        <v>#N/A</v>
      </c>
      <c r="M651" s="68" t="e">
        <f>VLOOKUP(G651,Input!C:Q,15,FALSE)</f>
        <v>#N/A</v>
      </c>
      <c r="N651" s="69" t="e">
        <f>VLOOKUP(G651,Input!C:Q,14,FALSE)</f>
        <v>#N/A</v>
      </c>
      <c r="Q651" s="48">
        <v>1</v>
      </c>
      <c r="R651" s="75" t="e">
        <f>VLOOKUP(G651,Input!C:H,5,FALSE)</f>
        <v>#N/A</v>
      </c>
      <c r="T651" s="47">
        <v>1</v>
      </c>
      <c r="U651" s="47" t="str">
        <f t="shared" si="10"/>
        <v>650,650,**,</v>
      </c>
      <c r="AC651" s="47">
        <v>650</v>
      </c>
      <c r="AD651" s="47">
        <v>650</v>
      </c>
    </row>
    <row r="652" spans="1:30" ht="15.75">
      <c r="A652" s="13" t="str">
        <f>IFERROR(VLOOKUP($G:$G,scan!$A:$B,2,0),"**")</f>
        <v>**</v>
      </c>
      <c r="B652" s="13" t="str">
        <f>IFERROR(VLOOKUP($G652,scan!A:C,3,0),"**")</f>
        <v>**</v>
      </c>
      <c r="C652" s="47">
        <v>651</v>
      </c>
      <c r="F652" s="78"/>
      <c r="G652" s="2"/>
      <c r="H652" s="47" t="s">
        <v>4926</v>
      </c>
      <c r="I652" s="43">
        <v>6042070338</v>
      </c>
      <c r="J652" s="43" t="s">
        <v>4927</v>
      </c>
      <c r="K652" s="47" t="s">
        <v>4928</v>
      </c>
      <c r="L652" s="67" t="e">
        <f>VLOOKUP(G652,Input!C:Q,12,FALSE)</f>
        <v>#N/A</v>
      </c>
      <c r="M652" s="68" t="e">
        <f>VLOOKUP(G652,Input!C:Q,15,FALSE)</f>
        <v>#N/A</v>
      </c>
      <c r="N652" s="69" t="e">
        <f>VLOOKUP(G652,Input!C:Q,14,FALSE)</f>
        <v>#N/A</v>
      </c>
      <c r="Q652" s="48">
        <v>1</v>
      </c>
      <c r="R652" s="75" t="e">
        <f>VLOOKUP(G652,Input!C:H,5,FALSE)</f>
        <v>#N/A</v>
      </c>
      <c r="T652" s="47">
        <v>1</v>
      </c>
      <c r="U652" s="47" t="str">
        <f t="shared" si="10"/>
        <v>651,651,**,</v>
      </c>
      <c r="AC652" s="47">
        <v>651</v>
      </c>
      <c r="AD652" s="47">
        <v>651</v>
      </c>
    </row>
    <row r="653" spans="1:30" ht="15.75">
      <c r="A653" s="13" t="str">
        <f>IFERROR(VLOOKUP($G:$G,scan!$A:$B,2,0),"**")</f>
        <v>**</v>
      </c>
      <c r="B653" s="13" t="str">
        <f>IFERROR(VLOOKUP($G653,scan!A:C,3,0),"**")</f>
        <v>**</v>
      </c>
      <c r="C653" s="47">
        <v>652</v>
      </c>
      <c r="F653" s="78"/>
      <c r="G653" s="2"/>
      <c r="H653" s="47" t="s">
        <v>4926</v>
      </c>
      <c r="I653" s="43">
        <v>6042070338</v>
      </c>
      <c r="J653" s="43" t="s">
        <v>4927</v>
      </c>
      <c r="K653" s="47" t="s">
        <v>4928</v>
      </c>
      <c r="L653" s="67" t="e">
        <f>VLOOKUP(G653,Input!C:Q,12,FALSE)</f>
        <v>#N/A</v>
      </c>
      <c r="M653" s="68" t="e">
        <f>VLOOKUP(G653,Input!C:Q,15,FALSE)</f>
        <v>#N/A</v>
      </c>
      <c r="N653" s="69" t="e">
        <f>VLOOKUP(G653,Input!C:Q,14,FALSE)</f>
        <v>#N/A</v>
      </c>
      <c r="Q653" s="48">
        <v>1</v>
      </c>
      <c r="R653" s="75" t="e">
        <f>VLOOKUP(G653,Input!C:H,5,FALSE)</f>
        <v>#N/A</v>
      </c>
      <c r="T653" s="47">
        <v>1</v>
      </c>
      <c r="U653" s="47" t="str">
        <f t="shared" si="10"/>
        <v>652,652,**,</v>
      </c>
      <c r="AC653" s="47">
        <v>652</v>
      </c>
      <c r="AD653" s="47">
        <v>652</v>
      </c>
    </row>
    <row r="654" spans="1:30" ht="15.75">
      <c r="A654" s="13" t="str">
        <f>IFERROR(VLOOKUP($G:$G,scan!$A:$B,2,0),"**")</f>
        <v>**</v>
      </c>
      <c r="B654" s="13" t="str">
        <f>IFERROR(VLOOKUP($G654,scan!A:C,3,0),"**")</f>
        <v>**</v>
      </c>
      <c r="C654" s="47">
        <v>653</v>
      </c>
      <c r="F654" s="78"/>
      <c r="G654" s="2"/>
      <c r="H654" s="47" t="s">
        <v>4926</v>
      </c>
      <c r="I654" s="43">
        <v>6042070338</v>
      </c>
      <c r="J654" s="43" t="s">
        <v>4927</v>
      </c>
      <c r="K654" s="47" t="s">
        <v>4928</v>
      </c>
      <c r="L654" s="67" t="e">
        <f>VLOOKUP(G654,Input!C:Q,12,FALSE)</f>
        <v>#N/A</v>
      </c>
      <c r="M654" s="68" t="e">
        <f>VLOOKUP(G654,Input!C:Q,15,FALSE)</f>
        <v>#N/A</v>
      </c>
      <c r="N654" s="69" t="e">
        <f>VLOOKUP(G654,Input!C:Q,14,FALSE)</f>
        <v>#N/A</v>
      </c>
      <c r="Q654" s="48">
        <v>1</v>
      </c>
      <c r="R654" s="75" t="e">
        <f>VLOOKUP(G654,Input!C:H,5,FALSE)</f>
        <v>#N/A</v>
      </c>
      <c r="T654" s="47">
        <v>1</v>
      </c>
      <c r="U654" s="47" t="str">
        <f t="shared" si="10"/>
        <v>653,653,**,</v>
      </c>
      <c r="AC654" s="47">
        <v>653</v>
      </c>
      <c r="AD654" s="47">
        <v>653</v>
      </c>
    </row>
    <row r="655" spans="1:30" ht="15.75">
      <c r="A655" s="13" t="str">
        <f>IFERROR(VLOOKUP($G:$G,scan!$A:$B,2,0),"**")</f>
        <v>**</v>
      </c>
      <c r="B655" s="13" t="str">
        <f>IFERROR(VLOOKUP($G655,scan!A:C,3,0),"**")</f>
        <v>**</v>
      </c>
      <c r="C655" s="47">
        <v>654</v>
      </c>
      <c r="F655" s="78"/>
      <c r="G655" s="2"/>
      <c r="H655" s="47" t="s">
        <v>4926</v>
      </c>
      <c r="I655" s="43">
        <v>6042070338</v>
      </c>
      <c r="J655" s="43" t="s">
        <v>4927</v>
      </c>
      <c r="K655" s="47" t="s">
        <v>4928</v>
      </c>
      <c r="L655" s="67" t="e">
        <f>VLOOKUP(G655,Input!C:Q,12,FALSE)</f>
        <v>#N/A</v>
      </c>
      <c r="M655" s="68" t="e">
        <f>VLOOKUP(G655,Input!C:Q,15,FALSE)</f>
        <v>#N/A</v>
      </c>
      <c r="N655" s="69" t="e">
        <f>VLOOKUP(G655,Input!C:Q,14,FALSE)</f>
        <v>#N/A</v>
      </c>
      <c r="Q655" s="48">
        <v>1</v>
      </c>
      <c r="R655" s="75" t="e">
        <f>VLOOKUP(G655,Input!C:H,5,FALSE)</f>
        <v>#N/A</v>
      </c>
      <c r="T655" s="47">
        <v>1</v>
      </c>
      <c r="U655" s="47" t="str">
        <f t="shared" si="10"/>
        <v>654,654,**,</v>
      </c>
      <c r="AC655" s="47">
        <v>654</v>
      </c>
      <c r="AD655" s="47">
        <v>654</v>
      </c>
    </row>
    <row r="656" spans="1:30" ht="15.75">
      <c r="A656" s="13" t="str">
        <f>IFERROR(VLOOKUP($G:$G,scan!$A:$B,2,0),"**")</f>
        <v>**</v>
      </c>
      <c r="B656" s="13" t="str">
        <f>IFERROR(VLOOKUP($G656,scan!A:C,3,0),"**")</f>
        <v>**</v>
      </c>
      <c r="C656" s="47">
        <v>655</v>
      </c>
      <c r="F656" s="78"/>
      <c r="G656" s="2"/>
      <c r="H656" s="47" t="s">
        <v>4926</v>
      </c>
      <c r="I656" s="43">
        <v>6042070338</v>
      </c>
      <c r="J656" s="43" t="s">
        <v>4927</v>
      </c>
      <c r="K656" s="47" t="s">
        <v>4928</v>
      </c>
      <c r="L656" s="67" t="e">
        <f>VLOOKUP(G656,Input!C:Q,12,FALSE)</f>
        <v>#N/A</v>
      </c>
      <c r="M656" s="68" t="e">
        <f>VLOOKUP(G656,Input!C:Q,15,FALSE)</f>
        <v>#N/A</v>
      </c>
      <c r="N656" s="69" t="e">
        <f>VLOOKUP(G656,Input!C:Q,14,FALSE)</f>
        <v>#N/A</v>
      </c>
      <c r="Q656" s="48">
        <v>1</v>
      </c>
      <c r="R656" s="75" t="e">
        <f>VLOOKUP(G656,Input!C:H,5,FALSE)</f>
        <v>#N/A</v>
      </c>
      <c r="T656" s="47">
        <v>1</v>
      </c>
      <c r="U656" s="47" t="str">
        <f t="shared" si="10"/>
        <v>655,655,**,</v>
      </c>
      <c r="AC656" s="47">
        <v>655</v>
      </c>
      <c r="AD656" s="47">
        <v>655</v>
      </c>
    </row>
    <row r="657" spans="1:30" ht="15.75">
      <c r="A657" s="13" t="str">
        <f>IFERROR(VLOOKUP($G:$G,scan!$A:$B,2,0),"**")</f>
        <v>**</v>
      </c>
      <c r="B657" s="13" t="str">
        <f>IFERROR(VLOOKUP($G657,scan!A:C,3,0),"**")</f>
        <v>**</v>
      </c>
      <c r="C657" s="47">
        <v>656</v>
      </c>
      <c r="F657" s="78"/>
      <c r="G657" s="2"/>
      <c r="H657" s="47" t="s">
        <v>4926</v>
      </c>
      <c r="I657" s="43">
        <v>6042070338</v>
      </c>
      <c r="J657" s="43" t="s">
        <v>4927</v>
      </c>
      <c r="K657" s="47" t="s">
        <v>4928</v>
      </c>
      <c r="L657" s="67" t="e">
        <f>VLOOKUP(G657,Input!C:Q,12,FALSE)</f>
        <v>#N/A</v>
      </c>
      <c r="M657" s="68" t="e">
        <f>VLOOKUP(G657,Input!C:Q,15,FALSE)</f>
        <v>#N/A</v>
      </c>
      <c r="N657" s="69" t="e">
        <f>VLOOKUP(G657,Input!C:Q,14,FALSE)</f>
        <v>#N/A</v>
      </c>
      <c r="Q657" s="48">
        <v>1</v>
      </c>
      <c r="R657" s="75" t="e">
        <f>VLOOKUP(G657,Input!C:H,5,FALSE)</f>
        <v>#N/A</v>
      </c>
      <c r="T657" s="47">
        <v>1</v>
      </c>
      <c r="U657" s="47" t="str">
        <f t="shared" si="10"/>
        <v>656,656,**,</v>
      </c>
      <c r="AC657" s="47">
        <v>656</v>
      </c>
      <c r="AD657" s="47">
        <v>656</v>
      </c>
    </row>
    <row r="658" spans="1:30" ht="15.75">
      <c r="A658" s="13" t="str">
        <f>IFERROR(VLOOKUP($G:$G,scan!$A:$B,2,0),"**")</f>
        <v>**</v>
      </c>
      <c r="B658" s="13" t="str">
        <f>IFERROR(VLOOKUP($G658,scan!A:C,3,0),"**")</f>
        <v>**</v>
      </c>
      <c r="C658" s="47">
        <v>657</v>
      </c>
      <c r="F658" s="78"/>
      <c r="G658" s="2"/>
      <c r="H658" s="47" t="s">
        <v>4926</v>
      </c>
      <c r="I658" s="43">
        <v>6042070338</v>
      </c>
      <c r="J658" s="43" t="s">
        <v>4927</v>
      </c>
      <c r="K658" s="47" t="s">
        <v>4928</v>
      </c>
      <c r="L658" s="67" t="e">
        <f>VLOOKUP(G658,Input!C:Q,12,FALSE)</f>
        <v>#N/A</v>
      </c>
      <c r="M658" s="68" t="e">
        <f>VLOOKUP(G658,Input!C:Q,15,FALSE)</f>
        <v>#N/A</v>
      </c>
      <c r="N658" s="69" t="e">
        <f>VLOOKUP(G658,Input!C:Q,14,FALSE)</f>
        <v>#N/A</v>
      </c>
      <c r="Q658" s="48">
        <v>1</v>
      </c>
      <c r="R658" s="75" t="e">
        <f>VLOOKUP(G658,Input!C:H,5,FALSE)</f>
        <v>#N/A</v>
      </c>
      <c r="T658" s="47">
        <v>1</v>
      </c>
      <c r="U658" s="47" t="str">
        <f t="shared" si="10"/>
        <v>657,657,**,</v>
      </c>
      <c r="AC658" s="47">
        <v>657</v>
      </c>
      <c r="AD658" s="47">
        <v>657</v>
      </c>
    </row>
    <row r="659" spans="1:30" ht="15.75">
      <c r="A659" s="13" t="str">
        <f>IFERROR(VLOOKUP($G:$G,scan!$A:$B,2,0),"**")</f>
        <v>**</v>
      </c>
      <c r="B659" s="13" t="str">
        <f>IFERROR(VLOOKUP($G659,scan!A:C,3,0),"**")</f>
        <v>**</v>
      </c>
      <c r="C659" s="47">
        <v>658</v>
      </c>
      <c r="F659" s="78"/>
      <c r="G659" s="2"/>
      <c r="H659" s="47" t="s">
        <v>4926</v>
      </c>
      <c r="I659" s="43">
        <v>6042070338</v>
      </c>
      <c r="J659" s="43" t="s">
        <v>4927</v>
      </c>
      <c r="K659" s="47" t="s">
        <v>4928</v>
      </c>
      <c r="L659" s="67" t="e">
        <f>VLOOKUP(G659,Input!C:Q,12,FALSE)</f>
        <v>#N/A</v>
      </c>
      <c r="M659" s="68" t="e">
        <f>VLOOKUP(G659,Input!C:Q,15,FALSE)</f>
        <v>#N/A</v>
      </c>
      <c r="N659" s="69" t="e">
        <f>VLOOKUP(G659,Input!C:Q,14,FALSE)</f>
        <v>#N/A</v>
      </c>
      <c r="Q659" s="48">
        <v>1</v>
      </c>
      <c r="R659" s="75" t="e">
        <f>VLOOKUP(G659,Input!C:H,5,FALSE)</f>
        <v>#N/A</v>
      </c>
      <c r="T659" s="47">
        <v>1</v>
      </c>
      <c r="U659" s="47" t="str">
        <f t="shared" si="10"/>
        <v>658,658,**,</v>
      </c>
      <c r="AC659" s="47">
        <v>658</v>
      </c>
      <c r="AD659" s="47">
        <v>658</v>
      </c>
    </row>
    <row r="660" spans="1:30" ht="15.75">
      <c r="A660" s="13" t="str">
        <f>IFERROR(VLOOKUP($G:$G,scan!$A:$B,2,0),"**")</f>
        <v>**</v>
      </c>
      <c r="B660" s="13" t="str">
        <f>IFERROR(VLOOKUP($G660,scan!A:C,3,0),"**")</f>
        <v>**</v>
      </c>
      <c r="C660" s="47">
        <v>659</v>
      </c>
      <c r="F660" s="78"/>
      <c r="G660" s="2"/>
      <c r="H660" s="47" t="s">
        <v>4926</v>
      </c>
      <c r="I660" s="43">
        <v>6042070338</v>
      </c>
      <c r="J660" s="43" t="s">
        <v>4927</v>
      </c>
      <c r="K660" s="47" t="s">
        <v>4928</v>
      </c>
      <c r="L660" s="67" t="e">
        <f>VLOOKUP(G660,Input!C:Q,12,FALSE)</f>
        <v>#N/A</v>
      </c>
      <c r="M660" s="68" t="e">
        <f>VLOOKUP(G660,Input!C:Q,15,FALSE)</f>
        <v>#N/A</v>
      </c>
      <c r="N660" s="69" t="e">
        <f>VLOOKUP(G660,Input!C:Q,14,FALSE)</f>
        <v>#N/A</v>
      </c>
      <c r="Q660" s="48">
        <v>1</v>
      </c>
      <c r="R660" s="75" t="e">
        <f>VLOOKUP(G660,Input!C:H,5,FALSE)</f>
        <v>#N/A</v>
      </c>
      <c r="T660" s="47">
        <v>1</v>
      </c>
      <c r="U660" s="47" t="str">
        <f t="shared" si="10"/>
        <v>659,659,**,</v>
      </c>
      <c r="AC660" s="47">
        <v>659</v>
      </c>
      <c r="AD660" s="47">
        <v>659</v>
      </c>
    </row>
    <row r="661" spans="1:30" ht="15.75">
      <c r="A661" s="13" t="str">
        <f>IFERROR(VLOOKUP($G:$G,scan!$A:$B,2,0),"**")</f>
        <v>**</v>
      </c>
      <c r="B661" s="13" t="str">
        <f>IFERROR(VLOOKUP($G661,scan!A:C,3,0),"**")</f>
        <v>**</v>
      </c>
      <c r="C661" s="47">
        <v>660</v>
      </c>
      <c r="F661" s="78"/>
      <c r="G661" s="2"/>
      <c r="H661" s="47" t="s">
        <v>4926</v>
      </c>
      <c r="I661" s="43">
        <v>6042070338</v>
      </c>
      <c r="J661" s="43" t="s">
        <v>4927</v>
      </c>
      <c r="K661" s="47" t="s">
        <v>4928</v>
      </c>
      <c r="L661" s="67" t="e">
        <f>VLOOKUP(G661,Input!C:Q,12,FALSE)</f>
        <v>#N/A</v>
      </c>
      <c r="M661" s="68" t="e">
        <f>VLOOKUP(G661,Input!C:Q,15,FALSE)</f>
        <v>#N/A</v>
      </c>
      <c r="N661" s="69" t="e">
        <f>VLOOKUP(G661,Input!C:Q,14,FALSE)</f>
        <v>#N/A</v>
      </c>
      <c r="Q661" s="48">
        <v>1</v>
      </c>
      <c r="R661" s="75" t="e">
        <f>VLOOKUP(G661,Input!C:H,5,FALSE)</f>
        <v>#N/A</v>
      </c>
      <c r="T661" s="47">
        <v>1</v>
      </c>
      <c r="U661" s="47" t="str">
        <f t="shared" si="10"/>
        <v>660,660,**,</v>
      </c>
      <c r="AC661" s="47">
        <v>660</v>
      </c>
      <c r="AD661" s="47">
        <v>660</v>
      </c>
    </row>
    <row r="662" spans="1:30" ht="15.75">
      <c r="A662" s="13" t="str">
        <f>IFERROR(VLOOKUP($G:$G,scan!$A:$B,2,0),"**")</f>
        <v>**</v>
      </c>
      <c r="B662" s="13" t="str">
        <f>IFERROR(VLOOKUP($G662,scan!A:C,3,0),"**")</f>
        <v>**</v>
      </c>
      <c r="C662" s="47">
        <v>661</v>
      </c>
      <c r="F662" s="78"/>
      <c r="G662" s="2"/>
      <c r="H662" s="47" t="s">
        <v>4926</v>
      </c>
      <c r="I662" s="43">
        <v>6042070338</v>
      </c>
      <c r="J662" s="43" t="s">
        <v>4927</v>
      </c>
      <c r="K662" s="47" t="s">
        <v>4928</v>
      </c>
      <c r="L662" s="67" t="e">
        <f>VLOOKUP(G662,Input!C:Q,12,FALSE)</f>
        <v>#N/A</v>
      </c>
      <c r="M662" s="68" t="e">
        <f>VLOOKUP(G662,Input!C:Q,15,FALSE)</f>
        <v>#N/A</v>
      </c>
      <c r="N662" s="69" t="e">
        <f>VLOOKUP(G662,Input!C:Q,14,FALSE)</f>
        <v>#N/A</v>
      </c>
      <c r="Q662" s="48">
        <v>1</v>
      </c>
      <c r="R662" s="75" t="e">
        <f>VLOOKUP(G662,Input!C:H,5,FALSE)</f>
        <v>#N/A</v>
      </c>
      <c r="T662" s="47">
        <v>1</v>
      </c>
      <c r="U662" s="47" t="str">
        <f t="shared" si="10"/>
        <v>661,661,**,</v>
      </c>
      <c r="AC662" s="47">
        <v>661</v>
      </c>
      <c r="AD662" s="47">
        <v>661</v>
      </c>
    </row>
    <row r="663" spans="1:30" ht="15.75">
      <c r="A663" s="13" t="str">
        <f>IFERROR(VLOOKUP($G:$G,scan!$A:$B,2,0),"**")</f>
        <v>**</v>
      </c>
      <c r="B663" s="13" t="str">
        <f>IFERROR(VLOOKUP($G663,scan!A:C,3,0),"**")</f>
        <v>**</v>
      </c>
      <c r="C663" s="47">
        <v>662</v>
      </c>
      <c r="F663" s="78"/>
      <c r="G663" s="2"/>
      <c r="H663" s="47" t="s">
        <v>4926</v>
      </c>
      <c r="I663" s="43">
        <v>6042070338</v>
      </c>
      <c r="J663" s="43" t="s">
        <v>4927</v>
      </c>
      <c r="K663" s="47" t="s">
        <v>4928</v>
      </c>
      <c r="L663" s="67" t="e">
        <f>VLOOKUP(G663,Input!C:Q,12,FALSE)</f>
        <v>#N/A</v>
      </c>
      <c r="M663" s="68" t="e">
        <f>VLOOKUP(G663,Input!C:Q,15,FALSE)</f>
        <v>#N/A</v>
      </c>
      <c r="N663" s="69" t="e">
        <f>VLOOKUP(G663,Input!C:Q,14,FALSE)</f>
        <v>#N/A</v>
      </c>
      <c r="Q663" s="48">
        <v>1</v>
      </c>
      <c r="R663" s="75" t="e">
        <f>VLOOKUP(G663,Input!C:H,5,FALSE)</f>
        <v>#N/A</v>
      </c>
      <c r="T663" s="47">
        <v>1</v>
      </c>
      <c r="U663" s="47" t="str">
        <f t="shared" si="10"/>
        <v>662,662,**,</v>
      </c>
      <c r="AC663" s="47">
        <v>662</v>
      </c>
      <c r="AD663" s="47">
        <v>662</v>
      </c>
    </row>
    <row r="664" spans="1:30" ht="15.75">
      <c r="A664" s="13" t="str">
        <f>IFERROR(VLOOKUP($G:$G,scan!$A:$B,2,0),"**")</f>
        <v>**</v>
      </c>
      <c r="B664" s="13" t="str">
        <f>IFERROR(VLOOKUP($G664,scan!A:C,3,0),"**")</f>
        <v>**</v>
      </c>
      <c r="C664" s="47">
        <v>663</v>
      </c>
      <c r="F664" s="78"/>
      <c r="G664" s="2"/>
      <c r="H664" s="47" t="s">
        <v>4926</v>
      </c>
      <c r="I664" s="43">
        <v>6042070338</v>
      </c>
      <c r="J664" s="43" t="s">
        <v>4927</v>
      </c>
      <c r="K664" s="47" t="s">
        <v>4928</v>
      </c>
      <c r="L664" s="67" t="e">
        <f>VLOOKUP(G664,Input!C:Q,12,FALSE)</f>
        <v>#N/A</v>
      </c>
      <c r="M664" s="68" t="e">
        <f>VLOOKUP(G664,Input!C:Q,15,FALSE)</f>
        <v>#N/A</v>
      </c>
      <c r="N664" s="69" t="e">
        <f>VLOOKUP(G664,Input!C:Q,14,FALSE)</f>
        <v>#N/A</v>
      </c>
      <c r="Q664" s="48">
        <v>1</v>
      </c>
      <c r="R664" s="75" t="e">
        <f>VLOOKUP(G664,Input!C:H,5,FALSE)</f>
        <v>#N/A</v>
      </c>
      <c r="T664" s="47">
        <v>1</v>
      </c>
      <c r="U664" s="47" t="str">
        <f t="shared" si="10"/>
        <v>663,663,**,</v>
      </c>
      <c r="AC664" s="47">
        <v>663</v>
      </c>
      <c r="AD664" s="47">
        <v>663</v>
      </c>
    </row>
    <row r="665" spans="1:30" ht="15.75">
      <c r="A665" s="13" t="str">
        <f>IFERROR(VLOOKUP($G:$G,scan!$A:$B,2,0),"**")</f>
        <v>**</v>
      </c>
      <c r="B665" s="13" t="str">
        <f>IFERROR(VLOOKUP($G665,scan!A:C,3,0),"**")</f>
        <v>**</v>
      </c>
      <c r="C665" s="47">
        <v>664</v>
      </c>
      <c r="F665" s="78"/>
      <c r="G665" s="2"/>
      <c r="H665" s="47" t="s">
        <v>4926</v>
      </c>
      <c r="I665" s="43">
        <v>6042070338</v>
      </c>
      <c r="J665" s="43" t="s">
        <v>4927</v>
      </c>
      <c r="K665" s="47" t="s">
        <v>4928</v>
      </c>
      <c r="L665" s="67" t="e">
        <f>VLOOKUP(G665,Input!C:Q,12,FALSE)</f>
        <v>#N/A</v>
      </c>
      <c r="M665" s="68" t="e">
        <f>VLOOKUP(G665,Input!C:Q,15,FALSE)</f>
        <v>#N/A</v>
      </c>
      <c r="N665" s="69" t="e">
        <f>VLOOKUP(G665,Input!C:Q,14,FALSE)</f>
        <v>#N/A</v>
      </c>
      <c r="Q665" s="48">
        <v>1</v>
      </c>
      <c r="R665" s="75" t="e">
        <f>VLOOKUP(G665,Input!C:H,5,FALSE)</f>
        <v>#N/A</v>
      </c>
      <c r="T665" s="47">
        <v>1</v>
      </c>
      <c r="U665" s="47" t="str">
        <f t="shared" si="10"/>
        <v>664,664,**,</v>
      </c>
      <c r="AC665" s="47">
        <v>664</v>
      </c>
      <c r="AD665" s="47">
        <v>664</v>
      </c>
    </row>
    <row r="666" spans="1:30" ht="15.75">
      <c r="A666" s="13" t="str">
        <f>IFERROR(VLOOKUP($G:$G,scan!$A:$B,2,0),"**")</f>
        <v>**</v>
      </c>
      <c r="B666" s="13" t="str">
        <f>IFERROR(VLOOKUP($G666,scan!A:C,3,0),"**")</f>
        <v>**</v>
      </c>
      <c r="C666" s="47">
        <v>665</v>
      </c>
      <c r="F666" s="78"/>
      <c r="G666" s="2"/>
      <c r="H666" s="47" t="s">
        <v>4926</v>
      </c>
      <c r="I666" s="43">
        <v>6042070338</v>
      </c>
      <c r="J666" s="43" t="s">
        <v>4927</v>
      </c>
      <c r="K666" s="47" t="s">
        <v>4928</v>
      </c>
      <c r="L666" s="67" t="e">
        <f>VLOOKUP(G666,Input!C:Q,12,FALSE)</f>
        <v>#N/A</v>
      </c>
      <c r="M666" s="68" t="e">
        <f>VLOOKUP(G666,Input!C:Q,15,FALSE)</f>
        <v>#N/A</v>
      </c>
      <c r="N666" s="69" t="e">
        <f>VLOOKUP(G666,Input!C:Q,14,FALSE)</f>
        <v>#N/A</v>
      </c>
      <c r="Q666" s="48">
        <v>1</v>
      </c>
      <c r="R666" s="75" t="e">
        <f>VLOOKUP(G666,Input!C:H,5,FALSE)</f>
        <v>#N/A</v>
      </c>
      <c r="T666" s="47">
        <v>1</v>
      </c>
      <c r="U666" s="47" t="str">
        <f t="shared" si="10"/>
        <v>665,665,**,</v>
      </c>
      <c r="AC666" s="47">
        <v>665</v>
      </c>
      <c r="AD666" s="47">
        <v>665</v>
      </c>
    </row>
    <row r="667" spans="1:30" ht="15.75">
      <c r="A667" s="13" t="str">
        <f>IFERROR(VLOOKUP($G:$G,scan!$A:$B,2,0),"**")</f>
        <v>**</v>
      </c>
      <c r="B667" s="13" t="str">
        <f>IFERROR(VLOOKUP($G667,scan!A:C,3,0),"**")</f>
        <v>**</v>
      </c>
      <c r="C667" s="47">
        <v>666</v>
      </c>
      <c r="F667" s="78"/>
      <c r="G667" s="2"/>
      <c r="H667" s="47" t="s">
        <v>4926</v>
      </c>
      <c r="I667" s="43">
        <v>6042070338</v>
      </c>
      <c r="J667" s="43" t="s">
        <v>4927</v>
      </c>
      <c r="K667" s="47" t="s">
        <v>4928</v>
      </c>
      <c r="L667" s="67" t="e">
        <f>VLOOKUP(G667,Input!C:Q,12,FALSE)</f>
        <v>#N/A</v>
      </c>
      <c r="M667" s="68" t="e">
        <f>VLOOKUP(G667,Input!C:Q,15,FALSE)</f>
        <v>#N/A</v>
      </c>
      <c r="N667" s="69" t="e">
        <f>VLOOKUP(G667,Input!C:Q,14,FALSE)</f>
        <v>#N/A</v>
      </c>
      <c r="Q667" s="48">
        <v>1</v>
      </c>
      <c r="R667" s="75" t="e">
        <f>VLOOKUP(G667,Input!C:H,5,FALSE)</f>
        <v>#N/A</v>
      </c>
      <c r="T667" s="47">
        <v>1</v>
      </c>
      <c r="U667" s="47" t="str">
        <f t="shared" si="10"/>
        <v>666,666,**,</v>
      </c>
      <c r="AC667" s="47">
        <v>666</v>
      </c>
      <c r="AD667" s="47">
        <v>666</v>
      </c>
    </row>
    <row r="668" spans="1:30" ht="15.75">
      <c r="A668" s="13" t="str">
        <f>IFERROR(VLOOKUP($G:$G,scan!$A:$B,2,0),"**")</f>
        <v>**</v>
      </c>
      <c r="B668" s="13" t="str">
        <f>IFERROR(VLOOKUP($G668,scan!A:C,3,0),"**")</f>
        <v>**</v>
      </c>
      <c r="C668" s="47">
        <v>667</v>
      </c>
      <c r="F668" s="78"/>
      <c r="G668" s="2"/>
      <c r="H668" s="47" t="s">
        <v>4926</v>
      </c>
      <c r="I668" s="43">
        <v>6042070338</v>
      </c>
      <c r="J668" s="43" t="s">
        <v>4927</v>
      </c>
      <c r="K668" s="47" t="s">
        <v>4928</v>
      </c>
      <c r="L668" s="67" t="e">
        <f>VLOOKUP(G668,Input!C:Q,12,FALSE)</f>
        <v>#N/A</v>
      </c>
      <c r="M668" s="68" t="e">
        <f>VLOOKUP(G668,Input!C:Q,15,FALSE)</f>
        <v>#N/A</v>
      </c>
      <c r="N668" s="69" t="e">
        <f>VLOOKUP(G668,Input!C:Q,14,FALSE)</f>
        <v>#N/A</v>
      </c>
      <c r="Q668" s="48">
        <v>1</v>
      </c>
      <c r="R668" s="75" t="e">
        <f>VLOOKUP(G668,Input!C:H,5,FALSE)</f>
        <v>#N/A</v>
      </c>
      <c r="T668" s="47">
        <v>1</v>
      </c>
      <c r="U668" s="47" t="str">
        <f t="shared" si="10"/>
        <v>667,667,**,</v>
      </c>
      <c r="AC668" s="47">
        <v>667</v>
      </c>
      <c r="AD668" s="47">
        <v>667</v>
      </c>
    </row>
    <row r="669" spans="1:30" ht="15.75">
      <c r="A669" s="13" t="str">
        <f>IFERROR(VLOOKUP($G:$G,scan!$A:$B,2,0),"**")</f>
        <v>**</v>
      </c>
      <c r="B669" s="13" t="str">
        <f>IFERROR(VLOOKUP($G669,scan!A:C,3,0),"**")</f>
        <v>**</v>
      </c>
      <c r="C669" s="47">
        <v>668</v>
      </c>
      <c r="F669" s="78"/>
      <c r="G669" s="2"/>
      <c r="H669" s="47" t="s">
        <v>4926</v>
      </c>
      <c r="I669" s="43">
        <v>6042070338</v>
      </c>
      <c r="J669" s="43" t="s">
        <v>4927</v>
      </c>
      <c r="K669" s="47" t="s">
        <v>4928</v>
      </c>
      <c r="L669" s="67" t="e">
        <f>VLOOKUP(G669,Input!C:Q,12,FALSE)</f>
        <v>#N/A</v>
      </c>
      <c r="M669" s="68" t="e">
        <f>VLOOKUP(G669,Input!C:Q,15,FALSE)</f>
        <v>#N/A</v>
      </c>
      <c r="N669" s="69" t="e">
        <f>VLOOKUP(G669,Input!C:Q,14,FALSE)</f>
        <v>#N/A</v>
      </c>
      <c r="Q669" s="48">
        <v>1</v>
      </c>
      <c r="R669" s="75" t="e">
        <f>VLOOKUP(G669,Input!C:H,5,FALSE)</f>
        <v>#N/A</v>
      </c>
      <c r="T669" s="47">
        <v>1</v>
      </c>
      <c r="U669" s="47" t="str">
        <f t="shared" si="10"/>
        <v>668,668,**,</v>
      </c>
      <c r="AC669" s="47">
        <v>668</v>
      </c>
      <c r="AD669" s="47">
        <v>668</v>
      </c>
    </row>
    <row r="670" spans="1:30" ht="15.75">
      <c r="A670" s="13" t="str">
        <f>IFERROR(VLOOKUP($G:$G,scan!$A:$B,2,0),"**")</f>
        <v>**</v>
      </c>
      <c r="B670" s="13" t="str">
        <f>IFERROR(VLOOKUP($G670,scan!A:C,3,0),"**")</f>
        <v>**</v>
      </c>
      <c r="C670" s="47">
        <v>669</v>
      </c>
      <c r="F670" s="78"/>
      <c r="G670" s="2"/>
      <c r="H670" s="47" t="s">
        <v>4926</v>
      </c>
      <c r="I670" s="43">
        <v>6042070338</v>
      </c>
      <c r="J670" s="43" t="s">
        <v>4927</v>
      </c>
      <c r="K670" s="47" t="s">
        <v>4928</v>
      </c>
      <c r="L670" s="67" t="e">
        <f>VLOOKUP(G670,Input!C:Q,12,FALSE)</f>
        <v>#N/A</v>
      </c>
      <c r="M670" s="68" t="e">
        <f>VLOOKUP(G670,Input!C:Q,15,FALSE)</f>
        <v>#N/A</v>
      </c>
      <c r="N670" s="69" t="e">
        <f>VLOOKUP(G670,Input!C:Q,14,FALSE)</f>
        <v>#N/A</v>
      </c>
      <c r="Q670" s="48">
        <v>1</v>
      </c>
      <c r="R670" s="75" t="e">
        <f>VLOOKUP(G670,Input!C:H,5,FALSE)</f>
        <v>#N/A</v>
      </c>
      <c r="T670" s="47">
        <v>1</v>
      </c>
      <c r="U670" s="47" t="str">
        <f t="shared" si="10"/>
        <v>669,669,**,</v>
      </c>
      <c r="AC670" s="47">
        <v>669</v>
      </c>
      <c r="AD670" s="47">
        <v>669</v>
      </c>
    </row>
    <row r="671" spans="1:30" ht="15.75">
      <c r="A671" s="13" t="str">
        <f>IFERROR(VLOOKUP($G:$G,scan!$A:$B,2,0),"**")</f>
        <v>**</v>
      </c>
      <c r="B671" s="13" t="str">
        <f>IFERROR(VLOOKUP($G671,scan!A:C,3,0),"**")</f>
        <v>**</v>
      </c>
      <c r="C671" s="47">
        <v>670</v>
      </c>
      <c r="F671" s="78"/>
      <c r="G671" s="2"/>
      <c r="H671" s="47" t="s">
        <v>4926</v>
      </c>
      <c r="I671" s="43">
        <v>6042070338</v>
      </c>
      <c r="J671" s="43" t="s">
        <v>4927</v>
      </c>
      <c r="K671" s="47" t="s">
        <v>4928</v>
      </c>
      <c r="L671" s="67" t="e">
        <f>VLOOKUP(G671,Input!C:Q,12,FALSE)</f>
        <v>#N/A</v>
      </c>
      <c r="M671" s="68" t="e">
        <f>VLOOKUP(G671,Input!C:Q,15,FALSE)</f>
        <v>#N/A</v>
      </c>
      <c r="N671" s="69" t="e">
        <f>VLOOKUP(G671,Input!C:Q,14,FALSE)</f>
        <v>#N/A</v>
      </c>
      <c r="Q671" s="48">
        <v>1</v>
      </c>
      <c r="R671" s="75" t="e">
        <f>VLOOKUP(G671,Input!C:H,5,FALSE)</f>
        <v>#N/A</v>
      </c>
      <c r="T671" s="47">
        <v>1</v>
      </c>
      <c r="U671" s="47" t="str">
        <f t="shared" si="10"/>
        <v>670,670,**,</v>
      </c>
      <c r="AC671" s="47">
        <v>670</v>
      </c>
      <c r="AD671" s="47">
        <v>670</v>
      </c>
    </row>
    <row r="672" spans="1:30" ht="15.75">
      <c r="A672" s="13" t="str">
        <f>IFERROR(VLOOKUP($G:$G,scan!$A:$B,2,0),"**")</f>
        <v>**</v>
      </c>
      <c r="B672" s="13" t="str">
        <f>IFERROR(VLOOKUP($G672,scan!A:C,3,0),"**")</f>
        <v>**</v>
      </c>
      <c r="C672" s="47">
        <v>671</v>
      </c>
      <c r="F672" s="78"/>
      <c r="G672" s="2"/>
      <c r="H672" s="47" t="s">
        <v>4926</v>
      </c>
      <c r="I672" s="43">
        <v>6042070338</v>
      </c>
      <c r="J672" s="43" t="s">
        <v>4927</v>
      </c>
      <c r="K672" s="47" t="s">
        <v>4928</v>
      </c>
      <c r="L672" s="67" t="e">
        <f>VLOOKUP(G672,Input!C:Q,12,FALSE)</f>
        <v>#N/A</v>
      </c>
      <c r="M672" s="68" t="e">
        <f>VLOOKUP(G672,Input!C:Q,15,FALSE)</f>
        <v>#N/A</v>
      </c>
      <c r="N672" s="69" t="e">
        <f>VLOOKUP(G672,Input!C:Q,14,FALSE)</f>
        <v>#N/A</v>
      </c>
      <c r="Q672" s="48">
        <v>1</v>
      </c>
      <c r="R672" s="75" t="e">
        <f>VLOOKUP(G672,Input!C:H,5,FALSE)</f>
        <v>#N/A</v>
      </c>
      <c r="T672" s="47">
        <v>1</v>
      </c>
      <c r="U672" s="47" t="str">
        <f t="shared" si="10"/>
        <v>671,671,**,</v>
      </c>
      <c r="AC672" s="47">
        <v>671</v>
      </c>
      <c r="AD672" s="47">
        <v>671</v>
      </c>
    </row>
    <row r="673" spans="1:30" ht="15.75">
      <c r="A673" s="13" t="str">
        <f>IFERROR(VLOOKUP($G:$G,scan!$A:$B,2,0),"**")</f>
        <v>**</v>
      </c>
      <c r="B673" s="13" t="str">
        <f>IFERROR(VLOOKUP($G673,scan!A:C,3,0),"**")</f>
        <v>**</v>
      </c>
      <c r="C673" s="47">
        <v>672</v>
      </c>
      <c r="F673" s="78"/>
      <c r="G673" s="2"/>
      <c r="H673" s="47" t="s">
        <v>4926</v>
      </c>
      <c r="I673" s="43">
        <v>6042070338</v>
      </c>
      <c r="J673" s="43" t="s">
        <v>4927</v>
      </c>
      <c r="K673" s="47" t="s">
        <v>4928</v>
      </c>
      <c r="L673" s="67" t="e">
        <f>VLOOKUP(G673,Input!C:Q,12,FALSE)</f>
        <v>#N/A</v>
      </c>
      <c r="M673" s="68" t="e">
        <f>VLOOKUP(G673,Input!C:Q,15,FALSE)</f>
        <v>#N/A</v>
      </c>
      <c r="N673" s="69" t="e">
        <f>VLOOKUP(G673,Input!C:Q,14,FALSE)</f>
        <v>#N/A</v>
      </c>
      <c r="Q673" s="48">
        <v>1</v>
      </c>
      <c r="R673" s="75" t="e">
        <f>VLOOKUP(G673,Input!C:H,5,FALSE)</f>
        <v>#N/A</v>
      </c>
      <c r="T673" s="47">
        <v>1</v>
      </c>
      <c r="U673" s="47" t="str">
        <f t="shared" si="10"/>
        <v>672,672,**,</v>
      </c>
      <c r="AC673" s="47">
        <v>672</v>
      </c>
      <c r="AD673" s="47">
        <v>672</v>
      </c>
    </row>
    <row r="674" spans="1:30" ht="15.75">
      <c r="A674" s="13" t="str">
        <f>IFERROR(VLOOKUP($G:$G,scan!$A:$B,2,0),"**")</f>
        <v>**</v>
      </c>
      <c r="B674" s="13" t="str">
        <f>IFERROR(VLOOKUP($G674,scan!A:C,3,0),"**")</f>
        <v>**</v>
      </c>
      <c r="C674" s="47">
        <v>673</v>
      </c>
      <c r="F674" s="78"/>
      <c r="G674" s="2"/>
      <c r="H674" s="47" t="s">
        <v>4926</v>
      </c>
      <c r="I674" s="43">
        <v>6042070338</v>
      </c>
      <c r="J674" s="43" t="s">
        <v>4927</v>
      </c>
      <c r="K674" s="47" t="s">
        <v>4928</v>
      </c>
      <c r="L674" s="67" t="e">
        <f>VLOOKUP(G674,Input!C:Q,12,FALSE)</f>
        <v>#N/A</v>
      </c>
      <c r="M674" s="68" t="e">
        <f>VLOOKUP(G674,Input!C:Q,15,FALSE)</f>
        <v>#N/A</v>
      </c>
      <c r="N674" s="69" t="e">
        <f>VLOOKUP(G674,Input!C:Q,14,FALSE)</f>
        <v>#N/A</v>
      </c>
      <c r="Q674" s="48">
        <v>1</v>
      </c>
      <c r="R674" s="75" t="e">
        <f>VLOOKUP(G674,Input!C:H,5,FALSE)</f>
        <v>#N/A</v>
      </c>
      <c r="T674" s="47">
        <v>1</v>
      </c>
      <c r="U674" s="47" t="str">
        <f t="shared" si="10"/>
        <v>673,673,**,</v>
      </c>
      <c r="AC674" s="47">
        <v>673</v>
      </c>
      <c r="AD674" s="47">
        <v>673</v>
      </c>
    </row>
    <row r="675" spans="1:30" ht="15.75">
      <c r="A675" s="13" t="str">
        <f>IFERROR(VLOOKUP($G:$G,scan!$A:$B,2,0),"**")</f>
        <v>**</v>
      </c>
      <c r="B675" s="13" t="str">
        <f>IFERROR(VLOOKUP($G675,scan!A:C,3,0),"**")</f>
        <v>**</v>
      </c>
      <c r="C675" s="47">
        <v>674</v>
      </c>
      <c r="F675" s="78"/>
      <c r="G675" s="2"/>
      <c r="H675" s="47" t="s">
        <v>4926</v>
      </c>
      <c r="I675" s="43">
        <v>6042070338</v>
      </c>
      <c r="J675" s="43" t="s">
        <v>4927</v>
      </c>
      <c r="K675" s="47" t="s">
        <v>4928</v>
      </c>
      <c r="L675" s="67" t="e">
        <f>VLOOKUP(G675,Input!C:Q,12,FALSE)</f>
        <v>#N/A</v>
      </c>
      <c r="M675" s="68" t="e">
        <f>VLOOKUP(G675,Input!C:Q,15,FALSE)</f>
        <v>#N/A</v>
      </c>
      <c r="N675" s="69" t="e">
        <f>VLOOKUP(G675,Input!C:Q,14,FALSE)</f>
        <v>#N/A</v>
      </c>
      <c r="Q675" s="48">
        <v>1</v>
      </c>
      <c r="R675" s="75" t="e">
        <f>VLOOKUP(G675,Input!C:H,5,FALSE)</f>
        <v>#N/A</v>
      </c>
      <c r="T675" s="47">
        <v>1</v>
      </c>
      <c r="U675" s="47" t="str">
        <f t="shared" si="10"/>
        <v>674,674,**,</v>
      </c>
      <c r="AC675" s="47">
        <v>674</v>
      </c>
      <c r="AD675" s="47">
        <v>674</v>
      </c>
    </row>
    <row r="676" spans="1:30" ht="15.75">
      <c r="A676" s="13" t="str">
        <f>IFERROR(VLOOKUP($G:$G,scan!$A:$B,2,0),"**")</f>
        <v>**</v>
      </c>
      <c r="B676" s="13" t="str">
        <f>IFERROR(VLOOKUP($G676,scan!A:C,3,0),"**")</f>
        <v>**</v>
      </c>
      <c r="C676" s="47">
        <v>675</v>
      </c>
      <c r="F676" s="78"/>
      <c r="G676" s="2"/>
      <c r="H676" s="47" t="s">
        <v>4926</v>
      </c>
      <c r="I676" s="43">
        <v>6042070338</v>
      </c>
      <c r="J676" s="43" t="s">
        <v>4927</v>
      </c>
      <c r="K676" s="47" t="s">
        <v>4928</v>
      </c>
      <c r="L676" s="67" t="e">
        <f>VLOOKUP(G676,Input!C:Q,12,FALSE)</f>
        <v>#N/A</v>
      </c>
      <c r="M676" s="68" t="e">
        <f>VLOOKUP(G676,Input!C:Q,15,FALSE)</f>
        <v>#N/A</v>
      </c>
      <c r="N676" s="69" t="e">
        <f>VLOOKUP(G676,Input!C:Q,14,FALSE)</f>
        <v>#N/A</v>
      </c>
      <c r="Q676" s="48">
        <v>1</v>
      </c>
      <c r="R676" s="75" t="e">
        <f>VLOOKUP(G676,Input!C:H,5,FALSE)</f>
        <v>#N/A</v>
      </c>
      <c r="T676" s="47">
        <v>1</v>
      </c>
      <c r="U676" s="47" t="str">
        <f t="shared" si="10"/>
        <v>675,675,**,</v>
      </c>
      <c r="AC676" s="47">
        <v>675</v>
      </c>
      <c r="AD676" s="47">
        <v>675</v>
      </c>
    </row>
    <row r="677" spans="1:30" ht="15.75">
      <c r="A677" s="13" t="str">
        <f>IFERROR(VLOOKUP($G:$G,scan!$A:$B,2,0),"**")</f>
        <v>**</v>
      </c>
      <c r="B677" s="13" t="str">
        <f>IFERROR(VLOOKUP($G677,scan!A:C,3,0),"**")</f>
        <v>**</v>
      </c>
      <c r="C677" s="47">
        <v>676</v>
      </c>
      <c r="F677" s="78"/>
      <c r="G677" s="2"/>
      <c r="H677" s="47" t="s">
        <v>4926</v>
      </c>
      <c r="I677" s="43">
        <v>6042070338</v>
      </c>
      <c r="J677" s="43" t="s">
        <v>4927</v>
      </c>
      <c r="K677" s="47" t="s">
        <v>4928</v>
      </c>
      <c r="L677" s="67" t="e">
        <f>VLOOKUP(G677,Input!C:Q,12,FALSE)</f>
        <v>#N/A</v>
      </c>
      <c r="M677" s="68" t="e">
        <f>VLOOKUP(G677,Input!C:Q,15,FALSE)</f>
        <v>#N/A</v>
      </c>
      <c r="N677" s="69" t="e">
        <f>VLOOKUP(G677,Input!C:Q,14,FALSE)</f>
        <v>#N/A</v>
      </c>
      <c r="Q677" s="48">
        <v>1</v>
      </c>
      <c r="R677" s="75" t="e">
        <f>VLOOKUP(G677,Input!C:H,5,FALSE)</f>
        <v>#N/A</v>
      </c>
      <c r="T677" s="47">
        <v>1</v>
      </c>
      <c r="U677" s="47" t="str">
        <f t="shared" si="10"/>
        <v>676,676,**,</v>
      </c>
      <c r="AC677" s="47">
        <v>676</v>
      </c>
      <c r="AD677" s="47">
        <v>676</v>
      </c>
    </row>
    <row r="678" spans="1:30" ht="15.75">
      <c r="A678" s="13" t="str">
        <f>IFERROR(VLOOKUP($G:$G,scan!$A:$B,2,0),"**")</f>
        <v>**</v>
      </c>
      <c r="B678" s="13" t="str">
        <f>IFERROR(VLOOKUP($G678,scan!A:C,3,0),"**")</f>
        <v>**</v>
      </c>
      <c r="C678" s="47">
        <v>677</v>
      </c>
      <c r="F678" s="78"/>
      <c r="G678" s="2"/>
      <c r="H678" s="47" t="s">
        <v>4926</v>
      </c>
      <c r="I678" s="43">
        <v>6042070338</v>
      </c>
      <c r="J678" s="43" t="s">
        <v>4927</v>
      </c>
      <c r="K678" s="47" t="s">
        <v>4928</v>
      </c>
      <c r="L678" s="67" t="e">
        <f>VLOOKUP(G678,Input!C:Q,12,FALSE)</f>
        <v>#N/A</v>
      </c>
      <c r="M678" s="68" t="e">
        <f>VLOOKUP(G678,Input!C:Q,15,FALSE)</f>
        <v>#N/A</v>
      </c>
      <c r="N678" s="69" t="e">
        <f>VLOOKUP(G678,Input!C:Q,14,FALSE)</f>
        <v>#N/A</v>
      </c>
      <c r="Q678" s="48">
        <v>1</v>
      </c>
      <c r="R678" s="75" t="e">
        <f>VLOOKUP(G678,Input!C:H,5,FALSE)</f>
        <v>#N/A</v>
      </c>
      <c r="T678" s="47">
        <v>1</v>
      </c>
      <c r="U678" s="47" t="str">
        <f t="shared" si="10"/>
        <v>677,677,**,</v>
      </c>
      <c r="AC678" s="47">
        <v>677</v>
      </c>
      <c r="AD678" s="47">
        <v>677</v>
      </c>
    </row>
    <row r="679" spans="1:30" ht="15.75">
      <c r="A679" s="13" t="str">
        <f>IFERROR(VLOOKUP($G:$G,scan!$A:$B,2,0),"**")</f>
        <v>**</v>
      </c>
      <c r="B679" s="13" t="str">
        <f>IFERROR(VLOOKUP($G679,scan!A:C,3,0),"**")</f>
        <v>**</v>
      </c>
      <c r="C679" s="47">
        <v>678</v>
      </c>
      <c r="F679" s="78"/>
      <c r="G679" s="2"/>
      <c r="H679" s="47" t="s">
        <v>4926</v>
      </c>
      <c r="I679" s="43">
        <v>6042070338</v>
      </c>
      <c r="J679" s="43" t="s">
        <v>4927</v>
      </c>
      <c r="K679" s="47" t="s">
        <v>4928</v>
      </c>
      <c r="L679" s="67" t="e">
        <f>VLOOKUP(G679,Input!C:Q,12,FALSE)</f>
        <v>#N/A</v>
      </c>
      <c r="M679" s="68" t="e">
        <f>VLOOKUP(G679,Input!C:Q,15,FALSE)</f>
        <v>#N/A</v>
      </c>
      <c r="N679" s="69" t="e">
        <f>VLOOKUP(G679,Input!C:Q,14,FALSE)</f>
        <v>#N/A</v>
      </c>
      <c r="Q679" s="48">
        <v>1</v>
      </c>
      <c r="R679" s="75" t="e">
        <f>VLOOKUP(G679,Input!C:H,5,FALSE)</f>
        <v>#N/A</v>
      </c>
      <c r="T679" s="47">
        <v>1</v>
      </c>
      <c r="U679" s="47" t="str">
        <f t="shared" si="10"/>
        <v>678,678,**,</v>
      </c>
      <c r="AC679" s="47">
        <v>678</v>
      </c>
      <c r="AD679" s="47">
        <v>678</v>
      </c>
    </row>
    <row r="680" spans="1:30" ht="15.75">
      <c r="A680" s="13" t="str">
        <f>IFERROR(VLOOKUP($G:$G,scan!$A:$B,2,0),"**")</f>
        <v>**</v>
      </c>
      <c r="B680" s="13" t="str">
        <f>IFERROR(VLOOKUP($G680,scan!A:C,3,0),"**")</f>
        <v>**</v>
      </c>
      <c r="C680" s="47">
        <v>679</v>
      </c>
      <c r="F680" s="78"/>
      <c r="G680" s="2"/>
      <c r="H680" s="47" t="s">
        <v>4926</v>
      </c>
      <c r="I680" s="43">
        <v>6042070338</v>
      </c>
      <c r="J680" s="43" t="s">
        <v>4927</v>
      </c>
      <c r="K680" s="47" t="s">
        <v>4928</v>
      </c>
      <c r="L680" s="67" t="e">
        <f>VLOOKUP(G680,Input!C:Q,12,FALSE)</f>
        <v>#N/A</v>
      </c>
      <c r="M680" s="68" t="e">
        <f>VLOOKUP(G680,Input!C:Q,15,FALSE)</f>
        <v>#N/A</v>
      </c>
      <c r="N680" s="69" t="e">
        <f>VLOOKUP(G680,Input!C:Q,14,FALSE)</f>
        <v>#N/A</v>
      </c>
      <c r="Q680" s="48">
        <v>1</v>
      </c>
      <c r="R680" s="75" t="e">
        <f>VLOOKUP(G680,Input!C:H,5,FALSE)</f>
        <v>#N/A</v>
      </c>
      <c r="T680" s="47">
        <v>1</v>
      </c>
      <c r="U680" s="47" t="str">
        <f t="shared" si="10"/>
        <v>679,679,**,</v>
      </c>
      <c r="AC680" s="47">
        <v>679</v>
      </c>
      <c r="AD680" s="47">
        <v>679</v>
      </c>
    </row>
    <row r="681" spans="1:30" ht="15.75">
      <c r="A681" s="13" t="str">
        <f>IFERROR(VLOOKUP($G:$G,scan!$A:$B,2,0),"**")</f>
        <v>**</v>
      </c>
      <c r="B681" s="13" t="str">
        <f>IFERROR(VLOOKUP($G681,scan!A:C,3,0),"**")</f>
        <v>**</v>
      </c>
      <c r="C681" s="47">
        <v>680</v>
      </c>
      <c r="F681" s="78"/>
      <c r="G681" s="2"/>
      <c r="H681" s="47" t="s">
        <v>4926</v>
      </c>
      <c r="I681" s="43">
        <v>6042070338</v>
      </c>
      <c r="J681" s="43" t="s">
        <v>4927</v>
      </c>
      <c r="K681" s="47" t="s">
        <v>4928</v>
      </c>
      <c r="L681" s="67" t="e">
        <f>VLOOKUP(G681,Input!C:Q,12,FALSE)</f>
        <v>#N/A</v>
      </c>
      <c r="M681" s="68" t="e">
        <f>VLOOKUP(G681,Input!C:Q,15,FALSE)</f>
        <v>#N/A</v>
      </c>
      <c r="N681" s="69" t="e">
        <f>VLOOKUP(G681,Input!C:Q,14,FALSE)</f>
        <v>#N/A</v>
      </c>
      <c r="Q681" s="48">
        <v>1</v>
      </c>
      <c r="R681" s="75" t="e">
        <f>VLOOKUP(G681,Input!C:H,5,FALSE)</f>
        <v>#N/A</v>
      </c>
      <c r="T681" s="47">
        <v>1</v>
      </c>
      <c r="U681" s="47" t="str">
        <f t="shared" si="10"/>
        <v>680,680,**,</v>
      </c>
      <c r="AC681" s="47">
        <v>680</v>
      </c>
      <c r="AD681" s="47">
        <v>680</v>
      </c>
    </row>
    <row r="682" spans="1:30" ht="15.75">
      <c r="A682" s="13" t="str">
        <f>IFERROR(VLOOKUP($G:$G,scan!$A:$B,2,0),"**")</f>
        <v>**</v>
      </c>
      <c r="B682" s="13" t="str">
        <f>IFERROR(VLOOKUP($G682,scan!A:C,3,0),"**")</f>
        <v>**</v>
      </c>
      <c r="C682" s="47">
        <v>681</v>
      </c>
      <c r="F682" s="78"/>
      <c r="G682" s="2"/>
      <c r="H682" s="47" t="s">
        <v>4926</v>
      </c>
      <c r="I682" s="43">
        <v>6042070338</v>
      </c>
      <c r="J682" s="43" t="s">
        <v>4927</v>
      </c>
      <c r="K682" s="47" t="s">
        <v>4928</v>
      </c>
      <c r="L682" s="67" t="e">
        <f>VLOOKUP(G682,Input!C:Q,12,FALSE)</f>
        <v>#N/A</v>
      </c>
      <c r="M682" s="68" t="e">
        <f>VLOOKUP(G682,Input!C:Q,15,FALSE)</f>
        <v>#N/A</v>
      </c>
      <c r="N682" s="69" t="e">
        <f>VLOOKUP(G682,Input!C:Q,14,FALSE)</f>
        <v>#N/A</v>
      </c>
      <c r="Q682" s="48">
        <v>1</v>
      </c>
      <c r="R682" s="75" t="e">
        <f>VLOOKUP(G682,Input!C:H,5,FALSE)</f>
        <v>#N/A</v>
      </c>
      <c r="T682" s="47">
        <v>1</v>
      </c>
      <c r="U682" s="47" t="str">
        <f t="shared" si="10"/>
        <v>681,681,**,</v>
      </c>
      <c r="AC682" s="47">
        <v>681</v>
      </c>
      <c r="AD682" s="47">
        <v>681</v>
      </c>
    </row>
    <row r="683" spans="1:30" ht="15.75">
      <c r="A683" s="13" t="str">
        <f>IFERROR(VLOOKUP($G:$G,scan!$A:$B,2,0),"**")</f>
        <v>**</v>
      </c>
      <c r="B683" s="13" t="str">
        <f>IFERROR(VLOOKUP($G683,scan!A:C,3,0),"**")</f>
        <v>**</v>
      </c>
      <c r="C683" s="47">
        <v>682</v>
      </c>
      <c r="F683" s="78"/>
      <c r="G683" s="2"/>
      <c r="H683" s="47" t="s">
        <v>4926</v>
      </c>
      <c r="I683" s="43">
        <v>6042070338</v>
      </c>
      <c r="J683" s="43" t="s">
        <v>4927</v>
      </c>
      <c r="K683" s="47" t="s">
        <v>4928</v>
      </c>
      <c r="L683" s="67" t="e">
        <f>VLOOKUP(G683,Input!C:Q,12,FALSE)</f>
        <v>#N/A</v>
      </c>
      <c r="M683" s="68" t="e">
        <f>VLOOKUP(G683,Input!C:Q,15,FALSE)</f>
        <v>#N/A</v>
      </c>
      <c r="N683" s="69" t="e">
        <f>VLOOKUP(G683,Input!C:Q,14,FALSE)</f>
        <v>#N/A</v>
      </c>
      <c r="Q683" s="48">
        <v>1</v>
      </c>
      <c r="R683" s="75" t="e">
        <f>VLOOKUP(G683,Input!C:H,5,FALSE)</f>
        <v>#N/A</v>
      </c>
      <c r="T683" s="47">
        <v>1</v>
      </c>
      <c r="U683" s="47" t="str">
        <f t="shared" si="10"/>
        <v>682,682,**,</v>
      </c>
      <c r="AC683" s="47">
        <v>682</v>
      </c>
      <c r="AD683" s="47">
        <v>682</v>
      </c>
    </row>
    <row r="684" spans="1:30" ht="15.75">
      <c r="A684" s="13" t="str">
        <f>IFERROR(VLOOKUP($G:$G,scan!$A:$B,2,0),"**")</f>
        <v>**</v>
      </c>
      <c r="B684" s="13" t="str">
        <f>IFERROR(VLOOKUP($G684,scan!A:C,3,0),"**")</f>
        <v>**</v>
      </c>
      <c r="C684" s="47">
        <v>683</v>
      </c>
      <c r="F684" s="78"/>
      <c r="G684" s="2"/>
      <c r="H684" s="47" t="s">
        <v>4926</v>
      </c>
      <c r="I684" s="43">
        <v>6042070338</v>
      </c>
      <c r="J684" s="43" t="s">
        <v>4927</v>
      </c>
      <c r="K684" s="47" t="s">
        <v>4928</v>
      </c>
      <c r="L684" s="67" t="e">
        <f>VLOOKUP(G684,Input!C:Q,12,FALSE)</f>
        <v>#N/A</v>
      </c>
      <c r="M684" s="68" t="e">
        <f>VLOOKUP(G684,Input!C:Q,15,FALSE)</f>
        <v>#N/A</v>
      </c>
      <c r="N684" s="69" t="e">
        <f>VLOOKUP(G684,Input!C:Q,14,FALSE)</f>
        <v>#N/A</v>
      </c>
      <c r="Q684" s="48">
        <v>1</v>
      </c>
      <c r="R684" s="75" t="e">
        <f>VLOOKUP(G684,Input!C:H,5,FALSE)</f>
        <v>#N/A</v>
      </c>
      <c r="T684" s="47">
        <v>1</v>
      </c>
      <c r="U684" s="47" t="str">
        <f t="shared" si="10"/>
        <v>683,683,**,</v>
      </c>
      <c r="AC684" s="47">
        <v>683</v>
      </c>
      <c r="AD684" s="47">
        <v>683</v>
      </c>
    </row>
    <row r="685" spans="1:30" ht="15.75">
      <c r="A685" s="13" t="str">
        <f>IFERROR(VLOOKUP($G:$G,scan!$A:$B,2,0),"**")</f>
        <v>**</v>
      </c>
      <c r="B685" s="13" t="str">
        <f>IFERROR(VLOOKUP($G685,scan!A:C,3,0),"**")</f>
        <v>**</v>
      </c>
      <c r="C685" s="47">
        <v>684</v>
      </c>
      <c r="F685" s="78"/>
      <c r="G685" s="2"/>
      <c r="H685" s="47" t="s">
        <v>4926</v>
      </c>
      <c r="I685" s="43">
        <v>6042070338</v>
      </c>
      <c r="J685" s="43" t="s">
        <v>4927</v>
      </c>
      <c r="K685" s="47" t="s">
        <v>4928</v>
      </c>
      <c r="L685" s="67" t="e">
        <f>VLOOKUP(G685,Input!C:Q,12,FALSE)</f>
        <v>#N/A</v>
      </c>
      <c r="M685" s="68" t="e">
        <f>VLOOKUP(G685,Input!C:Q,15,FALSE)</f>
        <v>#N/A</v>
      </c>
      <c r="N685" s="69" t="e">
        <f>VLOOKUP(G685,Input!C:Q,14,FALSE)</f>
        <v>#N/A</v>
      </c>
      <c r="Q685" s="48">
        <v>1</v>
      </c>
      <c r="R685" s="75" t="e">
        <f>VLOOKUP(G685,Input!C:H,5,FALSE)</f>
        <v>#N/A</v>
      </c>
      <c r="T685" s="47">
        <v>1</v>
      </c>
      <c r="U685" s="47" t="str">
        <f t="shared" si="10"/>
        <v>684,684,**,</v>
      </c>
      <c r="AC685" s="47">
        <v>684</v>
      </c>
      <c r="AD685" s="47">
        <v>684</v>
      </c>
    </row>
    <row r="686" spans="1:30" ht="15.75">
      <c r="A686" s="13" t="str">
        <f>IFERROR(VLOOKUP($G:$G,scan!$A:$B,2,0),"**")</f>
        <v>**</v>
      </c>
      <c r="B686" s="13" t="str">
        <f>IFERROR(VLOOKUP($G686,scan!A:C,3,0),"**")</f>
        <v>**</v>
      </c>
      <c r="C686" s="47">
        <v>685</v>
      </c>
      <c r="F686" s="78"/>
      <c r="G686" s="2"/>
      <c r="H686" s="47" t="s">
        <v>4926</v>
      </c>
      <c r="I686" s="43">
        <v>6042070338</v>
      </c>
      <c r="J686" s="43" t="s">
        <v>4927</v>
      </c>
      <c r="K686" s="47" t="s">
        <v>4928</v>
      </c>
      <c r="L686" s="67" t="e">
        <f>VLOOKUP(G686,Input!C:Q,12,FALSE)</f>
        <v>#N/A</v>
      </c>
      <c r="M686" s="68" t="e">
        <f>VLOOKUP(G686,Input!C:Q,15,FALSE)</f>
        <v>#N/A</v>
      </c>
      <c r="N686" s="69" t="e">
        <f>VLOOKUP(G686,Input!C:Q,14,FALSE)</f>
        <v>#N/A</v>
      </c>
      <c r="Q686" s="48">
        <v>1</v>
      </c>
      <c r="R686" s="75" t="e">
        <f>VLOOKUP(G686,Input!C:H,5,FALSE)</f>
        <v>#N/A</v>
      </c>
      <c r="T686" s="47">
        <v>1</v>
      </c>
      <c r="U686" s="47" t="str">
        <f t="shared" si="10"/>
        <v>685,685,**,</v>
      </c>
      <c r="AC686" s="47">
        <v>685</v>
      </c>
      <c r="AD686" s="47">
        <v>685</v>
      </c>
    </row>
    <row r="687" spans="1:30" ht="15.75">
      <c r="A687" s="13" t="str">
        <f>IFERROR(VLOOKUP($G:$G,scan!$A:$B,2,0),"**")</f>
        <v>**</v>
      </c>
      <c r="B687" s="13" t="str">
        <f>IFERROR(VLOOKUP($G687,scan!A:C,3,0),"**")</f>
        <v>**</v>
      </c>
      <c r="C687" s="47">
        <v>686</v>
      </c>
      <c r="F687" s="78"/>
      <c r="G687" s="2"/>
      <c r="H687" s="47" t="s">
        <v>4926</v>
      </c>
      <c r="I687" s="43">
        <v>6042070338</v>
      </c>
      <c r="J687" s="43" t="s">
        <v>4927</v>
      </c>
      <c r="K687" s="47" t="s">
        <v>4928</v>
      </c>
      <c r="L687" s="67" t="e">
        <f>VLOOKUP(G687,Input!C:Q,12,FALSE)</f>
        <v>#N/A</v>
      </c>
      <c r="M687" s="68" t="e">
        <f>VLOOKUP(G687,Input!C:Q,15,FALSE)</f>
        <v>#N/A</v>
      </c>
      <c r="N687" s="69" t="e">
        <f>VLOOKUP(G687,Input!C:Q,14,FALSE)</f>
        <v>#N/A</v>
      </c>
      <c r="Q687" s="48">
        <v>1</v>
      </c>
      <c r="R687" s="75" t="e">
        <f>VLOOKUP(G687,Input!C:H,5,FALSE)</f>
        <v>#N/A</v>
      </c>
      <c r="T687" s="47">
        <v>1</v>
      </c>
      <c r="U687" s="47" t="str">
        <f t="shared" si="10"/>
        <v>686,686,**,</v>
      </c>
      <c r="AC687" s="47">
        <v>686</v>
      </c>
      <c r="AD687" s="47">
        <v>686</v>
      </c>
    </row>
    <row r="688" spans="1:30" ht="15.75">
      <c r="A688" s="13" t="str">
        <f>IFERROR(VLOOKUP($G:$G,scan!$A:$B,2,0),"**")</f>
        <v>**</v>
      </c>
      <c r="B688" s="13" t="str">
        <f>IFERROR(VLOOKUP($G688,scan!A:C,3,0),"**")</f>
        <v>**</v>
      </c>
      <c r="C688" s="47">
        <v>687</v>
      </c>
      <c r="F688" s="78"/>
      <c r="G688" s="2"/>
      <c r="H688" s="47" t="s">
        <v>4926</v>
      </c>
      <c r="I688" s="43">
        <v>6042070338</v>
      </c>
      <c r="J688" s="43" t="s">
        <v>4927</v>
      </c>
      <c r="K688" s="47" t="s">
        <v>4928</v>
      </c>
      <c r="L688" s="67" t="e">
        <f>VLOOKUP(G688,Input!C:Q,12,FALSE)</f>
        <v>#N/A</v>
      </c>
      <c r="M688" s="68" t="e">
        <f>VLOOKUP(G688,Input!C:Q,15,FALSE)</f>
        <v>#N/A</v>
      </c>
      <c r="N688" s="69" t="e">
        <f>VLOOKUP(G688,Input!C:Q,14,FALSE)</f>
        <v>#N/A</v>
      </c>
      <c r="Q688" s="48">
        <v>1</v>
      </c>
      <c r="R688" s="75" t="e">
        <f>VLOOKUP(G688,Input!C:H,5,FALSE)</f>
        <v>#N/A</v>
      </c>
      <c r="T688" s="47">
        <v>1</v>
      </c>
      <c r="U688" s="47" t="str">
        <f t="shared" si="10"/>
        <v>687,687,**,</v>
      </c>
      <c r="AC688" s="47">
        <v>687</v>
      </c>
      <c r="AD688" s="47">
        <v>687</v>
      </c>
    </row>
    <row r="689" spans="1:30" ht="15.75">
      <c r="A689" s="13" t="str">
        <f>IFERROR(VLOOKUP($G:$G,scan!$A:$B,2,0),"**")</f>
        <v>**</v>
      </c>
      <c r="B689" s="13" t="str">
        <f>IFERROR(VLOOKUP($G689,scan!A:C,3,0),"**")</f>
        <v>**</v>
      </c>
      <c r="C689" s="47">
        <v>688</v>
      </c>
      <c r="F689" s="78"/>
      <c r="G689" s="2"/>
      <c r="H689" s="47" t="s">
        <v>4926</v>
      </c>
      <c r="I689" s="43">
        <v>6042070338</v>
      </c>
      <c r="J689" s="43" t="s">
        <v>4927</v>
      </c>
      <c r="K689" s="47" t="s">
        <v>4928</v>
      </c>
      <c r="L689" s="67" t="e">
        <f>VLOOKUP(G689,Input!C:Q,12,FALSE)</f>
        <v>#N/A</v>
      </c>
      <c r="M689" s="68" t="e">
        <f>VLOOKUP(G689,Input!C:Q,15,FALSE)</f>
        <v>#N/A</v>
      </c>
      <c r="N689" s="69" t="e">
        <f>VLOOKUP(G689,Input!C:Q,14,FALSE)</f>
        <v>#N/A</v>
      </c>
      <c r="Q689" s="48">
        <v>1</v>
      </c>
      <c r="R689" s="75" t="e">
        <f>VLOOKUP(G689,Input!C:H,5,FALSE)</f>
        <v>#N/A</v>
      </c>
      <c r="T689" s="47">
        <v>1</v>
      </c>
      <c r="U689" s="47" t="str">
        <f t="shared" si="10"/>
        <v>688,688,**,</v>
      </c>
      <c r="AC689" s="47">
        <v>688</v>
      </c>
      <c r="AD689" s="47">
        <v>688</v>
      </c>
    </row>
    <row r="690" spans="1:30" ht="15.75">
      <c r="A690" s="13" t="str">
        <f>IFERROR(VLOOKUP($G:$G,scan!$A:$B,2,0),"**")</f>
        <v>**</v>
      </c>
      <c r="B690" s="13" t="str">
        <f>IFERROR(VLOOKUP($G690,scan!A:C,3,0),"**")</f>
        <v>**</v>
      </c>
      <c r="C690" s="47">
        <v>689</v>
      </c>
      <c r="F690" s="78"/>
      <c r="G690" s="2"/>
      <c r="H690" s="47" t="s">
        <v>4926</v>
      </c>
      <c r="I690" s="43">
        <v>6042070338</v>
      </c>
      <c r="J690" s="43" t="s">
        <v>4927</v>
      </c>
      <c r="K690" s="47" t="s">
        <v>4928</v>
      </c>
      <c r="L690" s="67" t="e">
        <f>VLOOKUP(G690,Input!C:Q,12,FALSE)</f>
        <v>#N/A</v>
      </c>
      <c r="M690" s="68" t="e">
        <f>VLOOKUP(G690,Input!C:Q,15,FALSE)</f>
        <v>#N/A</v>
      </c>
      <c r="N690" s="69" t="e">
        <f>VLOOKUP(G690,Input!C:Q,14,FALSE)</f>
        <v>#N/A</v>
      </c>
      <c r="Q690" s="48">
        <v>1</v>
      </c>
      <c r="R690" s="75" t="e">
        <f>VLOOKUP(G690,Input!C:H,5,FALSE)</f>
        <v>#N/A</v>
      </c>
      <c r="T690" s="47">
        <v>1</v>
      </c>
      <c r="U690" s="47" t="str">
        <f t="shared" si="10"/>
        <v>689,689,**,</v>
      </c>
      <c r="AC690" s="47">
        <v>689</v>
      </c>
      <c r="AD690" s="47">
        <v>689</v>
      </c>
    </row>
    <row r="691" spans="1:30" ht="15.75">
      <c r="A691" s="13" t="str">
        <f>IFERROR(VLOOKUP($G:$G,scan!$A:$B,2,0),"**")</f>
        <v>**</v>
      </c>
      <c r="B691" s="13" t="str">
        <f>IFERROR(VLOOKUP($G691,scan!A:C,3,0),"**")</f>
        <v>**</v>
      </c>
      <c r="C691" s="47">
        <v>690</v>
      </c>
      <c r="F691" s="78"/>
      <c r="G691" s="2"/>
      <c r="H691" s="47" t="s">
        <v>4926</v>
      </c>
      <c r="I691" s="43">
        <v>6042070338</v>
      </c>
      <c r="J691" s="43" t="s">
        <v>4927</v>
      </c>
      <c r="K691" s="47" t="s">
        <v>4928</v>
      </c>
      <c r="L691" s="67" t="e">
        <f>VLOOKUP(G691,Input!C:Q,12,FALSE)</f>
        <v>#N/A</v>
      </c>
      <c r="M691" s="68" t="e">
        <f>VLOOKUP(G691,Input!C:Q,15,FALSE)</f>
        <v>#N/A</v>
      </c>
      <c r="N691" s="69" t="e">
        <f>VLOOKUP(G691,Input!C:Q,14,FALSE)</f>
        <v>#N/A</v>
      </c>
      <c r="Q691" s="48">
        <v>1</v>
      </c>
      <c r="R691" s="75" t="e">
        <f>VLOOKUP(G691,Input!C:H,5,FALSE)</f>
        <v>#N/A</v>
      </c>
      <c r="T691" s="47">
        <v>1</v>
      </c>
      <c r="U691" s="47" t="str">
        <f t="shared" si="10"/>
        <v>690,690,**,</v>
      </c>
      <c r="AC691" s="47">
        <v>690</v>
      </c>
      <c r="AD691" s="47">
        <v>690</v>
      </c>
    </row>
    <row r="692" spans="1:30" ht="15.75">
      <c r="A692" s="13" t="str">
        <f>IFERROR(VLOOKUP($G:$G,scan!$A:$B,2,0),"**")</f>
        <v>**</v>
      </c>
      <c r="B692" s="13" t="str">
        <f>IFERROR(VLOOKUP($G692,scan!A:C,3,0),"**")</f>
        <v>**</v>
      </c>
      <c r="C692" s="47">
        <v>691</v>
      </c>
      <c r="F692" s="78"/>
      <c r="G692" s="2"/>
      <c r="H692" s="47" t="s">
        <v>4926</v>
      </c>
      <c r="I692" s="43">
        <v>6042070338</v>
      </c>
      <c r="J692" s="43" t="s">
        <v>4927</v>
      </c>
      <c r="K692" s="47" t="s">
        <v>4928</v>
      </c>
      <c r="L692" s="67" t="e">
        <f>VLOOKUP(G692,Input!C:Q,12,FALSE)</f>
        <v>#N/A</v>
      </c>
      <c r="M692" s="68" t="e">
        <f>VLOOKUP(G692,Input!C:Q,15,FALSE)</f>
        <v>#N/A</v>
      </c>
      <c r="N692" s="69" t="e">
        <f>VLOOKUP(G692,Input!C:Q,14,FALSE)</f>
        <v>#N/A</v>
      </c>
      <c r="Q692" s="48">
        <v>1</v>
      </c>
      <c r="R692" s="75" t="e">
        <f>VLOOKUP(G692,Input!C:H,5,FALSE)</f>
        <v>#N/A</v>
      </c>
      <c r="T692" s="47">
        <v>1</v>
      </c>
      <c r="U692" s="47" t="str">
        <f t="shared" si="10"/>
        <v>691,691,**,</v>
      </c>
      <c r="AC692" s="47">
        <v>691</v>
      </c>
      <c r="AD692" s="47">
        <v>691</v>
      </c>
    </row>
    <row r="693" spans="1:30" ht="15.75">
      <c r="A693" s="13" t="str">
        <f>IFERROR(VLOOKUP($G:$G,scan!$A:$B,2,0),"**")</f>
        <v>**</v>
      </c>
      <c r="B693" s="13" t="str">
        <f>IFERROR(VLOOKUP($G693,scan!A:C,3,0),"**")</f>
        <v>**</v>
      </c>
      <c r="C693" s="47">
        <v>692</v>
      </c>
      <c r="F693" s="78"/>
      <c r="G693" s="2"/>
      <c r="H693" s="47" t="s">
        <v>4926</v>
      </c>
      <c r="I693" s="43">
        <v>6042070338</v>
      </c>
      <c r="J693" s="43" t="s">
        <v>4927</v>
      </c>
      <c r="K693" s="47" t="s">
        <v>4928</v>
      </c>
      <c r="L693" s="67" t="e">
        <f>VLOOKUP(G693,Input!C:Q,12,FALSE)</f>
        <v>#N/A</v>
      </c>
      <c r="M693" s="68" t="e">
        <f>VLOOKUP(G693,Input!C:Q,15,FALSE)</f>
        <v>#N/A</v>
      </c>
      <c r="N693" s="69" t="e">
        <f>VLOOKUP(G693,Input!C:Q,14,FALSE)</f>
        <v>#N/A</v>
      </c>
      <c r="Q693" s="48">
        <v>1</v>
      </c>
      <c r="R693" s="75" t="e">
        <f>VLOOKUP(G693,Input!C:H,5,FALSE)</f>
        <v>#N/A</v>
      </c>
      <c r="T693" s="47">
        <v>1</v>
      </c>
      <c r="U693" s="47" t="str">
        <f t="shared" si="10"/>
        <v>692,692,**,</v>
      </c>
      <c r="AC693" s="47">
        <v>692</v>
      </c>
      <c r="AD693" s="47">
        <v>692</v>
      </c>
    </row>
    <row r="694" spans="1:30" ht="15.75">
      <c r="A694" s="13" t="str">
        <f>IFERROR(VLOOKUP($G:$G,scan!$A:$B,2,0),"**")</f>
        <v>**</v>
      </c>
      <c r="B694" s="13" t="str">
        <f>IFERROR(VLOOKUP($G694,scan!A:C,3,0),"**")</f>
        <v>**</v>
      </c>
      <c r="C694" s="47">
        <v>693</v>
      </c>
      <c r="F694" s="78"/>
      <c r="G694" s="2"/>
      <c r="H694" s="47" t="s">
        <v>4926</v>
      </c>
      <c r="I694" s="43">
        <v>6042070338</v>
      </c>
      <c r="J694" s="43" t="s">
        <v>4927</v>
      </c>
      <c r="K694" s="47" t="s">
        <v>4928</v>
      </c>
      <c r="L694" s="67" t="e">
        <f>VLOOKUP(G694,Input!C:Q,12,FALSE)</f>
        <v>#N/A</v>
      </c>
      <c r="M694" s="68" t="e">
        <f>VLOOKUP(G694,Input!C:Q,15,FALSE)</f>
        <v>#N/A</v>
      </c>
      <c r="N694" s="69" t="e">
        <f>VLOOKUP(G694,Input!C:Q,14,FALSE)</f>
        <v>#N/A</v>
      </c>
      <c r="Q694" s="48">
        <v>1</v>
      </c>
      <c r="R694" s="75" t="e">
        <f>VLOOKUP(G694,Input!C:H,5,FALSE)</f>
        <v>#N/A</v>
      </c>
      <c r="T694" s="47">
        <v>1</v>
      </c>
      <c r="U694" s="47" t="str">
        <f t="shared" si="10"/>
        <v>693,693,**,</v>
      </c>
      <c r="AC694" s="47">
        <v>693</v>
      </c>
      <c r="AD694" s="47">
        <v>693</v>
      </c>
    </row>
    <row r="695" spans="1:30" ht="15.75">
      <c r="A695" s="13" t="str">
        <f>IFERROR(VLOOKUP($G:$G,scan!$A:$B,2,0),"**")</f>
        <v>**</v>
      </c>
      <c r="B695" s="13" t="str">
        <f>IFERROR(VLOOKUP($G695,scan!A:C,3,0),"**")</f>
        <v>**</v>
      </c>
      <c r="C695" s="47">
        <v>694</v>
      </c>
      <c r="F695" s="78"/>
      <c r="G695" s="2"/>
      <c r="H695" s="47" t="s">
        <v>4926</v>
      </c>
      <c r="I695" s="43">
        <v>6042070338</v>
      </c>
      <c r="J695" s="43" t="s">
        <v>4927</v>
      </c>
      <c r="K695" s="47" t="s">
        <v>4928</v>
      </c>
      <c r="L695" s="67" t="e">
        <f>VLOOKUP(G695,Input!C:Q,12,FALSE)</f>
        <v>#N/A</v>
      </c>
      <c r="M695" s="68" t="e">
        <f>VLOOKUP(G695,Input!C:Q,15,FALSE)</f>
        <v>#N/A</v>
      </c>
      <c r="N695" s="69" t="e">
        <f>VLOOKUP(G695,Input!C:Q,14,FALSE)</f>
        <v>#N/A</v>
      </c>
      <c r="Q695" s="48">
        <v>1</v>
      </c>
      <c r="R695" s="75" t="e">
        <f>VLOOKUP(G695,Input!C:H,5,FALSE)</f>
        <v>#N/A</v>
      </c>
      <c r="T695" s="47">
        <v>1</v>
      </c>
      <c r="U695" s="47" t="str">
        <f t="shared" si="10"/>
        <v>694,694,**,</v>
      </c>
      <c r="AC695" s="47">
        <v>694</v>
      </c>
      <c r="AD695" s="47">
        <v>694</v>
      </c>
    </row>
    <row r="696" spans="1:30" ht="15.75">
      <c r="A696" s="13" t="str">
        <f>IFERROR(VLOOKUP($G:$G,scan!$A:$B,2,0),"**")</f>
        <v>**</v>
      </c>
      <c r="B696" s="13" t="str">
        <f>IFERROR(VLOOKUP($G696,scan!A:C,3,0),"**")</f>
        <v>**</v>
      </c>
      <c r="C696" s="47">
        <v>695</v>
      </c>
      <c r="F696" s="78"/>
      <c r="G696" s="2"/>
      <c r="H696" s="47" t="s">
        <v>4926</v>
      </c>
      <c r="I696" s="43">
        <v>6042070338</v>
      </c>
      <c r="J696" s="43" t="s">
        <v>4927</v>
      </c>
      <c r="K696" s="47" t="s">
        <v>4928</v>
      </c>
      <c r="L696" s="67" t="e">
        <f>VLOOKUP(G696,Input!C:Q,12,FALSE)</f>
        <v>#N/A</v>
      </c>
      <c r="M696" s="68" t="e">
        <f>VLOOKUP(G696,Input!C:Q,15,FALSE)</f>
        <v>#N/A</v>
      </c>
      <c r="N696" s="69" t="e">
        <f>VLOOKUP(G696,Input!C:Q,14,FALSE)</f>
        <v>#N/A</v>
      </c>
      <c r="Q696" s="48">
        <v>1</v>
      </c>
      <c r="R696" s="75" t="e">
        <f>VLOOKUP(G696,Input!C:H,5,FALSE)</f>
        <v>#N/A</v>
      </c>
      <c r="T696" s="47">
        <v>1</v>
      </c>
      <c r="U696" s="47" t="str">
        <f t="shared" ref="U696:U759" si="11">CONCATENATE(AC696,",",C696,",",B696,",",G696)</f>
        <v>695,695,**,</v>
      </c>
      <c r="AC696" s="47">
        <v>695</v>
      </c>
      <c r="AD696" s="47">
        <v>695</v>
      </c>
    </row>
    <row r="697" spans="1:30" ht="15.75">
      <c r="A697" s="13" t="str">
        <f>IFERROR(VLOOKUP($G:$G,scan!$A:$B,2,0),"**")</f>
        <v>**</v>
      </c>
      <c r="B697" s="13" t="str">
        <f>IFERROR(VLOOKUP($G697,scan!A:C,3,0),"**")</f>
        <v>**</v>
      </c>
      <c r="C697" s="47">
        <v>696</v>
      </c>
      <c r="F697" s="78"/>
      <c r="G697" s="2"/>
      <c r="H697" s="47" t="s">
        <v>4926</v>
      </c>
      <c r="I697" s="43">
        <v>6042070338</v>
      </c>
      <c r="J697" s="43" t="s">
        <v>4927</v>
      </c>
      <c r="K697" s="47" t="s">
        <v>4928</v>
      </c>
      <c r="L697" s="67" t="e">
        <f>VLOOKUP(G697,Input!C:Q,12,FALSE)</f>
        <v>#N/A</v>
      </c>
      <c r="M697" s="68" t="e">
        <f>VLOOKUP(G697,Input!C:Q,15,FALSE)</f>
        <v>#N/A</v>
      </c>
      <c r="N697" s="69" t="e">
        <f>VLOOKUP(G697,Input!C:Q,14,FALSE)</f>
        <v>#N/A</v>
      </c>
      <c r="Q697" s="48">
        <v>1</v>
      </c>
      <c r="R697" s="75" t="e">
        <f>VLOOKUP(G697,Input!C:H,5,FALSE)</f>
        <v>#N/A</v>
      </c>
      <c r="T697" s="47">
        <v>1</v>
      </c>
      <c r="U697" s="47" t="str">
        <f t="shared" si="11"/>
        <v>696,696,**,</v>
      </c>
      <c r="AC697" s="47">
        <v>696</v>
      </c>
      <c r="AD697" s="47">
        <v>696</v>
      </c>
    </row>
    <row r="698" spans="1:30" ht="15.75">
      <c r="A698" s="13" t="str">
        <f>IFERROR(VLOOKUP($G:$G,scan!$A:$B,2,0),"**")</f>
        <v>**</v>
      </c>
      <c r="B698" s="13" t="str">
        <f>IFERROR(VLOOKUP($G698,scan!A:C,3,0),"**")</f>
        <v>**</v>
      </c>
      <c r="C698" s="47">
        <v>697</v>
      </c>
      <c r="F698" s="78"/>
      <c r="G698" s="2"/>
      <c r="H698" s="47" t="s">
        <v>4926</v>
      </c>
      <c r="I698" s="43">
        <v>6042070338</v>
      </c>
      <c r="J698" s="43" t="s">
        <v>4927</v>
      </c>
      <c r="K698" s="47" t="s">
        <v>4928</v>
      </c>
      <c r="L698" s="67" t="e">
        <f>VLOOKUP(G698,Input!C:Q,12,FALSE)</f>
        <v>#N/A</v>
      </c>
      <c r="M698" s="68" t="e">
        <f>VLOOKUP(G698,Input!C:Q,15,FALSE)</f>
        <v>#N/A</v>
      </c>
      <c r="N698" s="69" t="e">
        <f>VLOOKUP(G698,Input!C:Q,14,FALSE)</f>
        <v>#N/A</v>
      </c>
      <c r="Q698" s="48">
        <v>1</v>
      </c>
      <c r="R698" s="75" t="e">
        <f>VLOOKUP(G698,Input!C:H,5,FALSE)</f>
        <v>#N/A</v>
      </c>
      <c r="T698" s="47">
        <v>1</v>
      </c>
      <c r="U698" s="47" t="str">
        <f t="shared" si="11"/>
        <v>697,697,**,</v>
      </c>
      <c r="AC698" s="47">
        <v>697</v>
      </c>
      <c r="AD698" s="47">
        <v>697</v>
      </c>
    </row>
    <row r="699" spans="1:30" ht="15.75">
      <c r="A699" s="13" t="str">
        <f>IFERROR(VLOOKUP($G:$G,scan!$A:$B,2,0),"**")</f>
        <v>**</v>
      </c>
      <c r="B699" s="13" t="str">
        <f>IFERROR(VLOOKUP($G699,scan!A:C,3,0),"**")</f>
        <v>**</v>
      </c>
      <c r="C699" s="47">
        <v>698</v>
      </c>
      <c r="F699" s="78"/>
      <c r="G699" s="2"/>
      <c r="H699" s="47" t="s">
        <v>4926</v>
      </c>
      <c r="I699" s="43">
        <v>6042070338</v>
      </c>
      <c r="J699" s="43" t="s">
        <v>4927</v>
      </c>
      <c r="K699" s="47" t="s">
        <v>4928</v>
      </c>
      <c r="L699" s="67" t="e">
        <f>VLOOKUP(G699,Input!C:Q,12,FALSE)</f>
        <v>#N/A</v>
      </c>
      <c r="M699" s="68" t="e">
        <f>VLOOKUP(G699,Input!C:Q,15,FALSE)</f>
        <v>#N/A</v>
      </c>
      <c r="N699" s="69" t="e">
        <f>VLOOKUP(G699,Input!C:Q,14,FALSE)</f>
        <v>#N/A</v>
      </c>
      <c r="Q699" s="48">
        <v>1</v>
      </c>
      <c r="R699" s="75" t="e">
        <f>VLOOKUP(G699,Input!C:H,5,FALSE)</f>
        <v>#N/A</v>
      </c>
      <c r="T699" s="47">
        <v>1</v>
      </c>
      <c r="U699" s="47" t="str">
        <f t="shared" si="11"/>
        <v>698,698,**,</v>
      </c>
      <c r="AC699" s="47">
        <v>698</v>
      </c>
      <c r="AD699" s="47">
        <v>698</v>
      </c>
    </row>
    <row r="700" spans="1:30" ht="15.75">
      <c r="A700" s="13" t="str">
        <f>IFERROR(VLOOKUP($G:$G,scan!$A:$B,2,0),"**")</f>
        <v>**</v>
      </c>
      <c r="B700" s="13" t="str">
        <f>IFERROR(VLOOKUP($G700,scan!A:C,3,0),"**")</f>
        <v>**</v>
      </c>
      <c r="C700" s="47">
        <v>699</v>
      </c>
      <c r="F700" s="78"/>
      <c r="G700" s="2"/>
      <c r="H700" s="47" t="s">
        <v>4926</v>
      </c>
      <c r="I700" s="43">
        <v>6042070338</v>
      </c>
      <c r="J700" s="43" t="s">
        <v>4927</v>
      </c>
      <c r="K700" s="47" t="s">
        <v>4928</v>
      </c>
      <c r="L700" s="67" t="e">
        <f>VLOOKUP(G700,Input!C:Q,12,FALSE)</f>
        <v>#N/A</v>
      </c>
      <c r="M700" s="68" t="e">
        <f>VLOOKUP(G700,Input!C:Q,15,FALSE)</f>
        <v>#N/A</v>
      </c>
      <c r="N700" s="69" t="e">
        <f>VLOOKUP(G700,Input!C:Q,14,FALSE)</f>
        <v>#N/A</v>
      </c>
      <c r="Q700" s="48">
        <v>1</v>
      </c>
      <c r="R700" s="75" t="e">
        <f>VLOOKUP(G700,Input!C:H,5,FALSE)</f>
        <v>#N/A</v>
      </c>
      <c r="T700" s="47">
        <v>1</v>
      </c>
      <c r="U700" s="47" t="str">
        <f t="shared" si="11"/>
        <v>699,699,**,</v>
      </c>
      <c r="AC700" s="47">
        <v>699</v>
      </c>
      <c r="AD700" s="47">
        <v>699</v>
      </c>
    </row>
    <row r="701" spans="1:30" ht="15.75">
      <c r="A701" s="13" t="str">
        <f>IFERROR(VLOOKUP($G:$G,scan!$A:$B,2,0),"**")</f>
        <v>**</v>
      </c>
      <c r="B701" s="13" t="str">
        <f>IFERROR(VLOOKUP($G701,scan!A:C,3,0),"**")</f>
        <v>**</v>
      </c>
      <c r="C701" s="47">
        <v>700</v>
      </c>
      <c r="F701" s="78"/>
      <c r="G701" s="2"/>
      <c r="H701" s="47" t="s">
        <v>4926</v>
      </c>
      <c r="I701" s="43">
        <v>6042070338</v>
      </c>
      <c r="J701" s="43" t="s">
        <v>4927</v>
      </c>
      <c r="K701" s="47" t="s">
        <v>4928</v>
      </c>
      <c r="L701" s="67" t="e">
        <f>VLOOKUP(G701,Input!C:Q,12,FALSE)</f>
        <v>#N/A</v>
      </c>
      <c r="M701" s="68" t="e">
        <f>VLOOKUP(G701,Input!C:Q,15,FALSE)</f>
        <v>#N/A</v>
      </c>
      <c r="N701" s="69" t="e">
        <f>VLOOKUP(G701,Input!C:Q,14,FALSE)</f>
        <v>#N/A</v>
      </c>
      <c r="Q701" s="48">
        <v>1</v>
      </c>
      <c r="R701" s="75" t="e">
        <f>VLOOKUP(G701,Input!C:H,5,FALSE)</f>
        <v>#N/A</v>
      </c>
      <c r="T701" s="47">
        <v>1</v>
      </c>
      <c r="U701" s="47" t="str">
        <f t="shared" si="11"/>
        <v>700,700,**,</v>
      </c>
      <c r="AC701" s="47">
        <v>700</v>
      </c>
      <c r="AD701" s="47">
        <v>700</v>
      </c>
    </row>
    <row r="702" spans="1:30" ht="15.75">
      <c r="A702" s="13" t="str">
        <f>IFERROR(VLOOKUP($G:$G,scan!$A:$B,2,0),"**")</f>
        <v>**</v>
      </c>
      <c r="B702" s="13" t="str">
        <f>IFERROR(VLOOKUP($G702,scan!A:C,3,0),"**")</f>
        <v>**</v>
      </c>
      <c r="C702" s="47">
        <v>701</v>
      </c>
      <c r="F702" s="78"/>
      <c r="G702" s="2"/>
      <c r="H702" s="47" t="s">
        <v>4926</v>
      </c>
      <c r="I702" s="43">
        <v>6042070338</v>
      </c>
      <c r="J702" s="43" t="s">
        <v>4927</v>
      </c>
      <c r="K702" s="47" t="s">
        <v>4928</v>
      </c>
      <c r="L702" s="67" t="e">
        <f>VLOOKUP(G702,Input!C:Q,12,FALSE)</f>
        <v>#N/A</v>
      </c>
      <c r="M702" s="68" t="e">
        <f>VLOOKUP(G702,Input!C:Q,15,FALSE)</f>
        <v>#N/A</v>
      </c>
      <c r="N702" s="69" t="e">
        <f>VLOOKUP(G702,Input!C:Q,14,FALSE)</f>
        <v>#N/A</v>
      </c>
      <c r="Q702" s="48">
        <v>1</v>
      </c>
      <c r="R702" s="75" t="e">
        <f>VLOOKUP(G702,Input!C:H,5,FALSE)</f>
        <v>#N/A</v>
      </c>
      <c r="T702" s="47">
        <v>1</v>
      </c>
      <c r="U702" s="47" t="str">
        <f t="shared" si="11"/>
        <v>701,701,**,</v>
      </c>
      <c r="AC702" s="47">
        <v>701</v>
      </c>
      <c r="AD702" s="47">
        <v>701</v>
      </c>
    </row>
    <row r="703" spans="1:30" ht="15.75">
      <c r="A703" s="13" t="str">
        <f>IFERROR(VLOOKUP($G:$G,scan!$A:$B,2,0),"**")</f>
        <v>**</v>
      </c>
      <c r="B703" s="13" t="str">
        <f>IFERROR(VLOOKUP($G703,scan!A:C,3,0),"**")</f>
        <v>**</v>
      </c>
      <c r="C703" s="47">
        <v>702</v>
      </c>
      <c r="F703" s="78"/>
      <c r="G703" s="2"/>
      <c r="H703" s="47" t="s">
        <v>4926</v>
      </c>
      <c r="I703" s="43">
        <v>6042070338</v>
      </c>
      <c r="J703" s="43" t="s">
        <v>4927</v>
      </c>
      <c r="K703" s="47" t="s">
        <v>4928</v>
      </c>
      <c r="L703" s="67" t="e">
        <f>VLOOKUP(G703,Input!C:Q,12,FALSE)</f>
        <v>#N/A</v>
      </c>
      <c r="M703" s="68" t="e">
        <f>VLOOKUP(G703,Input!C:Q,15,FALSE)</f>
        <v>#N/A</v>
      </c>
      <c r="N703" s="69" t="e">
        <f>VLOOKUP(G703,Input!C:Q,14,FALSE)</f>
        <v>#N/A</v>
      </c>
      <c r="Q703" s="48">
        <v>1</v>
      </c>
      <c r="R703" s="75" t="e">
        <f>VLOOKUP(G703,Input!C:H,5,FALSE)</f>
        <v>#N/A</v>
      </c>
      <c r="T703" s="47">
        <v>1</v>
      </c>
      <c r="U703" s="47" t="str">
        <f t="shared" si="11"/>
        <v>702,702,**,</v>
      </c>
      <c r="AC703" s="47">
        <v>702</v>
      </c>
      <c r="AD703" s="47">
        <v>702</v>
      </c>
    </row>
    <row r="704" spans="1:30" ht="15.75">
      <c r="A704" s="13" t="str">
        <f>IFERROR(VLOOKUP($G:$G,scan!$A:$B,2,0),"**")</f>
        <v>**</v>
      </c>
      <c r="B704" s="13" t="str">
        <f>IFERROR(VLOOKUP($G704,scan!A:C,3,0),"**")</f>
        <v>**</v>
      </c>
      <c r="C704" s="47">
        <v>703</v>
      </c>
      <c r="F704" s="78"/>
      <c r="G704" s="2"/>
      <c r="H704" s="47" t="s">
        <v>4926</v>
      </c>
      <c r="I704" s="43">
        <v>6042070338</v>
      </c>
      <c r="J704" s="43" t="s">
        <v>4927</v>
      </c>
      <c r="K704" s="47" t="s">
        <v>4928</v>
      </c>
      <c r="L704" s="67" t="e">
        <f>VLOOKUP(G704,Input!C:Q,12,FALSE)</f>
        <v>#N/A</v>
      </c>
      <c r="M704" s="68" t="e">
        <f>VLOOKUP(G704,Input!C:Q,15,FALSE)</f>
        <v>#N/A</v>
      </c>
      <c r="N704" s="69" t="e">
        <f>VLOOKUP(G704,Input!C:Q,14,FALSE)</f>
        <v>#N/A</v>
      </c>
      <c r="Q704" s="48">
        <v>1</v>
      </c>
      <c r="R704" s="75" t="e">
        <f>VLOOKUP(G704,Input!C:H,5,FALSE)</f>
        <v>#N/A</v>
      </c>
      <c r="T704" s="47">
        <v>1</v>
      </c>
      <c r="U704" s="47" t="str">
        <f t="shared" si="11"/>
        <v>703,703,**,</v>
      </c>
      <c r="AC704" s="47">
        <v>703</v>
      </c>
      <c r="AD704" s="47">
        <v>703</v>
      </c>
    </row>
    <row r="705" spans="1:30" ht="15.75">
      <c r="A705" s="13" t="str">
        <f>IFERROR(VLOOKUP($G:$G,scan!$A:$B,2,0),"**")</f>
        <v>**</v>
      </c>
      <c r="B705" s="13" t="str">
        <f>IFERROR(VLOOKUP($G705,scan!A:C,3,0),"**")</f>
        <v>**</v>
      </c>
      <c r="C705" s="47">
        <v>704</v>
      </c>
      <c r="F705" s="78"/>
      <c r="G705" s="2"/>
      <c r="H705" s="47" t="s">
        <v>4926</v>
      </c>
      <c r="I705" s="43">
        <v>6042070338</v>
      </c>
      <c r="J705" s="43" t="s">
        <v>4927</v>
      </c>
      <c r="K705" s="47" t="s">
        <v>4928</v>
      </c>
      <c r="L705" s="67" t="e">
        <f>VLOOKUP(G705,Input!C:Q,12,FALSE)</f>
        <v>#N/A</v>
      </c>
      <c r="M705" s="68" t="e">
        <f>VLOOKUP(G705,Input!C:Q,15,FALSE)</f>
        <v>#N/A</v>
      </c>
      <c r="N705" s="69" t="e">
        <f>VLOOKUP(G705,Input!C:Q,14,FALSE)</f>
        <v>#N/A</v>
      </c>
      <c r="Q705" s="48">
        <v>1</v>
      </c>
      <c r="R705" s="75" t="e">
        <f>VLOOKUP(G705,Input!C:H,5,FALSE)</f>
        <v>#N/A</v>
      </c>
      <c r="T705" s="47">
        <v>1</v>
      </c>
      <c r="U705" s="47" t="str">
        <f t="shared" si="11"/>
        <v>704,704,**,</v>
      </c>
      <c r="AC705" s="47">
        <v>704</v>
      </c>
      <c r="AD705" s="47">
        <v>704</v>
      </c>
    </row>
    <row r="706" spans="1:30" ht="15.75">
      <c r="A706" s="13" t="str">
        <f>IFERROR(VLOOKUP($G:$G,scan!$A:$B,2,0),"**")</f>
        <v>**</v>
      </c>
      <c r="B706" s="13" t="str">
        <f>IFERROR(VLOOKUP($G706,scan!A:C,3,0),"**")</f>
        <v>**</v>
      </c>
      <c r="C706" s="47">
        <v>705</v>
      </c>
      <c r="F706" s="78"/>
      <c r="G706" s="2"/>
      <c r="H706" s="47" t="s">
        <v>4926</v>
      </c>
      <c r="I706" s="43">
        <v>6042070338</v>
      </c>
      <c r="J706" s="43" t="s">
        <v>4927</v>
      </c>
      <c r="K706" s="47" t="s">
        <v>4928</v>
      </c>
      <c r="L706" s="67" t="e">
        <f>VLOOKUP(G706,Input!C:Q,12,FALSE)</f>
        <v>#N/A</v>
      </c>
      <c r="M706" s="68" t="e">
        <f>VLOOKUP(G706,Input!C:Q,15,FALSE)</f>
        <v>#N/A</v>
      </c>
      <c r="N706" s="69" t="e">
        <f>VLOOKUP(G706,Input!C:Q,14,FALSE)</f>
        <v>#N/A</v>
      </c>
      <c r="Q706" s="48">
        <v>1</v>
      </c>
      <c r="R706" s="75" t="e">
        <f>VLOOKUP(G706,Input!C:H,5,FALSE)</f>
        <v>#N/A</v>
      </c>
      <c r="T706" s="47">
        <v>1</v>
      </c>
      <c r="U706" s="47" t="str">
        <f t="shared" si="11"/>
        <v>705,705,**,</v>
      </c>
      <c r="AC706" s="47">
        <v>705</v>
      </c>
      <c r="AD706" s="47">
        <v>705</v>
      </c>
    </row>
    <row r="707" spans="1:30" ht="15.75">
      <c r="A707" s="13" t="str">
        <f>IFERROR(VLOOKUP($G:$G,scan!$A:$B,2,0),"**")</f>
        <v>**</v>
      </c>
      <c r="B707" s="13" t="str">
        <f>IFERROR(VLOOKUP($G707,scan!A:C,3,0),"**")</f>
        <v>**</v>
      </c>
      <c r="C707" s="47">
        <v>706</v>
      </c>
      <c r="F707" s="78"/>
      <c r="G707" s="2"/>
      <c r="H707" s="47" t="s">
        <v>4926</v>
      </c>
      <c r="I707" s="43">
        <v>6042070338</v>
      </c>
      <c r="J707" s="43" t="s">
        <v>4927</v>
      </c>
      <c r="K707" s="47" t="s">
        <v>4928</v>
      </c>
      <c r="L707" s="67" t="e">
        <f>VLOOKUP(G707,Input!C:Q,12,FALSE)</f>
        <v>#N/A</v>
      </c>
      <c r="M707" s="68" t="e">
        <f>VLOOKUP(G707,Input!C:Q,15,FALSE)</f>
        <v>#N/A</v>
      </c>
      <c r="N707" s="69" t="e">
        <f>VLOOKUP(G707,Input!C:Q,14,FALSE)</f>
        <v>#N/A</v>
      </c>
      <c r="Q707" s="48">
        <v>1</v>
      </c>
      <c r="R707" s="75" t="e">
        <f>VLOOKUP(G707,Input!C:H,5,FALSE)</f>
        <v>#N/A</v>
      </c>
      <c r="T707" s="47">
        <v>1</v>
      </c>
      <c r="U707" s="47" t="str">
        <f t="shared" si="11"/>
        <v>706,706,**,</v>
      </c>
      <c r="AC707" s="47">
        <v>706</v>
      </c>
      <c r="AD707" s="47">
        <v>706</v>
      </c>
    </row>
    <row r="708" spans="1:30" ht="15.75">
      <c r="A708" s="13" t="str">
        <f>IFERROR(VLOOKUP($G:$G,scan!$A:$B,2,0),"**")</f>
        <v>**</v>
      </c>
      <c r="B708" s="13" t="str">
        <f>IFERROR(VLOOKUP($G708,scan!A:C,3,0),"**")</f>
        <v>**</v>
      </c>
      <c r="C708" s="47">
        <v>707</v>
      </c>
      <c r="F708" s="78"/>
      <c r="G708" s="2"/>
      <c r="H708" s="47" t="s">
        <v>4926</v>
      </c>
      <c r="I708" s="43">
        <v>6042070338</v>
      </c>
      <c r="J708" s="43" t="s">
        <v>4927</v>
      </c>
      <c r="K708" s="47" t="s">
        <v>4928</v>
      </c>
      <c r="L708" s="67" t="e">
        <f>VLOOKUP(G708,Input!C:Q,12,FALSE)</f>
        <v>#N/A</v>
      </c>
      <c r="M708" s="68" t="e">
        <f>VLOOKUP(G708,Input!C:Q,15,FALSE)</f>
        <v>#N/A</v>
      </c>
      <c r="N708" s="69" t="e">
        <f>VLOOKUP(G708,Input!C:Q,14,FALSE)</f>
        <v>#N/A</v>
      </c>
      <c r="Q708" s="48">
        <v>1</v>
      </c>
      <c r="R708" s="75" t="e">
        <f>VLOOKUP(G708,Input!C:H,5,FALSE)</f>
        <v>#N/A</v>
      </c>
      <c r="T708" s="47">
        <v>1</v>
      </c>
      <c r="U708" s="47" t="str">
        <f t="shared" si="11"/>
        <v>707,707,**,</v>
      </c>
      <c r="AC708" s="47">
        <v>707</v>
      </c>
      <c r="AD708" s="47">
        <v>707</v>
      </c>
    </row>
    <row r="709" spans="1:30" ht="15.75">
      <c r="A709" s="13" t="str">
        <f>IFERROR(VLOOKUP($G:$G,scan!$A:$B,2,0),"**")</f>
        <v>**</v>
      </c>
      <c r="B709" s="13" t="str">
        <f>IFERROR(VLOOKUP($G709,scan!A:C,3,0),"**")</f>
        <v>**</v>
      </c>
      <c r="C709" s="47">
        <v>708</v>
      </c>
      <c r="F709" s="78"/>
      <c r="G709" s="2"/>
      <c r="H709" s="47" t="s">
        <v>4926</v>
      </c>
      <c r="I709" s="43">
        <v>6042070338</v>
      </c>
      <c r="J709" s="43" t="s">
        <v>4927</v>
      </c>
      <c r="K709" s="47" t="s">
        <v>4928</v>
      </c>
      <c r="L709" s="67" t="e">
        <f>VLOOKUP(G709,Input!C:Q,12,FALSE)</f>
        <v>#N/A</v>
      </c>
      <c r="M709" s="68" t="e">
        <f>VLOOKUP(G709,Input!C:Q,15,FALSE)</f>
        <v>#N/A</v>
      </c>
      <c r="N709" s="69" t="e">
        <f>VLOOKUP(G709,Input!C:Q,14,FALSE)</f>
        <v>#N/A</v>
      </c>
      <c r="Q709" s="48">
        <v>1</v>
      </c>
      <c r="R709" s="75" t="e">
        <f>VLOOKUP(G709,Input!C:H,5,FALSE)</f>
        <v>#N/A</v>
      </c>
      <c r="T709" s="47">
        <v>1</v>
      </c>
      <c r="U709" s="47" t="str">
        <f t="shared" si="11"/>
        <v>708,708,**,</v>
      </c>
      <c r="AC709" s="47">
        <v>708</v>
      </c>
      <c r="AD709" s="47">
        <v>708</v>
      </c>
    </row>
    <row r="710" spans="1:30" ht="15.75">
      <c r="A710" s="13" t="str">
        <f>IFERROR(VLOOKUP($G:$G,scan!$A:$B,2,0),"**")</f>
        <v>**</v>
      </c>
      <c r="B710" s="13" t="str">
        <f>IFERROR(VLOOKUP($G710,scan!A:C,3,0),"**")</f>
        <v>**</v>
      </c>
      <c r="C710" s="47">
        <v>709</v>
      </c>
      <c r="F710" s="78"/>
      <c r="G710" s="2"/>
      <c r="H710" s="47" t="s">
        <v>4926</v>
      </c>
      <c r="I710" s="43">
        <v>6042070338</v>
      </c>
      <c r="J710" s="43" t="s">
        <v>4927</v>
      </c>
      <c r="K710" s="47" t="s">
        <v>4928</v>
      </c>
      <c r="L710" s="67" t="e">
        <f>VLOOKUP(G710,Input!C:Q,12,FALSE)</f>
        <v>#N/A</v>
      </c>
      <c r="M710" s="68" t="e">
        <f>VLOOKUP(G710,Input!C:Q,15,FALSE)</f>
        <v>#N/A</v>
      </c>
      <c r="N710" s="69" t="e">
        <f>VLOOKUP(G710,Input!C:Q,14,FALSE)</f>
        <v>#N/A</v>
      </c>
      <c r="Q710" s="48">
        <v>1</v>
      </c>
      <c r="R710" s="75" t="e">
        <f>VLOOKUP(G710,Input!C:H,5,FALSE)</f>
        <v>#N/A</v>
      </c>
      <c r="T710" s="47">
        <v>1</v>
      </c>
      <c r="U710" s="47" t="str">
        <f t="shared" si="11"/>
        <v>709,709,**,</v>
      </c>
      <c r="AC710" s="47">
        <v>709</v>
      </c>
      <c r="AD710" s="47">
        <v>709</v>
      </c>
    </row>
    <row r="711" spans="1:30" ht="15.75">
      <c r="A711" s="13" t="str">
        <f>IFERROR(VLOOKUP($G:$G,scan!$A:$B,2,0),"**")</f>
        <v>**</v>
      </c>
      <c r="B711" s="13" t="str">
        <f>IFERROR(VLOOKUP($G711,scan!A:C,3,0),"**")</f>
        <v>**</v>
      </c>
      <c r="C711" s="47">
        <v>710</v>
      </c>
      <c r="F711" s="78"/>
      <c r="G711" s="2"/>
      <c r="H711" s="47" t="s">
        <v>4926</v>
      </c>
      <c r="I711" s="43">
        <v>6042070338</v>
      </c>
      <c r="J711" s="43" t="s">
        <v>4927</v>
      </c>
      <c r="K711" s="47" t="s">
        <v>4928</v>
      </c>
      <c r="L711" s="67" t="e">
        <f>VLOOKUP(G711,Input!C:Q,12,FALSE)</f>
        <v>#N/A</v>
      </c>
      <c r="M711" s="68" t="e">
        <f>VLOOKUP(G711,Input!C:Q,15,FALSE)</f>
        <v>#N/A</v>
      </c>
      <c r="N711" s="69" t="e">
        <f>VLOOKUP(G711,Input!C:Q,14,FALSE)</f>
        <v>#N/A</v>
      </c>
      <c r="Q711" s="48">
        <v>1</v>
      </c>
      <c r="R711" s="75" t="e">
        <f>VLOOKUP(G711,Input!C:H,5,FALSE)</f>
        <v>#N/A</v>
      </c>
      <c r="T711" s="47">
        <v>1</v>
      </c>
      <c r="U711" s="47" t="str">
        <f t="shared" si="11"/>
        <v>710,710,**,</v>
      </c>
      <c r="AC711" s="47">
        <v>710</v>
      </c>
      <c r="AD711" s="47">
        <v>710</v>
      </c>
    </row>
    <row r="712" spans="1:30" ht="15.75">
      <c r="A712" s="13" t="str">
        <f>IFERROR(VLOOKUP($G:$G,scan!$A:$B,2,0),"**")</f>
        <v>**</v>
      </c>
      <c r="B712" s="13" t="str">
        <f>IFERROR(VLOOKUP($G712,scan!A:C,3,0),"**")</f>
        <v>**</v>
      </c>
      <c r="C712" s="47">
        <v>711</v>
      </c>
      <c r="F712" s="78"/>
      <c r="G712" s="2"/>
      <c r="H712" s="47" t="s">
        <v>4926</v>
      </c>
      <c r="I712" s="43">
        <v>6042070338</v>
      </c>
      <c r="J712" s="43" t="s">
        <v>4927</v>
      </c>
      <c r="K712" s="47" t="s">
        <v>4928</v>
      </c>
      <c r="L712" s="67" t="e">
        <f>VLOOKUP(G712,Input!C:Q,12,FALSE)</f>
        <v>#N/A</v>
      </c>
      <c r="M712" s="68" t="e">
        <f>VLOOKUP(G712,Input!C:Q,15,FALSE)</f>
        <v>#N/A</v>
      </c>
      <c r="N712" s="69" t="e">
        <f>VLOOKUP(G712,Input!C:Q,14,FALSE)</f>
        <v>#N/A</v>
      </c>
      <c r="Q712" s="48">
        <v>1</v>
      </c>
      <c r="R712" s="75" t="e">
        <f>VLOOKUP(G712,Input!C:H,5,FALSE)</f>
        <v>#N/A</v>
      </c>
      <c r="T712" s="47">
        <v>1</v>
      </c>
      <c r="U712" s="47" t="str">
        <f t="shared" si="11"/>
        <v>711,711,**,</v>
      </c>
      <c r="AC712" s="47">
        <v>711</v>
      </c>
      <c r="AD712" s="47">
        <v>711</v>
      </c>
    </row>
    <row r="713" spans="1:30" ht="15.75">
      <c r="A713" s="13" t="str">
        <f>IFERROR(VLOOKUP($G:$G,scan!$A:$B,2,0),"**")</f>
        <v>**</v>
      </c>
      <c r="B713" s="13" t="str">
        <f>IFERROR(VLOOKUP($G713,scan!A:C,3,0),"**")</f>
        <v>**</v>
      </c>
      <c r="C713" s="47">
        <v>712</v>
      </c>
      <c r="F713" s="78"/>
      <c r="G713" s="2"/>
      <c r="H713" s="47" t="s">
        <v>4926</v>
      </c>
      <c r="I713" s="43">
        <v>6042070338</v>
      </c>
      <c r="J713" s="43" t="s">
        <v>4927</v>
      </c>
      <c r="K713" s="47" t="s">
        <v>4928</v>
      </c>
      <c r="L713" s="67" t="e">
        <f>VLOOKUP(G713,Input!C:Q,12,FALSE)</f>
        <v>#N/A</v>
      </c>
      <c r="M713" s="68" t="e">
        <f>VLOOKUP(G713,Input!C:Q,15,FALSE)</f>
        <v>#N/A</v>
      </c>
      <c r="N713" s="69" t="e">
        <f>VLOOKUP(G713,Input!C:Q,14,FALSE)</f>
        <v>#N/A</v>
      </c>
      <c r="Q713" s="48">
        <v>1</v>
      </c>
      <c r="R713" s="75" t="e">
        <f>VLOOKUP(G713,Input!C:H,5,FALSE)</f>
        <v>#N/A</v>
      </c>
      <c r="T713" s="47">
        <v>1</v>
      </c>
      <c r="U713" s="47" t="str">
        <f t="shared" si="11"/>
        <v>712,712,**,</v>
      </c>
      <c r="AC713" s="47">
        <v>712</v>
      </c>
      <c r="AD713" s="47">
        <v>712</v>
      </c>
    </row>
    <row r="714" spans="1:30" ht="15.75">
      <c r="A714" s="13" t="str">
        <f>IFERROR(VLOOKUP($G:$G,scan!$A:$B,2,0),"**")</f>
        <v>**</v>
      </c>
      <c r="B714" s="13" t="str">
        <f>IFERROR(VLOOKUP($G714,scan!A:C,3,0),"**")</f>
        <v>**</v>
      </c>
      <c r="C714" s="47">
        <v>713</v>
      </c>
      <c r="F714" s="78"/>
      <c r="G714" s="2"/>
      <c r="H714" s="47" t="s">
        <v>4926</v>
      </c>
      <c r="I714" s="43">
        <v>6042070338</v>
      </c>
      <c r="J714" s="43" t="s">
        <v>4927</v>
      </c>
      <c r="K714" s="47" t="s">
        <v>4928</v>
      </c>
      <c r="L714" s="67" t="e">
        <f>VLOOKUP(G714,Input!C:Q,12,FALSE)</f>
        <v>#N/A</v>
      </c>
      <c r="M714" s="68" t="e">
        <f>VLOOKUP(G714,Input!C:Q,15,FALSE)</f>
        <v>#N/A</v>
      </c>
      <c r="N714" s="69" t="e">
        <f>VLOOKUP(G714,Input!C:Q,14,FALSE)</f>
        <v>#N/A</v>
      </c>
      <c r="Q714" s="48">
        <v>1</v>
      </c>
      <c r="R714" s="75" t="e">
        <f>VLOOKUP(G714,Input!C:H,5,FALSE)</f>
        <v>#N/A</v>
      </c>
      <c r="T714" s="47">
        <v>1</v>
      </c>
      <c r="U714" s="47" t="str">
        <f t="shared" si="11"/>
        <v>713,713,**,</v>
      </c>
      <c r="AC714" s="47">
        <v>713</v>
      </c>
      <c r="AD714" s="47">
        <v>713</v>
      </c>
    </row>
    <row r="715" spans="1:30" ht="15.75">
      <c r="A715" s="13" t="str">
        <f>IFERROR(VLOOKUP($G:$G,scan!$A:$B,2,0),"**")</f>
        <v>**</v>
      </c>
      <c r="B715" s="13" t="str">
        <f>IFERROR(VLOOKUP($G715,scan!A:C,3,0),"**")</f>
        <v>**</v>
      </c>
      <c r="C715" s="47">
        <v>714</v>
      </c>
      <c r="F715" s="78"/>
      <c r="G715" s="2"/>
      <c r="H715" s="47" t="s">
        <v>4926</v>
      </c>
      <c r="I715" s="43">
        <v>6042070338</v>
      </c>
      <c r="J715" s="43" t="s">
        <v>4927</v>
      </c>
      <c r="K715" s="47" t="s">
        <v>4928</v>
      </c>
      <c r="L715" s="67" t="e">
        <f>VLOOKUP(G715,Input!C:Q,12,FALSE)</f>
        <v>#N/A</v>
      </c>
      <c r="M715" s="68" t="e">
        <f>VLOOKUP(G715,Input!C:Q,15,FALSE)</f>
        <v>#N/A</v>
      </c>
      <c r="N715" s="69" t="e">
        <f>VLOOKUP(G715,Input!C:Q,14,FALSE)</f>
        <v>#N/A</v>
      </c>
      <c r="Q715" s="48">
        <v>1</v>
      </c>
      <c r="R715" s="75" t="e">
        <f>VLOOKUP(G715,Input!C:H,5,FALSE)</f>
        <v>#N/A</v>
      </c>
      <c r="T715" s="47">
        <v>1</v>
      </c>
      <c r="U715" s="47" t="str">
        <f t="shared" si="11"/>
        <v>714,714,**,</v>
      </c>
      <c r="AC715" s="47">
        <v>714</v>
      </c>
      <c r="AD715" s="47">
        <v>714</v>
      </c>
    </row>
    <row r="716" spans="1:30" ht="15.75">
      <c r="A716" s="13" t="str">
        <f>IFERROR(VLOOKUP($G:$G,scan!$A:$B,2,0),"**")</f>
        <v>**</v>
      </c>
      <c r="B716" s="13" t="str">
        <f>IFERROR(VLOOKUP($G716,scan!A:C,3,0),"**")</f>
        <v>**</v>
      </c>
      <c r="C716" s="47">
        <v>715</v>
      </c>
      <c r="F716" s="78"/>
      <c r="G716" s="2"/>
      <c r="H716" s="47" t="s">
        <v>4926</v>
      </c>
      <c r="I716" s="43">
        <v>6042070338</v>
      </c>
      <c r="J716" s="43" t="s">
        <v>4927</v>
      </c>
      <c r="K716" s="47" t="s">
        <v>4928</v>
      </c>
      <c r="L716" s="67" t="e">
        <f>VLOOKUP(G716,Input!C:Q,12,FALSE)</f>
        <v>#N/A</v>
      </c>
      <c r="M716" s="68" t="e">
        <f>VLOOKUP(G716,Input!C:Q,15,FALSE)</f>
        <v>#N/A</v>
      </c>
      <c r="N716" s="69" t="e">
        <f>VLOOKUP(G716,Input!C:Q,14,FALSE)</f>
        <v>#N/A</v>
      </c>
      <c r="Q716" s="48">
        <v>1</v>
      </c>
      <c r="R716" s="75" t="e">
        <f>VLOOKUP(G716,Input!C:H,5,FALSE)</f>
        <v>#N/A</v>
      </c>
      <c r="T716" s="47">
        <v>1</v>
      </c>
      <c r="U716" s="47" t="str">
        <f t="shared" si="11"/>
        <v>715,715,**,</v>
      </c>
      <c r="AC716" s="47">
        <v>715</v>
      </c>
      <c r="AD716" s="47">
        <v>715</v>
      </c>
    </row>
    <row r="717" spans="1:30" ht="15.75">
      <c r="A717" s="13" t="str">
        <f>IFERROR(VLOOKUP($G:$G,scan!$A:$B,2,0),"**")</f>
        <v>**</v>
      </c>
      <c r="B717" s="13" t="str">
        <f>IFERROR(VLOOKUP($G717,scan!A:C,3,0),"**")</f>
        <v>**</v>
      </c>
      <c r="C717" s="47">
        <v>716</v>
      </c>
      <c r="F717" s="78"/>
      <c r="G717" s="2"/>
      <c r="H717" s="47" t="s">
        <v>4926</v>
      </c>
      <c r="I717" s="43">
        <v>6042070338</v>
      </c>
      <c r="J717" s="43" t="s">
        <v>4927</v>
      </c>
      <c r="K717" s="47" t="s">
        <v>4928</v>
      </c>
      <c r="L717" s="67" t="e">
        <f>VLOOKUP(G717,Input!C:Q,12,FALSE)</f>
        <v>#N/A</v>
      </c>
      <c r="M717" s="68" t="e">
        <f>VLOOKUP(G717,Input!C:Q,15,FALSE)</f>
        <v>#N/A</v>
      </c>
      <c r="N717" s="69" t="e">
        <f>VLOOKUP(G717,Input!C:Q,14,FALSE)</f>
        <v>#N/A</v>
      </c>
      <c r="Q717" s="48">
        <v>1</v>
      </c>
      <c r="R717" s="75" t="e">
        <f>VLOOKUP(G717,Input!C:H,5,FALSE)</f>
        <v>#N/A</v>
      </c>
      <c r="T717" s="47">
        <v>1</v>
      </c>
      <c r="U717" s="47" t="str">
        <f t="shared" si="11"/>
        <v>716,716,**,</v>
      </c>
      <c r="AC717" s="47">
        <v>716</v>
      </c>
      <c r="AD717" s="47">
        <v>716</v>
      </c>
    </row>
    <row r="718" spans="1:30" ht="15.75">
      <c r="A718" s="13" t="str">
        <f>IFERROR(VLOOKUP($G:$G,scan!$A:$B,2,0),"**")</f>
        <v>**</v>
      </c>
      <c r="B718" s="13" t="str">
        <f>IFERROR(VLOOKUP($G718,scan!A:C,3,0),"**")</f>
        <v>**</v>
      </c>
      <c r="C718" s="47">
        <v>717</v>
      </c>
      <c r="F718" s="78"/>
      <c r="G718" s="2"/>
      <c r="H718" s="47" t="s">
        <v>4926</v>
      </c>
      <c r="I718" s="43">
        <v>6042070338</v>
      </c>
      <c r="J718" s="43" t="s">
        <v>4927</v>
      </c>
      <c r="K718" s="47" t="s">
        <v>4928</v>
      </c>
      <c r="L718" s="67" t="e">
        <f>VLOOKUP(G718,Input!C:Q,12,FALSE)</f>
        <v>#N/A</v>
      </c>
      <c r="M718" s="68" t="e">
        <f>VLOOKUP(G718,Input!C:Q,15,FALSE)</f>
        <v>#N/A</v>
      </c>
      <c r="N718" s="69" t="e">
        <f>VLOOKUP(G718,Input!C:Q,14,FALSE)</f>
        <v>#N/A</v>
      </c>
      <c r="Q718" s="48">
        <v>1</v>
      </c>
      <c r="R718" s="75" t="e">
        <f>VLOOKUP(G718,Input!C:H,5,FALSE)</f>
        <v>#N/A</v>
      </c>
      <c r="T718" s="47">
        <v>1</v>
      </c>
      <c r="U718" s="47" t="str">
        <f t="shared" si="11"/>
        <v>717,717,**,</v>
      </c>
      <c r="AC718" s="47">
        <v>717</v>
      </c>
      <c r="AD718" s="47">
        <v>717</v>
      </c>
    </row>
    <row r="719" spans="1:30" ht="15.75">
      <c r="A719" s="13" t="str">
        <f>IFERROR(VLOOKUP($G:$G,scan!$A:$B,2,0),"**")</f>
        <v>**</v>
      </c>
      <c r="B719" s="13" t="str">
        <f>IFERROR(VLOOKUP($G719,scan!A:C,3,0),"**")</f>
        <v>**</v>
      </c>
      <c r="C719" s="47">
        <v>718</v>
      </c>
      <c r="F719" s="78"/>
      <c r="G719" s="2"/>
      <c r="H719" s="47" t="s">
        <v>4926</v>
      </c>
      <c r="I719" s="43">
        <v>6042070338</v>
      </c>
      <c r="J719" s="43" t="s">
        <v>4927</v>
      </c>
      <c r="K719" s="47" t="s">
        <v>4928</v>
      </c>
      <c r="L719" s="67" t="e">
        <f>VLOOKUP(G719,Input!C:Q,12,FALSE)</f>
        <v>#N/A</v>
      </c>
      <c r="M719" s="68" t="e">
        <f>VLOOKUP(G719,Input!C:Q,15,FALSE)</f>
        <v>#N/A</v>
      </c>
      <c r="N719" s="69" t="e">
        <f>VLOOKUP(G719,Input!C:Q,14,FALSE)</f>
        <v>#N/A</v>
      </c>
      <c r="Q719" s="48">
        <v>1</v>
      </c>
      <c r="R719" s="75" t="e">
        <f>VLOOKUP(G719,Input!C:H,5,FALSE)</f>
        <v>#N/A</v>
      </c>
      <c r="T719" s="47">
        <v>1</v>
      </c>
      <c r="U719" s="47" t="str">
        <f t="shared" si="11"/>
        <v>718,718,**,</v>
      </c>
      <c r="AC719" s="47">
        <v>718</v>
      </c>
      <c r="AD719" s="47">
        <v>718</v>
      </c>
    </row>
    <row r="720" spans="1:30" ht="15.75">
      <c r="A720" s="13" t="str">
        <f>IFERROR(VLOOKUP($G:$G,scan!$A:$B,2,0),"**")</f>
        <v>**</v>
      </c>
      <c r="B720" s="13" t="str">
        <f>IFERROR(VLOOKUP($G720,scan!A:C,3,0),"**")</f>
        <v>**</v>
      </c>
      <c r="C720" s="47">
        <v>719</v>
      </c>
      <c r="F720" s="78"/>
      <c r="G720" s="2"/>
      <c r="H720" s="47" t="s">
        <v>4926</v>
      </c>
      <c r="I720" s="43">
        <v>6042070338</v>
      </c>
      <c r="J720" s="43" t="s">
        <v>4927</v>
      </c>
      <c r="K720" s="47" t="s">
        <v>4928</v>
      </c>
      <c r="L720" s="67" t="e">
        <f>VLOOKUP(G720,Input!C:Q,12,FALSE)</f>
        <v>#N/A</v>
      </c>
      <c r="M720" s="68" t="e">
        <f>VLOOKUP(G720,Input!C:Q,15,FALSE)</f>
        <v>#N/A</v>
      </c>
      <c r="N720" s="69" t="e">
        <f>VLOOKUP(G720,Input!C:Q,14,FALSE)</f>
        <v>#N/A</v>
      </c>
      <c r="Q720" s="48">
        <v>1</v>
      </c>
      <c r="R720" s="75" t="e">
        <f>VLOOKUP(G720,Input!C:H,5,FALSE)</f>
        <v>#N/A</v>
      </c>
      <c r="T720" s="47">
        <v>1</v>
      </c>
      <c r="U720" s="47" t="str">
        <f t="shared" si="11"/>
        <v>719,719,**,</v>
      </c>
      <c r="AC720" s="47">
        <v>719</v>
      </c>
      <c r="AD720" s="47">
        <v>719</v>
      </c>
    </row>
    <row r="721" spans="1:30" ht="15.75">
      <c r="A721" s="13" t="str">
        <f>IFERROR(VLOOKUP($G:$G,scan!$A:$B,2,0),"**")</f>
        <v>**</v>
      </c>
      <c r="B721" s="13" t="str">
        <f>IFERROR(VLOOKUP($G721,scan!A:C,3,0),"**")</f>
        <v>**</v>
      </c>
      <c r="C721" s="47">
        <v>720</v>
      </c>
      <c r="F721" s="78"/>
      <c r="G721" s="2"/>
      <c r="H721" s="47" t="s">
        <v>4926</v>
      </c>
      <c r="I721" s="43">
        <v>6042070338</v>
      </c>
      <c r="J721" s="43" t="s">
        <v>4927</v>
      </c>
      <c r="K721" s="47" t="s">
        <v>4928</v>
      </c>
      <c r="L721" s="67" t="e">
        <f>VLOOKUP(G721,Input!C:Q,12,FALSE)</f>
        <v>#N/A</v>
      </c>
      <c r="M721" s="68" t="e">
        <f>VLOOKUP(G721,Input!C:Q,15,FALSE)</f>
        <v>#N/A</v>
      </c>
      <c r="N721" s="69" t="e">
        <f>VLOOKUP(G721,Input!C:Q,14,FALSE)</f>
        <v>#N/A</v>
      </c>
      <c r="Q721" s="48">
        <v>1</v>
      </c>
      <c r="R721" s="75" t="e">
        <f>VLOOKUP(G721,Input!C:H,5,FALSE)</f>
        <v>#N/A</v>
      </c>
      <c r="T721" s="47">
        <v>1</v>
      </c>
      <c r="U721" s="47" t="str">
        <f t="shared" si="11"/>
        <v>720,720,**,</v>
      </c>
      <c r="AC721" s="47">
        <v>720</v>
      </c>
      <c r="AD721" s="47">
        <v>720</v>
      </c>
    </row>
    <row r="722" spans="1:30" ht="15.75">
      <c r="A722" s="13" t="str">
        <f>IFERROR(VLOOKUP($G:$G,scan!$A:$B,2,0),"**")</f>
        <v>**</v>
      </c>
      <c r="B722" s="13" t="str">
        <f>IFERROR(VLOOKUP($G722,scan!A:C,3,0),"**")</f>
        <v>**</v>
      </c>
      <c r="C722" s="47">
        <v>721</v>
      </c>
      <c r="F722" s="78"/>
      <c r="G722" s="2"/>
      <c r="H722" s="47" t="s">
        <v>4926</v>
      </c>
      <c r="I722" s="43">
        <v>6042070338</v>
      </c>
      <c r="J722" s="43" t="s">
        <v>4927</v>
      </c>
      <c r="K722" s="47" t="s">
        <v>4928</v>
      </c>
      <c r="L722" s="67" t="e">
        <f>VLOOKUP(G722,Input!C:Q,12,FALSE)</f>
        <v>#N/A</v>
      </c>
      <c r="M722" s="68" t="e">
        <f>VLOOKUP(G722,Input!C:Q,15,FALSE)</f>
        <v>#N/A</v>
      </c>
      <c r="N722" s="69" t="e">
        <f>VLOOKUP(G722,Input!C:Q,14,FALSE)</f>
        <v>#N/A</v>
      </c>
      <c r="Q722" s="48">
        <v>1</v>
      </c>
      <c r="R722" s="75" t="e">
        <f>VLOOKUP(G722,Input!C:H,5,FALSE)</f>
        <v>#N/A</v>
      </c>
      <c r="T722" s="47">
        <v>1</v>
      </c>
      <c r="U722" s="47" t="str">
        <f t="shared" si="11"/>
        <v>721,721,**,</v>
      </c>
      <c r="AC722" s="47">
        <v>721</v>
      </c>
      <c r="AD722" s="47">
        <v>721</v>
      </c>
    </row>
    <row r="723" spans="1:30" ht="15.75">
      <c r="A723" s="13" t="str">
        <f>IFERROR(VLOOKUP($G:$G,scan!$A:$B,2,0),"**")</f>
        <v>**</v>
      </c>
      <c r="B723" s="13" t="str">
        <f>IFERROR(VLOOKUP($G723,scan!A:C,3,0),"**")</f>
        <v>**</v>
      </c>
      <c r="C723" s="47">
        <v>722</v>
      </c>
      <c r="F723" s="78"/>
      <c r="G723" s="2"/>
      <c r="H723" s="47" t="s">
        <v>4926</v>
      </c>
      <c r="I723" s="43">
        <v>6042070338</v>
      </c>
      <c r="J723" s="43" t="s">
        <v>4927</v>
      </c>
      <c r="K723" s="47" t="s">
        <v>4928</v>
      </c>
      <c r="L723" s="67" t="e">
        <f>VLOOKUP(G723,Input!C:Q,12,FALSE)</f>
        <v>#N/A</v>
      </c>
      <c r="M723" s="68" t="e">
        <f>VLOOKUP(G723,Input!C:Q,15,FALSE)</f>
        <v>#N/A</v>
      </c>
      <c r="N723" s="69" t="e">
        <f>VLOOKUP(G723,Input!C:Q,14,FALSE)</f>
        <v>#N/A</v>
      </c>
      <c r="Q723" s="48">
        <v>1</v>
      </c>
      <c r="R723" s="75" t="e">
        <f>VLOOKUP(G723,Input!C:H,5,FALSE)</f>
        <v>#N/A</v>
      </c>
      <c r="T723" s="47">
        <v>1</v>
      </c>
      <c r="U723" s="47" t="str">
        <f t="shared" si="11"/>
        <v>722,722,**,</v>
      </c>
      <c r="AC723" s="47">
        <v>722</v>
      </c>
      <c r="AD723" s="47">
        <v>722</v>
      </c>
    </row>
    <row r="724" spans="1:30" ht="15.75">
      <c r="A724" s="13" t="str">
        <f>IFERROR(VLOOKUP($G:$G,scan!$A:$B,2,0),"**")</f>
        <v>**</v>
      </c>
      <c r="B724" s="13" t="str">
        <f>IFERROR(VLOOKUP($G724,scan!A:C,3,0),"**")</f>
        <v>**</v>
      </c>
      <c r="C724" s="47">
        <v>723</v>
      </c>
      <c r="F724" s="78"/>
      <c r="G724" s="2"/>
      <c r="H724" s="47" t="s">
        <v>4926</v>
      </c>
      <c r="I724" s="43">
        <v>6042070338</v>
      </c>
      <c r="J724" s="43" t="s">
        <v>4927</v>
      </c>
      <c r="K724" s="47" t="s">
        <v>4928</v>
      </c>
      <c r="L724" s="67" t="e">
        <f>VLOOKUP(G724,Input!C:Q,12,FALSE)</f>
        <v>#N/A</v>
      </c>
      <c r="M724" s="68" t="e">
        <f>VLOOKUP(G724,Input!C:Q,15,FALSE)</f>
        <v>#N/A</v>
      </c>
      <c r="N724" s="69" t="e">
        <f>VLOOKUP(G724,Input!C:Q,14,FALSE)</f>
        <v>#N/A</v>
      </c>
      <c r="Q724" s="48">
        <v>1</v>
      </c>
      <c r="R724" s="75" t="e">
        <f>VLOOKUP(G724,Input!C:H,5,FALSE)</f>
        <v>#N/A</v>
      </c>
      <c r="T724" s="47">
        <v>1</v>
      </c>
      <c r="U724" s="47" t="str">
        <f t="shared" si="11"/>
        <v>723,723,**,</v>
      </c>
      <c r="AC724" s="47">
        <v>723</v>
      </c>
      <c r="AD724" s="47">
        <v>723</v>
      </c>
    </row>
    <row r="725" spans="1:30" ht="15.75">
      <c r="A725" s="13" t="str">
        <f>IFERROR(VLOOKUP($G:$G,scan!$A:$B,2,0),"**")</f>
        <v>**</v>
      </c>
      <c r="B725" s="13" t="str">
        <f>IFERROR(VLOOKUP($G725,scan!A:C,3,0),"**")</f>
        <v>**</v>
      </c>
      <c r="C725" s="47">
        <v>724</v>
      </c>
      <c r="F725" s="78"/>
      <c r="G725" s="2"/>
      <c r="H725" s="47" t="s">
        <v>4926</v>
      </c>
      <c r="I725" s="43">
        <v>6042070338</v>
      </c>
      <c r="J725" s="43" t="s">
        <v>4927</v>
      </c>
      <c r="K725" s="47" t="s">
        <v>4928</v>
      </c>
      <c r="L725" s="67" t="e">
        <f>VLOOKUP(G725,Input!C:Q,12,FALSE)</f>
        <v>#N/A</v>
      </c>
      <c r="M725" s="68" t="e">
        <f>VLOOKUP(G725,Input!C:Q,15,FALSE)</f>
        <v>#N/A</v>
      </c>
      <c r="N725" s="69" t="e">
        <f>VLOOKUP(G725,Input!C:Q,14,FALSE)</f>
        <v>#N/A</v>
      </c>
      <c r="Q725" s="48">
        <v>1</v>
      </c>
      <c r="R725" s="75" t="e">
        <f>VLOOKUP(G725,Input!C:H,5,FALSE)</f>
        <v>#N/A</v>
      </c>
      <c r="T725" s="47">
        <v>1</v>
      </c>
      <c r="U725" s="47" t="str">
        <f t="shared" si="11"/>
        <v>724,724,**,</v>
      </c>
      <c r="AC725" s="47">
        <v>724</v>
      </c>
      <c r="AD725" s="47">
        <v>724</v>
      </c>
    </row>
    <row r="726" spans="1:30" ht="15.75">
      <c r="A726" s="13" t="str">
        <f>IFERROR(VLOOKUP($G:$G,scan!$A:$B,2,0),"**")</f>
        <v>**</v>
      </c>
      <c r="B726" s="13" t="str">
        <f>IFERROR(VLOOKUP($G726,scan!A:C,3,0),"**")</f>
        <v>**</v>
      </c>
      <c r="C726" s="47">
        <v>725</v>
      </c>
      <c r="F726" s="78"/>
      <c r="G726" s="2"/>
      <c r="H726" s="47" t="s">
        <v>4926</v>
      </c>
      <c r="I726" s="43">
        <v>6042070338</v>
      </c>
      <c r="J726" s="43" t="s">
        <v>4927</v>
      </c>
      <c r="K726" s="47" t="s">
        <v>4928</v>
      </c>
      <c r="L726" s="67" t="e">
        <f>VLOOKUP(G726,Input!C:Q,12,FALSE)</f>
        <v>#N/A</v>
      </c>
      <c r="M726" s="68" t="e">
        <f>VLOOKUP(G726,Input!C:Q,15,FALSE)</f>
        <v>#N/A</v>
      </c>
      <c r="N726" s="69" t="e">
        <f>VLOOKUP(G726,Input!C:Q,14,FALSE)</f>
        <v>#N/A</v>
      </c>
      <c r="Q726" s="48">
        <v>1</v>
      </c>
      <c r="R726" s="75" t="e">
        <f>VLOOKUP(G726,Input!C:H,5,FALSE)</f>
        <v>#N/A</v>
      </c>
      <c r="T726" s="47">
        <v>1</v>
      </c>
      <c r="U726" s="47" t="str">
        <f t="shared" si="11"/>
        <v>725,725,**,</v>
      </c>
      <c r="AC726" s="47">
        <v>725</v>
      </c>
      <c r="AD726" s="47">
        <v>725</v>
      </c>
    </row>
    <row r="727" spans="1:30" ht="15.75">
      <c r="A727" s="13" t="str">
        <f>IFERROR(VLOOKUP($G:$G,scan!$A:$B,2,0),"**")</f>
        <v>**</v>
      </c>
      <c r="B727" s="13" t="str">
        <f>IFERROR(VLOOKUP($G727,scan!A:C,3,0),"**")</f>
        <v>**</v>
      </c>
      <c r="C727" s="47">
        <v>726</v>
      </c>
      <c r="F727" s="78"/>
      <c r="G727" s="2"/>
      <c r="H727" s="47" t="s">
        <v>4926</v>
      </c>
      <c r="I727" s="43">
        <v>6042070338</v>
      </c>
      <c r="J727" s="43" t="s">
        <v>4927</v>
      </c>
      <c r="K727" s="47" t="s">
        <v>4928</v>
      </c>
      <c r="L727" s="67" t="e">
        <f>VLOOKUP(G727,Input!C:Q,12,FALSE)</f>
        <v>#N/A</v>
      </c>
      <c r="M727" s="68" t="e">
        <f>VLOOKUP(G727,Input!C:Q,15,FALSE)</f>
        <v>#N/A</v>
      </c>
      <c r="N727" s="69" t="e">
        <f>VLOOKUP(G727,Input!C:Q,14,FALSE)</f>
        <v>#N/A</v>
      </c>
      <c r="Q727" s="48">
        <v>1</v>
      </c>
      <c r="R727" s="75" t="e">
        <f>VLOOKUP(G727,Input!C:H,5,FALSE)</f>
        <v>#N/A</v>
      </c>
      <c r="T727" s="47">
        <v>1</v>
      </c>
      <c r="U727" s="47" t="str">
        <f t="shared" si="11"/>
        <v>726,726,**,</v>
      </c>
      <c r="AC727" s="47">
        <v>726</v>
      </c>
      <c r="AD727" s="47">
        <v>726</v>
      </c>
    </row>
    <row r="728" spans="1:30" ht="15.75">
      <c r="A728" s="13" t="str">
        <f>IFERROR(VLOOKUP($G:$G,scan!$A:$B,2,0),"**")</f>
        <v>**</v>
      </c>
      <c r="B728" s="13" t="str">
        <f>IFERROR(VLOOKUP($G728,scan!A:C,3,0),"**")</f>
        <v>**</v>
      </c>
      <c r="C728" s="47">
        <v>727</v>
      </c>
      <c r="F728" s="78"/>
      <c r="G728" s="2"/>
      <c r="H728" s="47" t="s">
        <v>4926</v>
      </c>
      <c r="I728" s="43">
        <v>6042070338</v>
      </c>
      <c r="J728" s="43" t="s">
        <v>4927</v>
      </c>
      <c r="K728" s="47" t="s">
        <v>4928</v>
      </c>
      <c r="L728" s="67" t="e">
        <f>VLOOKUP(G728,Input!C:Q,12,FALSE)</f>
        <v>#N/A</v>
      </c>
      <c r="M728" s="68" t="e">
        <f>VLOOKUP(G728,Input!C:Q,15,FALSE)</f>
        <v>#N/A</v>
      </c>
      <c r="N728" s="69" t="e">
        <f>VLOOKUP(G728,Input!C:Q,14,FALSE)</f>
        <v>#N/A</v>
      </c>
      <c r="Q728" s="48">
        <v>1</v>
      </c>
      <c r="R728" s="75" t="e">
        <f>VLOOKUP(G728,Input!C:H,5,FALSE)</f>
        <v>#N/A</v>
      </c>
      <c r="T728" s="47">
        <v>1</v>
      </c>
      <c r="U728" s="47" t="str">
        <f t="shared" si="11"/>
        <v>727,727,**,</v>
      </c>
      <c r="AC728" s="47">
        <v>727</v>
      </c>
      <c r="AD728" s="47">
        <v>727</v>
      </c>
    </row>
    <row r="729" spans="1:30" ht="15.75">
      <c r="A729" s="13" t="str">
        <f>IFERROR(VLOOKUP($G:$G,scan!$A:$B,2,0),"**")</f>
        <v>**</v>
      </c>
      <c r="B729" s="13" t="str">
        <f>IFERROR(VLOOKUP($G729,scan!A:C,3,0),"**")</f>
        <v>**</v>
      </c>
      <c r="C729" s="47">
        <v>728</v>
      </c>
      <c r="F729" s="78"/>
      <c r="G729" s="2"/>
      <c r="H729" s="47" t="s">
        <v>4926</v>
      </c>
      <c r="I729" s="43">
        <v>6042070338</v>
      </c>
      <c r="J729" s="43" t="s">
        <v>4927</v>
      </c>
      <c r="K729" s="47" t="s">
        <v>4928</v>
      </c>
      <c r="L729" s="67" t="e">
        <f>VLOOKUP(G729,Input!C:Q,12,FALSE)</f>
        <v>#N/A</v>
      </c>
      <c r="M729" s="68" t="e">
        <f>VLOOKUP(G729,Input!C:Q,15,FALSE)</f>
        <v>#N/A</v>
      </c>
      <c r="N729" s="69" t="e">
        <f>VLOOKUP(G729,Input!C:Q,14,FALSE)</f>
        <v>#N/A</v>
      </c>
      <c r="Q729" s="48">
        <v>1</v>
      </c>
      <c r="R729" s="75" t="e">
        <f>VLOOKUP(G729,Input!C:H,5,FALSE)</f>
        <v>#N/A</v>
      </c>
      <c r="T729" s="47">
        <v>1</v>
      </c>
      <c r="U729" s="47" t="str">
        <f t="shared" si="11"/>
        <v>728,728,**,</v>
      </c>
      <c r="AC729" s="47">
        <v>728</v>
      </c>
      <c r="AD729" s="47">
        <v>728</v>
      </c>
    </row>
    <row r="730" spans="1:30" ht="15.75">
      <c r="A730" s="13" t="str">
        <f>IFERROR(VLOOKUP($G:$G,scan!$A:$B,2,0),"**")</f>
        <v>**</v>
      </c>
      <c r="B730" s="13" t="str">
        <f>IFERROR(VLOOKUP($G730,scan!A:C,3,0),"**")</f>
        <v>**</v>
      </c>
      <c r="C730" s="47">
        <v>729</v>
      </c>
      <c r="F730" s="78"/>
      <c r="G730" s="2"/>
      <c r="H730" s="47" t="s">
        <v>4926</v>
      </c>
      <c r="I730" s="43">
        <v>6042070338</v>
      </c>
      <c r="J730" s="43" t="s">
        <v>4927</v>
      </c>
      <c r="K730" s="47" t="s">
        <v>4928</v>
      </c>
      <c r="L730" s="67" t="e">
        <f>VLOOKUP(G730,Input!C:Q,12,FALSE)</f>
        <v>#N/A</v>
      </c>
      <c r="M730" s="68" t="e">
        <f>VLOOKUP(G730,Input!C:Q,15,FALSE)</f>
        <v>#N/A</v>
      </c>
      <c r="N730" s="69" t="e">
        <f>VLOOKUP(G730,Input!C:Q,14,FALSE)</f>
        <v>#N/A</v>
      </c>
      <c r="Q730" s="48">
        <v>1</v>
      </c>
      <c r="R730" s="75" t="e">
        <f>VLOOKUP(G730,Input!C:H,5,FALSE)</f>
        <v>#N/A</v>
      </c>
      <c r="T730" s="47">
        <v>1</v>
      </c>
      <c r="U730" s="47" t="str">
        <f t="shared" si="11"/>
        <v>729,729,**,</v>
      </c>
      <c r="AC730" s="47">
        <v>729</v>
      </c>
      <c r="AD730" s="47">
        <v>729</v>
      </c>
    </row>
    <row r="731" spans="1:30" ht="15.75">
      <c r="A731" s="13" t="str">
        <f>IFERROR(VLOOKUP($G:$G,scan!$A:$B,2,0),"**")</f>
        <v>**</v>
      </c>
      <c r="B731" s="13" t="str">
        <f>IFERROR(VLOOKUP($G731,scan!A:C,3,0),"**")</f>
        <v>**</v>
      </c>
      <c r="C731" s="47">
        <v>730</v>
      </c>
      <c r="F731" s="78"/>
      <c r="G731" s="2"/>
      <c r="H731" s="47" t="s">
        <v>4926</v>
      </c>
      <c r="I731" s="43">
        <v>6042070338</v>
      </c>
      <c r="J731" s="43" t="s">
        <v>4927</v>
      </c>
      <c r="K731" s="47" t="s">
        <v>4928</v>
      </c>
      <c r="L731" s="67" t="e">
        <f>VLOOKUP(G731,Input!C:Q,12,FALSE)</f>
        <v>#N/A</v>
      </c>
      <c r="M731" s="68" t="e">
        <f>VLOOKUP(G731,Input!C:Q,15,FALSE)</f>
        <v>#N/A</v>
      </c>
      <c r="N731" s="69" t="e">
        <f>VLOOKUP(G731,Input!C:Q,14,FALSE)</f>
        <v>#N/A</v>
      </c>
      <c r="Q731" s="48">
        <v>1</v>
      </c>
      <c r="R731" s="75" t="e">
        <f>VLOOKUP(G731,Input!C:H,5,FALSE)</f>
        <v>#N/A</v>
      </c>
      <c r="T731" s="47">
        <v>1</v>
      </c>
      <c r="U731" s="47" t="str">
        <f t="shared" si="11"/>
        <v>730,730,**,</v>
      </c>
      <c r="AC731" s="47">
        <v>730</v>
      </c>
      <c r="AD731" s="47">
        <v>730</v>
      </c>
    </row>
    <row r="732" spans="1:30" ht="15.75">
      <c r="A732" s="13" t="str">
        <f>IFERROR(VLOOKUP($G:$G,scan!$A:$B,2,0),"**")</f>
        <v>**</v>
      </c>
      <c r="B732" s="13" t="str">
        <f>IFERROR(VLOOKUP($G732,scan!A:C,3,0),"**")</f>
        <v>**</v>
      </c>
      <c r="C732" s="47">
        <v>731</v>
      </c>
      <c r="F732" s="78"/>
      <c r="G732" s="2"/>
      <c r="H732" s="47" t="s">
        <v>4926</v>
      </c>
      <c r="I732" s="43">
        <v>6042070338</v>
      </c>
      <c r="J732" s="43" t="s">
        <v>4927</v>
      </c>
      <c r="K732" s="47" t="s">
        <v>4928</v>
      </c>
      <c r="L732" s="67" t="e">
        <f>VLOOKUP(G732,Input!C:Q,12,FALSE)</f>
        <v>#N/A</v>
      </c>
      <c r="M732" s="68" t="e">
        <f>VLOOKUP(G732,Input!C:Q,15,FALSE)</f>
        <v>#N/A</v>
      </c>
      <c r="N732" s="69" t="e">
        <f>VLOOKUP(G732,Input!C:Q,14,FALSE)</f>
        <v>#N/A</v>
      </c>
      <c r="Q732" s="48">
        <v>1</v>
      </c>
      <c r="R732" s="75" t="e">
        <f>VLOOKUP(G732,Input!C:H,5,FALSE)</f>
        <v>#N/A</v>
      </c>
      <c r="T732" s="47">
        <v>1</v>
      </c>
      <c r="U732" s="47" t="str">
        <f t="shared" si="11"/>
        <v>731,731,**,</v>
      </c>
      <c r="AC732" s="47">
        <v>731</v>
      </c>
      <c r="AD732" s="47">
        <v>731</v>
      </c>
    </row>
    <row r="733" spans="1:30" ht="15.75">
      <c r="A733" s="13" t="str">
        <f>IFERROR(VLOOKUP($G:$G,scan!$A:$B,2,0),"**")</f>
        <v>**</v>
      </c>
      <c r="B733" s="13" t="str">
        <f>IFERROR(VLOOKUP($G733,scan!A:C,3,0),"**")</f>
        <v>**</v>
      </c>
      <c r="C733" s="47">
        <v>732</v>
      </c>
      <c r="F733" s="78"/>
      <c r="G733" s="2"/>
      <c r="H733" s="47" t="s">
        <v>4926</v>
      </c>
      <c r="I733" s="43">
        <v>6042070338</v>
      </c>
      <c r="J733" s="43" t="s">
        <v>4927</v>
      </c>
      <c r="K733" s="47" t="s">
        <v>4928</v>
      </c>
      <c r="L733" s="67" t="e">
        <f>VLOOKUP(G733,Input!C:Q,12,FALSE)</f>
        <v>#N/A</v>
      </c>
      <c r="M733" s="68" t="e">
        <f>VLOOKUP(G733,Input!C:Q,15,FALSE)</f>
        <v>#N/A</v>
      </c>
      <c r="N733" s="69" t="e">
        <f>VLOOKUP(G733,Input!C:Q,14,FALSE)</f>
        <v>#N/A</v>
      </c>
      <c r="Q733" s="48">
        <v>1</v>
      </c>
      <c r="R733" s="75" t="e">
        <f>VLOOKUP(G733,Input!C:H,5,FALSE)</f>
        <v>#N/A</v>
      </c>
      <c r="T733" s="47">
        <v>1</v>
      </c>
      <c r="U733" s="47" t="str">
        <f t="shared" si="11"/>
        <v>732,732,**,</v>
      </c>
      <c r="AC733" s="47">
        <v>732</v>
      </c>
      <c r="AD733" s="47">
        <v>732</v>
      </c>
    </row>
    <row r="734" spans="1:30" ht="15.75">
      <c r="A734" s="13" t="str">
        <f>IFERROR(VLOOKUP($G:$G,scan!$A:$B,2,0),"**")</f>
        <v>**</v>
      </c>
      <c r="B734" s="13" t="str">
        <f>IFERROR(VLOOKUP($G734,scan!A:C,3,0),"**")</f>
        <v>**</v>
      </c>
      <c r="C734" s="47">
        <v>733</v>
      </c>
      <c r="F734" s="78"/>
      <c r="G734" s="2"/>
      <c r="H734" s="47" t="s">
        <v>4926</v>
      </c>
      <c r="I734" s="43">
        <v>6042070338</v>
      </c>
      <c r="J734" s="43" t="s">
        <v>4927</v>
      </c>
      <c r="K734" s="47" t="s">
        <v>4928</v>
      </c>
      <c r="L734" s="67" t="e">
        <f>VLOOKUP(G734,Input!C:Q,12,FALSE)</f>
        <v>#N/A</v>
      </c>
      <c r="M734" s="68" t="e">
        <f>VLOOKUP(G734,Input!C:Q,15,FALSE)</f>
        <v>#N/A</v>
      </c>
      <c r="N734" s="69" t="e">
        <f>VLOOKUP(G734,Input!C:Q,14,FALSE)</f>
        <v>#N/A</v>
      </c>
      <c r="Q734" s="48">
        <v>1</v>
      </c>
      <c r="R734" s="75" t="e">
        <f>VLOOKUP(G734,Input!C:H,5,FALSE)</f>
        <v>#N/A</v>
      </c>
      <c r="T734" s="47">
        <v>1</v>
      </c>
      <c r="U734" s="47" t="str">
        <f t="shared" si="11"/>
        <v>733,733,**,</v>
      </c>
      <c r="AC734" s="47">
        <v>733</v>
      </c>
      <c r="AD734" s="47">
        <v>733</v>
      </c>
    </row>
    <row r="735" spans="1:30" ht="15.75">
      <c r="A735" s="13" t="str">
        <f>IFERROR(VLOOKUP($G:$G,scan!$A:$B,2,0),"**")</f>
        <v>**</v>
      </c>
      <c r="B735" s="13" t="str">
        <f>IFERROR(VLOOKUP($G735,scan!A:C,3,0),"**")</f>
        <v>**</v>
      </c>
      <c r="C735" s="47">
        <v>734</v>
      </c>
      <c r="F735" s="78"/>
      <c r="G735" s="2"/>
      <c r="H735" s="47" t="s">
        <v>4926</v>
      </c>
      <c r="I735" s="43">
        <v>6042070338</v>
      </c>
      <c r="J735" s="43" t="s">
        <v>4927</v>
      </c>
      <c r="K735" s="47" t="s">
        <v>4928</v>
      </c>
      <c r="L735" s="67" t="e">
        <f>VLOOKUP(G735,Input!C:Q,12,FALSE)</f>
        <v>#N/A</v>
      </c>
      <c r="M735" s="68" t="e">
        <f>VLOOKUP(G735,Input!C:Q,15,FALSE)</f>
        <v>#N/A</v>
      </c>
      <c r="N735" s="69" t="e">
        <f>VLOOKUP(G735,Input!C:Q,14,FALSE)</f>
        <v>#N/A</v>
      </c>
      <c r="Q735" s="48">
        <v>1</v>
      </c>
      <c r="R735" s="75" t="e">
        <f>VLOOKUP(G735,Input!C:H,5,FALSE)</f>
        <v>#N/A</v>
      </c>
      <c r="T735" s="47">
        <v>1</v>
      </c>
      <c r="U735" s="47" t="str">
        <f t="shared" si="11"/>
        <v>734,734,**,</v>
      </c>
      <c r="AC735" s="47">
        <v>734</v>
      </c>
      <c r="AD735" s="47">
        <v>734</v>
      </c>
    </row>
    <row r="736" spans="1:30" ht="15.75">
      <c r="A736" s="13" t="str">
        <f>IFERROR(VLOOKUP($G:$G,scan!$A:$B,2,0),"**")</f>
        <v>**</v>
      </c>
      <c r="B736" s="13" t="str">
        <f>IFERROR(VLOOKUP($G736,scan!A:C,3,0),"**")</f>
        <v>**</v>
      </c>
      <c r="C736" s="47">
        <v>735</v>
      </c>
      <c r="F736" s="78"/>
      <c r="G736" s="2"/>
      <c r="H736" s="47" t="s">
        <v>4926</v>
      </c>
      <c r="I736" s="43">
        <v>6042070338</v>
      </c>
      <c r="J736" s="43" t="s">
        <v>4927</v>
      </c>
      <c r="K736" s="47" t="s">
        <v>4928</v>
      </c>
      <c r="L736" s="67" t="e">
        <f>VLOOKUP(G736,Input!C:Q,12,FALSE)</f>
        <v>#N/A</v>
      </c>
      <c r="M736" s="68" t="e">
        <f>VLOOKUP(G736,Input!C:Q,15,FALSE)</f>
        <v>#N/A</v>
      </c>
      <c r="N736" s="69" t="e">
        <f>VLOOKUP(G736,Input!C:Q,14,FALSE)</f>
        <v>#N/A</v>
      </c>
      <c r="Q736" s="48">
        <v>1</v>
      </c>
      <c r="R736" s="75" t="e">
        <f>VLOOKUP(G736,Input!C:H,5,FALSE)</f>
        <v>#N/A</v>
      </c>
      <c r="T736" s="47">
        <v>1</v>
      </c>
      <c r="U736" s="47" t="str">
        <f t="shared" si="11"/>
        <v>735,735,**,</v>
      </c>
      <c r="AC736" s="47">
        <v>735</v>
      </c>
      <c r="AD736" s="47">
        <v>735</v>
      </c>
    </row>
    <row r="737" spans="1:30" ht="15.75">
      <c r="A737" s="13" t="str">
        <f>IFERROR(VLOOKUP($G:$G,scan!$A:$B,2,0),"**")</f>
        <v>**</v>
      </c>
      <c r="B737" s="13" t="str">
        <f>IFERROR(VLOOKUP($G737,scan!A:C,3,0),"**")</f>
        <v>**</v>
      </c>
      <c r="C737" s="47">
        <v>736</v>
      </c>
      <c r="F737" s="78"/>
      <c r="G737" s="2"/>
      <c r="H737" s="47" t="s">
        <v>4926</v>
      </c>
      <c r="I737" s="43">
        <v>6042070338</v>
      </c>
      <c r="J737" s="43" t="s">
        <v>4927</v>
      </c>
      <c r="K737" s="47" t="s">
        <v>4928</v>
      </c>
      <c r="L737" s="67" t="e">
        <f>VLOOKUP(G737,Input!C:Q,12,FALSE)</f>
        <v>#N/A</v>
      </c>
      <c r="M737" s="68" t="e">
        <f>VLOOKUP(G737,Input!C:Q,15,FALSE)</f>
        <v>#N/A</v>
      </c>
      <c r="N737" s="69" t="e">
        <f>VLOOKUP(G737,Input!C:Q,14,FALSE)</f>
        <v>#N/A</v>
      </c>
      <c r="Q737" s="48">
        <v>1</v>
      </c>
      <c r="R737" s="75" t="e">
        <f>VLOOKUP(G737,Input!C:H,5,FALSE)</f>
        <v>#N/A</v>
      </c>
      <c r="T737" s="47">
        <v>1</v>
      </c>
      <c r="U737" s="47" t="str">
        <f t="shared" si="11"/>
        <v>736,736,**,</v>
      </c>
      <c r="AC737" s="47">
        <v>736</v>
      </c>
      <c r="AD737" s="47">
        <v>736</v>
      </c>
    </row>
    <row r="738" spans="1:30" ht="15.75">
      <c r="A738" s="13" t="str">
        <f>IFERROR(VLOOKUP($G:$G,scan!$A:$B,2,0),"**")</f>
        <v>**</v>
      </c>
      <c r="B738" s="13" t="str">
        <f>IFERROR(VLOOKUP($G738,scan!A:C,3,0),"**")</f>
        <v>**</v>
      </c>
      <c r="C738" s="47">
        <v>737</v>
      </c>
      <c r="F738" s="78"/>
      <c r="G738" s="2"/>
      <c r="H738" s="47" t="s">
        <v>4926</v>
      </c>
      <c r="I738" s="43">
        <v>6042070338</v>
      </c>
      <c r="J738" s="43" t="s">
        <v>4927</v>
      </c>
      <c r="K738" s="47" t="s">
        <v>4928</v>
      </c>
      <c r="L738" s="67" t="e">
        <f>VLOOKUP(G738,Input!C:Q,12,FALSE)</f>
        <v>#N/A</v>
      </c>
      <c r="M738" s="68" t="e">
        <f>VLOOKUP(G738,Input!C:Q,15,FALSE)</f>
        <v>#N/A</v>
      </c>
      <c r="N738" s="69" t="e">
        <f>VLOOKUP(G738,Input!C:Q,14,FALSE)</f>
        <v>#N/A</v>
      </c>
      <c r="Q738" s="48">
        <v>1</v>
      </c>
      <c r="R738" s="75" t="e">
        <f>VLOOKUP(G738,Input!C:H,5,FALSE)</f>
        <v>#N/A</v>
      </c>
      <c r="T738" s="47">
        <v>1</v>
      </c>
      <c r="U738" s="47" t="str">
        <f t="shared" si="11"/>
        <v>737,737,**,</v>
      </c>
      <c r="AC738" s="47">
        <v>737</v>
      </c>
      <c r="AD738" s="47">
        <v>737</v>
      </c>
    </row>
    <row r="739" spans="1:30" ht="15.75">
      <c r="A739" s="13" t="str">
        <f>IFERROR(VLOOKUP($G:$G,scan!$A:$B,2,0),"**")</f>
        <v>**</v>
      </c>
      <c r="B739" s="13" t="str">
        <f>IFERROR(VLOOKUP($G739,scan!A:C,3,0),"**")</f>
        <v>**</v>
      </c>
      <c r="C739" s="47">
        <v>738</v>
      </c>
      <c r="F739" s="78"/>
      <c r="G739" s="2"/>
      <c r="H739" s="47" t="s">
        <v>4926</v>
      </c>
      <c r="I739" s="43">
        <v>6042070338</v>
      </c>
      <c r="J739" s="43" t="s">
        <v>4927</v>
      </c>
      <c r="K739" s="47" t="s">
        <v>4928</v>
      </c>
      <c r="L739" s="67" t="e">
        <f>VLOOKUP(G739,Input!C:Q,12,FALSE)</f>
        <v>#N/A</v>
      </c>
      <c r="M739" s="68" t="e">
        <f>VLOOKUP(G739,Input!C:Q,15,FALSE)</f>
        <v>#N/A</v>
      </c>
      <c r="N739" s="69" t="e">
        <f>VLOOKUP(G739,Input!C:Q,14,FALSE)</f>
        <v>#N/A</v>
      </c>
      <c r="Q739" s="48">
        <v>1</v>
      </c>
      <c r="R739" s="75" t="e">
        <f>VLOOKUP(G739,Input!C:H,5,FALSE)</f>
        <v>#N/A</v>
      </c>
      <c r="T739" s="47">
        <v>1</v>
      </c>
      <c r="U739" s="47" t="str">
        <f t="shared" si="11"/>
        <v>738,738,**,</v>
      </c>
      <c r="AC739" s="47">
        <v>738</v>
      </c>
      <c r="AD739" s="47">
        <v>738</v>
      </c>
    </row>
    <row r="740" spans="1:30" ht="15.75">
      <c r="A740" s="13" t="str">
        <f>IFERROR(VLOOKUP($G:$G,scan!$A:$B,2,0),"**")</f>
        <v>**</v>
      </c>
      <c r="B740" s="13" t="str">
        <f>IFERROR(VLOOKUP($G740,scan!A:C,3,0),"**")</f>
        <v>**</v>
      </c>
      <c r="C740" s="47">
        <v>739</v>
      </c>
      <c r="F740" s="78"/>
      <c r="G740" s="2"/>
      <c r="H740" s="47" t="s">
        <v>4926</v>
      </c>
      <c r="I740" s="43">
        <v>6042070338</v>
      </c>
      <c r="J740" s="43" t="s">
        <v>4927</v>
      </c>
      <c r="K740" s="47" t="s">
        <v>4928</v>
      </c>
      <c r="L740" s="67" t="e">
        <f>VLOOKUP(G740,Input!C:Q,12,FALSE)</f>
        <v>#N/A</v>
      </c>
      <c r="M740" s="68" t="e">
        <f>VLOOKUP(G740,Input!C:Q,15,FALSE)</f>
        <v>#N/A</v>
      </c>
      <c r="N740" s="69" t="e">
        <f>VLOOKUP(G740,Input!C:Q,14,FALSE)</f>
        <v>#N/A</v>
      </c>
      <c r="Q740" s="48">
        <v>1</v>
      </c>
      <c r="R740" s="75" t="e">
        <f>VLOOKUP(G740,Input!C:H,5,FALSE)</f>
        <v>#N/A</v>
      </c>
      <c r="T740" s="47">
        <v>1</v>
      </c>
      <c r="U740" s="47" t="str">
        <f t="shared" si="11"/>
        <v>739,739,**,</v>
      </c>
      <c r="AC740" s="47">
        <v>739</v>
      </c>
      <c r="AD740" s="47">
        <v>739</v>
      </c>
    </row>
    <row r="741" spans="1:30" ht="15.75">
      <c r="A741" s="13" t="str">
        <f>IFERROR(VLOOKUP($G:$G,scan!$A:$B,2,0),"**")</f>
        <v>**</v>
      </c>
      <c r="B741" s="13" t="str">
        <f>IFERROR(VLOOKUP($G741,scan!A:C,3,0),"**")</f>
        <v>**</v>
      </c>
      <c r="C741" s="47">
        <v>740</v>
      </c>
      <c r="F741" s="78"/>
      <c r="G741" s="2"/>
      <c r="H741" s="47" t="s">
        <v>4926</v>
      </c>
      <c r="I741" s="43">
        <v>6042070338</v>
      </c>
      <c r="J741" s="43" t="s">
        <v>4927</v>
      </c>
      <c r="K741" s="47" t="s">
        <v>4928</v>
      </c>
      <c r="L741" s="67" t="e">
        <f>VLOOKUP(G741,Input!C:Q,12,FALSE)</f>
        <v>#N/A</v>
      </c>
      <c r="M741" s="68" t="e">
        <f>VLOOKUP(G741,Input!C:Q,15,FALSE)</f>
        <v>#N/A</v>
      </c>
      <c r="N741" s="69" t="e">
        <f>VLOOKUP(G741,Input!C:Q,14,FALSE)</f>
        <v>#N/A</v>
      </c>
      <c r="Q741" s="48">
        <v>1</v>
      </c>
      <c r="R741" s="75" t="e">
        <f>VLOOKUP(G741,Input!C:H,5,FALSE)</f>
        <v>#N/A</v>
      </c>
      <c r="T741" s="47">
        <v>1</v>
      </c>
      <c r="U741" s="47" t="str">
        <f t="shared" si="11"/>
        <v>740,740,**,</v>
      </c>
      <c r="AC741" s="47">
        <v>740</v>
      </c>
      <c r="AD741" s="47">
        <v>740</v>
      </c>
    </row>
    <row r="742" spans="1:30" ht="15.75">
      <c r="A742" s="13" t="str">
        <f>IFERROR(VLOOKUP($G:$G,scan!$A:$B,2,0),"**")</f>
        <v>**</v>
      </c>
      <c r="B742" s="13" t="str">
        <f>IFERROR(VLOOKUP($G742,scan!A:C,3,0),"**")</f>
        <v>**</v>
      </c>
      <c r="C742" s="47">
        <v>741</v>
      </c>
      <c r="F742" s="78"/>
      <c r="G742" s="2"/>
      <c r="H742" s="47" t="s">
        <v>4926</v>
      </c>
      <c r="I742" s="43">
        <v>6042070338</v>
      </c>
      <c r="J742" s="43" t="s">
        <v>4927</v>
      </c>
      <c r="K742" s="47" t="s">
        <v>4928</v>
      </c>
      <c r="L742" s="67" t="e">
        <f>VLOOKUP(G742,Input!C:Q,12,FALSE)</f>
        <v>#N/A</v>
      </c>
      <c r="M742" s="68" t="e">
        <f>VLOOKUP(G742,Input!C:Q,15,FALSE)</f>
        <v>#N/A</v>
      </c>
      <c r="N742" s="69" t="e">
        <f>VLOOKUP(G742,Input!C:Q,14,FALSE)</f>
        <v>#N/A</v>
      </c>
      <c r="Q742" s="48">
        <v>1</v>
      </c>
      <c r="R742" s="75" t="e">
        <f>VLOOKUP(G742,Input!C:H,5,FALSE)</f>
        <v>#N/A</v>
      </c>
      <c r="T742" s="47">
        <v>1</v>
      </c>
      <c r="U742" s="47" t="str">
        <f t="shared" si="11"/>
        <v>741,741,**,</v>
      </c>
      <c r="AC742" s="47">
        <v>741</v>
      </c>
      <c r="AD742" s="47">
        <v>741</v>
      </c>
    </row>
    <row r="743" spans="1:30" ht="15.75">
      <c r="A743" s="13" t="str">
        <f>IFERROR(VLOOKUP($G:$G,scan!$A:$B,2,0),"**")</f>
        <v>**</v>
      </c>
      <c r="B743" s="13" t="str">
        <f>IFERROR(VLOOKUP($G743,scan!A:C,3,0),"**")</f>
        <v>**</v>
      </c>
      <c r="C743" s="47">
        <v>742</v>
      </c>
      <c r="F743" s="78"/>
      <c r="G743" s="2"/>
      <c r="H743" s="47" t="s">
        <v>4926</v>
      </c>
      <c r="I743" s="43">
        <v>6042070338</v>
      </c>
      <c r="J743" s="43" t="s">
        <v>4927</v>
      </c>
      <c r="K743" s="47" t="s">
        <v>4928</v>
      </c>
      <c r="L743" s="67" t="e">
        <f>VLOOKUP(G743,Input!C:Q,12,FALSE)</f>
        <v>#N/A</v>
      </c>
      <c r="M743" s="68" t="e">
        <f>VLOOKUP(G743,Input!C:Q,15,FALSE)</f>
        <v>#N/A</v>
      </c>
      <c r="N743" s="69" t="e">
        <f>VLOOKUP(G743,Input!C:Q,14,FALSE)</f>
        <v>#N/A</v>
      </c>
      <c r="Q743" s="48">
        <v>1</v>
      </c>
      <c r="R743" s="75" t="e">
        <f>VLOOKUP(G743,Input!C:H,5,FALSE)</f>
        <v>#N/A</v>
      </c>
      <c r="T743" s="47">
        <v>1</v>
      </c>
      <c r="U743" s="47" t="str">
        <f t="shared" si="11"/>
        <v>742,742,**,</v>
      </c>
      <c r="AC743" s="47">
        <v>742</v>
      </c>
      <c r="AD743" s="47">
        <v>742</v>
      </c>
    </row>
    <row r="744" spans="1:30" ht="15.75">
      <c r="A744" s="13" t="str">
        <f>IFERROR(VLOOKUP($G:$G,scan!$A:$B,2,0),"**")</f>
        <v>**</v>
      </c>
      <c r="B744" s="13" t="str">
        <f>IFERROR(VLOOKUP($G744,scan!A:C,3,0),"**")</f>
        <v>**</v>
      </c>
      <c r="C744" s="47">
        <v>743</v>
      </c>
      <c r="F744" s="78"/>
      <c r="G744" s="2"/>
      <c r="H744" s="47" t="s">
        <v>4926</v>
      </c>
      <c r="I744" s="43">
        <v>6042070338</v>
      </c>
      <c r="J744" s="43" t="s">
        <v>4927</v>
      </c>
      <c r="K744" s="47" t="s">
        <v>4928</v>
      </c>
      <c r="L744" s="67" t="e">
        <f>VLOOKUP(G744,Input!C:Q,12,FALSE)</f>
        <v>#N/A</v>
      </c>
      <c r="M744" s="68" t="e">
        <f>VLOOKUP(G744,Input!C:Q,15,FALSE)</f>
        <v>#N/A</v>
      </c>
      <c r="N744" s="69" t="e">
        <f>VLOOKUP(G744,Input!C:Q,14,FALSE)</f>
        <v>#N/A</v>
      </c>
      <c r="Q744" s="48">
        <v>1</v>
      </c>
      <c r="R744" s="75" t="e">
        <f>VLOOKUP(G744,Input!C:H,5,FALSE)</f>
        <v>#N/A</v>
      </c>
      <c r="T744" s="47">
        <v>1</v>
      </c>
      <c r="U744" s="47" t="str">
        <f t="shared" si="11"/>
        <v>743,743,**,</v>
      </c>
      <c r="AC744" s="47">
        <v>743</v>
      </c>
      <c r="AD744" s="47">
        <v>743</v>
      </c>
    </row>
    <row r="745" spans="1:30" ht="15.75">
      <c r="A745" s="13" t="str">
        <f>IFERROR(VLOOKUP($G:$G,scan!$A:$B,2,0),"**")</f>
        <v>**</v>
      </c>
      <c r="B745" s="13" t="str">
        <f>IFERROR(VLOOKUP($G745,scan!A:C,3,0),"**")</f>
        <v>**</v>
      </c>
      <c r="C745" s="47">
        <v>744</v>
      </c>
      <c r="F745" s="78"/>
      <c r="G745" s="2"/>
      <c r="H745" s="47" t="s">
        <v>4926</v>
      </c>
      <c r="I745" s="43">
        <v>6042070338</v>
      </c>
      <c r="J745" s="43" t="s">
        <v>4927</v>
      </c>
      <c r="K745" s="47" t="s">
        <v>4928</v>
      </c>
      <c r="L745" s="67" t="e">
        <f>VLOOKUP(G745,Input!C:Q,12,FALSE)</f>
        <v>#N/A</v>
      </c>
      <c r="M745" s="68" t="e">
        <f>VLOOKUP(G745,Input!C:Q,15,FALSE)</f>
        <v>#N/A</v>
      </c>
      <c r="N745" s="69" t="e">
        <f>VLOOKUP(G745,Input!C:Q,14,FALSE)</f>
        <v>#N/A</v>
      </c>
      <c r="Q745" s="48">
        <v>1</v>
      </c>
      <c r="R745" s="75" t="e">
        <f>VLOOKUP(G745,Input!C:H,5,FALSE)</f>
        <v>#N/A</v>
      </c>
      <c r="T745" s="47">
        <v>1</v>
      </c>
      <c r="U745" s="47" t="str">
        <f t="shared" si="11"/>
        <v>744,744,**,</v>
      </c>
      <c r="AC745" s="47">
        <v>744</v>
      </c>
      <c r="AD745" s="47">
        <v>744</v>
      </c>
    </row>
    <row r="746" spans="1:30" ht="15.75">
      <c r="A746" s="13" t="str">
        <f>IFERROR(VLOOKUP($G:$G,scan!$A:$B,2,0),"**")</f>
        <v>**</v>
      </c>
      <c r="B746" s="13" t="str">
        <f>IFERROR(VLOOKUP($G746,scan!A:C,3,0),"**")</f>
        <v>**</v>
      </c>
      <c r="C746" s="47">
        <v>745</v>
      </c>
      <c r="F746" s="78"/>
      <c r="G746" s="2"/>
      <c r="H746" s="47" t="s">
        <v>4926</v>
      </c>
      <c r="I746" s="43">
        <v>6042070338</v>
      </c>
      <c r="J746" s="43" t="s">
        <v>4927</v>
      </c>
      <c r="K746" s="47" t="s">
        <v>4928</v>
      </c>
      <c r="L746" s="67" t="e">
        <f>VLOOKUP(G746,Input!C:Q,12,FALSE)</f>
        <v>#N/A</v>
      </c>
      <c r="M746" s="68" t="e">
        <f>VLOOKUP(G746,Input!C:Q,15,FALSE)</f>
        <v>#N/A</v>
      </c>
      <c r="N746" s="69" t="e">
        <f>VLOOKUP(G746,Input!C:Q,14,FALSE)</f>
        <v>#N/A</v>
      </c>
      <c r="Q746" s="48">
        <v>1</v>
      </c>
      <c r="R746" s="75" t="e">
        <f>VLOOKUP(G746,Input!C:H,5,FALSE)</f>
        <v>#N/A</v>
      </c>
      <c r="T746" s="47">
        <v>1</v>
      </c>
      <c r="U746" s="47" t="str">
        <f t="shared" si="11"/>
        <v>745,745,**,</v>
      </c>
      <c r="AC746" s="47">
        <v>745</v>
      </c>
      <c r="AD746" s="47">
        <v>745</v>
      </c>
    </row>
    <row r="747" spans="1:30" ht="15.75">
      <c r="A747" s="13" t="str">
        <f>IFERROR(VLOOKUP($G:$G,scan!$A:$B,2,0),"**")</f>
        <v>**</v>
      </c>
      <c r="B747" s="13" t="str">
        <f>IFERROR(VLOOKUP($G747,scan!A:C,3,0),"**")</f>
        <v>**</v>
      </c>
      <c r="C747" s="47">
        <v>746</v>
      </c>
      <c r="F747" s="78"/>
      <c r="G747" s="2"/>
      <c r="H747" s="47" t="s">
        <v>4926</v>
      </c>
      <c r="I747" s="43">
        <v>6042070338</v>
      </c>
      <c r="J747" s="43" t="s">
        <v>4927</v>
      </c>
      <c r="K747" s="47" t="s">
        <v>4928</v>
      </c>
      <c r="L747" s="67" t="e">
        <f>VLOOKUP(G747,Input!C:Q,12,FALSE)</f>
        <v>#N/A</v>
      </c>
      <c r="M747" s="68" t="e">
        <f>VLOOKUP(G747,Input!C:Q,15,FALSE)</f>
        <v>#N/A</v>
      </c>
      <c r="N747" s="69" t="e">
        <f>VLOOKUP(G747,Input!C:Q,14,FALSE)</f>
        <v>#N/A</v>
      </c>
      <c r="Q747" s="48">
        <v>1</v>
      </c>
      <c r="R747" s="75" t="e">
        <f>VLOOKUP(G747,Input!C:H,5,FALSE)</f>
        <v>#N/A</v>
      </c>
      <c r="T747" s="47">
        <v>1</v>
      </c>
      <c r="U747" s="47" t="str">
        <f t="shared" si="11"/>
        <v>746,746,**,</v>
      </c>
      <c r="AC747" s="47">
        <v>746</v>
      </c>
      <c r="AD747" s="47">
        <v>746</v>
      </c>
    </row>
    <row r="748" spans="1:30" ht="15.75">
      <c r="A748" s="13" t="str">
        <f>IFERROR(VLOOKUP($G:$G,scan!$A:$B,2,0),"**")</f>
        <v>**</v>
      </c>
      <c r="B748" s="13" t="str">
        <f>IFERROR(VLOOKUP($G748,scan!A:C,3,0),"**")</f>
        <v>**</v>
      </c>
      <c r="C748" s="47">
        <v>747</v>
      </c>
      <c r="F748" s="78"/>
      <c r="G748" s="2"/>
      <c r="H748" s="47" t="s">
        <v>4926</v>
      </c>
      <c r="I748" s="43">
        <v>6042070338</v>
      </c>
      <c r="J748" s="43" t="s">
        <v>4927</v>
      </c>
      <c r="K748" s="47" t="s">
        <v>4928</v>
      </c>
      <c r="L748" s="67" t="e">
        <f>VLOOKUP(G748,Input!C:Q,12,FALSE)</f>
        <v>#N/A</v>
      </c>
      <c r="M748" s="68" t="e">
        <f>VLOOKUP(G748,Input!C:Q,15,FALSE)</f>
        <v>#N/A</v>
      </c>
      <c r="N748" s="69" t="e">
        <f>VLOOKUP(G748,Input!C:Q,14,FALSE)</f>
        <v>#N/A</v>
      </c>
      <c r="Q748" s="48">
        <v>1</v>
      </c>
      <c r="R748" s="75" t="e">
        <f>VLOOKUP(G748,Input!C:H,5,FALSE)</f>
        <v>#N/A</v>
      </c>
      <c r="T748" s="47">
        <v>1</v>
      </c>
      <c r="U748" s="47" t="str">
        <f t="shared" si="11"/>
        <v>747,747,**,</v>
      </c>
      <c r="AC748" s="47">
        <v>747</v>
      </c>
      <c r="AD748" s="47">
        <v>747</v>
      </c>
    </row>
    <row r="749" spans="1:30" ht="15.75">
      <c r="A749" s="13" t="str">
        <f>IFERROR(VLOOKUP($G:$G,scan!$A:$B,2,0),"**")</f>
        <v>**</v>
      </c>
      <c r="B749" s="13" t="str">
        <f>IFERROR(VLOOKUP($G749,scan!A:C,3,0),"**")</f>
        <v>**</v>
      </c>
      <c r="C749" s="47">
        <v>748</v>
      </c>
      <c r="F749" s="78"/>
      <c r="G749" s="2"/>
      <c r="H749" s="47" t="s">
        <v>4926</v>
      </c>
      <c r="I749" s="43">
        <v>6042070338</v>
      </c>
      <c r="J749" s="43" t="s">
        <v>4927</v>
      </c>
      <c r="K749" s="47" t="s">
        <v>4928</v>
      </c>
      <c r="L749" s="67" t="e">
        <f>VLOOKUP(G749,Input!C:Q,12,FALSE)</f>
        <v>#N/A</v>
      </c>
      <c r="M749" s="68" t="e">
        <f>VLOOKUP(G749,Input!C:Q,15,FALSE)</f>
        <v>#N/A</v>
      </c>
      <c r="N749" s="69" t="e">
        <f>VLOOKUP(G749,Input!C:Q,14,FALSE)</f>
        <v>#N/A</v>
      </c>
      <c r="Q749" s="48">
        <v>1</v>
      </c>
      <c r="R749" s="75" t="e">
        <f>VLOOKUP(G749,Input!C:H,5,FALSE)</f>
        <v>#N/A</v>
      </c>
      <c r="T749" s="47">
        <v>1</v>
      </c>
      <c r="U749" s="47" t="str">
        <f t="shared" si="11"/>
        <v>748,748,**,</v>
      </c>
      <c r="AC749" s="47">
        <v>748</v>
      </c>
      <c r="AD749" s="47">
        <v>748</v>
      </c>
    </row>
    <row r="750" spans="1:30" ht="15.75">
      <c r="A750" s="13" t="str">
        <f>IFERROR(VLOOKUP($G:$G,scan!$A:$B,2,0),"**")</f>
        <v>**</v>
      </c>
      <c r="B750" s="13" t="str">
        <f>IFERROR(VLOOKUP($G750,scan!A:C,3,0),"**")</f>
        <v>**</v>
      </c>
      <c r="C750" s="47">
        <v>749</v>
      </c>
      <c r="F750" s="78"/>
      <c r="G750" s="2"/>
      <c r="H750" s="47" t="s">
        <v>4926</v>
      </c>
      <c r="I750" s="43">
        <v>6042070338</v>
      </c>
      <c r="J750" s="43" t="s">
        <v>4927</v>
      </c>
      <c r="K750" s="47" t="s">
        <v>4928</v>
      </c>
      <c r="L750" s="67" t="e">
        <f>VLOOKUP(G750,Input!C:Q,12,FALSE)</f>
        <v>#N/A</v>
      </c>
      <c r="M750" s="68" t="e">
        <f>VLOOKUP(G750,Input!C:Q,15,FALSE)</f>
        <v>#N/A</v>
      </c>
      <c r="N750" s="69" t="e">
        <f>VLOOKUP(G750,Input!C:Q,14,FALSE)</f>
        <v>#N/A</v>
      </c>
      <c r="Q750" s="48">
        <v>1</v>
      </c>
      <c r="R750" s="75" t="e">
        <f>VLOOKUP(G750,Input!C:H,5,FALSE)</f>
        <v>#N/A</v>
      </c>
      <c r="T750" s="47">
        <v>1</v>
      </c>
      <c r="U750" s="47" t="str">
        <f t="shared" si="11"/>
        <v>749,749,**,</v>
      </c>
      <c r="AC750" s="47">
        <v>749</v>
      </c>
      <c r="AD750" s="47">
        <v>749</v>
      </c>
    </row>
    <row r="751" spans="1:30" ht="15.75">
      <c r="A751" s="13" t="str">
        <f>IFERROR(VLOOKUP($G:$G,scan!$A:$B,2,0),"**")</f>
        <v>**</v>
      </c>
      <c r="B751" s="13" t="str">
        <f>IFERROR(VLOOKUP($G751,scan!A:C,3,0),"**")</f>
        <v>**</v>
      </c>
      <c r="C751" s="47">
        <v>750</v>
      </c>
      <c r="F751" s="78"/>
      <c r="G751" s="2"/>
      <c r="H751" s="47" t="s">
        <v>4926</v>
      </c>
      <c r="I751" s="43">
        <v>6042070338</v>
      </c>
      <c r="J751" s="43" t="s">
        <v>4927</v>
      </c>
      <c r="K751" s="47" t="s">
        <v>4928</v>
      </c>
      <c r="L751" s="67" t="e">
        <f>VLOOKUP(G751,Input!C:Q,12,FALSE)</f>
        <v>#N/A</v>
      </c>
      <c r="M751" s="68" t="e">
        <f>VLOOKUP(G751,Input!C:Q,15,FALSE)</f>
        <v>#N/A</v>
      </c>
      <c r="N751" s="69" t="e">
        <f>VLOOKUP(G751,Input!C:Q,14,FALSE)</f>
        <v>#N/A</v>
      </c>
      <c r="Q751" s="48">
        <v>1</v>
      </c>
      <c r="R751" s="75" t="e">
        <f>VLOOKUP(G751,Input!C:H,5,FALSE)</f>
        <v>#N/A</v>
      </c>
      <c r="T751" s="47">
        <v>1</v>
      </c>
      <c r="U751" s="47" t="str">
        <f t="shared" si="11"/>
        <v>750,750,**,</v>
      </c>
      <c r="AC751" s="47">
        <v>750</v>
      </c>
      <c r="AD751" s="47">
        <v>750</v>
      </c>
    </row>
    <row r="752" spans="1:30" ht="15.75">
      <c r="A752" s="13" t="str">
        <f>IFERROR(VLOOKUP($G:$G,scan!$A:$B,2,0),"**")</f>
        <v>**</v>
      </c>
      <c r="B752" s="13" t="str">
        <f>IFERROR(VLOOKUP($G752,scan!A:C,3,0),"**")</f>
        <v>**</v>
      </c>
      <c r="C752" s="47">
        <v>751</v>
      </c>
      <c r="F752" s="78"/>
      <c r="G752" s="2"/>
      <c r="H752" s="47" t="s">
        <v>4926</v>
      </c>
      <c r="I752" s="43">
        <v>6042070338</v>
      </c>
      <c r="J752" s="43" t="s">
        <v>4927</v>
      </c>
      <c r="K752" s="47" t="s">
        <v>4928</v>
      </c>
      <c r="L752" s="67" t="e">
        <f>VLOOKUP(G752,Input!C:Q,12,FALSE)</f>
        <v>#N/A</v>
      </c>
      <c r="M752" s="68" t="e">
        <f>VLOOKUP(G752,Input!C:Q,15,FALSE)</f>
        <v>#N/A</v>
      </c>
      <c r="N752" s="69" t="e">
        <f>VLOOKUP(G752,Input!C:Q,14,FALSE)</f>
        <v>#N/A</v>
      </c>
      <c r="Q752" s="48">
        <v>1</v>
      </c>
      <c r="R752" s="75" t="e">
        <f>VLOOKUP(G752,Input!C:H,5,FALSE)</f>
        <v>#N/A</v>
      </c>
      <c r="T752" s="47">
        <v>1</v>
      </c>
      <c r="U752" s="47" t="str">
        <f t="shared" si="11"/>
        <v>751,751,**,</v>
      </c>
      <c r="AC752" s="47">
        <v>751</v>
      </c>
      <c r="AD752" s="47">
        <v>751</v>
      </c>
    </row>
    <row r="753" spans="1:30" ht="15.75">
      <c r="A753" s="13" t="str">
        <f>IFERROR(VLOOKUP($G:$G,scan!$A:$B,2,0),"**")</f>
        <v>**</v>
      </c>
      <c r="B753" s="13" t="str">
        <f>IFERROR(VLOOKUP($G753,scan!A:C,3,0),"**")</f>
        <v>**</v>
      </c>
      <c r="C753" s="47">
        <v>752</v>
      </c>
      <c r="F753" s="78"/>
      <c r="G753" s="2"/>
      <c r="H753" s="47" t="s">
        <v>4926</v>
      </c>
      <c r="I753" s="43">
        <v>6042070338</v>
      </c>
      <c r="J753" s="43" t="s">
        <v>4927</v>
      </c>
      <c r="K753" s="47" t="s">
        <v>4928</v>
      </c>
      <c r="L753" s="67" t="e">
        <f>VLOOKUP(G753,Input!C:Q,12,FALSE)</f>
        <v>#N/A</v>
      </c>
      <c r="M753" s="68" t="e">
        <f>VLOOKUP(G753,Input!C:Q,15,FALSE)</f>
        <v>#N/A</v>
      </c>
      <c r="N753" s="69" t="e">
        <f>VLOOKUP(G753,Input!C:Q,14,FALSE)</f>
        <v>#N/A</v>
      </c>
      <c r="Q753" s="48">
        <v>1</v>
      </c>
      <c r="R753" s="75" t="e">
        <f>VLOOKUP(G753,Input!C:H,5,FALSE)</f>
        <v>#N/A</v>
      </c>
      <c r="T753" s="47">
        <v>1</v>
      </c>
      <c r="U753" s="47" t="str">
        <f t="shared" si="11"/>
        <v>752,752,**,</v>
      </c>
      <c r="AC753" s="47">
        <v>752</v>
      </c>
      <c r="AD753" s="47">
        <v>752</v>
      </c>
    </row>
    <row r="754" spans="1:30" ht="15.75">
      <c r="A754" s="13" t="str">
        <f>IFERROR(VLOOKUP($G:$G,scan!$A:$B,2,0),"**")</f>
        <v>**</v>
      </c>
      <c r="B754" s="13" t="str">
        <f>IFERROR(VLOOKUP($G754,scan!A:C,3,0),"**")</f>
        <v>**</v>
      </c>
      <c r="C754" s="47">
        <v>753</v>
      </c>
      <c r="F754" s="78"/>
      <c r="G754" s="2"/>
      <c r="H754" s="47" t="s">
        <v>4926</v>
      </c>
      <c r="I754" s="43">
        <v>6042070338</v>
      </c>
      <c r="J754" s="43" t="s">
        <v>4927</v>
      </c>
      <c r="K754" s="47" t="s">
        <v>4928</v>
      </c>
      <c r="L754" s="67" t="e">
        <f>VLOOKUP(G754,Input!C:Q,12,FALSE)</f>
        <v>#N/A</v>
      </c>
      <c r="M754" s="68" t="e">
        <f>VLOOKUP(G754,Input!C:Q,15,FALSE)</f>
        <v>#N/A</v>
      </c>
      <c r="N754" s="69" t="e">
        <f>VLOOKUP(G754,Input!C:Q,14,FALSE)</f>
        <v>#N/A</v>
      </c>
      <c r="Q754" s="48">
        <v>1</v>
      </c>
      <c r="R754" s="75" t="e">
        <f>VLOOKUP(G754,Input!C:H,5,FALSE)</f>
        <v>#N/A</v>
      </c>
      <c r="T754" s="47">
        <v>1</v>
      </c>
      <c r="U754" s="47" t="str">
        <f t="shared" si="11"/>
        <v>753,753,**,</v>
      </c>
      <c r="AC754" s="47">
        <v>753</v>
      </c>
      <c r="AD754" s="47">
        <v>753</v>
      </c>
    </row>
    <row r="755" spans="1:30" ht="15.75">
      <c r="A755" s="13" t="str">
        <f>IFERROR(VLOOKUP($G:$G,scan!$A:$B,2,0),"**")</f>
        <v>**</v>
      </c>
      <c r="B755" s="13" t="str">
        <f>IFERROR(VLOOKUP($G755,scan!A:C,3,0),"**")</f>
        <v>**</v>
      </c>
      <c r="C755" s="47">
        <v>754</v>
      </c>
      <c r="F755" s="78"/>
      <c r="G755" s="2"/>
      <c r="H755" s="47" t="s">
        <v>4926</v>
      </c>
      <c r="I755" s="43">
        <v>6042070338</v>
      </c>
      <c r="J755" s="43" t="s">
        <v>4927</v>
      </c>
      <c r="K755" s="47" t="s">
        <v>4928</v>
      </c>
      <c r="L755" s="67" t="e">
        <f>VLOOKUP(G755,Input!C:Q,12,FALSE)</f>
        <v>#N/A</v>
      </c>
      <c r="M755" s="68" t="e">
        <f>VLOOKUP(G755,Input!C:Q,15,FALSE)</f>
        <v>#N/A</v>
      </c>
      <c r="N755" s="69" t="e">
        <f>VLOOKUP(G755,Input!C:Q,14,FALSE)</f>
        <v>#N/A</v>
      </c>
      <c r="Q755" s="48">
        <v>1</v>
      </c>
      <c r="R755" s="75" t="e">
        <f>VLOOKUP(G755,Input!C:H,5,FALSE)</f>
        <v>#N/A</v>
      </c>
      <c r="T755" s="47">
        <v>1</v>
      </c>
      <c r="U755" s="47" t="str">
        <f t="shared" si="11"/>
        <v>754,754,**,</v>
      </c>
      <c r="AC755" s="47">
        <v>754</v>
      </c>
      <c r="AD755" s="47">
        <v>754</v>
      </c>
    </row>
    <row r="756" spans="1:30" ht="15.75">
      <c r="A756" s="13" t="str">
        <f>IFERROR(VLOOKUP($G:$G,scan!$A:$B,2,0),"**")</f>
        <v>**</v>
      </c>
      <c r="B756" s="13" t="str">
        <f>IFERROR(VLOOKUP($G756,scan!A:C,3,0),"**")</f>
        <v>**</v>
      </c>
      <c r="C756" s="47">
        <v>755</v>
      </c>
      <c r="F756" s="78"/>
      <c r="G756" s="2"/>
      <c r="H756" s="47" t="s">
        <v>4926</v>
      </c>
      <c r="I756" s="43">
        <v>6042070338</v>
      </c>
      <c r="J756" s="43" t="s">
        <v>4927</v>
      </c>
      <c r="K756" s="47" t="s">
        <v>4928</v>
      </c>
      <c r="L756" s="67" t="e">
        <f>VLOOKUP(G756,Input!C:Q,12,FALSE)</f>
        <v>#N/A</v>
      </c>
      <c r="M756" s="68" t="e">
        <f>VLOOKUP(G756,Input!C:Q,15,FALSE)</f>
        <v>#N/A</v>
      </c>
      <c r="N756" s="69" t="e">
        <f>VLOOKUP(G756,Input!C:Q,14,FALSE)</f>
        <v>#N/A</v>
      </c>
      <c r="Q756" s="48">
        <v>1</v>
      </c>
      <c r="R756" s="75" t="e">
        <f>VLOOKUP(G756,Input!C:H,5,FALSE)</f>
        <v>#N/A</v>
      </c>
      <c r="T756" s="47">
        <v>1</v>
      </c>
      <c r="U756" s="47" t="str">
        <f t="shared" si="11"/>
        <v>755,755,**,</v>
      </c>
      <c r="AC756" s="47">
        <v>755</v>
      </c>
      <c r="AD756" s="47">
        <v>755</v>
      </c>
    </row>
    <row r="757" spans="1:30" ht="15.75">
      <c r="A757" s="13" t="str">
        <f>IFERROR(VLOOKUP($G:$G,scan!$A:$B,2,0),"**")</f>
        <v>**</v>
      </c>
      <c r="B757" s="13" t="str">
        <f>IFERROR(VLOOKUP($G757,scan!A:C,3,0),"**")</f>
        <v>**</v>
      </c>
      <c r="C757" s="47">
        <v>756</v>
      </c>
      <c r="F757" s="78"/>
      <c r="G757" s="2"/>
      <c r="H757" s="47" t="s">
        <v>4926</v>
      </c>
      <c r="I757" s="43">
        <v>6042070338</v>
      </c>
      <c r="J757" s="43" t="s">
        <v>4927</v>
      </c>
      <c r="K757" s="47" t="s">
        <v>4928</v>
      </c>
      <c r="L757" s="67" t="e">
        <f>VLOOKUP(G757,Input!C:Q,12,FALSE)</f>
        <v>#N/A</v>
      </c>
      <c r="M757" s="68" t="e">
        <f>VLOOKUP(G757,Input!C:Q,15,FALSE)</f>
        <v>#N/A</v>
      </c>
      <c r="N757" s="69" t="e">
        <f>VLOOKUP(G757,Input!C:Q,14,FALSE)</f>
        <v>#N/A</v>
      </c>
      <c r="Q757" s="48">
        <v>1</v>
      </c>
      <c r="R757" s="75" t="e">
        <f>VLOOKUP(G757,Input!C:H,5,FALSE)</f>
        <v>#N/A</v>
      </c>
      <c r="T757" s="47">
        <v>1</v>
      </c>
      <c r="U757" s="47" t="str">
        <f t="shared" si="11"/>
        <v>756,756,**,</v>
      </c>
      <c r="AC757" s="47">
        <v>756</v>
      </c>
      <c r="AD757" s="47">
        <v>756</v>
      </c>
    </row>
    <row r="758" spans="1:30" ht="15.75">
      <c r="A758" s="13" t="str">
        <f>IFERROR(VLOOKUP($G:$G,scan!$A:$B,2,0),"**")</f>
        <v>**</v>
      </c>
      <c r="B758" s="13" t="str">
        <f>IFERROR(VLOOKUP($G758,scan!A:C,3,0),"**")</f>
        <v>**</v>
      </c>
      <c r="C758" s="47">
        <v>757</v>
      </c>
      <c r="F758" s="78"/>
      <c r="G758" s="2"/>
      <c r="H758" s="47" t="s">
        <v>4926</v>
      </c>
      <c r="I758" s="43">
        <v>6042070338</v>
      </c>
      <c r="J758" s="43" t="s">
        <v>4927</v>
      </c>
      <c r="K758" s="47" t="s">
        <v>4928</v>
      </c>
      <c r="L758" s="67" t="e">
        <f>VLOOKUP(G758,Input!C:Q,12,FALSE)</f>
        <v>#N/A</v>
      </c>
      <c r="M758" s="68" t="e">
        <f>VLOOKUP(G758,Input!C:Q,15,FALSE)</f>
        <v>#N/A</v>
      </c>
      <c r="N758" s="69" t="e">
        <f>VLOOKUP(G758,Input!C:Q,14,FALSE)</f>
        <v>#N/A</v>
      </c>
      <c r="Q758" s="48">
        <v>1</v>
      </c>
      <c r="R758" s="75" t="e">
        <f>VLOOKUP(G758,Input!C:H,5,FALSE)</f>
        <v>#N/A</v>
      </c>
      <c r="T758" s="47">
        <v>1</v>
      </c>
      <c r="U758" s="47" t="str">
        <f t="shared" si="11"/>
        <v>757,757,**,</v>
      </c>
      <c r="AC758" s="47">
        <v>757</v>
      </c>
      <c r="AD758" s="47">
        <v>757</v>
      </c>
    </row>
    <row r="759" spans="1:30" ht="15.75">
      <c r="A759" s="13" t="str">
        <f>IFERROR(VLOOKUP($G:$G,scan!$A:$B,2,0),"**")</f>
        <v>**</v>
      </c>
      <c r="B759" s="13" t="str">
        <f>IFERROR(VLOOKUP($G759,scan!A:C,3,0),"**")</f>
        <v>**</v>
      </c>
      <c r="C759" s="47">
        <v>758</v>
      </c>
      <c r="F759" s="78"/>
      <c r="G759" s="2"/>
      <c r="H759" s="47" t="s">
        <v>4926</v>
      </c>
      <c r="I759" s="43">
        <v>6042070338</v>
      </c>
      <c r="J759" s="43" t="s">
        <v>4927</v>
      </c>
      <c r="K759" s="47" t="s">
        <v>4928</v>
      </c>
      <c r="L759" s="67" t="e">
        <f>VLOOKUP(G759,Input!C:Q,12,FALSE)</f>
        <v>#N/A</v>
      </c>
      <c r="M759" s="68" t="e">
        <f>VLOOKUP(G759,Input!C:Q,15,FALSE)</f>
        <v>#N/A</v>
      </c>
      <c r="N759" s="69" t="e">
        <f>VLOOKUP(G759,Input!C:Q,14,FALSE)</f>
        <v>#N/A</v>
      </c>
      <c r="Q759" s="48">
        <v>1</v>
      </c>
      <c r="R759" s="75" t="e">
        <f>VLOOKUP(G759,Input!C:H,5,FALSE)</f>
        <v>#N/A</v>
      </c>
      <c r="T759" s="47">
        <v>1</v>
      </c>
      <c r="U759" s="47" t="str">
        <f t="shared" si="11"/>
        <v>758,758,**,</v>
      </c>
      <c r="AC759" s="47">
        <v>758</v>
      </c>
      <c r="AD759" s="47">
        <v>758</v>
      </c>
    </row>
    <row r="760" spans="1:30" ht="15.75">
      <c r="A760" s="13" t="str">
        <f>IFERROR(VLOOKUP($G:$G,scan!$A:$B,2,0),"**")</f>
        <v>**</v>
      </c>
      <c r="B760" s="13" t="str">
        <f>IFERROR(VLOOKUP($G760,scan!A:C,3,0),"**")</f>
        <v>**</v>
      </c>
      <c r="C760" s="47">
        <v>759</v>
      </c>
      <c r="F760" s="78"/>
      <c r="G760" s="2"/>
      <c r="H760" s="47" t="s">
        <v>4926</v>
      </c>
      <c r="I760" s="43">
        <v>6042070338</v>
      </c>
      <c r="J760" s="43" t="s">
        <v>4927</v>
      </c>
      <c r="K760" s="47" t="s">
        <v>4928</v>
      </c>
      <c r="L760" s="67" t="e">
        <f>VLOOKUP(G760,Input!C:Q,12,FALSE)</f>
        <v>#N/A</v>
      </c>
      <c r="M760" s="68" t="e">
        <f>VLOOKUP(G760,Input!C:Q,15,FALSE)</f>
        <v>#N/A</v>
      </c>
      <c r="N760" s="69" t="e">
        <f>VLOOKUP(G760,Input!C:Q,14,FALSE)</f>
        <v>#N/A</v>
      </c>
      <c r="Q760" s="48">
        <v>1</v>
      </c>
      <c r="R760" s="75" t="e">
        <f>VLOOKUP(G760,Input!C:H,5,FALSE)</f>
        <v>#N/A</v>
      </c>
      <c r="T760" s="47">
        <v>1</v>
      </c>
      <c r="U760" s="47" t="str">
        <f t="shared" ref="U760:U823" si="12">CONCATENATE(AC760,",",C760,",",B760,",",G760)</f>
        <v>759,759,**,</v>
      </c>
      <c r="AC760" s="47">
        <v>759</v>
      </c>
      <c r="AD760" s="47">
        <v>759</v>
      </c>
    </row>
    <row r="761" spans="1:30" ht="15.75">
      <c r="A761" s="13" t="str">
        <f>IFERROR(VLOOKUP($G:$G,scan!$A:$B,2,0),"**")</f>
        <v>**</v>
      </c>
      <c r="B761" s="13" t="str">
        <f>IFERROR(VLOOKUP($G761,scan!A:C,3,0),"**")</f>
        <v>**</v>
      </c>
      <c r="C761" s="47">
        <v>760</v>
      </c>
      <c r="F761" s="78"/>
      <c r="G761" s="2"/>
      <c r="H761" s="47" t="s">
        <v>4926</v>
      </c>
      <c r="I761" s="43">
        <v>6042070338</v>
      </c>
      <c r="J761" s="43" t="s">
        <v>4927</v>
      </c>
      <c r="K761" s="47" t="s">
        <v>4928</v>
      </c>
      <c r="L761" s="67" t="e">
        <f>VLOOKUP(G761,Input!C:Q,12,FALSE)</f>
        <v>#N/A</v>
      </c>
      <c r="M761" s="68" t="e">
        <f>VLOOKUP(G761,Input!C:Q,15,FALSE)</f>
        <v>#N/A</v>
      </c>
      <c r="N761" s="69" t="e">
        <f>VLOOKUP(G761,Input!C:Q,14,FALSE)</f>
        <v>#N/A</v>
      </c>
      <c r="Q761" s="48">
        <v>1</v>
      </c>
      <c r="R761" s="75" t="e">
        <f>VLOOKUP(G761,Input!C:H,5,FALSE)</f>
        <v>#N/A</v>
      </c>
      <c r="T761" s="47">
        <v>1</v>
      </c>
      <c r="U761" s="47" t="str">
        <f t="shared" si="12"/>
        <v>760,760,**,</v>
      </c>
      <c r="AC761" s="47">
        <v>760</v>
      </c>
      <c r="AD761" s="47">
        <v>760</v>
      </c>
    </row>
    <row r="762" spans="1:30" ht="15.75">
      <c r="A762" s="13" t="str">
        <f>IFERROR(VLOOKUP($G:$G,scan!$A:$B,2,0),"**")</f>
        <v>**</v>
      </c>
      <c r="B762" s="13" t="str">
        <f>IFERROR(VLOOKUP($G762,scan!A:C,3,0),"**")</f>
        <v>**</v>
      </c>
      <c r="C762" s="47">
        <v>761</v>
      </c>
      <c r="F762" s="78"/>
      <c r="G762" s="2"/>
      <c r="H762" s="47" t="s">
        <v>4926</v>
      </c>
      <c r="I762" s="43">
        <v>6042070338</v>
      </c>
      <c r="J762" s="43" t="s">
        <v>4927</v>
      </c>
      <c r="K762" s="47" t="s">
        <v>4928</v>
      </c>
      <c r="L762" s="67" t="e">
        <f>VLOOKUP(G762,Input!C:Q,12,FALSE)</f>
        <v>#N/A</v>
      </c>
      <c r="M762" s="68" t="e">
        <f>VLOOKUP(G762,Input!C:Q,15,FALSE)</f>
        <v>#N/A</v>
      </c>
      <c r="N762" s="69" t="e">
        <f>VLOOKUP(G762,Input!C:Q,14,FALSE)</f>
        <v>#N/A</v>
      </c>
      <c r="Q762" s="48">
        <v>1</v>
      </c>
      <c r="R762" s="75" t="e">
        <f>VLOOKUP(G762,Input!C:H,5,FALSE)</f>
        <v>#N/A</v>
      </c>
      <c r="T762" s="47">
        <v>1</v>
      </c>
      <c r="U762" s="47" t="str">
        <f t="shared" si="12"/>
        <v>761,761,**,</v>
      </c>
      <c r="AC762" s="47">
        <v>761</v>
      </c>
      <c r="AD762" s="47">
        <v>761</v>
      </c>
    </row>
    <row r="763" spans="1:30" ht="15.75">
      <c r="A763" s="13" t="str">
        <f>IFERROR(VLOOKUP($G:$G,scan!$A:$B,2,0),"**")</f>
        <v>**</v>
      </c>
      <c r="B763" s="13" t="str">
        <f>IFERROR(VLOOKUP($G763,scan!A:C,3,0),"**")</f>
        <v>**</v>
      </c>
      <c r="C763" s="47">
        <v>762</v>
      </c>
      <c r="F763" s="78"/>
      <c r="G763" s="2"/>
      <c r="H763" s="47" t="s">
        <v>4926</v>
      </c>
      <c r="I763" s="43">
        <v>6042070338</v>
      </c>
      <c r="J763" s="43" t="s">
        <v>4927</v>
      </c>
      <c r="K763" s="47" t="s">
        <v>4928</v>
      </c>
      <c r="L763" s="67" t="e">
        <f>VLOOKUP(G763,Input!C:Q,12,FALSE)</f>
        <v>#N/A</v>
      </c>
      <c r="M763" s="68" t="e">
        <f>VLOOKUP(G763,Input!C:Q,15,FALSE)</f>
        <v>#N/A</v>
      </c>
      <c r="N763" s="69" t="e">
        <f>VLOOKUP(G763,Input!C:Q,14,FALSE)</f>
        <v>#N/A</v>
      </c>
      <c r="Q763" s="48">
        <v>1</v>
      </c>
      <c r="R763" s="75" t="e">
        <f>VLOOKUP(G763,Input!C:H,5,FALSE)</f>
        <v>#N/A</v>
      </c>
      <c r="T763" s="47">
        <v>1</v>
      </c>
      <c r="U763" s="47" t="str">
        <f t="shared" si="12"/>
        <v>762,762,**,</v>
      </c>
      <c r="AC763" s="47">
        <v>762</v>
      </c>
      <c r="AD763" s="47">
        <v>762</v>
      </c>
    </row>
    <row r="764" spans="1:30" ht="15.75">
      <c r="A764" s="13" t="str">
        <f>IFERROR(VLOOKUP($G:$G,scan!$A:$B,2,0),"**")</f>
        <v>**</v>
      </c>
      <c r="B764" s="13" t="str">
        <f>IFERROR(VLOOKUP($G764,scan!A:C,3,0),"**")</f>
        <v>**</v>
      </c>
      <c r="C764" s="47">
        <v>763</v>
      </c>
      <c r="F764" s="78"/>
      <c r="G764" s="2"/>
      <c r="H764" s="47" t="s">
        <v>4926</v>
      </c>
      <c r="I764" s="43">
        <v>6042070338</v>
      </c>
      <c r="J764" s="43" t="s">
        <v>4927</v>
      </c>
      <c r="K764" s="47" t="s">
        <v>4928</v>
      </c>
      <c r="L764" s="67" t="e">
        <f>VLOOKUP(G764,Input!C:Q,12,FALSE)</f>
        <v>#N/A</v>
      </c>
      <c r="M764" s="68" t="e">
        <f>VLOOKUP(G764,Input!C:Q,15,FALSE)</f>
        <v>#N/A</v>
      </c>
      <c r="N764" s="69" t="e">
        <f>VLOOKUP(G764,Input!C:Q,14,FALSE)</f>
        <v>#N/A</v>
      </c>
      <c r="Q764" s="48">
        <v>1</v>
      </c>
      <c r="R764" s="75" t="e">
        <f>VLOOKUP(G764,Input!C:H,5,FALSE)</f>
        <v>#N/A</v>
      </c>
      <c r="T764" s="47">
        <v>1</v>
      </c>
      <c r="U764" s="47" t="str">
        <f t="shared" si="12"/>
        <v>763,763,**,</v>
      </c>
      <c r="AC764" s="47">
        <v>763</v>
      </c>
      <c r="AD764" s="47">
        <v>763</v>
      </c>
    </row>
    <row r="765" spans="1:30" ht="15.75">
      <c r="A765" s="13" t="str">
        <f>IFERROR(VLOOKUP($G:$G,scan!$A:$B,2,0),"**")</f>
        <v>**</v>
      </c>
      <c r="B765" s="13" t="str">
        <f>IFERROR(VLOOKUP($G765,scan!A:C,3,0),"**")</f>
        <v>**</v>
      </c>
      <c r="C765" s="47">
        <v>764</v>
      </c>
      <c r="F765" s="78"/>
      <c r="G765" s="2"/>
      <c r="H765" s="47" t="s">
        <v>4926</v>
      </c>
      <c r="I765" s="43">
        <v>6042070338</v>
      </c>
      <c r="J765" s="43" t="s">
        <v>4927</v>
      </c>
      <c r="K765" s="47" t="s">
        <v>4928</v>
      </c>
      <c r="L765" s="67" t="e">
        <f>VLOOKUP(G765,Input!C:Q,12,FALSE)</f>
        <v>#N/A</v>
      </c>
      <c r="M765" s="68" t="e">
        <f>VLOOKUP(G765,Input!C:Q,15,FALSE)</f>
        <v>#N/A</v>
      </c>
      <c r="N765" s="69" t="e">
        <f>VLOOKUP(G765,Input!C:Q,14,FALSE)</f>
        <v>#N/A</v>
      </c>
      <c r="Q765" s="48">
        <v>1</v>
      </c>
      <c r="R765" s="75" t="e">
        <f>VLOOKUP(G765,Input!C:H,5,FALSE)</f>
        <v>#N/A</v>
      </c>
      <c r="T765" s="47">
        <v>1</v>
      </c>
      <c r="U765" s="47" t="str">
        <f t="shared" si="12"/>
        <v>764,764,**,</v>
      </c>
      <c r="AC765" s="47">
        <v>764</v>
      </c>
      <c r="AD765" s="47">
        <v>764</v>
      </c>
    </row>
    <row r="766" spans="1:30" ht="15.75">
      <c r="A766" s="13" t="str">
        <f>IFERROR(VLOOKUP($G:$G,scan!$A:$B,2,0),"**")</f>
        <v>**</v>
      </c>
      <c r="B766" s="13" t="str">
        <f>IFERROR(VLOOKUP($G766,scan!A:C,3,0),"**")</f>
        <v>**</v>
      </c>
      <c r="C766" s="47">
        <v>765</v>
      </c>
      <c r="F766" s="78"/>
      <c r="G766" s="2"/>
      <c r="H766" s="47" t="s">
        <v>4926</v>
      </c>
      <c r="I766" s="43">
        <v>6042070338</v>
      </c>
      <c r="J766" s="43" t="s">
        <v>4927</v>
      </c>
      <c r="K766" s="47" t="s">
        <v>4928</v>
      </c>
      <c r="L766" s="67" t="e">
        <f>VLOOKUP(G766,Input!C:Q,12,FALSE)</f>
        <v>#N/A</v>
      </c>
      <c r="M766" s="68" t="e">
        <f>VLOOKUP(G766,Input!C:Q,15,FALSE)</f>
        <v>#N/A</v>
      </c>
      <c r="N766" s="69" t="e">
        <f>VLOOKUP(G766,Input!C:Q,14,FALSE)</f>
        <v>#N/A</v>
      </c>
      <c r="Q766" s="48">
        <v>1</v>
      </c>
      <c r="R766" s="75" t="e">
        <f>VLOOKUP(G766,Input!C:H,5,FALSE)</f>
        <v>#N/A</v>
      </c>
      <c r="T766" s="47">
        <v>1</v>
      </c>
      <c r="U766" s="47" t="str">
        <f t="shared" si="12"/>
        <v>765,765,**,</v>
      </c>
      <c r="AC766" s="47">
        <v>765</v>
      </c>
      <c r="AD766" s="47">
        <v>765</v>
      </c>
    </row>
    <row r="767" spans="1:30" ht="15.75">
      <c r="A767" s="13" t="str">
        <f>IFERROR(VLOOKUP($G:$G,scan!$A:$B,2,0),"**")</f>
        <v>**</v>
      </c>
      <c r="B767" s="13" t="str">
        <f>IFERROR(VLOOKUP($G767,scan!A:C,3,0),"**")</f>
        <v>**</v>
      </c>
      <c r="C767" s="47">
        <v>766</v>
      </c>
      <c r="F767" s="78"/>
      <c r="G767" s="2"/>
      <c r="H767" s="47" t="s">
        <v>4926</v>
      </c>
      <c r="I767" s="43">
        <v>6042070338</v>
      </c>
      <c r="J767" s="43" t="s">
        <v>4927</v>
      </c>
      <c r="K767" s="47" t="s">
        <v>4928</v>
      </c>
      <c r="L767" s="67" t="e">
        <f>VLOOKUP(G767,Input!C:Q,12,FALSE)</f>
        <v>#N/A</v>
      </c>
      <c r="M767" s="68" t="e">
        <f>VLOOKUP(G767,Input!C:Q,15,FALSE)</f>
        <v>#N/A</v>
      </c>
      <c r="N767" s="69" t="e">
        <f>VLOOKUP(G767,Input!C:Q,14,FALSE)</f>
        <v>#N/A</v>
      </c>
      <c r="Q767" s="48">
        <v>1</v>
      </c>
      <c r="R767" s="75" t="e">
        <f>VLOOKUP(G767,Input!C:H,5,FALSE)</f>
        <v>#N/A</v>
      </c>
      <c r="T767" s="47">
        <v>1</v>
      </c>
      <c r="U767" s="47" t="str">
        <f t="shared" si="12"/>
        <v>766,766,**,</v>
      </c>
      <c r="AC767" s="47">
        <v>766</v>
      </c>
      <c r="AD767" s="47">
        <v>766</v>
      </c>
    </row>
    <row r="768" spans="1:30" ht="15.75">
      <c r="A768" s="13" t="str">
        <f>IFERROR(VLOOKUP($G:$G,scan!$A:$B,2,0),"**")</f>
        <v>**</v>
      </c>
      <c r="B768" s="13" t="str">
        <f>IFERROR(VLOOKUP($G768,scan!A:C,3,0),"**")</f>
        <v>**</v>
      </c>
      <c r="C768" s="47">
        <v>767</v>
      </c>
      <c r="F768" s="78"/>
      <c r="G768" s="2"/>
      <c r="H768" s="47" t="s">
        <v>4926</v>
      </c>
      <c r="I768" s="43">
        <v>6042070338</v>
      </c>
      <c r="J768" s="43" t="s">
        <v>4927</v>
      </c>
      <c r="K768" s="47" t="s">
        <v>4928</v>
      </c>
      <c r="L768" s="67" t="e">
        <f>VLOOKUP(G768,Input!C:Q,12,FALSE)</f>
        <v>#N/A</v>
      </c>
      <c r="M768" s="68" t="e">
        <f>VLOOKUP(G768,Input!C:Q,15,FALSE)</f>
        <v>#N/A</v>
      </c>
      <c r="N768" s="69" t="e">
        <f>VLOOKUP(G768,Input!C:Q,14,FALSE)</f>
        <v>#N/A</v>
      </c>
      <c r="Q768" s="48">
        <v>1</v>
      </c>
      <c r="R768" s="75" t="e">
        <f>VLOOKUP(G768,Input!C:H,5,FALSE)</f>
        <v>#N/A</v>
      </c>
      <c r="T768" s="47">
        <v>1</v>
      </c>
      <c r="U768" s="47" t="str">
        <f t="shared" si="12"/>
        <v>767,767,**,</v>
      </c>
      <c r="AC768" s="47">
        <v>767</v>
      </c>
      <c r="AD768" s="47">
        <v>767</v>
      </c>
    </row>
    <row r="769" spans="1:30" ht="15.75">
      <c r="A769" s="13" t="str">
        <f>IFERROR(VLOOKUP($G:$G,scan!$A:$B,2,0),"**")</f>
        <v>**</v>
      </c>
      <c r="B769" s="13" t="str">
        <f>IFERROR(VLOOKUP($G769,scan!A:C,3,0),"**")</f>
        <v>**</v>
      </c>
      <c r="C769" s="47">
        <v>768</v>
      </c>
      <c r="F769" s="78"/>
      <c r="G769" s="2"/>
      <c r="H769" s="47" t="s">
        <v>4926</v>
      </c>
      <c r="I769" s="43">
        <v>6042070338</v>
      </c>
      <c r="J769" s="43" t="s">
        <v>4927</v>
      </c>
      <c r="K769" s="47" t="s">
        <v>4928</v>
      </c>
      <c r="L769" s="67" t="e">
        <f>VLOOKUP(G769,Input!C:Q,12,FALSE)</f>
        <v>#N/A</v>
      </c>
      <c r="M769" s="68" t="e">
        <f>VLOOKUP(G769,Input!C:Q,15,FALSE)</f>
        <v>#N/A</v>
      </c>
      <c r="N769" s="69" t="e">
        <f>VLOOKUP(G769,Input!C:Q,14,FALSE)</f>
        <v>#N/A</v>
      </c>
      <c r="Q769" s="48">
        <v>1</v>
      </c>
      <c r="R769" s="75" t="e">
        <f>VLOOKUP(G769,Input!C:H,5,FALSE)</f>
        <v>#N/A</v>
      </c>
      <c r="T769" s="47">
        <v>1</v>
      </c>
      <c r="U769" s="47" t="str">
        <f t="shared" si="12"/>
        <v>768,768,**,</v>
      </c>
      <c r="AC769" s="47">
        <v>768</v>
      </c>
      <c r="AD769" s="47">
        <v>768</v>
      </c>
    </row>
    <row r="770" spans="1:30" ht="15.75">
      <c r="A770" s="13" t="str">
        <f>IFERROR(VLOOKUP($G:$G,scan!$A:$B,2,0),"**")</f>
        <v>**</v>
      </c>
      <c r="B770" s="13" t="str">
        <f>IFERROR(VLOOKUP($G770,scan!A:C,3,0),"**")</f>
        <v>**</v>
      </c>
      <c r="C770" s="47">
        <v>769</v>
      </c>
      <c r="F770" s="78"/>
      <c r="G770" s="2"/>
      <c r="H770" s="47" t="s">
        <v>4926</v>
      </c>
      <c r="I770" s="43">
        <v>6042070338</v>
      </c>
      <c r="J770" s="43" t="s">
        <v>4927</v>
      </c>
      <c r="K770" s="47" t="s">
        <v>4928</v>
      </c>
      <c r="L770" s="67" t="e">
        <f>VLOOKUP(G770,Input!C:Q,12,FALSE)</f>
        <v>#N/A</v>
      </c>
      <c r="M770" s="68" t="e">
        <f>VLOOKUP(G770,Input!C:Q,15,FALSE)</f>
        <v>#N/A</v>
      </c>
      <c r="N770" s="69" t="e">
        <f>VLOOKUP(G770,Input!C:Q,14,FALSE)</f>
        <v>#N/A</v>
      </c>
      <c r="Q770" s="48">
        <v>1</v>
      </c>
      <c r="R770" s="75" t="e">
        <f>VLOOKUP(G770,Input!C:H,5,FALSE)</f>
        <v>#N/A</v>
      </c>
      <c r="T770" s="47">
        <v>1</v>
      </c>
      <c r="U770" s="47" t="str">
        <f t="shared" si="12"/>
        <v>769,769,**,</v>
      </c>
      <c r="AC770" s="47">
        <v>769</v>
      </c>
      <c r="AD770" s="47">
        <v>769</v>
      </c>
    </row>
    <row r="771" spans="1:30" ht="15.75">
      <c r="A771" s="13" t="str">
        <f>IFERROR(VLOOKUP($G:$G,scan!$A:$B,2,0),"**")</f>
        <v>**</v>
      </c>
      <c r="B771" s="13" t="str">
        <f>IFERROR(VLOOKUP($G771,scan!A:C,3,0),"**")</f>
        <v>**</v>
      </c>
      <c r="C771" s="47">
        <v>770</v>
      </c>
      <c r="F771" s="78"/>
      <c r="G771" s="2"/>
      <c r="H771" s="47" t="s">
        <v>4926</v>
      </c>
      <c r="I771" s="43">
        <v>6042070338</v>
      </c>
      <c r="J771" s="43" t="s">
        <v>4927</v>
      </c>
      <c r="K771" s="47" t="s">
        <v>4928</v>
      </c>
      <c r="L771" s="67" t="e">
        <f>VLOOKUP(G771,Input!C:Q,12,FALSE)</f>
        <v>#N/A</v>
      </c>
      <c r="M771" s="68" t="e">
        <f>VLOOKUP(G771,Input!C:Q,15,FALSE)</f>
        <v>#N/A</v>
      </c>
      <c r="N771" s="69" t="e">
        <f>VLOOKUP(G771,Input!C:Q,14,FALSE)</f>
        <v>#N/A</v>
      </c>
      <c r="Q771" s="48">
        <v>1</v>
      </c>
      <c r="R771" s="75" t="e">
        <f>VLOOKUP(G771,Input!C:H,5,FALSE)</f>
        <v>#N/A</v>
      </c>
      <c r="T771" s="47">
        <v>1</v>
      </c>
      <c r="U771" s="47" t="str">
        <f t="shared" si="12"/>
        <v>770,770,**,</v>
      </c>
      <c r="AC771" s="47">
        <v>770</v>
      </c>
      <c r="AD771" s="47">
        <v>770</v>
      </c>
    </row>
    <row r="772" spans="1:30" ht="15.75">
      <c r="A772" s="13" t="str">
        <f>IFERROR(VLOOKUP($G:$G,scan!$A:$B,2,0),"**")</f>
        <v>**</v>
      </c>
      <c r="B772" s="13" t="str">
        <f>IFERROR(VLOOKUP($G772,scan!A:C,3,0),"**")</f>
        <v>**</v>
      </c>
      <c r="C772" s="47">
        <v>771</v>
      </c>
      <c r="F772" s="78"/>
      <c r="G772" s="2"/>
      <c r="H772" s="47" t="s">
        <v>4926</v>
      </c>
      <c r="I772" s="43">
        <v>6042070338</v>
      </c>
      <c r="J772" s="43" t="s">
        <v>4927</v>
      </c>
      <c r="K772" s="47" t="s">
        <v>4928</v>
      </c>
      <c r="L772" s="67" t="e">
        <f>VLOOKUP(G772,Input!C:Q,12,FALSE)</f>
        <v>#N/A</v>
      </c>
      <c r="M772" s="68" t="e">
        <f>VLOOKUP(G772,Input!C:Q,15,FALSE)</f>
        <v>#N/A</v>
      </c>
      <c r="N772" s="69" t="e">
        <f>VLOOKUP(G772,Input!C:Q,14,FALSE)</f>
        <v>#N/A</v>
      </c>
      <c r="Q772" s="48">
        <v>1</v>
      </c>
      <c r="R772" s="75" t="e">
        <f>VLOOKUP(G772,Input!C:H,5,FALSE)</f>
        <v>#N/A</v>
      </c>
      <c r="T772" s="47">
        <v>1</v>
      </c>
      <c r="U772" s="47" t="str">
        <f t="shared" si="12"/>
        <v>771,771,**,</v>
      </c>
      <c r="AC772" s="47">
        <v>771</v>
      </c>
      <c r="AD772" s="47">
        <v>771</v>
      </c>
    </row>
    <row r="773" spans="1:30" ht="15.75">
      <c r="A773" s="13" t="str">
        <f>IFERROR(VLOOKUP($G:$G,scan!$A:$B,2,0),"**")</f>
        <v>**</v>
      </c>
      <c r="B773" s="13" t="str">
        <f>IFERROR(VLOOKUP($G773,scan!A:C,3,0),"**")</f>
        <v>**</v>
      </c>
      <c r="C773" s="47">
        <v>772</v>
      </c>
      <c r="F773" s="78"/>
      <c r="G773" s="2"/>
      <c r="H773" s="47" t="s">
        <v>4926</v>
      </c>
      <c r="I773" s="43">
        <v>6042070338</v>
      </c>
      <c r="J773" s="43" t="s">
        <v>4927</v>
      </c>
      <c r="K773" s="47" t="s">
        <v>4928</v>
      </c>
      <c r="L773" s="67" t="e">
        <f>VLOOKUP(G773,Input!C:Q,12,FALSE)</f>
        <v>#N/A</v>
      </c>
      <c r="M773" s="68" t="e">
        <f>VLOOKUP(G773,Input!C:Q,15,FALSE)</f>
        <v>#N/A</v>
      </c>
      <c r="N773" s="69" t="e">
        <f>VLOOKUP(G773,Input!C:Q,14,FALSE)</f>
        <v>#N/A</v>
      </c>
      <c r="Q773" s="48">
        <v>1</v>
      </c>
      <c r="R773" s="75" t="e">
        <f>VLOOKUP(G773,Input!C:H,5,FALSE)</f>
        <v>#N/A</v>
      </c>
      <c r="T773" s="47">
        <v>1</v>
      </c>
      <c r="U773" s="47" t="str">
        <f t="shared" si="12"/>
        <v>772,772,**,</v>
      </c>
      <c r="AC773" s="47">
        <v>772</v>
      </c>
      <c r="AD773" s="47">
        <v>772</v>
      </c>
    </row>
    <row r="774" spans="1:30" ht="15.75">
      <c r="A774" s="13" t="str">
        <f>IFERROR(VLOOKUP($G:$G,scan!$A:$B,2,0),"**")</f>
        <v>**</v>
      </c>
      <c r="B774" s="13" t="str">
        <f>IFERROR(VLOOKUP($G774,scan!A:C,3,0),"**")</f>
        <v>**</v>
      </c>
      <c r="C774" s="47">
        <v>773</v>
      </c>
      <c r="F774" s="78"/>
      <c r="G774" s="2"/>
      <c r="H774" s="47" t="s">
        <v>4926</v>
      </c>
      <c r="I774" s="43">
        <v>6042070338</v>
      </c>
      <c r="J774" s="43" t="s">
        <v>4927</v>
      </c>
      <c r="K774" s="47" t="s">
        <v>4928</v>
      </c>
      <c r="L774" s="67" t="e">
        <f>VLOOKUP(G774,Input!C:Q,12,FALSE)</f>
        <v>#N/A</v>
      </c>
      <c r="M774" s="68" t="e">
        <f>VLOOKUP(G774,Input!C:Q,15,FALSE)</f>
        <v>#N/A</v>
      </c>
      <c r="N774" s="69" t="e">
        <f>VLOOKUP(G774,Input!C:Q,14,FALSE)</f>
        <v>#N/A</v>
      </c>
      <c r="Q774" s="48">
        <v>1</v>
      </c>
      <c r="R774" s="75" t="e">
        <f>VLOOKUP(G774,Input!C:H,5,FALSE)</f>
        <v>#N/A</v>
      </c>
      <c r="T774" s="47">
        <v>1</v>
      </c>
      <c r="U774" s="47" t="str">
        <f t="shared" si="12"/>
        <v>773,773,**,</v>
      </c>
      <c r="AC774" s="47">
        <v>773</v>
      </c>
      <c r="AD774" s="47">
        <v>773</v>
      </c>
    </row>
    <row r="775" spans="1:30" ht="15.75">
      <c r="A775" s="13" t="str">
        <f>IFERROR(VLOOKUP($G:$G,scan!$A:$B,2,0),"**")</f>
        <v>**</v>
      </c>
      <c r="B775" s="13" t="str">
        <f>IFERROR(VLOOKUP($G775,scan!A:C,3,0),"**")</f>
        <v>**</v>
      </c>
      <c r="C775" s="47">
        <v>774</v>
      </c>
      <c r="F775" s="78"/>
      <c r="G775" s="2"/>
      <c r="H775" s="47" t="s">
        <v>4926</v>
      </c>
      <c r="I775" s="43">
        <v>6042070338</v>
      </c>
      <c r="J775" s="43" t="s">
        <v>4927</v>
      </c>
      <c r="K775" s="47" t="s">
        <v>4928</v>
      </c>
      <c r="L775" s="67" t="e">
        <f>VLOOKUP(G775,Input!C:Q,12,FALSE)</f>
        <v>#N/A</v>
      </c>
      <c r="M775" s="68" t="e">
        <f>VLOOKUP(G775,Input!C:Q,15,FALSE)</f>
        <v>#N/A</v>
      </c>
      <c r="N775" s="69" t="e">
        <f>VLOOKUP(G775,Input!C:Q,14,FALSE)</f>
        <v>#N/A</v>
      </c>
      <c r="Q775" s="48">
        <v>1</v>
      </c>
      <c r="R775" s="75" t="e">
        <f>VLOOKUP(G775,Input!C:H,5,FALSE)</f>
        <v>#N/A</v>
      </c>
      <c r="T775" s="47">
        <v>1</v>
      </c>
      <c r="U775" s="47" t="str">
        <f t="shared" si="12"/>
        <v>774,774,**,</v>
      </c>
      <c r="AC775" s="47">
        <v>774</v>
      </c>
      <c r="AD775" s="47">
        <v>774</v>
      </c>
    </row>
    <row r="776" spans="1:30" ht="15.75">
      <c r="A776" s="13" t="str">
        <f>IFERROR(VLOOKUP($G:$G,scan!$A:$B,2,0),"**")</f>
        <v>**</v>
      </c>
      <c r="B776" s="13" t="str">
        <f>IFERROR(VLOOKUP($G776,scan!A:C,3,0),"**")</f>
        <v>**</v>
      </c>
      <c r="C776" s="47">
        <v>775</v>
      </c>
      <c r="F776" s="78"/>
      <c r="G776" s="2"/>
      <c r="H776" s="47" t="s">
        <v>4926</v>
      </c>
      <c r="I776" s="43">
        <v>6042070338</v>
      </c>
      <c r="J776" s="43" t="s">
        <v>4927</v>
      </c>
      <c r="K776" s="47" t="s">
        <v>4928</v>
      </c>
      <c r="L776" s="67" t="e">
        <f>VLOOKUP(G776,Input!C:Q,12,FALSE)</f>
        <v>#N/A</v>
      </c>
      <c r="M776" s="68" t="e">
        <f>VLOOKUP(G776,Input!C:Q,15,FALSE)</f>
        <v>#N/A</v>
      </c>
      <c r="N776" s="69" t="e">
        <f>VLOOKUP(G776,Input!C:Q,14,FALSE)</f>
        <v>#N/A</v>
      </c>
      <c r="Q776" s="48">
        <v>1</v>
      </c>
      <c r="R776" s="75" t="e">
        <f>VLOOKUP(G776,Input!C:H,5,FALSE)</f>
        <v>#N/A</v>
      </c>
      <c r="T776" s="47">
        <v>1</v>
      </c>
      <c r="U776" s="47" t="str">
        <f t="shared" si="12"/>
        <v>775,775,**,</v>
      </c>
      <c r="AC776" s="47">
        <v>775</v>
      </c>
      <c r="AD776" s="47">
        <v>775</v>
      </c>
    </row>
    <row r="777" spans="1:30" ht="15.75">
      <c r="A777" s="13" t="str">
        <f>IFERROR(VLOOKUP($G:$G,scan!$A:$B,2,0),"**")</f>
        <v>**</v>
      </c>
      <c r="B777" s="13" t="str">
        <f>IFERROR(VLOOKUP($G777,scan!A:C,3,0),"**")</f>
        <v>**</v>
      </c>
      <c r="C777" s="47">
        <v>776</v>
      </c>
      <c r="F777" s="78"/>
      <c r="G777" s="2"/>
      <c r="H777" s="47" t="s">
        <v>4926</v>
      </c>
      <c r="I777" s="43">
        <v>6042070338</v>
      </c>
      <c r="J777" s="43" t="s">
        <v>4927</v>
      </c>
      <c r="K777" s="47" t="s">
        <v>4928</v>
      </c>
      <c r="L777" s="67" t="e">
        <f>VLOOKUP(G777,Input!C:Q,12,FALSE)</f>
        <v>#N/A</v>
      </c>
      <c r="M777" s="68" t="e">
        <f>VLOOKUP(G777,Input!C:Q,15,FALSE)</f>
        <v>#N/A</v>
      </c>
      <c r="N777" s="69" t="e">
        <f>VLOOKUP(G777,Input!C:Q,14,FALSE)</f>
        <v>#N/A</v>
      </c>
      <c r="Q777" s="48">
        <v>1</v>
      </c>
      <c r="R777" s="75" t="e">
        <f>VLOOKUP(G777,Input!C:H,5,FALSE)</f>
        <v>#N/A</v>
      </c>
      <c r="T777" s="47">
        <v>1</v>
      </c>
      <c r="U777" s="47" t="str">
        <f t="shared" si="12"/>
        <v>776,776,**,</v>
      </c>
      <c r="AC777" s="47">
        <v>776</v>
      </c>
      <c r="AD777" s="47">
        <v>776</v>
      </c>
    </row>
    <row r="778" spans="1:30" ht="15.75">
      <c r="A778" s="13" t="str">
        <f>IFERROR(VLOOKUP($G:$G,scan!$A:$B,2,0),"**")</f>
        <v>**</v>
      </c>
      <c r="B778" s="13" t="str">
        <f>IFERROR(VLOOKUP($G778,scan!A:C,3,0),"**")</f>
        <v>**</v>
      </c>
      <c r="C778" s="47">
        <v>777</v>
      </c>
      <c r="F778" s="78"/>
      <c r="G778" s="2"/>
      <c r="H778" s="47" t="s">
        <v>4926</v>
      </c>
      <c r="I778" s="43">
        <v>6042070338</v>
      </c>
      <c r="J778" s="43" t="s">
        <v>4927</v>
      </c>
      <c r="K778" s="47" t="s">
        <v>4928</v>
      </c>
      <c r="L778" s="67" t="e">
        <f>VLOOKUP(G778,Input!C:Q,12,FALSE)</f>
        <v>#N/A</v>
      </c>
      <c r="M778" s="68" t="e">
        <f>VLOOKUP(G778,Input!C:Q,15,FALSE)</f>
        <v>#N/A</v>
      </c>
      <c r="N778" s="69" t="e">
        <f>VLOOKUP(G778,Input!C:Q,14,FALSE)</f>
        <v>#N/A</v>
      </c>
      <c r="Q778" s="48">
        <v>1</v>
      </c>
      <c r="R778" s="75" t="e">
        <f>VLOOKUP(G778,Input!C:H,5,FALSE)</f>
        <v>#N/A</v>
      </c>
      <c r="T778" s="47">
        <v>1</v>
      </c>
      <c r="U778" s="47" t="str">
        <f t="shared" si="12"/>
        <v>777,777,**,</v>
      </c>
      <c r="AC778" s="47">
        <v>777</v>
      </c>
      <c r="AD778" s="47">
        <v>777</v>
      </c>
    </row>
    <row r="779" spans="1:30" ht="15.75">
      <c r="A779" s="13" t="str">
        <f>IFERROR(VLOOKUP($G:$G,scan!$A:$B,2,0),"**")</f>
        <v>**</v>
      </c>
      <c r="B779" s="13" t="str">
        <f>IFERROR(VLOOKUP($G779,scan!A:C,3,0),"**")</f>
        <v>**</v>
      </c>
      <c r="C779" s="47">
        <v>778</v>
      </c>
      <c r="F779" s="78"/>
      <c r="G779" s="2"/>
      <c r="H779" s="47" t="s">
        <v>4926</v>
      </c>
      <c r="I779" s="43">
        <v>6042070338</v>
      </c>
      <c r="J779" s="43" t="s">
        <v>4927</v>
      </c>
      <c r="K779" s="47" t="s">
        <v>4928</v>
      </c>
      <c r="L779" s="67" t="e">
        <f>VLOOKUP(G779,Input!C:Q,12,FALSE)</f>
        <v>#N/A</v>
      </c>
      <c r="M779" s="68" t="e">
        <f>VLOOKUP(G779,Input!C:Q,15,FALSE)</f>
        <v>#N/A</v>
      </c>
      <c r="N779" s="69" t="e">
        <f>VLOOKUP(G779,Input!C:Q,14,FALSE)</f>
        <v>#N/A</v>
      </c>
      <c r="Q779" s="48">
        <v>1</v>
      </c>
      <c r="R779" s="75" t="e">
        <f>VLOOKUP(G779,Input!C:H,5,FALSE)</f>
        <v>#N/A</v>
      </c>
      <c r="T779" s="47">
        <v>1</v>
      </c>
      <c r="U779" s="47" t="str">
        <f t="shared" si="12"/>
        <v>778,778,**,</v>
      </c>
      <c r="AC779" s="47">
        <v>778</v>
      </c>
      <c r="AD779" s="47">
        <v>778</v>
      </c>
    </row>
    <row r="780" spans="1:30" ht="15.75">
      <c r="A780" s="13" t="str">
        <f>IFERROR(VLOOKUP($G:$G,scan!$A:$B,2,0),"**")</f>
        <v>**</v>
      </c>
      <c r="B780" s="13" t="str">
        <f>IFERROR(VLOOKUP($G780,scan!A:C,3,0),"**")</f>
        <v>**</v>
      </c>
      <c r="C780" s="47">
        <v>779</v>
      </c>
      <c r="F780" s="78"/>
      <c r="G780" s="2"/>
      <c r="H780" s="47" t="s">
        <v>4926</v>
      </c>
      <c r="I780" s="43">
        <v>6042070338</v>
      </c>
      <c r="J780" s="43" t="s">
        <v>4927</v>
      </c>
      <c r="K780" s="47" t="s">
        <v>4928</v>
      </c>
      <c r="L780" s="67" t="e">
        <f>VLOOKUP(G780,Input!C:Q,12,FALSE)</f>
        <v>#N/A</v>
      </c>
      <c r="M780" s="68" t="e">
        <f>VLOOKUP(G780,Input!C:Q,15,FALSE)</f>
        <v>#N/A</v>
      </c>
      <c r="N780" s="69" t="e">
        <f>VLOOKUP(G780,Input!C:Q,14,FALSE)</f>
        <v>#N/A</v>
      </c>
      <c r="Q780" s="48">
        <v>1</v>
      </c>
      <c r="R780" s="75" t="e">
        <f>VLOOKUP(G780,Input!C:H,5,FALSE)</f>
        <v>#N/A</v>
      </c>
      <c r="T780" s="47">
        <v>1</v>
      </c>
      <c r="U780" s="47" t="str">
        <f t="shared" si="12"/>
        <v>779,779,**,</v>
      </c>
      <c r="AC780" s="47">
        <v>779</v>
      </c>
      <c r="AD780" s="47">
        <v>779</v>
      </c>
    </row>
    <row r="781" spans="1:30" ht="15.75">
      <c r="A781" s="13" t="str">
        <f>IFERROR(VLOOKUP($G:$G,scan!$A:$B,2,0),"**")</f>
        <v>**</v>
      </c>
      <c r="B781" s="13" t="str">
        <f>IFERROR(VLOOKUP($G781,scan!A:C,3,0),"**")</f>
        <v>**</v>
      </c>
      <c r="C781" s="47">
        <v>780</v>
      </c>
      <c r="F781" s="78"/>
      <c r="G781" s="2"/>
      <c r="H781" s="47" t="s">
        <v>4926</v>
      </c>
      <c r="I781" s="43">
        <v>6042070338</v>
      </c>
      <c r="J781" s="43" t="s">
        <v>4927</v>
      </c>
      <c r="K781" s="47" t="s">
        <v>4928</v>
      </c>
      <c r="L781" s="67" t="e">
        <f>VLOOKUP(G781,Input!C:Q,12,FALSE)</f>
        <v>#N/A</v>
      </c>
      <c r="M781" s="68" t="e">
        <f>VLOOKUP(G781,Input!C:Q,15,FALSE)</f>
        <v>#N/A</v>
      </c>
      <c r="N781" s="69" t="e">
        <f>VLOOKUP(G781,Input!C:Q,14,FALSE)</f>
        <v>#N/A</v>
      </c>
      <c r="Q781" s="48">
        <v>1</v>
      </c>
      <c r="R781" s="75" t="e">
        <f>VLOOKUP(G781,Input!C:H,5,FALSE)</f>
        <v>#N/A</v>
      </c>
      <c r="T781" s="47">
        <v>1</v>
      </c>
      <c r="U781" s="47" t="str">
        <f t="shared" si="12"/>
        <v>780,780,**,</v>
      </c>
      <c r="AC781" s="47">
        <v>780</v>
      </c>
      <c r="AD781" s="47">
        <v>780</v>
      </c>
    </row>
    <row r="782" spans="1:30" ht="15.75">
      <c r="A782" s="13" t="str">
        <f>IFERROR(VLOOKUP($G:$G,scan!$A:$B,2,0),"**")</f>
        <v>**</v>
      </c>
      <c r="B782" s="13" t="str">
        <f>IFERROR(VLOOKUP($G782,scan!A:C,3,0),"**")</f>
        <v>**</v>
      </c>
      <c r="C782" s="47">
        <v>781</v>
      </c>
      <c r="F782" s="78"/>
      <c r="G782" s="2"/>
      <c r="H782" s="47" t="s">
        <v>4926</v>
      </c>
      <c r="I782" s="43">
        <v>6042070338</v>
      </c>
      <c r="J782" s="43" t="s">
        <v>4927</v>
      </c>
      <c r="K782" s="47" t="s">
        <v>4928</v>
      </c>
      <c r="L782" s="67" t="e">
        <f>VLOOKUP(G782,Input!C:Q,12,FALSE)</f>
        <v>#N/A</v>
      </c>
      <c r="M782" s="68" t="e">
        <f>VLOOKUP(G782,Input!C:Q,15,FALSE)</f>
        <v>#N/A</v>
      </c>
      <c r="N782" s="69" t="e">
        <f>VLOOKUP(G782,Input!C:Q,14,FALSE)</f>
        <v>#N/A</v>
      </c>
      <c r="Q782" s="48">
        <v>1</v>
      </c>
      <c r="R782" s="75" t="e">
        <f>VLOOKUP(G782,Input!C:H,5,FALSE)</f>
        <v>#N/A</v>
      </c>
      <c r="T782" s="47">
        <v>1</v>
      </c>
      <c r="U782" s="47" t="str">
        <f t="shared" si="12"/>
        <v>781,781,**,</v>
      </c>
      <c r="AC782" s="47">
        <v>781</v>
      </c>
      <c r="AD782" s="47">
        <v>781</v>
      </c>
    </row>
    <row r="783" spans="1:30" ht="15.75">
      <c r="A783" s="13" t="str">
        <f>IFERROR(VLOOKUP($G:$G,scan!$A:$B,2,0),"**")</f>
        <v>**</v>
      </c>
      <c r="B783" s="13" t="str">
        <f>IFERROR(VLOOKUP($G783,scan!A:C,3,0),"**")</f>
        <v>**</v>
      </c>
      <c r="C783" s="47">
        <v>782</v>
      </c>
      <c r="F783" s="78"/>
      <c r="G783" s="2"/>
      <c r="H783" s="47" t="s">
        <v>4926</v>
      </c>
      <c r="I783" s="43">
        <v>6042070338</v>
      </c>
      <c r="J783" s="43" t="s">
        <v>4927</v>
      </c>
      <c r="K783" s="47" t="s">
        <v>4928</v>
      </c>
      <c r="L783" s="67" t="e">
        <f>VLOOKUP(G783,Input!C:Q,12,FALSE)</f>
        <v>#N/A</v>
      </c>
      <c r="M783" s="68" t="e">
        <f>VLOOKUP(G783,Input!C:Q,15,FALSE)</f>
        <v>#N/A</v>
      </c>
      <c r="N783" s="69" t="e">
        <f>VLOOKUP(G783,Input!C:Q,14,FALSE)</f>
        <v>#N/A</v>
      </c>
      <c r="Q783" s="48">
        <v>1</v>
      </c>
      <c r="R783" s="75" t="e">
        <f>VLOOKUP(G783,Input!C:H,5,FALSE)</f>
        <v>#N/A</v>
      </c>
      <c r="T783" s="47">
        <v>1</v>
      </c>
      <c r="U783" s="47" t="str">
        <f t="shared" si="12"/>
        <v>782,782,**,</v>
      </c>
      <c r="AC783" s="47">
        <v>782</v>
      </c>
      <c r="AD783" s="47">
        <v>782</v>
      </c>
    </row>
    <row r="784" spans="1:30" ht="15.75">
      <c r="A784" s="13" t="str">
        <f>IFERROR(VLOOKUP($G:$G,scan!$A:$B,2,0),"**")</f>
        <v>**</v>
      </c>
      <c r="B784" s="13" t="str">
        <f>IFERROR(VLOOKUP($G784,scan!A:C,3,0),"**")</f>
        <v>**</v>
      </c>
      <c r="C784" s="47">
        <v>783</v>
      </c>
      <c r="F784" s="78"/>
      <c r="G784" s="2"/>
      <c r="H784" s="47" t="s">
        <v>4926</v>
      </c>
      <c r="I784" s="43">
        <v>6042070338</v>
      </c>
      <c r="J784" s="43" t="s">
        <v>4927</v>
      </c>
      <c r="K784" s="47" t="s">
        <v>4928</v>
      </c>
      <c r="L784" s="67" t="e">
        <f>VLOOKUP(G784,Input!C:Q,12,FALSE)</f>
        <v>#N/A</v>
      </c>
      <c r="M784" s="68" t="e">
        <f>VLOOKUP(G784,Input!C:Q,15,FALSE)</f>
        <v>#N/A</v>
      </c>
      <c r="N784" s="69" t="e">
        <f>VLOOKUP(G784,Input!C:Q,14,FALSE)</f>
        <v>#N/A</v>
      </c>
      <c r="Q784" s="48">
        <v>1</v>
      </c>
      <c r="R784" s="75" t="e">
        <f>VLOOKUP(G784,Input!C:H,5,FALSE)</f>
        <v>#N/A</v>
      </c>
      <c r="T784" s="47">
        <v>1</v>
      </c>
      <c r="U784" s="47" t="str">
        <f t="shared" si="12"/>
        <v>783,783,**,</v>
      </c>
      <c r="AC784" s="47">
        <v>783</v>
      </c>
      <c r="AD784" s="47">
        <v>783</v>
      </c>
    </row>
    <row r="785" spans="1:30" ht="15.75">
      <c r="A785" s="13" t="str">
        <f>IFERROR(VLOOKUP($G:$G,scan!$A:$B,2,0),"**")</f>
        <v>**</v>
      </c>
      <c r="B785" s="13" t="str">
        <f>IFERROR(VLOOKUP($G785,scan!A:C,3,0),"**")</f>
        <v>**</v>
      </c>
      <c r="C785" s="47">
        <v>784</v>
      </c>
      <c r="F785" s="78"/>
      <c r="G785" s="2"/>
      <c r="H785" s="47" t="s">
        <v>4926</v>
      </c>
      <c r="I785" s="43">
        <v>6042070338</v>
      </c>
      <c r="J785" s="43" t="s">
        <v>4927</v>
      </c>
      <c r="K785" s="47" t="s">
        <v>4928</v>
      </c>
      <c r="L785" s="67" t="e">
        <f>VLOOKUP(G785,Input!C:Q,12,FALSE)</f>
        <v>#N/A</v>
      </c>
      <c r="M785" s="68" t="e">
        <f>VLOOKUP(G785,Input!C:Q,15,FALSE)</f>
        <v>#N/A</v>
      </c>
      <c r="N785" s="69" t="e">
        <f>VLOOKUP(G785,Input!C:Q,14,FALSE)</f>
        <v>#N/A</v>
      </c>
      <c r="Q785" s="48">
        <v>1</v>
      </c>
      <c r="R785" s="75" t="e">
        <f>VLOOKUP(G785,Input!C:H,5,FALSE)</f>
        <v>#N/A</v>
      </c>
      <c r="T785" s="47">
        <v>1</v>
      </c>
      <c r="U785" s="47" t="str">
        <f t="shared" si="12"/>
        <v>784,784,**,</v>
      </c>
      <c r="AC785" s="47">
        <v>784</v>
      </c>
      <c r="AD785" s="47">
        <v>784</v>
      </c>
    </row>
    <row r="786" spans="1:30" ht="15.75">
      <c r="A786" s="13" t="str">
        <f>IFERROR(VLOOKUP($G:$G,scan!$A:$B,2,0),"**")</f>
        <v>**</v>
      </c>
      <c r="B786" s="13" t="str">
        <f>IFERROR(VLOOKUP($G786,scan!A:C,3,0),"**")</f>
        <v>**</v>
      </c>
      <c r="C786" s="47">
        <v>785</v>
      </c>
      <c r="F786" s="78"/>
      <c r="G786" s="2"/>
      <c r="H786" s="47" t="s">
        <v>4926</v>
      </c>
      <c r="I786" s="43">
        <v>6042070338</v>
      </c>
      <c r="J786" s="43" t="s">
        <v>4927</v>
      </c>
      <c r="K786" s="47" t="s">
        <v>4928</v>
      </c>
      <c r="L786" s="67" t="e">
        <f>VLOOKUP(G786,Input!C:Q,12,FALSE)</f>
        <v>#N/A</v>
      </c>
      <c r="M786" s="68" t="e">
        <f>VLOOKUP(G786,Input!C:Q,15,FALSE)</f>
        <v>#N/A</v>
      </c>
      <c r="N786" s="69" t="e">
        <f>VLOOKUP(G786,Input!C:Q,14,FALSE)</f>
        <v>#N/A</v>
      </c>
      <c r="Q786" s="48">
        <v>1</v>
      </c>
      <c r="R786" s="75" t="e">
        <f>VLOOKUP(G786,Input!C:H,5,FALSE)</f>
        <v>#N/A</v>
      </c>
      <c r="T786" s="47">
        <v>1</v>
      </c>
      <c r="U786" s="47" t="str">
        <f t="shared" si="12"/>
        <v>785,785,**,</v>
      </c>
      <c r="AC786" s="47">
        <v>785</v>
      </c>
      <c r="AD786" s="47">
        <v>785</v>
      </c>
    </row>
    <row r="787" spans="1:30" ht="15.75">
      <c r="A787" s="13" t="str">
        <f>IFERROR(VLOOKUP($G:$G,scan!$A:$B,2,0),"**")</f>
        <v>**</v>
      </c>
      <c r="B787" s="13" t="str">
        <f>IFERROR(VLOOKUP($G787,scan!A:C,3,0),"**")</f>
        <v>**</v>
      </c>
      <c r="C787" s="47">
        <v>786</v>
      </c>
      <c r="F787" s="78"/>
      <c r="G787" s="2"/>
      <c r="H787" s="47" t="s">
        <v>4926</v>
      </c>
      <c r="I787" s="43">
        <v>6042070338</v>
      </c>
      <c r="J787" s="43" t="s">
        <v>4927</v>
      </c>
      <c r="K787" s="47" t="s">
        <v>4928</v>
      </c>
      <c r="L787" s="67" t="e">
        <f>VLOOKUP(G787,Input!C:Q,12,FALSE)</f>
        <v>#N/A</v>
      </c>
      <c r="M787" s="68" t="e">
        <f>VLOOKUP(G787,Input!C:Q,15,FALSE)</f>
        <v>#N/A</v>
      </c>
      <c r="N787" s="69" t="e">
        <f>VLOOKUP(G787,Input!C:Q,14,FALSE)</f>
        <v>#N/A</v>
      </c>
      <c r="Q787" s="48">
        <v>1</v>
      </c>
      <c r="R787" s="75" t="e">
        <f>VLOOKUP(G787,Input!C:H,5,FALSE)</f>
        <v>#N/A</v>
      </c>
      <c r="T787" s="47">
        <v>1</v>
      </c>
      <c r="U787" s="47" t="str">
        <f t="shared" si="12"/>
        <v>786,786,**,</v>
      </c>
      <c r="AC787" s="47">
        <v>786</v>
      </c>
      <c r="AD787" s="47">
        <v>786</v>
      </c>
    </row>
    <row r="788" spans="1:30" ht="15.75">
      <c r="A788" s="13" t="str">
        <f>IFERROR(VLOOKUP($G:$G,scan!$A:$B,2,0),"**")</f>
        <v>**</v>
      </c>
      <c r="B788" s="13" t="str">
        <f>IFERROR(VLOOKUP($G788,scan!A:C,3,0),"**")</f>
        <v>**</v>
      </c>
      <c r="C788" s="47">
        <v>787</v>
      </c>
      <c r="F788" s="78"/>
      <c r="G788" s="2"/>
      <c r="H788" s="47" t="s">
        <v>4926</v>
      </c>
      <c r="I788" s="43">
        <v>6042070338</v>
      </c>
      <c r="J788" s="43" t="s">
        <v>4927</v>
      </c>
      <c r="K788" s="47" t="s">
        <v>4928</v>
      </c>
      <c r="L788" s="67" t="e">
        <f>VLOOKUP(G788,Input!C:Q,12,FALSE)</f>
        <v>#N/A</v>
      </c>
      <c r="M788" s="68" t="e">
        <f>VLOOKUP(G788,Input!C:Q,15,FALSE)</f>
        <v>#N/A</v>
      </c>
      <c r="N788" s="69" t="e">
        <f>VLOOKUP(G788,Input!C:Q,14,FALSE)</f>
        <v>#N/A</v>
      </c>
      <c r="Q788" s="48">
        <v>1</v>
      </c>
      <c r="R788" s="75" t="e">
        <f>VLOOKUP(G788,Input!C:H,5,FALSE)</f>
        <v>#N/A</v>
      </c>
      <c r="T788" s="47">
        <v>1</v>
      </c>
      <c r="U788" s="47" t="str">
        <f t="shared" si="12"/>
        <v>787,787,**,</v>
      </c>
      <c r="AC788" s="47">
        <v>787</v>
      </c>
      <c r="AD788" s="47">
        <v>787</v>
      </c>
    </row>
    <row r="789" spans="1:30" ht="15.75">
      <c r="A789" s="13" t="str">
        <f>IFERROR(VLOOKUP($G:$G,scan!$A:$B,2,0),"**")</f>
        <v>**</v>
      </c>
      <c r="B789" s="13" t="str">
        <f>IFERROR(VLOOKUP($G789,scan!A:C,3,0),"**")</f>
        <v>**</v>
      </c>
      <c r="C789" s="47">
        <v>788</v>
      </c>
      <c r="F789" s="78"/>
      <c r="G789" s="2"/>
      <c r="H789" s="47" t="s">
        <v>4926</v>
      </c>
      <c r="I789" s="43">
        <v>6042070338</v>
      </c>
      <c r="J789" s="43" t="s">
        <v>4927</v>
      </c>
      <c r="K789" s="47" t="s">
        <v>4928</v>
      </c>
      <c r="L789" s="67" t="e">
        <f>VLOOKUP(G789,Input!C:Q,12,FALSE)</f>
        <v>#N/A</v>
      </c>
      <c r="M789" s="68" t="e">
        <f>VLOOKUP(G789,Input!C:Q,15,FALSE)</f>
        <v>#N/A</v>
      </c>
      <c r="N789" s="69" t="e">
        <f>VLOOKUP(G789,Input!C:Q,14,FALSE)</f>
        <v>#N/A</v>
      </c>
      <c r="Q789" s="48">
        <v>1</v>
      </c>
      <c r="R789" s="75" t="e">
        <f>VLOOKUP(G789,Input!C:H,5,FALSE)</f>
        <v>#N/A</v>
      </c>
      <c r="T789" s="47">
        <v>1</v>
      </c>
      <c r="U789" s="47" t="str">
        <f t="shared" si="12"/>
        <v>788,788,**,</v>
      </c>
      <c r="AC789" s="47">
        <v>788</v>
      </c>
      <c r="AD789" s="47">
        <v>788</v>
      </c>
    </row>
    <row r="790" spans="1:30" ht="15.75">
      <c r="A790" s="13" t="str">
        <f>IFERROR(VLOOKUP($G:$G,scan!$A:$B,2,0),"**")</f>
        <v>**</v>
      </c>
      <c r="B790" s="13" t="str">
        <f>IFERROR(VLOOKUP($G790,scan!A:C,3,0),"**")</f>
        <v>**</v>
      </c>
      <c r="C790" s="47">
        <v>789</v>
      </c>
      <c r="F790" s="78"/>
      <c r="G790" s="2"/>
      <c r="H790" s="47" t="s">
        <v>4926</v>
      </c>
      <c r="I790" s="43">
        <v>6042070338</v>
      </c>
      <c r="J790" s="43" t="s">
        <v>4927</v>
      </c>
      <c r="K790" s="47" t="s">
        <v>4928</v>
      </c>
      <c r="L790" s="67" t="e">
        <f>VLOOKUP(G790,Input!C:Q,12,FALSE)</f>
        <v>#N/A</v>
      </c>
      <c r="M790" s="68" t="e">
        <f>VLOOKUP(G790,Input!C:Q,15,FALSE)</f>
        <v>#N/A</v>
      </c>
      <c r="N790" s="69" t="e">
        <f>VLOOKUP(G790,Input!C:Q,14,FALSE)</f>
        <v>#N/A</v>
      </c>
      <c r="Q790" s="48">
        <v>1</v>
      </c>
      <c r="R790" s="75" t="e">
        <f>VLOOKUP(G790,Input!C:H,5,FALSE)</f>
        <v>#N/A</v>
      </c>
      <c r="T790" s="47">
        <v>1</v>
      </c>
      <c r="U790" s="47" t="str">
        <f t="shared" si="12"/>
        <v>789,789,**,</v>
      </c>
      <c r="AC790" s="47">
        <v>789</v>
      </c>
      <c r="AD790" s="47">
        <v>789</v>
      </c>
    </row>
    <row r="791" spans="1:30" ht="15.75">
      <c r="A791" s="13" t="str">
        <f>IFERROR(VLOOKUP($G:$G,scan!$A:$B,2,0),"**")</f>
        <v>**</v>
      </c>
      <c r="B791" s="13" t="str">
        <f>IFERROR(VLOOKUP($G791,scan!A:C,3,0),"**")</f>
        <v>**</v>
      </c>
      <c r="C791" s="47">
        <v>790</v>
      </c>
      <c r="F791" s="78"/>
      <c r="G791" s="2"/>
      <c r="H791" s="47" t="s">
        <v>4926</v>
      </c>
      <c r="I791" s="43">
        <v>6042070338</v>
      </c>
      <c r="J791" s="43" t="s">
        <v>4927</v>
      </c>
      <c r="K791" s="47" t="s">
        <v>4928</v>
      </c>
      <c r="L791" s="67" t="e">
        <f>VLOOKUP(G791,Input!C:Q,12,FALSE)</f>
        <v>#N/A</v>
      </c>
      <c r="M791" s="68" t="e">
        <f>VLOOKUP(G791,Input!C:Q,15,FALSE)</f>
        <v>#N/A</v>
      </c>
      <c r="N791" s="69" t="e">
        <f>VLOOKUP(G791,Input!C:Q,14,FALSE)</f>
        <v>#N/A</v>
      </c>
      <c r="Q791" s="48">
        <v>1</v>
      </c>
      <c r="R791" s="75" t="e">
        <f>VLOOKUP(G791,Input!C:H,5,FALSE)</f>
        <v>#N/A</v>
      </c>
      <c r="T791" s="47">
        <v>1</v>
      </c>
      <c r="U791" s="47" t="str">
        <f t="shared" si="12"/>
        <v>790,790,**,</v>
      </c>
      <c r="AC791" s="47">
        <v>790</v>
      </c>
      <c r="AD791" s="47">
        <v>790</v>
      </c>
    </row>
    <row r="792" spans="1:30" ht="15.75">
      <c r="A792" s="13" t="str">
        <f>IFERROR(VLOOKUP($G:$G,scan!$A:$B,2,0),"**")</f>
        <v>**</v>
      </c>
      <c r="B792" s="13" t="str">
        <f>IFERROR(VLOOKUP($G792,scan!A:C,3,0),"**")</f>
        <v>**</v>
      </c>
      <c r="C792" s="47">
        <v>791</v>
      </c>
      <c r="F792" s="78"/>
      <c r="G792" s="2"/>
      <c r="H792" s="47" t="s">
        <v>4926</v>
      </c>
      <c r="I792" s="43">
        <v>6042070338</v>
      </c>
      <c r="J792" s="43" t="s">
        <v>4927</v>
      </c>
      <c r="K792" s="47" t="s">
        <v>4928</v>
      </c>
      <c r="L792" s="67" t="e">
        <f>VLOOKUP(G792,Input!C:Q,12,FALSE)</f>
        <v>#N/A</v>
      </c>
      <c r="M792" s="68" t="e">
        <f>VLOOKUP(G792,Input!C:Q,15,FALSE)</f>
        <v>#N/A</v>
      </c>
      <c r="N792" s="69" t="e">
        <f>VLOOKUP(G792,Input!C:Q,14,FALSE)</f>
        <v>#N/A</v>
      </c>
      <c r="Q792" s="48">
        <v>1</v>
      </c>
      <c r="R792" s="75" t="e">
        <f>VLOOKUP(G792,Input!C:H,5,FALSE)</f>
        <v>#N/A</v>
      </c>
      <c r="T792" s="47">
        <v>1</v>
      </c>
      <c r="U792" s="47" t="str">
        <f t="shared" si="12"/>
        <v>791,791,**,</v>
      </c>
      <c r="AC792" s="47">
        <v>791</v>
      </c>
      <c r="AD792" s="47">
        <v>791</v>
      </c>
    </row>
    <row r="793" spans="1:30" ht="15.75">
      <c r="A793" s="13" t="str">
        <f>IFERROR(VLOOKUP($G:$G,scan!$A:$B,2,0),"**")</f>
        <v>**</v>
      </c>
      <c r="B793" s="13" t="str">
        <f>IFERROR(VLOOKUP($G793,scan!A:C,3,0),"**")</f>
        <v>**</v>
      </c>
      <c r="C793" s="47">
        <v>792</v>
      </c>
      <c r="F793" s="78"/>
      <c r="G793" s="2"/>
      <c r="H793" s="47" t="s">
        <v>4926</v>
      </c>
      <c r="I793" s="43">
        <v>6042070338</v>
      </c>
      <c r="J793" s="43" t="s">
        <v>4927</v>
      </c>
      <c r="K793" s="47" t="s">
        <v>4928</v>
      </c>
      <c r="L793" s="67" t="e">
        <f>VLOOKUP(G793,Input!C:Q,12,FALSE)</f>
        <v>#N/A</v>
      </c>
      <c r="M793" s="68" t="e">
        <f>VLOOKUP(G793,Input!C:Q,15,FALSE)</f>
        <v>#N/A</v>
      </c>
      <c r="N793" s="69" t="e">
        <f>VLOOKUP(G793,Input!C:Q,14,FALSE)</f>
        <v>#N/A</v>
      </c>
      <c r="Q793" s="48">
        <v>1</v>
      </c>
      <c r="R793" s="75" t="e">
        <f>VLOOKUP(G793,Input!C:H,5,FALSE)</f>
        <v>#N/A</v>
      </c>
      <c r="T793" s="47">
        <v>1</v>
      </c>
      <c r="U793" s="47" t="str">
        <f t="shared" si="12"/>
        <v>792,792,**,</v>
      </c>
      <c r="AC793" s="47">
        <v>792</v>
      </c>
      <c r="AD793" s="47">
        <v>792</v>
      </c>
    </row>
    <row r="794" spans="1:30" ht="15.75">
      <c r="A794" s="13" t="str">
        <f>IFERROR(VLOOKUP($G:$G,scan!$A:$B,2,0),"**")</f>
        <v>**</v>
      </c>
      <c r="B794" s="13" t="str">
        <f>IFERROR(VLOOKUP($G794,scan!A:C,3,0),"**")</f>
        <v>**</v>
      </c>
      <c r="C794" s="47">
        <v>793</v>
      </c>
      <c r="F794" s="78"/>
      <c r="G794" s="2"/>
      <c r="H794" s="47" t="s">
        <v>4926</v>
      </c>
      <c r="I794" s="43">
        <v>6042070338</v>
      </c>
      <c r="J794" s="43" t="s">
        <v>4927</v>
      </c>
      <c r="K794" s="47" t="s">
        <v>4928</v>
      </c>
      <c r="L794" s="67" t="e">
        <f>VLOOKUP(G794,Input!C:Q,12,FALSE)</f>
        <v>#N/A</v>
      </c>
      <c r="M794" s="68" t="e">
        <f>VLOOKUP(G794,Input!C:Q,15,FALSE)</f>
        <v>#N/A</v>
      </c>
      <c r="N794" s="69" t="e">
        <f>VLOOKUP(G794,Input!C:Q,14,FALSE)</f>
        <v>#N/A</v>
      </c>
      <c r="Q794" s="48">
        <v>1</v>
      </c>
      <c r="R794" s="75" t="e">
        <f>VLOOKUP(G794,Input!C:H,5,FALSE)</f>
        <v>#N/A</v>
      </c>
      <c r="T794" s="47">
        <v>1</v>
      </c>
      <c r="U794" s="47" t="str">
        <f t="shared" si="12"/>
        <v>793,793,**,</v>
      </c>
      <c r="AC794" s="47">
        <v>793</v>
      </c>
      <c r="AD794" s="47">
        <v>793</v>
      </c>
    </row>
    <row r="795" spans="1:30" ht="15.75">
      <c r="A795" s="13" t="str">
        <f>IFERROR(VLOOKUP($G:$G,scan!$A:$B,2,0),"**")</f>
        <v>**</v>
      </c>
      <c r="B795" s="13" t="str">
        <f>IFERROR(VLOOKUP($G795,scan!A:C,3,0),"**")</f>
        <v>**</v>
      </c>
      <c r="C795" s="47">
        <v>794</v>
      </c>
      <c r="F795" s="78"/>
      <c r="G795" s="2"/>
      <c r="H795" s="47" t="s">
        <v>4926</v>
      </c>
      <c r="I795" s="43">
        <v>6042070338</v>
      </c>
      <c r="J795" s="43" t="s">
        <v>4927</v>
      </c>
      <c r="K795" s="47" t="s">
        <v>4928</v>
      </c>
      <c r="L795" s="67" t="e">
        <f>VLOOKUP(G795,Input!C:Q,12,FALSE)</f>
        <v>#N/A</v>
      </c>
      <c r="M795" s="68" t="e">
        <f>VLOOKUP(G795,Input!C:Q,15,FALSE)</f>
        <v>#N/A</v>
      </c>
      <c r="N795" s="69" t="e">
        <f>VLOOKUP(G795,Input!C:Q,14,FALSE)</f>
        <v>#N/A</v>
      </c>
      <c r="Q795" s="48">
        <v>1</v>
      </c>
      <c r="R795" s="75" t="e">
        <f>VLOOKUP(G795,Input!C:H,5,FALSE)</f>
        <v>#N/A</v>
      </c>
      <c r="T795" s="47">
        <v>1</v>
      </c>
      <c r="U795" s="47" t="str">
        <f t="shared" si="12"/>
        <v>794,794,**,</v>
      </c>
      <c r="AC795" s="47">
        <v>794</v>
      </c>
      <c r="AD795" s="47">
        <v>794</v>
      </c>
    </row>
    <row r="796" spans="1:30" ht="15.75">
      <c r="A796" s="13" t="str">
        <f>IFERROR(VLOOKUP($G:$G,scan!$A:$B,2,0),"**")</f>
        <v>**</v>
      </c>
      <c r="B796" s="13" t="str">
        <f>IFERROR(VLOOKUP($G796,scan!A:C,3,0),"**")</f>
        <v>**</v>
      </c>
      <c r="C796" s="47">
        <v>795</v>
      </c>
      <c r="F796" s="78"/>
      <c r="G796" s="2"/>
      <c r="H796" s="47" t="s">
        <v>4926</v>
      </c>
      <c r="I796" s="43">
        <v>6042070338</v>
      </c>
      <c r="J796" s="43" t="s">
        <v>4927</v>
      </c>
      <c r="K796" s="47" t="s">
        <v>4928</v>
      </c>
      <c r="L796" s="67" t="e">
        <f>VLOOKUP(G796,Input!C:Q,12,FALSE)</f>
        <v>#N/A</v>
      </c>
      <c r="M796" s="68" t="e">
        <f>VLOOKUP(G796,Input!C:Q,15,FALSE)</f>
        <v>#N/A</v>
      </c>
      <c r="N796" s="69" t="e">
        <f>VLOOKUP(G796,Input!C:Q,14,FALSE)</f>
        <v>#N/A</v>
      </c>
      <c r="Q796" s="48">
        <v>1</v>
      </c>
      <c r="R796" s="75" t="e">
        <f>VLOOKUP(G796,Input!C:H,5,FALSE)</f>
        <v>#N/A</v>
      </c>
      <c r="T796" s="47">
        <v>1</v>
      </c>
      <c r="U796" s="47" t="str">
        <f t="shared" si="12"/>
        <v>795,795,**,</v>
      </c>
      <c r="AC796" s="47">
        <v>795</v>
      </c>
      <c r="AD796" s="47">
        <v>795</v>
      </c>
    </row>
    <row r="797" spans="1:30" ht="15.75">
      <c r="A797" s="13" t="str">
        <f>IFERROR(VLOOKUP($G:$G,scan!$A:$B,2,0),"**")</f>
        <v>**</v>
      </c>
      <c r="B797" s="13" t="str">
        <f>IFERROR(VLOOKUP($G797,scan!A:C,3,0),"**")</f>
        <v>**</v>
      </c>
      <c r="C797" s="47">
        <v>796</v>
      </c>
      <c r="F797" s="78"/>
      <c r="G797" s="2"/>
      <c r="H797" s="47" t="s">
        <v>4926</v>
      </c>
      <c r="I797" s="43">
        <v>6042070338</v>
      </c>
      <c r="J797" s="43" t="s">
        <v>4927</v>
      </c>
      <c r="K797" s="47" t="s">
        <v>4928</v>
      </c>
      <c r="L797" s="67" t="e">
        <f>VLOOKUP(G797,Input!C:Q,12,FALSE)</f>
        <v>#N/A</v>
      </c>
      <c r="M797" s="68" t="e">
        <f>VLOOKUP(G797,Input!C:Q,15,FALSE)</f>
        <v>#N/A</v>
      </c>
      <c r="N797" s="69" t="e">
        <f>VLOOKUP(G797,Input!C:Q,14,FALSE)</f>
        <v>#N/A</v>
      </c>
      <c r="Q797" s="48">
        <v>1</v>
      </c>
      <c r="R797" s="75" t="e">
        <f>VLOOKUP(G797,Input!C:H,5,FALSE)</f>
        <v>#N/A</v>
      </c>
      <c r="T797" s="47">
        <v>1</v>
      </c>
      <c r="U797" s="47" t="str">
        <f t="shared" si="12"/>
        <v>796,796,**,</v>
      </c>
      <c r="AC797" s="47">
        <v>796</v>
      </c>
      <c r="AD797" s="47">
        <v>796</v>
      </c>
    </row>
    <row r="798" spans="1:30" ht="15.75">
      <c r="A798" s="13" t="str">
        <f>IFERROR(VLOOKUP($G:$G,scan!$A:$B,2,0),"**")</f>
        <v>**</v>
      </c>
      <c r="B798" s="13" t="str">
        <f>IFERROR(VLOOKUP($G798,scan!A:C,3,0),"**")</f>
        <v>**</v>
      </c>
      <c r="C798" s="47">
        <v>797</v>
      </c>
      <c r="F798" s="78"/>
      <c r="G798" s="2"/>
      <c r="H798" s="47" t="s">
        <v>4926</v>
      </c>
      <c r="I798" s="43">
        <v>6042070338</v>
      </c>
      <c r="J798" s="43" t="s">
        <v>4927</v>
      </c>
      <c r="K798" s="47" t="s">
        <v>4928</v>
      </c>
      <c r="L798" s="67" t="e">
        <f>VLOOKUP(G798,Input!C:Q,12,FALSE)</f>
        <v>#N/A</v>
      </c>
      <c r="M798" s="68" t="e">
        <f>VLOOKUP(G798,Input!C:Q,15,FALSE)</f>
        <v>#N/A</v>
      </c>
      <c r="N798" s="69" t="e">
        <f>VLOOKUP(G798,Input!C:Q,14,FALSE)</f>
        <v>#N/A</v>
      </c>
      <c r="Q798" s="48">
        <v>1</v>
      </c>
      <c r="R798" s="75" t="e">
        <f>VLOOKUP(G798,Input!C:H,5,FALSE)</f>
        <v>#N/A</v>
      </c>
      <c r="T798" s="47">
        <v>1</v>
      </c>
      <c r="U798" s="47" t="str">
        <f t="shared" si="12"/>
        <v>797,797,**,</v>
      </c>
      <c r="AC798" s="47">
        <v>797</v>
      </c>
      <c r="AD798" s="47">
        <v>797</v>
      </c>
    </row>
    <row r="799" spans="1:30" ht="15.75">
      <c r="A799" s="13" t="str">
        <f>IFERROR(VLOOKUP($G:$G,scan!$A:$B,2,0),"**")</f>
        <v>**</v>
      </c>
      <c r="B799" s="13" t="str">
        <f>IFERROR(VLOOKUP($G799,scan!A:C,3,0),"**")</f>
        <v>**</v>
      </c>
      <c r="C799" s="47">
        <v>798</v>
      </c>
      <c r="F799" s="78"/>
      <c r="G799" s="2"/>
      <c r="H799" s="47" t="s">
        <v>4926</v>
      </c>
      <c r="I799" s="43">
        <v>6042070338</v>
      </c>
      <c r="J799" s="43" t="s">
        <v>4927</v>
      </c>
      <c r="K799" s="47" t="s">
        <v>4928</v>
      </c>
      <c r="L799" s="67" t="e">
        <f>VLOOKUP(G799,Input!C:Q,12,FALSE)</f>
        <v>#N/A</v>
      </c>
      <c r="M799" s="68" t="e">
        <f>VLOOKUP(G799,Input!C:Q,15,FALSE)</f>
        <v>#N/A</v>
      </c>
      <c r="N799" s="69" t="e">
        <f>VLOOKUP(G799,Input!C:Q,14,FALSE)</f>
        <v>#N/A</v>
      </c>
      <c r="Q799" s="48">
        <v>1</v>
      </c>
      <c r="R799" s="75" t="e">
        <f>VLOOKUP(G799,Input!C:H,5,FALSE)</f>
        <v>#N/A</v>
      </c>
      <c r="T799" s="47">
        <v>1</v>
      </c>
      <c r="U799" s="47" t="str">
        <f t="shared" si="12"/>
        <v>798,798,**,</v>
      </c>
      <c r="AC799" s="47">
        <v>798</v>
      </c>
      <c r="AD799" s="47">
        <v>798</v>
      </c>
    </row>
    <row r="800" spans="1:30" ht="15.75">
      <c r="A800" s="13" t="str">
        <f>IFERROR(VLOOKUP($G:$G,scan!$A:$B,2,0),"**")</f>
        <v>**</v>
      </c>
      <c r="B800" s="13" t="str">
        <f>IFERROR(VLOOKUP($G800,scan!A:C,3,0),"**")</f>
        <v>**</v>
      </c>
      <c r="C800" s="47">
        <v>799</v>
      </c>
      <c r="F800" s="78"/>
      <c r="G800" s="2"/>
      <c r="H800" s="47" t="s">
        <v>4926</v>
      </c>
      <c r="I800" s="43">
        <v>6042070338</v>
      </c>
      <c r="J800" s="43" t="s">
        <v>4927</v>
      </c>
      <c r="K800" s="47" t="s">
        <v>4928</v>
      </c>
      <c r="L800" s="67" t="e">
        <f>VLOOKUP(G800,Input!C:Q,12,FALSE)</f>
        <v>#N/A</v>
      </c>
      <c r="M800" s="68" t="e">
        <f>VLOOKUP(G800,Input!C:Q,15,FALSE)</f>
        <v>#N/A</v>
      </c>
      <c r="N800" s="69" t="e">
        <f>VLOOKUP(G800,Input!C:Q,14,FALSE)</f>
        <v>#N/A</v>
      </c>
      <c r="Q800" s="48">
        <v>1</v>
      </c>
      <c r="R800" s="75" t="e">
        <f>VLOOKUP(G800,Input!C:H,5,FALSE)</f>
        <v>#N/A</v>
      </c>
      <c r="T800" s="47">
        <v>1</v>
      </c>
      <c r="U800" s="47" t="str">
        <f t="shared" si="12"/>
        <v>799,799,**,</v>
      </c>
      <c r="AC800" s="47">
        <v>799</v>
      </c>
      <c r="AD800" s="47">
        <v>799</v>
      </c>
    </row>
    <row r="801" spans="1:30" ht="15.75">
      <c r="A801" s="13" t="str">
        <f>IFERROR(VLOOKUP($G:$G,scan!$A:$B,2,0),"**")</f>
        <v>**</v>
      </c>
      <c r="B801" s="13" t="str">
        <f>IFERROR(VLOOKUP($G801,scan!A:C,3,0),"**")</f>
        <v>**</v>
      </c>
      <c r="C801" s="47">
        <v>800</v>
      </c>
      <c r="F801" s="78"/>
      <c r="G801" s="2"/>
      <c r="H801" s="47" t="s">
        <v>4926</v>
      </c>
      <c r="I801" s="43">
        <v>6042070338</v>
      </c>
      <c r="J801" s="43" t="s">
        <v>4927</v>
      </c>
      <c r="K801" s="47" t="s">
        <v>4928</v>
      </c>
      <c r="L801" s="67" t="e">
        <f>VLOOKUP(G801,Input!C:Q,12,FALSE)</f>
        <v>#N/A</v>
      </c>
      <c r="M801" s="68" t="e">
        <f>VLOOKUP(G801,Input!C:Q,15,FALSE)</f>
        <v>#N/A</v>
      </c>
      <c r="N801" s="69" t="e">
        <f>VLOOKUP(G801,Input!C:Q,14,FALSE)</f>
        <v>#N/A</v>
      </c>
      <c r="Q801" s="48">
        <v>1</v>
      </c>
      <c r="R801" s="75" t="e">
        <f>VLOOKUP(G801,Input!C:H,5,FALSE)</f>
        <v>#N/A</v>
      </c>
      <c r="T801" s="47">
        <v>1</v>
      </c>
      <c r="U801" s="47" t="str">
        <f t="shared" si="12"/>
        <v>800,800,**,</v>
      </c>
      <c r="AC801" s="47">
        <v>800</v>
      </c>
      <c r="AD801" s="47">
        <v>800</v>
      </c>
    </row>
    <row r="802" spans="1:30" ht="15.75">
      <c r="A802" s="13" t="str">
        <f>IFERROR(VLOOKUP($G:$G,scan!$A:$B,2,0),"**")</f>
        <v>**</v>
      </c>
      <c r="B802" s="13" t="str">
        <f>IFERROR(VLOOKUP($G802,scan!A:C,3,0),"**")</f>
        <v>**</v>
      </c>
      <c r="C802" s="47">
        <v>801</v>
      </c>
      <c r="F802" s="78"/>
      <c r="G802" s="2"/>
      <c r="H802" s="47" t="s">
        <v>4926</v>
      </c>
      <c r="I802" s="43">
        <v>6042070338</v>
      </c>
      <c r="J802" s="43" t="s">
        <v>4927</v>
      </c>
      <c r="K802" s="47" t="s">
        <v>4928</v>
      </c>
      <c r="L802" s="67" t="e">
        <f>VLOOKUP(G802,Input!C:Q,12,FALSE)</f>
        <v>#N/A</v>
      </c>
      <c r="M802" s="68" t="e">
        <f>VLOOKUP(G802,Input!C:Q,15,FALSE)</f>
        <v>#N/A</v>
      </c>
      <c r="N802" s="69" t="e">
        <f>VLOOKUP(G802,Input!C:Q,14,FALSE)</f>
        <v>#N/A</v>
      </c>
      <c r="Q802" s="48">
        <v>1</v>
      </c>
      <c r="R802" s="75" t="e">
        <f>VLOOKUP(G802,Input!C:H,5,FALSE)</f>
        <v>#N/A</v>
      </c>
      <c r="T802" s="47">
        <v>1</v>
      </c>
      <c r="U802" s="47" t="str">
        <f t="shared" si="12"/>
        <v>801,801,**,</v>
      </c>
      <c r="AC802" s="47">
        <v>801</v>
      </c>
      <c r="AD802" s="47">
        <v>801</v>
      </c>
    </row>
    <row r="803" spans="1:30" ht="15.75">
      <c r="A803" s="13" t="str">
        <f>IFERROR(VLOOKUP($G:$G,scan!$A:$B,2,0),"**")</f>
        <v>**</v>
      </c>
      <c r="B803" s="13" t="str">
        <f>IFERROR(VLOOKUP($G803,scan!A:C,3,0),"**")</f>
        <v>**</v>
      </c>
      <c r="C803" s="47">
        <v>802</v>
      </c>
      <c r="F803" s="78"/>
      <c r="G803" s="2"/>
      <c r="H803" s="47" t="s">
        <v>4926</v>
      </c>
      <c r="I803" s="43">
        <v>6042070338</v>
      </c>
      <c r="J803" s="43" t="s">
        <v>4927</v>
      </c>
      <c r="K803" s="47" t="s">
        <v>4928</v>
      </c>
      <c r="L803" s="67" t="e">
        <f>VLOOKUP(G803,Input!C:Q,12,FALSE)</f>
        <v>#N/A</v>
      </c>
      <c r="M803" s="68" t="e">
        <f>VLOOKUP(G803,Input!C:Q,15,FALSE)</f>
        <v>#N/A</v>
      </c>
      <c r="N803" s="69" t="e">
        <f>VLOOKUP(G803,Input!C:Q,14,FALSE)</f>
        <v>#N/A</v>
      </c>
      <c r="Q803" s="48">
        <v>1</v>
      </c>
      <c r="R803" s="75" t="e">
        <f>VLOOKUP(G803,Input!C:H,5,FALSE)</f>
        <v>#N/A</v>
      </c>
      <c r="T803" s="47">
        <v>1</v>
      </c>
      <c r="U803" s="47" t="str">
        <f t="shared" si="12"/>
        <v>802,802,**,</v>
      </c>
      <c r="AC803" s="47">
        <v>802</v>
      </c>
      <c r="AD803" s="47">
        <v>802</v>
      </c>
    </row>
    <row r="804" spans="1:30" ht="15.75">
      <c r="A804" s="13" t="str">
        <f>IFERROR(VLOOKUP($G:$G,scan!$A:$B,2,0),"**")</f>
        <v>**</v>
      </c>
      <c r="B804" s="13" t="str">
        <f>IFERROR(VLOOKUP($G804,scan!A:C,3,0),"**")</f>
        <v>**</v>
      </c>
      <c r="C804" s="47">
        <v>803</v>
      </c>
      <c r="F804" s="78"/>
      <c r="G804" s="2"/>
      <c r="H804" s="47" t="s">
        <v>4926</v>
      </c>
      <c r="I804" s="43">
        <v>6042070338</v>
      </c>
      <c r="J804" s="43" t="s">
        <v>4927</v>
      </c>
      <c r="K804" s="47" t="s">
        <v>4928</v>
      </c>
      <c r="L804" s="67" t="e">
        <f>VLOOKUP(G804,Input!C:Q,12,FALSE)</f>
        <v>#N/A</v>
      </c>
      <c r="M804" s="68" t="e">
        <f>VLOOKUP(G804,Input!C:Q,15,FALSE)</f>
        <v>#N/A</v>
      </c>
      <c r="N804" s="69" t="e">
        <f>VLOOKUP(G804,Input!C:Q,14,FALSE)</f>
        <v>#N/A</v>
      </c>
      <c r="Q804" s="48">
        <v>1</v>
      </c>
      <c r="R804" s="75" t="e">
        <f>VLOOKUP(G804,Input!C:H,5,FALSE)</f>
        <v>#N/A</v>
      </c>
      <c r="T804" s="47">
        <v>1</v>
      </c>
      <c r="U804" s="47" t="str">
        <f t="shared" si="12"/>
        <v>803,803,**,</v>
      </c>
      <c r="AC804" s="47">
        <v>803</v>
      </c>
      <c r="AD804" s="47">
        <v>803</v>
      </c>
    </row>
    <row r="805" spans="1:30" ht="15.75">
      <c r="A805" s="13" t="str">
        <f>IFERROR(VLOOKUP($G:$G,scan!$A:$B,2,0),"**")</f>
        <v>**</v>
      </c>
      <c r="B805" s="13" t="str">
        <f>IFERROR(VLOOKUP($G805,scan!A:C,3,0),"**")</f>
        <v>**</v>
      </c>
      <c r="C805" s="47">
        <v>804</v>
      </c>
      <c r="F805" s="78"/>
      <c r="G805" s="2"/>
      <c r="H805" s="47" t="s">
        <v>4926</v>
      </c>
      <c r="I805" s="43">
        <v>6042070338</v>
      </c>
      <c r="J805" s="43" t="s">
        <v>4927</v>
      </c>
      <c r="K805" s="47" t="s">
        <v>4928</v>
      </c>
      <c r="L805" s="67" t="e">
        <f>VLOOKUP(G805,Input!C:Q,12,FALSE)</f>
        <v>#N/A</v>
      </c>
      <c r="M805" s="68" t="e">
        <f>VLOOKUP(G805,Input!C:Q,15,FALSE)</f>
        <v>#N/A</v>
      </c>
      <c r="N805" s="69" t="e">
        <f>VLOOKUP(G805,Input!C:Q,14,FALSE)</f>
        <v>#N/A</v>
      </c>
      <c r="Q805" s="48">
        <v>1</v>
      </c>
      <c r="R805" s="75" t="e">
        <f>VLOOKUP(G805,Input!C:H,5,FALSE)</f>
        <v>#N/A</v>
      </c>
      <c r="T805" s="47">
        <v>1</v>
      </c>
      <c r="U805" s="47" t="str">
        <f t="shared" si="12"/>
        <v>804,804,**,</v>
      </c>
      <c r="AC805" s="47">
        <v>804</v>
      </c>
      <c r="AD805" s="47">
        <v>804</v>
      </c>
    </row>
    <row r="806" spans="1:30" ht="15.75">
      <c r="A806" s="13" t="str">
        <f>IFERROR(VLOOKUP($G:$G,scan!$A:$B,2,0),"**")</f>
        <v>**</v>
      </c>
      <c r="B806" s="13" t="str">
        <f>IFERROR(VLOOKUP($G806,scan!A:C,3,0),"**")</f>
        <v>**</v>
      </c>
      <c r="C806" s="47">
        <v>805</v>
      </c>
      <c r="F806" s="78"/>
      <c r="G806" s="2"/>
      <c r="H806" s="47" t="s">
        <v>4926</v>
      </c>
      <c r="I806" s="43">
        <v>6042070338</v>
      </c>
      <c r="J806" s="43" t="s">
        <v>4927</v>
      </c>
      <c r="K806" s="47" t="s">
        <v>4928</v>
      </c>
      <c r="L806" s="67" t="e">
        <f>VLOOKUP(G806,Input!C:Q,12,FALSE)</f>
        <v>#N/A</v>
      </c>
      <c r="M806" s="68" t="e">
        <f>VLOOKUP(G806,Input!C:Q,15,FALSE)</f>
        <v>#N/A</v>
      </c>
      <c r="N806" s="69" t="e">
        <f>VLOOKUP(G806,Input!C:Q,14,FALSE)</f>
        <v>#N/A</v>
      </c>
      <c r="Q806" s="48">
        <v>1</v>
      </c>
      <c r="R806" s="75" t="e">
        <f>VLOOKUP(G806,Input!C:H,5,FALSE)</f>
        <v>#N/A</v>
      </c>
      <c r="T806" s="47">
        <v>1</v>
      </c>
      <c r="U806" s="47" t="str">
        <f t="shared" si="12"/>
        <v>805,805,**,</v>
      </c>
      <c r="AC806" s="47">
        <v>805</v>
      </c>
      <c r="AD806" s="47">
        <v>805</v>
      </c>
    </row>
    <row r="807" spans="1:30" ht="15.75">
      <c r="A807" s="13" t="str">
        <f>IFERROR(VLOOKUP($G:$G,scan!$A:$B,2,0),"**")</f>
        <v>**</v>
      </c>
      <c r="B807" s="13" t="str">
        <f>IFERROR(VLOOKUP($G807,scan!A:C,3,0),"**")</f>
        <v>**</v>
      </c>
      <c r="C807" s="47">
        <v>806</v>
      </c>
      <c r="F807" s="78"/>
      <c r="G807" s="2"/>
      <c r="H807" s="47" t="s">
        <v>4926</v>
      </c>
      <c r="I807" s="43">
        <v>6042070338</v>
      </c>
      <c r="J807" s="43" t="s">
        <v>4927</v>
      </c>
      <c r="K807" s="47" t="s">
        <v>4928</v>
      </c>
      <c r="L807" s="67" t="e">
        <f>VLOOKUP(G807,Input!C:Q,12,FALSE)</f>
        <v>#N/A</v>
      </c>
      <c r="M807" s="68" t="e">
        <f>VLOOKUP(G807,Input!C:Q,15,FALSE)</f>
        <v>#N/A</v>
      </c>
      <c r="N807" s="69" t="e">
        <f>VLOOKUP(G807,Input!C:Q,14,FALSE)</f>
        <v>#N/A</v>
      </c>
      <c r="Q807" s="48">
        <v>1</v>
      </c>
      <c r="R807" s="75" t="e">
        <f>VLOOKUP(G807,Input!C:H,5,FALSE)</f>
        <v>#N/A</v>
      </c>
      <c r="T807" s="47">
        <v>1</v>
      </c>
      <c r="U807" s="47" t="str">
        <f t="shared" si="12"/>
        <v>806,806,**,</v>
      </c>
      <c r="AC807" s="47">
        <v>806</v>
      </c>
      <c r="AD807" s="47">
        <v>806</v>
      </c>
    </row>
    <row r="808" spans="1:30" ht="15.75">
      <c r="A808" s="13" t="str">
        <f>IFERROR(VLOOKUP($G:$G,scan!$A:$B,2,0),"**")</f>
        <v>**</v>
      </c>
      <c r="B808" s="13" t="str">
        <f>IFERROR(VLOOKUP($G808,scan!A:C,3,0),"**")</f>
        <v>**</v>
      </c>
      <c r="C808" s="47">
        <v>807</v>
      </c>
      <c r="F808" s="78"/>
      <c r="G808" s="2"/>
      <c r="H808" s="47" t="s">
        <v>4926</v>
      </c>
      <c r="I808" s="43">
        <v>6042070338</v>
      </c>
      <c r="J808" s="43" t="s">
        <v>4927</v>
      </c>
      <c r="K808" s="47" t="s">
        <v>4928</v>
      </c>
      <c r="L808" s="67" t="e">
        <f>VLOOKUP(G808,Input!C:Q,12,FALSE)</f>
        <v>#N/A</v>
      </c>
      <c r="M808" s="68" t="e">
        <f>VLOOKUP(G808,Input!C:Q,15,FALSE)</f>
        <v>#N/A</v>
      </c>
      <c r="N808" s="69" t="e">
        <f>VLOOKUP(G808,Input!C:Q,14,FALSE)</f>
        <v>#N/A</v>
      </c>
      <c r="Q808" s="48">
        <v>1</v>
      </c>
      <c r="R808" s="75" t="e">
        <f>VLOOKUP(G808,Input!C:H,5,FALSE)</f>
        <v>#N/A</v>
      </c>
      <c r="T808" s="47">
        <v>1</v>
      </c>
      <c r="U808" s="47" t="str">
        <f t="shared" si="12"/>
        <v>807,807,**,</v>
      </c>
      <c r="AC808" s="47">
        <v>807</v>
      </c>
      <c r="AD808" s="47">
        <v>807</v>
      </c>
    </row>
    <row r="809" spans="1:30" ht="15.75">
      <c r="A809" s="13" t="str">
        <f>IFERROR(VLOOKUP($G:$G,scan!$A:$B,2,0),"**")</f>
        <v>**</v>
      </c>
      <c r="B809" s="13" t="str">
        <f>IFERROR(VLOOKUP($G809,scan!A:C,3,0),"**")</f>
        <v>**</v>
      </c>
      <c r="C809" s="47">
        <v>808</v>
      </c>
      <c r="F809" s="78"/>
      <c r="G809" s="2"/>
      <c r="H809" s="47" t="s">
        <v>4926</v>
      </c>
      <c r="I809" s="43">
        <v>6042070338</v>
      </c>
      <c r="J809" s="43" t="s">
        <v>4927</v>
      </c>
      <c r="K809" s="47" t="s">
        <v>4928</v>
      </c>
      <c r="L809" s="67" t="e">
        <f>VLOOKUP(G809,Input!C:Q,12,FALSE)</f>
        <v>#N/A</v>
      </c>
      <c r="M809" s="68" t="e">
        <f>VLOOKUP(G809,Input!C:Q,15,FALSE)</f>
        <v>#N/A</v>
      </c>
      <c r="N809" s="69" t="e">
        <f>VLOOKUP(G809,Input!C:Q,14,FALSE)</f>
        <v>#N/A</v>
      </c>
      <c r="Q809" s="48">
        <v>1</v>
      </c>
      <c r="R809" s="75" t="e">
        <f>VLOOKUP(G809,Input!C:H,5,FALSE)</f>
        <v>#N/A</v>
      </c>
      <c r="T809" s="47">
        <v>1</v>
      </c>
      <c r="U809" s="47" t="str">
        <f t="shared" si="12"/>
        <v>808,808,**,</v>
      </c>
      <c r="AC809" s="47">
        <v>808</v>
      </c>
      <c r="AD809" s="47">
        <v>808</v>
      </c>
    </row>
    <row r="810" spans="1:30" ht="15.75">
      <c r="A810" s="13" t="str">
        <f>IFERROR(VLOOKUP($G:$G,scan!$A:$B,2,0),"**")</f>
        <v>**</v>
      </c>
      <c r="B810" s="13" t="str">
        <f>IFERROR(VLOOKUP($G810,scan!A:C,3,0),"**")</f>
        <v>**</v>
      </c>
      <c r="C810" s="47">
        <v>809</v>
      </c>
      <c r="F810" s="78"/>
      <c r="G810" s="2"/>
      <c r="H810" s="47" t="s">
        <v>4926</v>
      </c>
      <c r="I810" s="43">
        <v>6042070338</v>
      </c>
      <c r="J810" s="43" t="s">
        <v>4927</v>
      </c>
      <c r="K810" s="47" t="s">
        <v>4928</v>
      </c>
      <c r="L810" s="67" t="e">
        <f>VLOOKUP(G810,Input!C:Q,12,FALSE)</f>
        <v>#N/A</v>
      </c>
      <c r="M810" s="68" t="e">
        <f>VLOOKUP(G810,Input!C:Q,15,FALSE)</f>
        <v>#N/A</v>
      </c>
      <c r="N810" s="69" t="e">
        <f>VLOOKUP(G810,Input!C:Q,14,FALSE)</f>
        <v>#N/A</v>
      </c>
      <c r="Q810" s="48">
        <v>1</v>
      </c>
      <c r="R810" s="75" t="e">
        <f>VLOOKUP(G810,Input!C:H,5,FALSE)</f>
        <v>#N/A</v>
      </c>
      <c r="T810" s="47">
        <v>1</v>
      </c>
      <c r="U810" s="47" t="str">
        <f t="shared" si="12"/>
        <v>809,809,**,</v>
      </c>
      <c r="AC810" s="47">
        <v>809</v>
      </c>
      <c r="AD810" s="47">
        <v>809</v>
      </c>
    </row>
    <row r="811" spans="1:30" ht="15.75">
      <c r="A811" s="13" t="str">
        <f>IFERROR(VLOOKUP($G:$G,scan!$A:$B,2,0),"**")</f>
        <v>**</v>
      </c>
      <c r="B811" s="13" t="str">
        <f>IFERROR(VLOOKUP($G811,scan!A:C,3,0),"**")</f>
        <v>**</v>
      </c>
      <c r="C811" s="47">
        <v>810</v>
      </c>
      <c r="F811" s="78"/>
      <c r="G811" s="2"/>
      <c r="H811" s="47" t="s">
        <v>4926</v>
      </c>
      <c r="I811" s="43">
        <v>6042070338</v>
      </c>
      <c r="J811" s="43" t="s">
        <v>4927</v>
      </c>
      <c r="K811" s="47" t="s">
        <v>4928</v>
      </c>
      <c r="L811" s="67" t="e">
        <f>VLOOKUP(G811,Input!C:Q,12,FALSE)</f>
        <v>#N/A</v>
      </c>
      <c r="M811" s="68" t="e">
        <f>VLOOKUP(G811,Input!C:Q,15,FALSE)</f>
        <v>#N/A</v>
      </c>
      <c r="N811" s="69" t="e">
        <f>VLOOKUP(G811,Input!C:Q,14,FALSE)</f>
        <v>#N/A</v>
      </c>
      <c r="Q811" s="48">
        <v>1</v>
      </c>
      <c r="R811" s="75" t="e">
        <f>VLOOKUP(G811,Input!C:H,5,FALSE)</f>
        <v>#N/A</v>
      </c>
      <c r="T811" s="47">
        <v>1</v>
      </c>
      <c r="U811" s="47" t="str">
        <f t="shared" si="12"/>
        <v>810,810,**,</v>
      </c>
      <c r="AC811" s="47">
        <v>810</v>
      </c>
      <c r="AD811" s="47">
        <v>810</v>
      </c>
    </row>
    <row r="812" spans="1:30" ht="15.75">
      <c r="A812" s="13" t="str">
        <f>IFERROR(VLOOKUP($G:$G,scan!$A:$B,2,0),"**")</f>
        <v>**</v>
      </c>
      <c r="B812" s="13" t="str">
        <f>IFERROR(VLOOKUP($G812,scan!A:C,3,0),"**")</f>
        <v>**</v>
      </c>
      <c r="C812" s="47">
        <v>811</v>
      </c>
      <c r="F812" s="78"/>
      <c r="G812" s="2"/>
      <c r="H812" s="47" t="s">
        <v>4926</v>
      </c>
      <c r="I812" s="43">
        <v>6042070338</v>
      </c>
      <c r="J812" s="43" t="s">
        <v>4927</v>
      </c>
      <c r="K812" s="47" t="s">
        <v>4928</v>
      </c>
      <c r="L812" s="67" t="e">
        <f>VLOOKUP(G812,Input!C:Q,12,FALSE)</f>
        <v>#N/A</v>
      </c>
      <c r="M812" s="68" t="e">
        <f>VLOOKUP(G812,Input!C:Q,15,FALSE)</f>
        <v>#N/A</v>
      </c>
      <c r="N812" s="69" t="e">
        <f>VLOOKUP(G812,Input!C:Q,14,FALSE)</f>
        <v>#N/A</v>
      </c>
      <c r="Q812" s="48">
        <v>1</v>
      </c>
      <c r="R812" s="75" t="e">
        <f>VLOOKUP(G812,Input!C:H,5,FALSE)</f>
        <v>#N/A</v>
      </c>
      <c r="T812" s="47">
        <v>1</v>
      </c>
      <c r="U812" s="47" t="str">
        <f t="shared" si="12"/>
        <v>811,811,**,</v>
      </c>
      <c r="AC812" s="47">
        <v>811</v>
      </c>
      <c r="AD812" s="47">
        <v>811</v>
      </c>
    </row>
    <row r="813" spans="1:30" ht="15.75">
      <c r="A813" s="13" t="str">
        <f>IFERROR(VLOOKUP($G:$G,scan!$A:$B,2,0),"**")</f>
        <v>**</v>
      </c>
      <c r="B813" s="13" t="str">
        <f>IFERROR(VLOOKUP($G813,scan!A:C,3,0),"**")</f>
        <v>**</v>
      </c>
      <c r="C813" s="47">
        <v>812</v>
      </c>
      <c r="F813" s="78"/>
      <c r="G813" s="2"/>
      <c r="H813" s="47" t="s">
        <v>4926</v>
      </c>
      <c r="I813" s="43">
        <v>6042070338</v>
      </c>
      <c r="J813" s="43" t="s">
        <v>4927</v>
      </c>
      <c r="K813" s="47" t="s">
        <v>4928</v>
      </c>
      <c r="L813" s="67" t="e">
        <f>VLOOKUP(G813,Input!C:Q,12,FALSE)</f>
        <v>#N/A</v>
      </c>
      <c r="M813" s="68" t="e">
        <f>VLOOKUP(G813,Input!C:Q,15,FALSE)</f>
        <v>#N/A</v>
      </c>
      <c r="N813" s="69" t="e">
        <f>VLOOKUP(G813,Input!C:Q,14,FALSE)</f>
        <v>#N/A</v>
      </c>
      <c r="Q813" s="48">
        <v>1</v>
      </c>
      <c r="R813" s="75" t="e">
        <f>VLOOKUP(G813,Input!C:H,5,FALSE)</f>
        <v>#N/A</v>
      </c>
      <c r="T813" s="47">
        <v>1</v>
      </c>
      <c r="U813" s="47" t="str">
        <f t="shared" si="12"/>
        <v>812,812,**,</v>
      </c>
      <c r="AC813" s="47">
        <v>812</v>
      </c>
      <c r="AD813" s="47">
        <v>812</v>
      </c>
    </row>
    <row r="814" spans="1:30" ht="15.75">
      <c r="A814" s="13" t="str">
        <f>IFERROR(VLOOKUP($G:$G,scan!$A:$B,2,0),"**")</f>
        <v>**</v>
      </c>
      <c r="B814" s="13" t="str">
        <f>IFERROR(VLOOKUP($G814,scan!A:C,3,0),"**")</f>
        <v>**</v>
      </c>
      <c r="C814" s="47">
        <v>813</v>
      </c>
      <c r="F814" s="78"/>
      <c r="G814" s="2"/>
      <c r="H814" s="47" t="s">
        <v>4926</v>
      </c>
      <c r="I814" s="43">
        <v>6042070338</v>
      </c>
      <c r="J814" s="43" t="s">
        <v>4927</v>
      </c>
      <c r="K814" s="47" t="s">
        <v>4928</v>
      </c>
      <c r="L814" s="67" t="e">
        <f>VLOOKUP(G814,Input!C:Q,12,FALSE)</f>
        <v>#N/A</v>
      </c>
      <c r="M814" s="68" t="e">
        <f>VLOOKUP(G814,Input!C:Q,15,FALSE)</f>
        <v>#N/A</v>
      </c>
      <c r="N814" s="69" t="e">
        <f>VLOOKUP(G814,Input!C:Q,14,FALSE)</f>
        <v>#N/A</v>
      </c>
      <c r="Q814" s="48">
        <v>1</v>
      </c>
      <c r="R814" s="75" t="e">
        <f>VLOOKUP(G814,Input!C:H,5,FALSE)</f>
        <v>#N/A</v>
      </c>
      <c r="T814" s="47">
        <v>1</v>
      </c>
      <c r="U814" s="47" t="str">
        <f t="shared" si="12"/>
        <v>813,813,**,</v>
      </c>
      <c r="AC814" s="47">
        <v>813</v>
      </c>
      <c r="AD814" s="47">
        <v>813</v>
      </c>
    </row>
    <row r="815" spans="1:30" ht="15.75">
      <c r="A815" s="13" t="str">
        <f>IFERROR(VLOOKUP($G:$G,scan!$A:$B,2,0),"**")</f>
        <v>**</v>
      </c>
      <c r="B815" s="13" t="str">
        <f>IFERROR(VLOOKUP($G815,scan!A:C,3,0),"**")</f>
        <v>**</v>
      </c>
      <c r="C815" s="47">
        <v>814</v>
      </c>
      <c r="F815" s="78"/>
      <c r="G815" s="2"/>
      <c r="H815" s="47" t="s">
        <v>4926</v>
      </c>
      <c r="I815" s="43">
        <v>6042070338</v>
      </c>
      <c r="J815" s="43" t="s">
        <v>4927</v>
      </c>
      <c r="K815" s="47" t="s">
        <v>4928</v>
      </c>
      <c r="L815" s="67" t="e">
        <f>VLOOKUP(G815,Input!C:Q,12,FALSE)</f>
        <v>#N/A</v>
      </c>
      <c r="M815" s="68" t="e">
        <f>VLOOKUP(G815,Input!C:Q,15,FALSE)</f>
        <v>#N/A</v>
      </c>
      <c r="N815" s="69" t="e">
        <f>VLOOKUP(G815,Input!C:Q,14,FALSE)</f>
        <v>#N/A</v>
      </c>
      <c r="Q815" s="48">
        <v>1</v>
      </c>
      <c r="R815" s="75" t="e">
        <f>VLOOKUP(G815,Input!C:H,5,FALSE)</f>
        <v>#N/A</v>
      </c>
      <c r="T815" s="47">
        <v>1</v>
      </c>
      <c r="U815" s="47" t="str">
        <f t="shared" si="12"/>
        <v>814,814,**,</v>
      </c>
      <c r="AC815" s="47">
        <v>814</v>
      </c>
      <c r="AD815" s="47">
        <v>814</v>
      </c>
    </row>
    <row r="816" spans="1:30" ht="15.75">
      <c r="A816" s="13" t="str">
        <f>IFERROR(VLOOKUP($G:$G,scan!$A:$B,2,0),"**")</f>
        <v>**</v>
      </c>
      <c r="B816" s="13" t="str">
        <f>IFERROR(VLOOKUP($G816,scan!A:C,3,0),"**")</f>
        <v>**</v>
      </c>
      <c r="C816" s="47">
        <v>815</v>
      </c>
      <c r="F816" s="78"/>
      <c r="G816" s="2"/>
      <c r="H816" s="47" t="s">
        <v>4926</v>
      </c>
      <c r="I816" s="43">
        <v>6042070338</v>
      </c>
      <c r="J816" s="43" t="s">
        <v>4927</v>
      </c>
      <c r="K816" s="47" t="s">
        <v>4928</v>
      </c>
      <c r="L816" s="67" t="e">
        <f>VLOOKUP(G816,Input!C:Q,12,FALSE)</f>
        <v>#N/A</v>
      </c>
      <c r="M816" s="68" t="e">
        <f>VLOOKUP(G816,Input!C:Q,15,FALSE)</f>
        <v>#N/A</v>
      </c>
      <c r="N816" s="69" t="e">
        <f>VLOOKUP(G816,Input!C:Q,14,FALSE)</f>
        <v>#N/A</v>
      </c>
      <c r="Q816" s="48">
        <v>1</v>
      </c>
      <c r="R816" s="75" t="e">
        <f>VLOOKUP(G816,Input!C:H,5,FALSE)</f>
        <v>#N/A</v>
      </c>
      <c r="T816" s="47">
        <v>1</v>
      </c>
      <c r="U816" s="47" t="str">
        <f t="shared" si="12"/>
        <v>815,815,**,</v>
      </c>
      <c r="AC816" s="47">
        <v>815</v>
      </c>
      <c r="AD816" s="47">
        <v>815</v>
      </c>
    </row>
    <row r="817" spans="1:30" ht="15.75">
      <c r="A817" s="13" t="str">
        <f>IFERROR(VLOOKUP($G:$G,scan!$A:$B,2,0),"**")</f>
        <v>**</v>
      </c>
      <c r="B817" s="13" t="str">
        <f>IFERROR(VLOOKUP($G817,scan!A:C,3,0),"**")</f>
        <v>**</v>
      </c>
      <c r="C817" s="47">
        <v>816</v>
      </c>
      <c r="F817" s="78"/>
      <c r="G817" s="2"/>
      <c r="H817" s="47" t="s">
        <v>4926</v>
      </c>
      <c r="I817" s="43">
        <v>6042070338</v>
      </c>
      <c r="J817" s="43" t="s">
        <v>4927</v>
      </c>
      <c r="K817" s="47" t="s">
        <v>4928</v>
      </c>
      <c r="L817" s="67" t="e">
        <f>VLOOKUP(G817,Input!C:Q,12,FALSE)</f>
        <v>#N/A</v>
      </c>
      <c r="M817" s="68" t="e">
        <f>VLOOKUP(G817,Input!C:Q,15,FALSE)</f>
        <v>#N/A</v>
      </c>
      <c r="N817" s="69" t="e">
        <f>VLOOKUP(G817,Input!C:Q,14,FALSE)</f>
        <v>#N/A</v>
      </c>
      <c r="Q817" s="48">
        <v>1</v>
      </c>
      <c r="R817" s="75" t="e">
        <f>VLOOKUP(G817,Input!C:H,5,FALSE)</f>
        <v>#N/A</v>
      </c>
      <c r="T817" s="47">
        <v>1</v>
      </c>
      <c r="U817" s="47" t="str">
        <f t="shared" si="12"/>
        <v>816,816,**,</v>
      </c>
      <c r="AC817" s="47">
        <v>816</v>
      </c>
      <c r="AD817" s="47">
        <v>816</v>
      </c>
    </row>
    <row r="818" spans="1:30" ht="15.75">
      <c r="A818" s="13" t="str">
        <f>IFERROR(VLOOKUP($G:$G,scan!$A:$B,2,0),"**")</f>
        <v>**</v>
      </c>
      <c r="B818" s="13" t="str">
        <f>IFERROR(VLOOKUP($G818,scan!A:C,3,0),"**")</f>
        <v>**</v>
      </c>
      <c r="C818" s="47">
        <v>817</v>
      </c>
      <c r="F818" s="78"/>
      <c r="G818" s="2"/>
      <c r="H818" s="47" t="s">
        <v>4926</v>
      </c>
      <c r="I818" s="43">
        <v>6042070338</v>
      </c>
      <c r="J818" s="43" t="s">
        <v>4927</v>
      </c>
      <c r="K818" s="47" t="s">
        <v>4928</v>
      </c>
      <c r="L818" s="67" t="e">
        <f>VLOOKUP(G818,Input!C:Q,12,FALSE)</f>
        <v>#N/A</v>
      </c>
      <c r="M818" s="68" t="e">
        <f>VLOOKUP(G818,Input!C:Q,15,FALSE)</f>
        <v>#N/A</v>
      </c>
      <c r="N818" s="69" t="e">
        <f>VLOOKUP(G818,Input!C:Q,14,FALSE)</f>
        <v>#N/A</v>
      </c>
      <c r="Q818" s="48">
        <v>1</v>
      </c>
      <c r="R818" s="75" t="e">
        <f>VLOOKUP(G818,Input!C:H,5,FALSE)</f>
        <v>#N/A</v>
      </c>
      <c r="T818" s="47">
        <v>1</v>
      </c>
      <c r="U818" s="47" t="str">
        <f t="shared" si="12"/>
        <v>817,817,**,</v>
      </c>
      <c r="AC818" s="47">
        <v>817</v>
      </c>
      <c r="AD818" s="47">
        <v>817</v>
      </c>
    </row>
    <row r="819" spans="1:30" ht="15.75">
      <c r="A819" s="13" t="str">
        <f>IFERROR(VLOOKUP($G:$G,scan!$A:$B,2,0),"**")</f>
        <v>**</v>
      </c>
      <c r="B819" s="13" t="str">
        <f>IFERROR(VLOOKUP($G819,scan!A:C,3,0),"**")</f>
        <v>**</v>
      </c>
      <c r="C819" s="47">
        <v>818</v>
      </c>
      <c r="F819" s="78"/>
      <c r="G819" s="2"/>
      <c r="H819" s="47" t="s">
        <v>4926</v>
      </c>
      <c r="I819" s="43">
        <v>6042070338</v>
      </c>
      <c r="J819" s="43" t="s">
        <v>4927</v>
      </c>
      <c r="K819" s="47" t="s">
        <v>4928</v>
      </c>
      <c r="L819" s="67" t="e">
        <f>VLOOKUP(G819,Input!C:Q,12,FALSE)</f>
        <v>#N/A</v>
      </c>
      <c r="M819" s="68" t="e">
        <f>VLOOKUP(G819,Input!C:Q,15,FALSE)</f>
        <v>#N/A</v>
      </c>
      <c r="N819" s="69" t="e">
        <f>VLOOKUP(G819,Input!C:Q,14,FALSE)</f>
        <v>#N/A</v>
      </c>
      <c r="Q819" s="48">
        <v>1</v>
      </c>
      <c r="R819" s="75" t="e">
        <f>VLOOKUP(G819,Input!C:H,5,FALSE)</f>
        <v>#N/A</v>
      </c>
      <c r="T819" s="47">
        <v>1</v>
      </c>
      <c r="U819" s="47" t="str">
        <f t="shared" si="12"/>
        <v>818,818,**,</v>
      </c>
      <c r="AC819" s="47">
        <v>818</v>
      </c>
      <c r="AD819" s="47">
        <v>818</v>
      </c>
    </row>
    <row r="820" spans="1:30" ht="15.75">
      <c r="A820" s="13" t="str">
        <f>IFERROR(VLOOKUP($G:$G,scan!$A:$B,2,0),"**")</f>
        <v>**</v>
      </c>
      <c r="B820" s="13" t="str">
        <f>IFERROR(VLOOKUP($G820,scan!A:C,3,0),"**")</f>
        <v>**</v>
      </c>
      <c r="C820" s="47">
        <v>819</v>
      </c>
      <c r="F820" s="78"/>
      <c r="G820" s="2"/>
      <c r="H820" s="47" t="s">
        <v>4926</v>
      </c>
      <c r="I820" s="43">
        <v>6042070338</v>
      </c>
      <c r="J820" s="43" t="s">
        <v>4927</v>
      </c>
      <c r="K820" s="47" t="s">
        <v>4928</v>
      </c>
      <c r="L820" s="67" t="e">
        <f>VLOOKUP(G820,Input!C:Q,12,FALSE)</f>
        <v>#N/A</v>
      </c>
      <c r="M820" s="68" t="e">
        <f>VLOOKUP(G820,Input!C:Q,15,FALSE)</f>
        <v>#N/A</v>
      </c>
      <c r="N820" s="69" t="e">
        <f>VLOOKUP(G820,Input!C:Q,14,FALSE)</f>
        <v>#N/A</v>
      </c>
      <c r="Q820" s="48">
        <v>1</v>
      </c>
      <c r="R820" s="75" t="e">
        <f>VLOOKUP(G820,Input!C:H,5,FALSE)</f>
        <v>#N/A</v>
      </c>
      <c r="T820" s="47">
        <v>1</v>
      </c>
      <c r="U820" s="47" t="str">
        <f t="shared" si="12"/>
        <v>819,819,**,</v>
      </c>
      <c r="AC820" s="47">
        <v>819</v>
      </c>
      <c r="AD820" s="47">
        <v>819</v>
      </c>
    </row>
    <row r="821" spans="1:30" ht="15.75">
      <c r="A821" s="13" t="str">
        <f>IFERROR(VLOOKUP($G:$G,scan!$A:$B,2,0),"**")</f>
        <v>**</v>
      </c>
      <c r="B821" s="13" t="str">
        <f>IFERROR(VLOOKUP($G821,scan!A:C,3,0),"**")</f>
        <v>**</v>
      </c>
      <c r="C821" s="47">
        <v>820</v>
      </c>
      <c r="F821" s="78"/>
      <c r="G821" s="2"/>
      <c r="H821" s="47" t="s">
        <v>4926</v>
      </c>
      <c r="I821" s="43">
        <v>6042070338</v>
      </c>
      <c r="J821" s="43" t="s">
        <v>4927</v>
      </c>
      <c r="K821" s="47" t="s">
        <v>4928</v>
      </c>
      <c r="L821" s="67" t="e">
        <f>VLOOKUP(G821,Input!C:Q,12,FALSE)</f>
        <v>#N/A</v>
      </c>
      <c r="M821" s="68" t="e">
        <f>VLOOKUP(G821,Input!C:Q,15,FALSE)</f>
        <v>#N/A</v>
      </c>
      <c r="N821" s="69" t="e">
        <f>VLOOKUP(G821,Input!C:Q,14,FALSE)</f>
        <v>#N/A</v>
      </c>
      <c r="Q821" s="48">
        <v>1</v>
      </c>
      <c r="R821" s="75" t="e">
        <f>VLOOKUP(G821,Input!C:H,5,FALSE)</f>
        <v>#N/A</v>
      </c>
      <c r="T821" s="47">
        <v>1</v>
      </c>
      <c r="U821" s="47" t="str">
        <f t="shared" si="12"/>
        <v>820,820,**,</v>
      </c>
      <c r="AC821" s="47">
        <v>820</v>
      </c>
      <c r="AD821" s="47">
        <v>820</v>
      </c>
    </row>
    <row r="822" spans="1:30" ht="15.75">
      <c r="A822" s="13" t="str">
        <f>IFERROR(VLOOKUP($G:$G,scan!$A:$B,2,0),"**")</f>
        <v>**</v>
      </c>
      <c r="B822" s="13" t="str">
        <f>IFERROR(VLOOKUP($G822,scan!A:C,3,0),"**")</f>
        <v>**</v>
      </c>
      <c r="C822" s="47">
        <v>821</v>
      </c>
      <c r="F822" s="78"/>
      <c r="G822" s="2"/>
      <c r="H822" s="47" t="s">
        <v>4926</v>
      </c>
      <c r="I822" s="43">
        <v>6042070338</v>
      </c>
      <c r="J822" s="43" t="s">
        <v>4927</v>
      </c>
      <c r="K822" s="47" t="s">
        <v>4928</v>
      </c>
      <c r="L822" s="67" t="e">
        <f>VLOOKUP(G822,Input!C:Q,12,FALSE)</f>
        <v>#N/A</v>
      </c>
      <c r="M822" s="68" t="e">
        <f>VLOOKUP(G822,Input!C:Q,15,FALSE)</f>
        <v>#N/A</v>
      </c>
      <c r="N822" s="69" t="e">
        <f>VLOOKUP(G822,Input!C:Q,14,FALSE)</f>
        <v>#N/A</v>
      </c>
      <c r="Q822" s="48">
        <v>1</v>
      </c>
      <c r="R822" s="75" t="e">
        <f>VLOOKUP(G822,Input!C:H,5,FALSE)</f>
        <v>#N/A</v>
      </c>
      <c r="T822" s="47">
        <v>1</v>
      </c>
      <c r="U822" s="47" t="str">
        <f t="shared" si="12"/>
        <v>821,821,**,</v>
      </c>
      <c r="AC822" s="47">
        <v>821</v>
      </c>
      <c r="AD822" s="47">
        <v>821</v>
      </c>
    </row>
    <row r="823" spans="1:30" ht="15.75">
      <c r="A823" s="13" t="str">
        <f>IFERROR(VLOOKUP($G:$G,scan!$A:$B,2,0),"**")</f>
        <v>**</v>
      </c>
      <c r="B823" s="13" t="str">
        <f>IFERROR(VLOOKUP($G823,scan!A:C,3,0),"**")</f>
        <v>**</v>
      </c>
      <c r="C823" s="47">
        <v>822</v>
      </c>
      <c r="F823" s="78"/>
      <c r="G823" s="2"/>
      <c r="H823" s="47" t="s">
        <v>4926</v>
      </c>
      <c r="I823" s="43">
        <v>6042070338</v>
      </c>
      <c r="J823" s="43" t="s">
        <v>4927</v>
      </c>
      <c r="K823" s="47" t="s">
        <v>4928</v>
      </c>
      <c r="L823" s="67" t="e">
        <f>VLOOKUP(G823,Input!C:Q,12,FALSE)</f>
        <v>#N/A</v>
      </c>
      <c r="M823" s="68" t="e">
        <f>VLOOKUP(G823,Input!C:Q,15,FALSE)</f>
        <v>#N/A</v>
      </c>
      <c r="N823" s="69" t="e">
        <f>VLOOKUP(G823,Input!C:Q,14,FALSE)</f>
        <v>#N/A</v>
      </c>
      <c r="Q823" s="48">
        <v>1</v>
      </c>
      <c r="R823" s="75" t="e">
        <f>VLOOKUP(G823,Input!C:H,5,FALSE)</f>
        <v>#N/A</v>
      </c>
      <c r="T823" s="47">
        <v>1</v>
      </c>
      <c r="U823" s="47" t="str">
        <f t="shared" si="12"/>
        <v>822,822,**,</v>
      </c>
      <c r="AC823" s="47">
        <v>822</v>
      </c>
      <c r="AD823" s="47">
        <v>822</v>
      </c>
    </row>
    <row r="824" spans="1:30" ht="15.75">
      <c r="A824" s="13" t="str">
        <f>IFERROR(VLOOKUP($G:$G,scan!$A:$B,2,0),"**")</f>
        <v>**</v>
      </c>
      <c r="B824" s="13" t="str">
        <f>IFERROR(VLOOKUP($G824,scan!A:C,3,0),"**")</f>
        <v>**</v>
      </c>
      <c r="C824" s="47">
        <v>823</v>
      </c>
      <c r="F824" s="78"/>
      <c r="G824" s="2"/>
      <c r="H824" s="47" t="s">
        <v>4926</v>
      </c>
      <c r="I824" s="43">
        <v>6042070338</v>
      </c>
      <c r="J824" s="43" t="s">
        <v>4927</v>
      </c>
      <c r="K824" s="47" t="s">
        <v>4928</v>
      </c>
      <c r="L824" s="67" t="e">
        <f>VLOOKUP(G824,Input!C:Q,12,FALSE)</f>
        <v>#N/A</v>
      </c>
      <c r="M824" s="68" t="e">
        <f>VLOOKUP(G824,Input!C:Q,15,FALSE)</f>
        <v>#N/A</v>
      </c>
      <c r="N824" s="69" t="e">
        <f>VLOOKUP(G824,Input!C:Q,14,FALSE)</f>
        <v>#N/A</v>
      </c>
      <c r="Q824" s="48">
        <v>1</v>
      </c>
      <c r="R824" s="75" t="e">
        <f>VLOOKUP(G824,Input!C:H,5,FALSE)</f>
        <v>#N/A</v>
      </c>
      <c r="T824" s="47">
        <v>1</v>
      </c>
      <c r="U824" s="47" t="str">
        <f t="shared" ref="U824:U848" si="13">CONCATENATE(AC824,",",C824,",",B824,",",G824)</f>
        <v>823,823,**,</v>
      </c>
      <c r="AC824" s="47">
        <v>823</v>
      </c>
      <c r="AD824" s="47">
        <v>823</v>
      </c>
    </row>
    <row r="825" spans="1:30" ht="15.75">
      <c r="A825" s="13" t="str">
        <f>IFERROR(VLOOKUP($G:$G,scan!$A:$B,2,0),"**")</f>
        <v>**</v>
      </c>
      <c r="B825" s="13" t="str">
        <f>IFERROR(VLOOKUP($G825,scan!A:C,3,0),"**")</f>
        <v>**</v>
      </c>
      <c r="C825" s="47">
        <v>824</v>
      </c>
      <c r="F825" s="78"/>
      <c r="G825" s="2"/>
      <c r="H825" s="47" t="s">
        <v>4926</v>
      </c>
      <c r="I825" s="43">
        <v>6042070338</v>
      </c>
      <c r="J825" s="43" t="s">
        <v>4927</v>
      </c>
      <c r="K825" s="47" t="s">
        <v>4928</v>
      </c>
      <c r="L825" s="67" t="e">
        <f>VLOOKUP(G825,Input!C:Q,12,FALSE)</f>
        <v>#N/A</v>
      </c>
      <c r="M825" s="68" t="e">
        <f>VLOOKUP(G825,Input!C:Q,15,FALSE)</f>
        <v>#N/A</v>
      </c>
      <c r="N825" s="69" t="e">
        <f>VLOOKUP(G825,Input!C:Q,14,FALSE)</f>
        <v>#N/A</v>
      </c>
      <c r="Q825" s="48">
        <v>1</v>
      </c>
      <c r="R825" s="75" t="e">
        <f>VLOOKUP(G825,Input!C:H,5,FALSE)</f>
        <v>#N/A</v>
      </c>
      <c r="T825" s="47">
        <v>1</v>
      </c>
      <c r="U825" s="47" t="str">
        <f t="shared" si="13"/>
        <v>824,824,**,</v>
      </c>
      <c r="AC825" s="47">
        <v>824</v>
      </c>
      <c r="AD825" s="47">
        <v>824</v>
      </c>
    </row>
    <row r="826" spans="1:30" ht="15.75">
      <c r="A826" s="13" t="str">
        <f>IFERROR(VLOOKUP($G:$G,scan!$A:$B,2,0),"**")</f>
        <v>**</v>
      </c>
      <c r="B826" s="13" t="str">
        <f>IFERROR(VLOOKUP($G826,scan!A:C,3,0),"**")</f>
        <v>**</v>
      </c>
      <c r="C826" s="47">
        <v>825</v>
      </c>
      <c r="F826" s="78"/>
      <c r="G826" s="2"/>
      <c r="H826" s="47" t="s">
        <v>4926</v>
      </c>
      <c r="I826" s="43">
        <v>6042070338</v>
      </c>
      <c r="J826" s="43" t="s">
        <v>4927</v>
      </c>
      <c r="K826" s="47" t="s">
        <v>4928</v>
      </c>
      <c r="L826" s="67" t="e">
        <f>VLOOKUP(G826,Input!C:Q,12,FALSE)</f>
        <v>#N/A</v>
      </c>
      <c r="M826" s="68" t="e">
        <f>VLOOKUP(G826,Input!C:Q,15,FALSE)</f>
        <v>#N/A</v>
      </c>
      <c r="N826" s="69" t="e">
        <f>VLOOKUP(G826,Input!C:Q,14,FALSE)</f>
        <v>#N/A</v>
      </c>
      <c r="Q826" s="48">
        <v>1</v>
      </c>
      <c r="R826" s="75" t="e">
        <f>VLOOKUP(G826,Input!C:H,5,FALSE)</f>
        <v>#N/A</v>
      </c>
      <c r="T826" s="47">
        <v>1</v>
      </c>
      <c r="U826" s="47" t="str">
        <f t="shared" si="13"/>
        <v>825,825,**,</v>
      </c>
      <c r="AC826" s="47">
        <v>825</v>
      </c>
      <c r="AD826" s="47">
        <v>825</v>
      </c>
    </row>
    <row r="827" spans="1:30" ht="15.75">
      <c r="A827" s="13" t="str">
        <f>IFERROR(VLOOKUP($G:$G,scan!$A:$B,2,0),"**")</f>
        <v>**</v>
      </c>
      <c r="B827" s="13" t="str">
        <f>IFERROR(VLOOKUP($G827,scan!A:C,3,0),"**")</f>
        <v>**</v>
      </c>
      <c r="C827" s="47">
        <v>826</v>
      </c>
      <c r="F827" s="78"/>
      <c r="G827" s="2"/>
      <c r="H827" s="47" t="s">
        <v>4926</v>
      </c>
      <c r="I827" s="43">
        <v>6042070338</v>
      </c>
      <c r="J827" s="43" t="s">
        <v>4927</v>
      </c>
      <c r="K827" s="47" t="s">
        <v>4928</v>
      </c>
      <c r="L827" s="67" t="e">
        <f>VLOOKUP(G827,Input!C:Q,12,FALSE)</f>
        <v>#N/A</v>
      </c>
      <c r="M827" s="68" t="e">
        <f>VLOOKUP(G827,Input!C:Q,15,FALSE)</f>
        <v>#N/A</v>
      </c>
      <c r="N827" s="69" t="e">
        <f>VLOOKUP(G827,Input!C:Q,14,FALSE)</f>
        <v>#N/A</v>
      </c>
      <c r="Q827" s="48">
        <v>1</v>
      </c>
      <c r="R827" s="75" t="e">
        <f>VLOOKUP(G827,Input!C:H,5,FALSE)</f>
        <v>#N/A</v>
      </c>
      <c r="T827" s="47">
        <v>1</v>
      </c>
      <c r="U827" s="47" t="str">
        <f t="shared" si="13"/>
        <v>826,826,**,</v>
      </c>
      <c r="AC827" s="47">
        <v>826</v>
      </c>
      <c r="AD827" s="47">
        <v>826</v>
      </c>
    </row>
    <row r="828" spans="1:30" ht="15.75">
      <c r="A828" s="13" t="str">
        <f>IFERROR(VLOOKUP($G:$G,scan!$A:$B,2,0),"**")</f>
        <v>**</v>
      </c>
      <c r="B828" s="13" t="str">
        <f>IFERROR(VLOOKUP($G828,scan!A:C,3,0),"**")</f>
        <v>**</v>
      </c>
      <c r="C828" s="47">
        <v>827</v>
      </c>
      <c r="F828" s="78"/>
      <c r="G828" s="2"/>
      <c r="H828" s="47" t="s">
        <v>4926</v>
      </c>
      <c r="I828" s="43">
        <v>6042070338</v>
      </c>
      <c r="J828" s="43" t="s">
        <v>4927</v>
      </c>
      <c r="K828" s="47" t="s">
        <v>4928</v>
      </c>
      <c r="L828" s="67" t="e">
        <f>VLOOKUP(G828,Input!C:Q,12,FALSE)</f>
        <v>#N/A</v>
      </c>
      <c r="M828" s="68" t="e">
        <f>VLOOKUP(G828,Input!C:Q,15,FALSE)</f>
        <v>#N/A</v>
      </c>
      <c r="N828" s="69" t="e">
        <f>VLOOKUP(G828,Input!C:Q,14,FALSE)</f>
        <v>#N/A</v>
      </c>
      <c r="Q828" s="48">
        <v>1</v>
      </c>
      <c r="R828" s="75" t="e">
        <f>VLOOKUP(G828,Input!C:H,5,FALSE)</f>
        <v>#N/A</v>
      </c>
      <c r="T828" s="47">
        <v>1</v>
      </c>
      <c r="U828" s="47" t="str">
        <f t="shared" si="13"/>
        <v>827,827,**,</v>
      </c>
      <c r="AC828" s="47">
        <v>827</v>
      </c>
      <c r="AD828" s="47">
        <v>827</v>
      </c>
    </row>
    <row r="829" spans="1:30" ht="15.75">
      <c r="A829" s="13" t="str">
        <f>IFERROR(VLOOKUP($G:$G,scan!$A:$B,2,0),"**")</f>
        <v>**</v>
      </c>
      <c r="B829" s="13" t="str">
        <f>IFERROR(VLOOKUP($G829,scan!A:C,3,0),"**")</f>
        <v>**</v>
      </c>
      <c r="C829" s="47">
        <v>828</v>
      </c>
      <c r="F829" s="78"/>
      <c r="G829" s="2"/>
      <c r="H829" s="47" t="s">
        <v>4926</v>
      </c>
      <c r="I829" s="43">
        <v>6042070338</v>
      </c>
      <c r="J829" s="43" t="s">
        <v>4927</v>
      </c>
      <c r="K829" s="47" t="s">
        <v>4928</v>
      </c>
      <c r="L829" s="67" t="e">
        <f>VLOOKUP(G829,Input!C:Q,12,FALSE)</f>
        <v>#N/A</v>
      </c>
      <c r="M829" s="68" t="e">
        <f>VLOOKUP(G829,Input!C:Q,15,FALSE)</f>
        <v>#N/A</v>
      </c>
      <c r="N829" s="69" t="e">
        <f>VLOOKUP(G829,Input!C:Q,14,FALSE)</f>
        <v>#N/A</v>
      </c>
      <c r="Q829" s="48">
        <v>1</v>
      </c>
      <c r="R829" s="75" t="e">
        <f>VLOOKUP(G829,Input!C:H,5,FALSE)</f>
        <v>#N/A</v>
      </c>
      <c r="T829" s="47">
        <v>1</v>
      </c>
      <c r="U829" s="47" t="str">
        <f t="shared" si="13"/>
        <v>828,828,**,</v>
      </c>
      <c r="AC829" s="47">
        <v>828</v>
      </c>
      <c r="AD829" s="47">
        <v>828</v>
      </c>
    </row>
    <row r="830" spans="1:30" ht="15.75">
      <c r="A830" s="13" t="str">
        <f>IFERROR(VLOOKUP($G:$G,scan!$A:$B,2,0),"**")</f>
        <v>**</v>
      </c>
      <c r="B830" s="13" t="str">
        <f>IFERROR(VLOOKUP($G830,scan!A:C,3,0),"**")</f>
        <v>**</v>
      </c>
      <c r="C830" s="47">
        <v>829</v>
      </c>
      <c r="F830" s="78"/>
      <c r="G830" s="2"/>
      <c r="H830" s="47" t="s">
        <v>4926</v>
      </c>
      <c r="I830" s="43">
        <v>6042070338</v>
      </c>
      <c r="J830" s="43" t="s">
        <v>4927</v>
      </c>
      <c r="K830" s="47" t="s">
        <v>4928</v>
      </c>
      <c r="L830" s="67" t="e">
        <f>VLOOKUP(G830,Input!C:Q,12,FALSE)</f>
        <v>#N/A</v>
      </c>
      <c r="M830" s="68" t="e">
        <f>VLOOKUP(G830,Input!C:Q,15,FALSE)</f>
        <v>#N/A</v>
      </c>
      <c r="N830" s="69" t="e">
        <f>VLOOKUP(G830,Input!C:Q,14,FALSE)</f>
        <v>#N/A</v>
      </c>
      <c r="Q830" s="48">
        <v>1</v>
      </c>
      <c r="R830" s="75" t="e">
        <f>VLOOKUP(G830,Input!C:H,5,FALSE)</f>
        <v>#N/A</v>
      </c>
      <c r="T830" s="47">
        <v>1</v>
      </c>
      <c r="U830" s="47" t="str">
        <f t="shared" si="13"/>
        <v>829,829,**,</v>
      </c>
      <c r="AC830" s="47">
        <v>829</v>
      </c>
      <c r="AD830" s="47">
        <v>829</v>
      </c>
    </row>
    <row r="831" spans="1:30" ht="15.75">
      <c r="A831" s="13" t="str">
        <f>IFERROR(VLOOKUP($G:$G,scan!$A:$B,2,0),"**")</f>
        <v>**</v>
      </c>
      <c r="B831" s="13" t="str">
        <f>IFERROR(VLOOKUP($G831,scan!A:C,3,0),"**")</f>
        <v>**</v>
      </c>
      <c r="C831" s="47">
        <v>830</v>
      </c>
      <c r="F831" s="78"/>
      <c r="G831" s="2"/>
      <c r="H831" s="47" t="s">
        <v>4926</v>
      </c>
      <c r="I831" s="43">
        <v>6042070338</v>
      </c>
      <c r="J831" s="43" t="s">
        <v>4927</v>
      </c>
      <c r="K831" s="47" t="s">
        <v>4928</v>
      </c>
      <c r="L831" s="67" t="e">
        <f>VLOOKUP(G831,Input!C:Q,12,FALSE)</f>
        <v>#N/A</v>
      </c>
      <c r="M831" s="68" t="e">
        <f>VLOOKUP(G831,Input!C:Q,15,FALSE)</f>
        <v>#N/A</v>
      </c>
      <c r="N831" s="69" t="e">
        <f>VLOOKUP(G831,Input!C:Q,14,FALSE)</f>
        <v>#N/A</v>
      </c>
      <c r="Q831" s="48">
        <v>1</v>
      </c>
      <c r="R831" s="75" t="e">
        <f>VLOOKUP(G831,Input!C:H,5,FALSE)</f>
        <v>#N/A</v>
      </c>
      <c r="T831" s="47">
        <v>1</v>
      </c>
      <c r="U831" s="47" t="str">
        <f t="shared" si="13"/>
        <v>830,830,**,</v>
      </c>
      <c r="AC831" s="47">
        <v>830</v>
      </c>
      <c r="AD831" s="47">
        <v>830</v>
      </c>
    </row>
    <row r="832" spans="1:30" ht="15.75">
      <c r="A832" s="13" t="str">
        <f>IFERROR(VLOOKUP($G:$G,scan!$A:$B,2,0),"**")</f>
        <v>**</v>
      </c>
      <c r="B832" s="13" t="str">
        <f>IFERROR(VLOOKUP($G832,scan!A:C,3,0),"**")</f>
        <v>**</v>
      </c>
      <c r="C832" s="47">
        <v>831</v>
      </c>
      <c r="F832" s="78"/>
      <c r="G832" s="2"/>
      <c r="H832" s="47" t="s">
        <v>4926</v>
      </c>
      <c r="I832" s="43">
        <v>6042070338</v>
      </c>
      <c r="J832" s="43" t="s">
        <v>4927</v>
      </c>
      <c r="K832" s="47" t="s">
        <v>4928</v>
      </c>
      <c r="L832" s="67" t="e">
        <f>VLOOKUP(G832,Input!C:Q,12,FALSE)</f>
        <v>#N/A</v>
      </c>
      <c r="M832" s="68" t="e">
        <f>VLOOKUP(G832,Input!C:Q,15,FALSE)</f>
        <v>#N/A</v>
      </c>
      <c r="N832" s="69" t="e">
        <f>VLOOKUP(G832,Input!C:Q,14,FALSE)</f>
        <v>#N/A</v>
      </c>
      <c r="Q832" s="48">
        <v>1</v>
      </c>
      <c r="R832" s="75" t="e">
        <f>VLOOKUP(G832,Input!C:H,5,FALSE)</f>
        <v>#N/A</v>
      </c>
      <c r="T832" s="47">
        <v>1</v>
      </c>
      <c r="U832" s="47" t="str">
        <f t="shared" si="13"/>
        <v>831,831,**,</v>
      </c>
      <c r="AC832" s="47">
        <v>831</v>
      </c>
      <c r="AD832" s="47">
        <v>831</v>
      </c>
    </row>
    <row r="833" spans="1:30" ht="15.75">
      <c r="A833" s="13" t="str">
        <f>IFERROR(VLOOKUP($G:$G,scan!$A:$B,2,0),"**")</f>
        <v>**</v>
      </c>
      <c r="B833" s="13" t="str">
        <f>IFERROR(VLOOKUP($G833,scan!A:C,3,0),"**")</f>
        <v>**</v>
      </c>
      <c r="C833" s="47">
        <v>832</v>
      </c>
      <c r="F833" s="78"/>
      <c r="G833" s="2"/>
      <c r="H833" s="47" t="s">
        <v>4926</v>
      </c>
      <c r="I833" s="43">
        <v>6042070338</v>
      </c>
      <c r="J833" s="43" t="s">
        <v>4927</v>
      </c>
      <c r="K833" s="47" t="s">
        <v>4928</v>
      </c>
      <c r="L833" s="67" t="e">
        <f>VLOOKUP(G833,Input!C:Q,12,FALSE)</f>
        <v>#N/A</v>
      </c>
      <c r="M833" s="68" t="e">
        <f>VLOOKUP(G833,Input!C:Q,15,FALSE)</f>
        <v>#N/A</v>
      </c>
      <c r="N833" s="69" t="e">
        <f>VLOOKUP(G833,Input!C:Q,14,FALSE)</f>
        <v>#N/A</v>
      </c>
      <c r="Q833" s="48">
        <v>1</v>
      </c>
      <c r="R833" s="75" t="e">
        <f>VLOOKUP(G833,Input!C:H,5,FALSE)</f>
        <v>#N/A</v>
      </c>
      <c r="T833" s="47">
        <v>1</v>
      </c>
      <c r="U833" s="47" t="str">
        <f t="shared" si="13"/>
        <v>832,832,**,</v>
      </c>
      <c r="AC833" s="47">
        <v>832</v>
      </c>
      <c r="AD833" s="47">
        <v>832</v>
      </c>
    </row>
    <row r="834" spans="1:30" ht="15.75">
      <c r="A834" s="13" t="str">
        <f>IFERROR(VLOOKUP($G:$G,scan!$A:$B,2,0),"**")</f>
        <v>**</v>
      </c>
      <c r="B834" s="13" t="str">
        <f>IFERROR(VLOOKUP($G834,scan!A:C,3,0),"**")</f>
        <v>**</v>
      </c>
      <c r="C834" s="47">
        <v>833</v>
      </c>
      <c r="F834" s="78"/>
      <c r="G834" s="2"/>
      <c r="H834" s="47" t="s">
        <v>4926</v>
      </c>
      <c r="I834" s="43">
        <v>6042070338</v>
      </c>
      <c r="J834" s="43" t="s">
        <v>4927</v>
      </c>
      <c r="K834" s="47" t="s">
        <v>4928</v>
      </c>
      <c r="L834" s="67" t="e">
        <f>VLOOKUP(G834,Input!C:Q,12,FALSE)</f>
        <v>#N/A</v>
      </c>
      <c r="M834" s="68" t="e">
        <f>VLOOKUP(G834,Input!C:Q,15,FALSE)</f>
        <v>#N/A</v>
      </c>
      <c r="N834" s="69" t="e">
        <f>VLOOKUP(G834,Input!C:Q,14,FALSE)</f>
        <v>#N/A</v>
      </c>
      <c r="Q834" s="48">
        <v>1</v>
      </c>
      <c r="R834" s="75" t="e">
        <f>VLOOKUP(G834,Input!C:H,5,FALSE)</f>
        <v>#N/A</v>
      </c>
      <c r="T834" s="47">
        <v>1</v>
      </c>
      <c r="U834" s="47" t="str">
        <f t="shared" si="13"/>
        <v>833,833,**,</v>
      </c>
      <c r="AC834" s="47">
        <v>833</v>
      </c>
      <c r="AD834" s="47">
        <v>833</v>
      </c>
    </row>
    <row r="835" spans="1:30" ht="15.75">
      <c r="A835" s="13" t="str">
        <f>IFERROR(VLOOKUP($G:$G,scan!$A:$B,2,0),"**")</f>
        <v>**</v>
      </c>
      <c r="B835" s="13" t="str">
        <f>IFERROR(VLOOKUP($G835,scan!A:C,3,0),"**")</f>
        <v>**</v>
      </c>
      <c r="C835" s="47">
        <v>834</v>
      </c>
      <c r="F835" s="78"/>
      <c r="G835" s="2"/>
      <c r="H835" s="47" t="s">
        <v>4926</v>
      </c>
      <c r="I835" s="43">
        <v>6042070338</v>
      </c>
      <c r="J835" s="43" t="s">
        <v>4927</v>
      </c>
      <c r="K835" s="47" t="s">
        <v>4928</v>
      </c>
      <c r="L835" s="67" t="e">
        <f>VLOOKUP(G835,Input!C:Q,12,FALSE)</f>
        <v>#N/A</v>
      </c>
      <c r="M835" s="68" t="e">
        <f>VLOOKUP(G835,Input!C:Q,15,FALSE)</f>
        <v>#N/A</v>
      </c>
      <c r="N835" s="69" t="e">
        <f>VLOOKUP(G835,Input!C:Q,14,FALSE)</f>
        <v>#N/A</v>
      </c>
      <c r="Q835" s="48">
        <v>1</v>
      </c>
      <c r="R835" s="75" t="e">
        <f>VLOOKUP(G835,Input!C:H,5,FALSE)</f>
        <v>#N/A</v>
      </c>
      <c r="T835" s="47">
        <v>1</v>
      </c>
      <c r="U835" s="47" t="str">
        <f t="shared" si="13"/>
        <v>834,834,**,</v>
      </c>
      <c r="AC835" s="47">
        <v>834</v>
      </c>
      <c r="AD835" s="47">
        <v>834</v>
      </c>
    </row>
    <row r="836" spans="1:30" ht="15.75">
      <c r="A836" s="13" t="str">
        <f>IFERROR(VLOOKUP($G:$G,scan!$A:$B,2,0),"**")</f>
        <v>**</v>
      </c>
      <c r="B836" s="13" t="str">
        <f>IFERROR(VLOOKUP($G836,scan!A:C,3,0),"**")</f>
        <v>**</v>
      </c>
      <c r="C836" s="47">
        <v>835</v>
      </c>
      <c r="F836" s="78"/>
      <c r="G836" s="2"/>
      <c r="H836" s="47" t="s">
        <v>4926</v>
      </c>
      <c r="I836" s="43">
        <v>6042070338</v>
      </c>
      <c r="J836" s="43" t="s">
        <v>4927</v>
      </c>
      <c r="K836" s="47" t="s">
        <v>4928</v>
      </c>
      <c r="L836" s="67" t="e">
        <f>VLOOKUP(G836,Input!C:Q,12,FALSE)</f>
        <v>#N/A</v>
      </c>
      <c r="M836" s="68" t="e">
        <f>VLOOKUP(G836,Input!C:Q,15,FALSE)</f>
        <v>#N/A</v>
      </c>
      <c r="N836" s="69" t="e">
        <f>VLOOKUP(G836,Input!C:Q,14,FALSE)</f>
        <v>#N/A</v>
      </c>
      <c r="Q836" s="48">
        <v>1</v>
      </c>
      <c r="R836" s="75" t="e">
        <f>VLOOKUP(G836,Input!C:H,5,FALSE)</f>
        <v>#N/A</v>
      </c>
      <c r="T836" s="47">
        <v>1</v>
      </c>
      <c r="U836" s="47" t="str">
        <f t="shared" si="13"/>
        <v>835,835,**,</v>
      </c>
      <c r="AC836" s="47">
        <v>835</v>
      </c>
      <c r="AD836" s="47">
        <v>835</v>
      </c>
    </row>
    <row r="837" spans="1:30" ht="15.75">
      <c r="A837" s="13" t="str">
        <f>IFERROR(VLOOKUP($G:$G,scan!$A:$B,2,0),"**")</f>
        <v>**</v>
      </c>
      <c r="B837" s="13" t="str">
        <f>IFERROR(VLOOKUP($G837,scan!A:C,3,0),"**")</f>
        <v>**</v>
      </c>
      <c r="C837" s="47">
        <v>836</v>
      </c>
      <c r="F837" s="78"/>
      <c r="G837" s="2"/>
      <c r="H837" s="47" t="s">
        <v>4926</v>
      </c>
      <c r="I837" s="43">
        <v>6042070338</v>
      </c>
      <c r="J837" s="43" t="s">
        <v>4927</v>
      </c>
      <c r="K837" s="47" t="s">
        <v>4928</v>
      </c>
      <c r="L837" s="67" t="e">
        <f>VLOOKUP(G837,Input!C:Q,12,FALSE)</f>
        <v>#N/A</v>
      </c>
      <c r="M837" s="68" t="e">
        <f>VLOOKUP(G837,Input!C:Q,15,FALSE)</f>
        <v>#N/A</v>
      </c>
      <c r="N837" s="69" t="e">
        <f>VLOOKUP(G837,Input!C:Q,14,FALSE)</f>
        <v>#N/A</v>
      </c>
      <c r="Q837" s="48">
        <v>1</v>
      </c>
      <c r="R837" s="75" t="e">
        <f>VLOOKUP(G837,Input!C:H,5,FALSE)</f>
        <v>#N/A</v>
      </c>
      <c r="T837" s="47">
        <v>1</v>
      </c>
      <c r="U837" s="47" t="str">
        <f t="shared" si="13"/>
        <v>836,836,**,</v>
      </c>
      <c r="AC837" s="47">
        <v>836</v>
      </c>
      <c r="AD837" s="47">
        <v>836</v>
      </c>
    </row>
    <row r="838" spans="1:30" ht="15.75">
      <c r="A838" s="13" t="str">
        <f>IFERROR(VLOOKUP($G:$G,scan!$A:$B,2,0),"**")</f>
        <v>**</v>
      </c>
      <c r="B838" s="13" t="str">
        <f>IFERROR(VLOOKUP($G838,scan!A:C,3,0),"**")</f>
        <v>**</v>
      </c>
      <c r="C838" s="47">
        <v>837</v>
      </c>
      <c r="F838" s="78"/>
      <c r="G838" s="2"/>
      <c r="H838" s="47" t="s">
        <v>4926</v>
      </c>
      <c r="I838" s="43">
        <v>6042070338</v>
      </c>
      <c r="J838" s="43" t="s">
        <v>4927</v>
      </c>
      <c r="K838" s="47" t="s">
        <v>4928</v>
      </c>
      <c r="L838" s="67" t="e">
        <f>VLOOKUP(G838,Input!C:Q,12,FALSE)</f>
        <v>#N/A</v>
      </c>
      <c r="M838" s="68" t="e">
        <f>VLOOKUP(G838,Input!C:Q,15,FALSE)</f>
        <v>#N/A</v>
      </c>
      <c r="N838" s="69" t="e">
        <f>VLOOKUP(G838,Input!C:Q,14,FALSE)</f>
        <v>#N/A</v>
      </c>
      <c r="Q838" s="48">
        <v>1</v>
      </c>
      <c r="R838" s="75" t="e">
        <f>VLOOKUP(G838,Input!C:H,5,FALSE)</f>
        <v>#N/A</v>
      </c>
      <c r="T838" s="47">
        <v>1</v>
      </c>
      <c r="U838" s="47" t="str">
        <f t="shared" si="13"/>
        <v>837,837,**,</v>
      </c>
      <c r="AC838" s="47">
        <v>837</v>
      </c>
      <c r="AD838" s="47">
        <v>837</v>
      </c>
    </row>
    <row r="839" spans="1:30" ht="15.75">
      <c r="A839" s="13" t="str">
        <f>IFERROR(VLOOKUP($G:$G,scan!$A:$B,2,0),"**")</f>
        <v>**</v>
      </c>
      <c r="B839" s="13" t="str">
        <f>IFERROR(VLOOKUP($G839,scan!A:C,3,0),"**")</f>
        <v>**</v>
      </c>
      <c r="C839" s="47">
        <v>838</v>
      </c>
      <c r="F839" s="78"/>
      <c r="G839" s="2"/>
      <c r="H839" s="47" t="s">
        <v>4926</v>
      </c>
      <c r="I839" s="43">
        <v>6042070338</v>
      </c>
      <c r="J839" s="43" t="s">
        <v>4927</v>
      </c>
      <c r="K839" s="47" t="s">
        <v>4928</v>
      </c>
      <c r="L839" s="67" t="e">
        <f>VLOOKUP(G839,Input!C:Q,12,FALSE)</f>
        <v>#N/A</v>
      </c>
      <c r="M839" s="68" t="e">
        <f>VLOOKUP(G839,Input!C:Q,15,FALSE)</f>
        <v>#N/A</v>
      </c>
      <c r="N839" s="69" t="e">
        <f>VLOOKUP(G839,Input!C:Q,14,FALSE)</f>
        <v>#N/A</v>
      </c>
      <c r="Q839" s="48">
        <v>1</v>
      </c>
      <c r="R839" s="75" t="e">
        <f>VLOOKUP(G839,Input!C:H,5,FALSE)</f>
        <v>#N/A</v>
      </c>
      <c r="T839" s="47">
        <v>1</v>
      </c>
      <c r="U839" s="47" t="str">
        <f t="shared" si="13"/>
        <v>838,838,**,</v>
      </c>
      <c r="AC839" s="47">
        <v>838</v>
      </c>
      <c r="AD839" s="47">
        <v>838</v>
      </c>
    </row>
    <row r="840" spans="1:30" ht="15.75">
      <c r="A840" s="13" t="str">
        <f>IFERROR(VLOOKUP($G:$G,scan!$A:$B,2,0),"**")</f>
        <v>**</v>
      </c>
      <c r="B840" s="13" t="str">
        <f>IFERROR(VLOOKUP($G840,scan!A:C,3,0),"**")</f>
        <v>**</v>
      </c>
      <c r="C840" s="47">
        <v>839</v>
      </c>
      <c r="F840" s="78"/>
      <c r="G840" s="2"/>
      <c r="H840" s="47" t="s">
        <v>4926</v>
      </c>
      <c r="I840" s="43">
        <v>6042070338</v>
      </c>
      <c r="J840" s="43" t="s">
        <v>4927</v>
      </c>
      <c r="K840" s="47" t="s">
        <v>4928</v>
      </c>
      <c r="L840" s="67" t="e">
        <f>VLOOKUP(G840,Input!C:Q,12,FALSE)</f>
        <v>#N/A</v>
      </c>
      <c r="M840" s="68" t="e">
        <f>VLOOKUP(G840,Input!C:Q,15,FALSE)</f>
        <v>#N/A</v>
      </c>
      <c r="N840" s="69" t="e">
        <f>VLOOKUP(G840,Input!C:Q,14,FALSE)</f>
        <v>#N/A</v>
      </c>
      <c r="Q840" s="48">
        <v>1</v>
      </c>
      <c r="R840" s="75" t="e">
        <f>VLOOKUP(G840,Input!C:H,5,FALSE)</f>
        <v>#N/A</v>
      </c>
      <c r="T840" s="47">
        <v>1</v>
      </c>
      <c r="U840" s="47" t="str">
        <f t="shared" si="13"/>
        <v>839,839,**,</v>
      </c>
      <c r="AC840" s="47">
        <v>839</v>
      </c>
      <c r="AD840" s="47">
        <v>839</v>
      </c>
    </row>
    <row r="841" spans="1:30" ht="15.75">
      <c r="A841" s="13" t="str">
        <f>IFERROR(VLOOKUP($G:$G,scan!$A:$B,2,0),"**")</f>
        <v>**</v>
      </c>
      <c r="B841" s="13" t="str">
        <f>IFERROR(VLOOKUP($G841,scan!A:C,3,0),"**")</f>
        <v>**</v>
      </c>
      <c r="C841" s="47">
        <v>840</v>
      </c>
      <c r="F841" s="78"/>
      <c r="G841" s="2"/>
      <c r="H841" s="47" t="s">
        <v>4926</v>
      </c>
      <c r="I841" s="43">
        <v>6042070338</v>
      </c>
      <c r="J841" s="43" t="s">
        <v>4927</v>
      </c>
      <c r="K841" s="47" t="s">
        <v>4928</v>
      </c>
      <c r="L841" s="67" t="e">
        <f>VLOOKUP(G841,Input!C:Q,12,FALSE)</f>
        <v>#N/A</v>
      </c>
      <c r="M841" s="68" t="e">
        <f>VLOOKUP(G841,Input!C:Q,15,FALSE)</f>
        <v>#N/A</v>
      </c>
      <c r="N841" s="69" t="e">
        <f>VLOOKUP(G841,Input!C:Q,14,FALSE)</f>
        <v>#N/A</v>
      </c>
      <c r="Q841" s="48">
        <v>1</v>
      </c>
      <c r="R841" s="75" t="e">
        <f>VLOOKUP(G841,Input!C:H,5,FALSE)</f>
        <v>#N/A</v>
      </c>
      <c r="T841" s="47">
        <v>1</v>
      </c>
      <c r="U841" s="47" t="str">
        <f t="shared" si="13"/>
        <v>840,840,**,</v>
      </c>
      <c r="AC841" s="47">
        <v>840</v>
      </c>
      <c r="AD841" s="47">
        <v>840</v>
      </c>
    </row>
    <row r="842" spans="1:30" ht="15.75">
      <c r="A842" s="13" t="str">
        <f>IFERROR(VLOOKUP($G:$G,scan!$A:$B,2,0),"**")</f>
        <v>**</v>
      </c>
      <c r="B842" s="13" t="str">
        <f>IFERROR(VLOOKUP($G842,scan!A:C,3,0),"**")</f>
        <v>**</v>
      </c>
      <c r="C842" s="47">
        <v>841</v>
      </c>
      <c r="F842" s="78"/>
      <c r="G842" s="2"/>
      <c r="H842" s="47" t="s">
        <v>4926</v>
      </c>
      <c r="I842" s="43">
        <v>6042070338</v>
      </c>
      <c r="J842" s="43" t="s">
        <v>4927</v>
      </c>
      <c r="K842" s="47" t="s">
        <v>4928</v>
      </c>
      <c r="L842" s="67" t="e">
        <f>VLOOKUP(G842,Input!C:Q,12,FALSE)</f>
        <v>#N/A</v>
      </c>
      <c r="M842" s="68" t="e">
        <f>VLOOKUP(G842,Input!C:Q,15,FALSE)</f>
        <v>#N/A</v>
      </c>
      <c r="N842" s="69" t="e">
        <f>VLOOKUP(G842,Input!C:Q,14,FALSE)</f>
        <v>#N/A</v>
      </c>
      <c r="Q842" s="48">
        <v>1</v>
      </c>
      <c r="R842" s="75" t="e">
        <f>VLOOKUP(G842,Input!C:H,5,FALSE)</f>
        <v>#N/A</v>
      </c>
      <c r="T842" s="47">
        <v>1</v>
      </c>
      <c r="U842" s="47" t="str">
        <f t="shared" si="13"/>
        <v>841,841,**,</v>
      </c>
      <c r="AC842" s="47">
        <v>841</v>
      </c>
      <c r="AD842" s="47">
        <v>841</v>
      </c>
    </row>
    <row r="843" spans="1:30" ht="15.75">
      <c r="A843" s="13" t="str">
        <f>IFERROR(VLOOKUP($G:$G,scan!$A:$B,2,0),"**")</f>
        <v>**</v>
      </c>
      <c r="B843" s="13" t="str">
        <f>IFERROR(VLOOKUP($G843,scan!A:C,3,0),"**")</f>
        <v>**</v>
      </c>
      <c r="C843" s="47">
        <v>842</v>
      </c>
      <c r="F843" s="78"/>
      <c r="G843" s="2"/>
      <c r="H843" s="47" t="s">
        <v>4926</v>
      </c>
      <c r="I843" s="43">
        <v>6042070338</v>
      </c>
      <c r="J843" s="43" t="s">
        <v>4927</v>
      </c>
      <c r="K843" s="47" t="s">
        <v>4928</v>
      </c>
      <c r="L843" s="67" t="e">
        <f>VLOOKUP(G843,Input!C:Q,12,FALSE)</f>
        <v>#N/A</v>
      </c>
      <c r="M843" s="68" t="e">
        <f>VLOOKUP(G843,Input!C:Q,15,FALSE)</f>
        <v>#N/A</v>
      </c>
      <c r="N843" s="69" t="e">
        <f>VLOOKUP(G843,Input!C:Q,14,FALSE)</f>
        <v>#N/A</v>
      </c>
      <c r="Q843" s="48">
        <v>1</v>
      </c>
      <c r="R843" s="75" t="e">
        <f>VLOOKUP(G843,Input!C:H,5,FALSE)</f>
        <v>#N/A</v>
      </c>
      <c r="T843" s="47">
        <v>1</v>
      </c>
      <c r="U843" s="47" t="str">
        <f t="shared" si="13"/>
        <v>842,842,**,</v>
      </c>
      <c r="AC843" s="47">
        <v>842</v>
      </c>
      <c r="AD843" s="47">
        <v>842</v>
      </c>
    </row>
    <row r="844" spans="1:30" ht="15.75">
      <c r="A844" s="13" t="str">
        <f>IFERROR(VLOOKUP($G:$G,scan!$A:$B,2,0),"**")</f>
        <v>**</v>
      </c>
      <c r="B844" s="13" t="str">
        <f>IFERROR(VLOOKUP($G844,scan!A:C,3,0),"**")</f>
        <v>**</v>
      </c>
      <c r="C844" s="47">
        <v>843</v>
      </c>
      <c r="F844" s="78"/>
      <c r="G844" s="2"/>
      <c r="H844" s="47" t="s">
        <v>4926</v>
      </c>
      <c r="I844" s="43">
        <v>6042070338</v>
      </c>
      <c r="J844" s="43" t="s">
        <v>4927</v>
      </c>
      <c r="K844" s="47" t="s">
        <v>4928</v>
      </c>
      <c r="L844" s="67" t="e">
        <f>VLOOKUP(G844,Input!C:Q,12,FALSE)</f>
        <v>#N/A</v>
      </c>
      <c r="M844" s="68" t="e">
        <f>VLOOKUP(G844,Input!C:Q,15,FALSE)</f>
        <v>#N/A</v>
      </c>
      <c r="N844" s="69" t="e">
        <f>VLOOKUP(G844,Input!C:Q,14,FALSE)</f>
        <v>#N/A</v>
      </c>
      <c r="Q844" s="48">
        <v>1</v>
      </c>
      <c r="R844" s="75" t="e">
        <f>VLOOKUP(G844,Input!C:H,5,FALSE)</f>
        <v>#N/A</v>
      </c>
      <c r="T844" s="47">
        <v>1</v>
      </c>
      <c r="U844" s="47" t="str">
        <f t="shared" si="13"/>
        <v>843,843,**,</v>
      </c>
      <c r="AC844" s="47">
        <v>843</v>
      </c>
      <c r="AD844" s="47">
        <v>843</v>
      </c>
    </row>
    <row r="845" spans="1:30" ht="15.75">
      <c r="A845" s="13" t="str">
        <f>IFERROR(VLOOKUP($G:$G,scan!$A:$B,2,0),"**")</f>
        <v>**</v>
      </c>
      <c r="B845" s="13" t="str">
        <f>IFERROR(VLOOKUP($G845,scan!A:C,3,0),"**")</f>
        <v>**</v>
      </c>
      <c r="C845" s="47">
        <v>844</v>
      </c>
      <c r="F845" s="78"/>
      <c r="G845" s="2"/>
      <c r="H845" s="47" t="s">
        <v>4926</v>
      </c>
      <c r="I845" s="43">
        <v>6042070338</v>
      </c>
      <c r="J845" s="43" t="s">
        <v>4927</v>
      </c>
      <c r="K845" s="47" t="s">
        <v>4928</v>
      </c>
      <c r="L845" s="67" t="e">
        <f>VLOOKUP(G845,Input!C:Q,12,FALSE)</f>
        <v>#N/A</v>
      </c>
      <c r="M845" s="68" t="e">
        <f>VLOOKUP(G845,Input!C:Q,15,FALSE)</f>
        <v>#N/A</v>
      </c>
      <c r="N845" s="69" t="e">
        <f>VLOOKUP(G845,Input!C:Q,14,FALSE)</f>
        <v>#N/A</v>
      </c>
      <c r="Q845" s="48">
        <v>1</v>
      </c>
      <c r="R845" s="75" t="e">
        <f>VLOOKUP(G845,Input!C:H,5,FALSE)</f>
        <v>#N/A</v>
      </c>
      <c r="T845" s="47">
        <v>1</v>
      </c>
      <c r="U845" s="47" t="str">
        <f t="shared" si="13"/>
        <v>844,844,**,</v>
      </c>
      <c r="AC845" s="47">
        <v>844</v>
      </c>
      <c r="AD845" s="47">
        <v>844</v>
      </c>
    </row>
    <row r="846" spans="1:30" ht="15.75">
      <c r="A846" s="13" t="str">
        <f>IFERROR(VLOOKUP($G:$G,scan!$A:$B,2,0),"**")</f>
        <v>**</v>
      </c>
      <c r="B846" s="13" t="str">
        <f>IFERROR(VLOOKUP($G846,scan!A:C,3,0),"**")</f>
        <v>**</v>
      </c>
      <c r="C846" s="47">
        <v>845</v>
      </c>
      <c r="F846" s="78"/>
      <c r="G846" s="2"/>
      <c r="H846" s="47" t="s">
        <v>4926</v>
      </c>
      <c r="I846" s="43">
        <v>6042070338</v>
      </c>
      <c r="J846" s="43" t="s">
        <v>4927</v>
      </c>
      <c r="K846" s="47" t="s">
        <v>4928</v>
      </c>
      <c r="L846" s="67" t="e">
        <f>VLOOKUP(G846,Input!C:Q,12,FALSE)</f>
        <v>#N/A</v>
      </c>
      <c r="M846" s="68" t="e">
        <f>VLOOKUP(G846,Input!C:Q,15,FALSE)</f>
        <v>#N/A</v>
      </c>
      <c r="N846" s="69" t="e">
        <f>VLOOKUP(G846,Input!C:Q,14,FALSE)</f>
        <v>#N/A</v>
      </c>
      <c r="Q846" s="48">
        <v>1</v>
      </c>
      <c r="R846" s="75" t="e">
        <f>VLOOKUP(G846,Input!C:H,5,FALSE)</f>
        <v>#N/A</v>
      </c>
      <c r="T846" s="47">
        <v>1</v>
      </c>
      <c r="U846" s="47" t="str">
        <f t="shared" si="13"/>
        <v>845,845,**,</v>
      </c>
      <c r="AC846" s="47">
        <v>845</v>
      </c>
      <c r="AD846" s="47">
        <v>845</v>
      </c>
    </row>
    <row r="847" spans="1:30" ht="15.75">
      <c r="A847" s="13" t="str">
        <f>IFERROR(VLOOKUP($G:$G,scan!$A:$B,2,0),"**")</f>
        <v>**</v>
      </c>
      <c r="B847" s="13" t="str">
        <f>IFERROR(VLOOKUP($G847,scan!A:C,3,0),"**")</f>
        <v>**</v>
      </c>
      <c r="C847" s="47">
        <v>846</v>
      </c>
      <c r="F847" s="78"/>
      <c r="G847" s="2"/>
      <c r="H847" s="47" t="s">
        <v>4926</v>
      </c>
      <c r="I847" s="43">
        <v>6042070338</v>
      </c>
      <c r="J847" s="43" t="s">
        <v>4927</v>
      </c>
      <c r="K847" s="47" t="s">
        <v>4928</v>
      </c>
      <c r="L847" s="67" t="e">
        <f>VLOOKUP(G847,Input!C:Q,12,FALSE)</f>
        <v>#N/A</v>
      </c>
      <c r="M847" s="68" t="e">
        <f>VLOOKUP(G847,Input!C:Q,15,FALSE)</f>
        <v>#N/A</v>
      </c>
      <c r="N847" s="69" t="e">
        <f>VLOOKUP(G847,Input!C:Q,14,FALSE)</f>
        <v>#N/A</v>
      </c>
      <c r="Q847" s="48">
        <v>1</v>
      </c>
      <c r="R847" s="75" t="e">
        <f>VLOOKUP(G847,Input!C:H,5,FALSE)</f>
        <v>#N/A</v>
      </c>
      <c r="T847" s="47">
        <v>1</v>
      </c>
      <c r="U847" s="47" t="str">
        <f t="shared" si="13"/>
        <v>846,846,**,</v>
      </c>
      <c r="AC847" s="47">
        <v>846</v>
      </c>
      <c r="AD847" s="47">
        <v>846</v>
      </c>
    </row>
    <row r="848" spans="1:30" ht="15.75">
      <c r="A848" s="13" t="str">
        <f>IFERROR(VLOOKUP($G:$G,scan!$A:$B,2,0),"**")</f>
        <v>**</v>
      </c>
      <c r="B848" s="13" t="str">
        <f>IFERROR(VLOOKUP($G848,scan!A:C,3,0),"**")</f>
        <v>**</v>
      </c>
      <c r="C848" s="47">
        <v>847</v>
      </c>
      <c r="F848" s="78"/>
      <c r="G848" s="2"/>
      <c r="H848" s="47" t="s">
        <v>4926</v>
      </c>
      <c r="I848" s="43">
        <v>6042070338</v>
      </c>
      <c r="J848" s="43" t="s">
        <v>4927</v>
      </c>
      <c r="K848" s="47" t="s">
        <v>4928</v>
      </c>
      <c r="L848" s="67" t="e">
        <f>VLOOKUP(G848,Input!C:Q,12,FALSE)</f>
        <v>#N/A</v>
      </c>
      <c r="M848" s="68" t="e">
        <f>VLOOKUP(G848,Input!C:Q,15,FALSE)</f>
        <v>#N/A</v>
      </c>
      <c r="N848" s="69" t="e">
        <f>VLOOKUP(G848,Input!C:Q,14,FALSE)</f>
        <v>#N/A</v>
      </c>
      <c r="Q848" s="48">
        <v>1</v>
      </c>
      <c r="R848" s="75" t="e">
        <f>VLOOKUP(G848,Input!C:H,5,FALSE)</f>
        <v>#N/A</v>
      </c>
      <c r="T848" s="47">
        <v>1</v>
      </c>
      <c r="U848" s="47" t="str">
        <f t="shared" si="13"/>
        <v>847,847,**,</v>
      </c>
      <c r="AC848" s="47">
        <v>847</v>
      </c>
      <c r="AD848" s="47">
        <v>847</v>
      </c>
    </row>
  </sheetData>
  <sortState ref="A2:XCI439">
    <sortCondition ref="A2:A439"/>
  </sortState>
  <phoneticPr fontId="47" type="noConversion"/>
  <conditionalFormatting sqref="G420">
    <cfRule type="duplicateValues" dxfId="355" priority="53" stopIfTrue="1"/>
    <cfRule type="duplicateValues" dxfId="354" priority="54" stopIfTrue="1"/>
    <cfRule type="duplicateValues" dxfId="353" priority="55" stopIfTrue="1"/>
    <cfRule type="duplicateValues" dxfId="352" priority="56" stopIfTrue="1"/>
    <cfRule type="duplicateValues" dxfId="351" priority="57" stopIfTrue="1"/>
    <cfRule type="duplicateValues" dxfId="350" priority="58" stopIfTrue="1"/>
    <cfRule type="duplicateValues" dxfId="349" priority="59" stopIfTrue="1"/>
  </conditionalFormatting>
  <conditionalFormatting sqref="F2:F848">
    <cfRule type="duplicateValues" dxfId="348" priority="116"/>
  </conditionalFormatting>
  <conditionalFormatting sqref="F2:F248">
    <cfRule type="duplicateValues" dxfId="347" priority="47"/>
  </conditionalFormatting>
  <conditionalFormatting sqref="F2:F19">
    <cfRule type="duplicateValues" dxfId="346" priority="39"/>
  </conditionalFormatting>
  <conditionalFormatting sqref="F2:F122">
    <cfRule type="duplicateValues" dxfId="345" priority="36"/>
  </conditionalFormatting>
  <conditionalFormatting sqref="F2:F184">
    <cfRule type="duplicateValues" dxfId="344" priority="33"/>
  </conditionalFormatting>
  <conditionalFormatting sqref="F2:F301">
    <cfRule type="duplicateValues" dxfId="343" priority="29"/>
  </conditionalFormatting>
  <conditionalFormatting sqref="F2:F283">
    <cfRule type="duplicateValues" dxfId="342" priority="25"/>
  </conditionalFormatting>
  <conditionalFormatting sqref="F2:F8">
    <cfRule type="duplicateValues" dxfId="341" priority="14"/>
    <cfRule type="duplicateValues" dxfId="340" priority="15"/>
    <cfRule type="duplicateValues" dxfId="339" priority="16" stopIfTrue="1"/>
    <cfRule type="duplicateValues" dxfId="338" priority="17" stopIfTrue="1"/>
    <cfRule type="duplicateValues" dxfId="337" priority="18" stopIfTrue="1"/>
    <cfRule type="duplicateValues" dxfId="336" priority="19" stopIfTrue="1"/>
    <cfRule type="duplicateValues" dxfId="335" priority="20" stopIfTrue="1"/>
    <cfRule type="duplicateValues" dxfId="334" priority="21" stopIfTrue="1"/>
    <cfRule type="duplicateValues" dxfId="333" priority="22" stopIfTrue="1"/>
  </conditionalFormatting>
  <conditionalFormatting sqref="F2:F9">
    <cfRule type="duplicateValues" dxfId="332" priority="12"/>
    <cfRule type="duplicateValues" dxfId="331" priority="13"/>
  </conditionalFormatting>
  <conditionalFormatting sqref="F178:F204">
    <cfRule type="duplicateValues" dxfId="330" priority="81" stopIfTrue="1"/>
    <cfRule type="duplicateValues" dxfId="329" priority="82" stopIfTrue="1"/>
    <cfRule type="duplicateValues" dxfId="328" priority="83" stopIfTrue="1"/>
    <cfRule type="duplicateValues" dxfId="327" priority="84" stopIfTrue="1"/>
    <cfRule type="duplicateValues" dxfId="326" priority="85" stopIfTrue="1"/>
    <cfRule type="duplicateValues" dxfId="325" priority="86" stopIfTrue="1"/>
    <cfRule type="duplicateValues" dxfId="324" priority="87" stopIfTrue="1"/>
    <cfRule type="duplicateValues" dxfId="323" priority="88" stopIfTrue="1"/>
  </conditionalFormatting>
  <conditionalFormatting sqref="F178:F248">
    <cfRule type="duplicateValues" dxfId="322" priority="80"/>
  </conditionalFormatting>
  <conditionalFormatting sqref="F249:F275">
    <cfRule type="duplicateValues" dxfId="321" priority="70" stopIfTrue="1"/>
    <cfRule type="duplicateValues" dxfId="320" priority="71" stopIfTrue="1"/>
    <cfRule type="duplicateValues" dxfId="319" priority="72" stopIfTrue="1"/>
    <cfRule type="duplicateValues" dxfId="318" priority="73" stopIfTrue="1"/>
    <cfRule type="duplicateValues" dxfId="317" priority="74" stopIfTrue="1"/>
    <cfRule type="duplicateValues" dxfId="316" priority="75" stopIfTrue="1"/>
    <cfRule type="duplicateValues" dxfId="315" priority="76" stopIfTrue="1"/>
    <cfRule type="duplicateValues" dxfId="314" priority="77" stopIfTrue="1"/>
  </conditionalFormatting>
  <conditionalFormatting sqref="F249:F419">
    <cfRule type="duplicateValues" dxfId="313" priority="69"/>
  </conditionalFormatting>
  <conditionalFormatting sqref="F420:F421">
    <cfRule type="duplicateValues" dxfId="312" priority="52"/>
  </conditionalFormatting>
  <conditionalFormatting sqref="G2:G848">
    <cfRule type="duplicateValues" dxfId="311" priority="50"/>
    <cfRule type="duplicateValues" dxfId="310" priority="51"/>
  </conditionalFormatting>
  <conditionalFormatting sqref="G2:G248">
    <cfRule type="duplicateValues" dxfId="309" priority="48"/>
    <cfRule type="duplicateValues" dxfId="308" priority="49"/>
  </conditionalFormatting>
  <conditionalFormatting sqref="G2:G20">
    <cfRule type="duplicateValues" dxfId="307" priority="40" stopIfTrue="1"/>
    <cfRule type="duplicateValues" dxfId="306" priority="41" stopIfTrue="1"/>
    <cfRule type="duplicateValues" dxfId="305" priority="42" stopIfTrue="1"/>
    <cfRule type="duplicateValues" dxfId="304" priority="43" stopIfTrue="1"/>
    <cfRule type="duplicateValues" dxfId="303" priority="44" stopIfTrue="1"/>
    <cfRule type="duplicateValues" dxfId="302" priority="45" stopIfTrue="1"/>
    <cfRule type="duplicateValues" dxfId="301" priority="46" stopIfTrue="1"/>
  </conditionalFormatting>
  <conditionalFormatting sqref="G2:G19">
    <cfRule type="duplicateValues" dxfId="300" priority="37"/>
    <cfRule type="duplicateValues" dxfId="299" priority="38"/>
  </conditionalFormatting>
  <conditionalFormatting sqref="G2:G122">
    <cfRule type="duplicateValues" dxfId="298" priority="34"/>
    <cfRule type="duplicateValues" dxfId="297" priority="35"/>
  </conditionalFormatting>
  <conditionalFormatting sqref="G2:G184">
    <cfRule type="duplicateValues" dxfId="296" priority="31"/>
    <cfRule type="duplicateValues" dxfId="295" priority="32"/>
  </conditionalFormatting>
  <conditionalFormatting sqref="G2:G301">
    <cfRule type="duplicateValues" dxfId="294" priority="27"/>
    <cfRule type="duplicateValues" dxfId="293" priority="28"/>
  </conditionalFormatting>
  <conditionalFormatting sqref="G2:G283">
    <cfRule type="duplicateValues" dxfId="292" priority="23"/>
    <cfRule type="duplicateValues" dxfId="291" priority="24"/>
  </conditionalFormatting>
  <conditionalFormatting sqref="G2:G8">
    <cfRule type="duplicateValues" dxfId="290" priority="3"/>
    <cfRule type="duplicateValues" dxfId="289" priority="4"/>
    <cfRule type="duplicateValues" dxfId="288" priority="5" stopIfTrue="1"/>
    <cfRule type="duplicateValues" dxfId="287" priority="6" stopIfTrue="1"/>
    <cfRule type="duplicateValues" dxfId="286" priority="7" stopIfTrue="1"/>
    <cfRule type="duplicateValues" dxfId="285" priority="8" stopIfTrue="1"/>
    <cfRule type="duplicateValues" dxfId="284" priority="9" stopIfTrue="1"/>
    <cfRule type="duplicateValues" dxfId="283" priority="10" stopIfTrue="1"/>
    <cfRule type="duplicateValues" dxfId="282" priority="11" stopIfTrue="1"/>
  </conditionalFormatting>
  <conditionalFormatting sqref="G2:G9">
    <cfRule type="duplicateValues" dxfId="281" priority="1"/>
    <cfRule type="duplicateValues" dxfId="280" priority="2"/>
  </conditionalFormatting>
  <conditionalFormatting sqref="G103:G216">
    <cfRule type="duplicateValues" dxfId="279" priority="26"/>
    <cfRule type="duplicateValues" dxfId="278" priority="30"/>
  </conditionalFormatting>
  <conditionalFormatting sqref="G169:G176">
    <cfRule type="duplicateValues" dxfId="277" priority="114"/>
    <cfRule type="duplicateValues" dxfId="276" priority="115"/>
  </conditionalFormatting>
  <conditionalFormatting sqref="G169:G174">
    <cfRule type="duplicateValues" dxfId="275" priority="98" stopIfTrue="1"/>
    <cfRule type="duplicateValues" dxfId="274" priority="99" stopIfTrue="1"/>
    <cfRule type="duplicateValues" dxfId="273" priority="100" stopIfTrue="1"/>
    <cfRule type="duplicateValues" dxfId="272" priority="101" stopIfTrue="1"/>
    <cfRule type="duplicateValues" dxfId="271" priority="102" stopIfTrue="1"/>
    <cfRule type="duplicateValues" dxfId="270" priority="103" stopIfTrue="1"/>
    <cfRule type="duplicateValues" dxfId="269" priority="104" stopIfTrue="1"/>
    <cfRule type="duplicateValues" dxfId="268" priority="107" stopIfTrue="1"/>
    <cfRule type="duplicateValues" dxfId="267" priority="108" stopIfTrue="1"/>
    <cfRule type="duplicateValues" dxfId="266" priority="109" stopIfTrue="1"/>
    <cfRule type="duplicateValues" dxfId="265" priority="110" stopIfTrue="1"/>
    <cfRule type="duplicateValues" dxfId="264" priority="111" stopIfTrue="1"/>
    <cfRule type="duplicateValues" dxfId="263" priority="112" stopIfTrue="1"/>
    <cfRule type="duplicateValues" dxfId="262" priority="113" stopIfTrue="1"/>
  </conditionalFormatting>
  <conditionalFormatting sqref="G169:G177">
    <cfRule type="duplicateValues" dxfId="261" priority="105"/>
    <cfRule type="duplicateValues" dxfId="260" priority="106"/>
  </conditionalFormatting>
  <conditionalFormatting sqref="G178:G248">
    <cfRule type="duplicateValues" dxfId="259" priority="89" stopIfTrue="1"/>
    <cfRule type="duplicateValues" dxfId="258" priority="90" stopIfTrue="1"/>
    <cfRule type="duplicateValues" dxfId="257" priority="91" stopIfTrue="1"/>
    <cfRule type="duplicateValues" dxfId="256" priority="92" stopIfTrue="1"/>
    <cfRule type="duplicateValues" dxfId="255" priority="93" stopIfTrue="1"/>
    <cfRule type="duplicateValues" dxfId="254" priority="94" stopIfTrue="1"/>
    <cfRule type="duplicateValues" dxfId="253" priority="95" stopIfTrue="1"/>
    <cfRule type="duplicateValues" dxfId="252" priority="96"/>
    <cfRule type="duplicateValues" dxfId="251" priority="97"/>
  </conditionalFormatting>
  <conditionalFormatting sqref="G249:G334">
    <cfRule type="duplicateValues" dxfId="250" priority="62" stopIfTrue="1"/>
    <cfRule type="duplicateValues" dxfId="249" priority="63" stopIfTrue="1"/>
    <cfRule type="duplicateValues" dxfId="248" priority="64" stopIfTrue="1"/>
    <cfRule type="duplicateValues" dxfId="247" priority="65" stopIfTrue="1"/>
    <cfRule type="duplicateValues" dxfId="246" priority="66" stopIfTrue="1"/>
    <cfRule type="duplicateValues" dxfId="245" priority="67" stopIfTrue="1"/>
    <cfRule type="duplicateValues" dxfId="244" priority="68" stopIfTrue="1"/>
  </conditionalFormatting>
  <conditionalFormatting sqref="G420:G421">
    <cfRule type="duplicateValues" dxfId="243" priority="60"/>
    <cfRule type="duplicateValues" dxfId="242" priority="61"/>
  </conditionalFormatting>
  <conditionalFormatting sqref="G249:G419 F420:F421">
    <cfRule type="duplicateValues" dxfId="241" priority="78"/>
    <cfRule type="duplicateValues" dxfId="240" priority="79"/>
  </conditionalFormatting>
  <pageMargins left="0.69930555555555596" right="0.69930555555555596" top="0.75" bottom="0.75" header="0.3" footer="0.3"/>
</worksheet>
</file>

<file path=xl/worksheets/sheet5.xml><?xml version="1.0" encoding="utf-8"?>
<worksheet xmlns="http://schemas.openxmlformats.org/spreadsheetml/2006/main" xmlns:r="http://schemas.openxmlformats.org/officeDocument/2006/relationships">
  <dimension ref="A1:W800"/>
  <sheetViews>
    <sheetView workbookViewId="0">
      <selection activeCell="K2" sqref="K2"/>
    </sheetView>
  </sheetViews>
  <sheetFormatPr defaultColWidth="9.125" defaultRowHeight="13.5"/>
  <cols>
    <col min="1" max="2" width="9.125" style="43"/>
    <col min="3" max="5" width="9.125" style="1"/>
    <col min="6" max="6" width="16" style="1" customWidth="1"/>
    <col min="7" max="7" width="19" style="1" customWidth="1"/>
    <col min="8" max="8" width="9.125" style="1"/>
    <col min="9" max="9" width="13.25" style="1" customWidth="1"/>
    <col min="10" max="10" width="37.75" style="1" customWidth="1"/>
    <col min="11" max="11" width="11.375" style="1" customWidth="1"/>
    <col min="12" max="12" width="14.75" style="1" customWidth="1"/>
    <col min="13" max="13" width="59.125" style="1" customWidth="1"/>
    <col min="14" max="14" width="22.75" style="1" customWidth="1"/>
    <col min="15" max="16384" width="9.125" style="1"/>
  </cols>
  <sheetData>
    <row r="1" spans="1:23" s="42" customFormat="1" ht="14.25">
      <c r="A1" s="13" t="s">
        <v>4874</v>
      </c>
      <c r="B1" s="13" t="s">
        <v>4875</v>
      </c>
      <c r="C1" s="42" t="s">
        <v>4898</v>
      </c>
      <c r="D1" s="42" t="s">
        <v>4929</v>
      </c>
      <c r="E1" s="42" t="s">
        <v>4930</v>
      </c>
      <c r="F1" s="44" t="s">
        <v>4931</v>
      </c>
      <c r="G1" s="42" t="s">
        <v>4932</v>
      </c>
      <c r="H1" s="42" t="s">
        <v>4933</v>
      </c>
      <c r="I1" s="42" t="s">
        <v>4888</v>
      </c>
      <c r="J1" s="42" t="s">
        <v>4887</v>
      </c>
      <c r="K1" s="42" t="s">
        <v>16</v>
      </c>
      <c r="L1" s="42" t="s">
        <v>4884</v>
      </c>
      <c r="M1" s="42" t="s">
        <v>18</v>
      </c>
      <c r="N1" s="42" t="s">
        <v>4934</v>
      </c>
      <c r="O1" s="42" t="s">
        <v>4935</v>
      </c>
    </row>
    <row r="2" spans="1:23" ht="14.25">
      <c r="A2" s="13" t="str">
        <f>IFERROR(VLOOKUP($F:$F,scan!$A:$B,2,0),"**")</f>
        <v>**</v>
      </c>
      <c r="B2" s="13" t="str">
        <f>IFERROR(VLOOKUP($F2,scan!A:C,3,0),"**")</f>
        <v>**</v>
      </c>
      <c r="C2" s="42">
        <v>1</v>
      </c>
      <c r="D2" s="42" t="s">
        <v>4936</v>
      </c>
      <c r="E2" s="42" t="s">
        <v>4937</v>
      </c>
      <c r="F2" s="45"/>
      <c r="G2" s="45"/>
      <c r="H2" s="42" t="s">
        <v>4936</v>
      </c>
      <c r="I2" s="42" t="s">
        <v>4938</v>
      </c>
      <c r="J2" s="42" t="s">
        <v>4939</v>
      </c>
      <c r="K2" s="42" t="e">
        <f>VLOOKUP(F2,Input!C:M,9,0)</f>
        <v>#N/A</v>
      </c>
      <c r="L2" s="42" t="e">
        <f>VLOOKUP(F2,Input!C:M,10,0)</f>
        <v>#N/A</v>
      </c>
      <c r="M2" s="42" t="e">
        <f>VLOOKUP(F2,Input!C:M,11,0)</f>
        <v>#N/A</v>
      </c>
      <c r="N2" s="43" t="str">
        <f>O2&amp;","&amp;C2&amp;","&amp;B2</f>
        <v>1,1,**</v>
      </c>
      <c r="O2" s="42">
        <v>1</v>
      </c>
      <c r="P2" s="42"/>
      <c r="Q2" s="42"/>
      <c r="R2" s="42"/>
      <c r="S2" s="42"/>
      <c r="T2" s="42"/>
      <c r="U2" s="42"/>
      <c r="V2" s="42"/>
      <c r="W2" s="42"/>
    </row>
    <row r="3" spans="1:23" ht="14.25">
      <c r="A3" s="13" t="str">
        <f>IFERROR(VLOOKUP($F:$F,scan!$A:$B,2,0),"**")</f>
        <v>**</v>
      </c>
      <c r="B3" s="13" t="str">
        <f>IFERROR(VLOOKUP($F3,scan!A:C,3,0),"**")</f>
        <v>**</v>
      </c>
      <c r="C3" s="42">
        <v>2</v>
      </c>
      <c r="D3" s="42" t="s">
        <v>4936</v>
      </c>
      <c r="E3" s="42" t="s">
        <v>4937</v>
      </c>
      <c r="F3" s="45"/>
      <c r="G3" s="45"/>
      <c r="H3" s="42" t="s">
        <v>4936</v>
      </c>
      <c r="I3" s="42" t="s">
        <v>4938</v>
      </c>
      <c r="J3" s="42" t="s">
        <v>4939</v>
      </c>
      <c r="K3" s="42" t="e">
        <f>VLOOKUP(F3,Input!C:M,9,0)</f>
        <v>#N/A</v>
      </c>
      <c r="L3" s="42" t="e">
        <f>VLOOKUP(F3,Input!C:M,10,0)</f>
        <v>#N/A</v>
      </c>
      <c r="M3" s="42" t="e">
        <f>VLOOKUP(F3,Input!C:M,11,0)</f>
        <v>#N/A</v>
      </c>
      <c r="N3" s="43" t="str">
        <f t="shared" ref="N3:N66" si="0">O3&amp;","&amp;C3&amp;","&amp;B3</f>
        <v>2,2,**</v>
      </c>
      <c r="O3" s="42">
        <v>2</v>
      </c>
      <c r="P3" s="42"/>
      <c r="Q3" s="42"/>
      <c r="R3" s="42"/>
      <c r="S3" s="42"/>
      <c r="T3" s="42"/>
      <c r="U3" s="42"/>
      <c r="V3" s="42"/>
      <c r="W3" s="42"/>
    </row>
    <row r="4" spans="1:23" ht="14.25">
      <c r="A4" s="13" t="str">
        <f>IFERROR(VLOOKUP($F:$F,scan!$A:$B,2,0),"**")</f>
        <v>**</v>
      </c>
      <c r="B4" s="13" t="str">
        <f>IFERROR(VLOOKUP($F4,scan!A:C,3,0),"**")</f>
        <v>**</v>
      </c>
      <c r="C4" s="42">
        <v>3</v>
      </c>
      <c r="D4" s="42" t="s">
        <v>4936</v>
      </c>
      <c r="E4" s="42" t="s">
        <v>4937</v>
      </c>
      <c r="F4" s="45"/>
      <c r="G4" s="45"/>
      <c r="H4" s="42" t="s">
        <v>4936</v>
      </c>
      <c r="I4" s="42" t="s">
        <v>4938</v>
      </c>
      <c r="J4" s="42" t="s">
        <v>4939</v>
      </c>
      <c r="K4" s="42" t="e">
        <f>VLOOKUP(F4,Input!C:M,9,0)</f>
        <v>#N/A</v>
      </c>
      <c r="L4" s="42" t="e">
        <f>VLOOKUP(F4,Input!C:M,10,0)</f>
        <v>#N/A</v>
      </c>
      <c r="M4" s="42" t="e">
        <f>VLOOKUP(F4,Input!C:M,11,0)</f>
        <v>#N/A</v>
      </c>
      <c r="N4" s="43" t="str">
        <f t="shared" si="0"/>
        <v>3,3,**</v>
      </c>
      <c r="O4" s="42">
        <v>3</v>
      </c>
      <c r="P4" s="42"/>
      <c r="Q4" s="42"/>
      <c r="R4" s="42"/>
      <c r="S4" s="42"/>
      <c r="T4" s="42"/>
      <c r="U4" s="42"/>
      <c r="V4" s="42"/>
      <c r="W4" s="42"/>
    </row>
    <row r="5" spans="1:23" ht="14.25">
      <c r="A5" s="13" t="str">
        <f>IFERROR(VLOOKUP($F:$F,scan!$A:$B,2,0),"**")</f>
        <v>**</v>
      </c>
      <c r="B5" s="13" t="str">
        <f>IFERROR(VLOOKUP($F5,scan!A:C,3,0),"**")</f>
        <v>**</v>
      </c>
      <c r="C5" s="42">
        <v>4</v>
      </c>
      <c r="D5" s="42" t="s">
        <v>4936</v>
      </c>
      <c r="E5" s="42" t="s">
        <v>4937</v>
      </c>
      <c r="F5" s="45"/>
      <c r="G5" s="45"/>
      <c r="H5" s="42" t="s">
        <v>4936</v>
      </c>
      <c r="I5" s="42" t="s">
        <v>4938</v>
      </c>
      <c r="J5" s="42" t="s">
        <v>4939</v>
      </c>
      <c r="K5" s="42" t="e">
        <f>VLOOKUP(F5,Input!C:M,9,0)</f>
        <v>#N/A</v>
      </c>
      <c r="L5" s="42" t="e">
        <f>VLOOKUP(F5,Input!C:M,10,0)</f>
        <v>#N/A</v>
      </c>
      <c r="M5" s="42" t="e">
        <f>VLOOKUP(F5,Input!C:M,11,0)</f>
        <v>#N/A</v>
      </c>
      <c r="N5" s="43" t="str">
        <f t="shared" si="0"/>
        <v>4,4,**</v>
      </c>
      <c r="O5" s="42">
        <v>4</v>
      </c>
      <c r="P5" s="42"/>
      <c r="Q5" s="42"/>
      <c r="R5" s="42"/>
      <c r="S5" s="42"/>
      <c r="T5" s="42"/>
      <c r="U5" s="42"/>
      <c r="V5" s="42"/>
      <c r="W5" s="42"/>
    </row>
    <row r="6" spans="1:23" ht="14.25">
      <c r="A6" s="13" t="str">
        <f>IFERROR(VLOOKUP($F:$F,scan!$A:$B,2,0),"**")</f>
        <v>**</v>
      </c>
      <c r="B6" s="13" t="str">
        <f>IFERROR(VLOOKUP($F6,scan!A:C,3,0),"**")</f>
        <v>**</v>
      </c>
      <c r="C6" s="42">
        <v>5</v>
      </c>
      <c r="D6" s="42" t="s">
        <v>4936</v>
      </c>
      <c r="E6" s="42" t="s">
        <v>4937</v>
      </c>
      <c r="F6" s="45"/>
      <c r="G6" s="45"/>
      <c r="H6" s="42" t="s">
        <v>4936</v>
      </c>
      <c r="I6" s="42" t="s">
        <v>4938</v>
      </c>
      <c r="J6" s="42" t="s">
        <v>4939</v>
      </c>
      <c r="K6" s="42" t="e">
        <f>VLOOKUP(F6,Input!C:M,9,0)</f>
        <v>#N/A</v>
      </c>
      <c r="L6" s="42" t="e">
        <f>VLOOKUP(F6,Input!C:M,10,0)</f>
        <v>#N/A</v>
      </c>
      <c r="M6" s="42" t="e">
        <f>VLOOKUP(F6,Input!C:M,11,0)</f>
        <v>#N/A</v>
      </c>
      <c r="N6" s="43" t="str">
        <f t="shared" si="0"/>
        <v>5,5,**</v>
      </c>
      <c r="O6" s="42">
        <v>5</v>
      </c>
      <c r="P6" s="42"/>
      <c r="Q6" s="42"/>
      <c r="R6" s="42"/>
      <c r="S6" s="42"/>
      <c r="T6" s="42"/>
      <c r="U6" s="42"/>
      <c r="V6" s="42"/>
      <c r="W6" s="42"/>
    </row>
    <row r="7" spans="1:23" ht="14.25">
      <c r="A7" s="13" t="str">
        <f>IFERROR(VLOOKUP($F:$F,scan!$A:$B,2,0),"**")</f>
        <v>**</v>
      </c>
      <c r="B7" s="13" t="str">
        <f>IFERROR(VLOOKUP($F7,scan!A:C,3,0),"**")</f>
        <v>**</v>
      </c>
      <c r="C7" s="42">
        <v>6</v>
      </c>
      <c r="D7" s="42" t="s">
        <v>4936</v>
      </c>
      <c r="E7" s="42" t="s">
        <v>4937</v>
      </c>
      <c r="F7" s="45"/>
      <c r="G7" s="45"/>
      <c r="H7" s="42" t="s">
        <v>4936</v>
      </c>
      <c r="I7" s="42" t="s">
        <v>4938</v>
      </c>
      <c r="J7" s="42" t="s">
        <v>4939</v>
      </c>
      <c r="K7" s="42" t="e">
        <f>VLOOKUP(F7,Input!C:M,9,0)</f>
        <v>#N/A</v>
      </c>
      <c r="L7" s="42" t="e">
        <f>VLOOKUP(F7,Input!C:M,10,0)</f>
        <v>#N/A</v>
      </c>
      <c r="M7" s="42" t="e">
        <f>VLOOKUP(F7,Input!C:M,11,0)</f>
        <v>#N/A</v>
      </c>
      <c r="N7" s="43" t="str">
        <f t="shared" si="0"/>
        <v>6,6,**</v>
      </c>
      <c r="O7" s="42">
        <v>6</v>
      </c>
      <c r="P7" s="42"/>
      <c r="Q7" s="42"/>
      <c r="R7" s="42"/>
      <c r="S7" s="42"/>
      <c r="T7" s="42"/>
      <c r="U7" s="42"/>
      <c r="V7" s="42"/>
      <c r="W7" s="42"/>
    </row>
    <row r="8" spans="1:23" ht="14.25">
      <c r="A8" s="13" t="str">
        <f>IFERROR(VLOOKUP($F:$F,scan!$A:$B,2,0),"**")</f>
        <v>**</v>
      </c>
      <c r="B8" s="13" t="str">
        <f>IFERROR(VLOOKUP($F8,scan!A:C,3,0),"**")</f>
        <v>**</v>
      </c>
      <c r="C8" s="42">
        <v>7</v>
      </c>
      <c r="D8" s="42" t="s">
        <v>4936</v>
      </c>
      <c r="E8" s="42" t="s">
        <v>4937</v>
      </c>
      <c r="F8" s="45"/>
      <c r="G8" s="45"/>
      <c r="H8" s="42" t="s">
        <v>4936</v>
      </c>
      <c r="I8" s="42" t="s">
        <v>4938</v>
      </c>
      <c r="J8" s="42" t="s">
        <v>4939</v>
      </c>
      <c r="K8" s="42" t="e">
        <f>VLOOKUP(F8,Input!C:M,9,0)</f>
        <v>#N/A</v>
      </c>
      <c r="L8" s="42" t="e">
        <f>VLOOKUP(F8,Input!C:M,10,0)</f>
        <v>#N/A</v>
      </c>
      <c r="M8" s="42" t="e">
        <f>VLOOKUP(F8,Input!C:M,11,0)</f>
        <v>#N/A</v>
      </c>
      <c r="N8" s="43" t="str">
        <f t="shared" si="0"/>
        <v>7,7,**</v>
      </c>
      <c r="O8" s="42">
        <v>7</v>
      </c>
      <c r="P8" s="42"/>
      <c r="Q8" s="42"/>
      <c r="R8" s="42"/>
      <c r="S8" s="42"/>
      <c r="T8" s="42"/>
      <c r="U8" s="42"/>
      <c r="V8" s="42"/>
      <c r="W8" s="42"/>
    </row>
    <row r="9" spans="1:23" ht="14.25">
      <c r="A9" s="13" t="str">
        <f>IFERROR(VLOOKUP($F:$F,scan!$A:$B,2,0),"**")</f>
        <v>**</v>
      </c>
      <c r="B9" s="13" t="str">
        <f>IFERROR(VLOOKUP($F9,scan!A:C,3,0),"**")</f>
        <v>**</v>
      </c>
      <c r="C9" s="42">
        <v>8</v>
      </c>
      <c r="D9" s="42" t="s">
        <v>4936</v>
      </c>
      <c r="E9" s="42" t="s">
        <v>4937</v>
      </c>
      <c r="F9" s="45"/>
      <c r="G9" s="45"/>
      <c r="H9" s="42" t="s">
        <v>4936</v>
      </c>
      <c r="I9" s="42" t="s">
        <v>4938</v>
      </c>
      <c r="J9" s="42" t="s">
        <v>4939</v>
      </c>
      <c r="K9" s="42" t="e">
        <f>VLOOKUP(F9,Input!C:M,9,0)</f>
        <v>#N/A</v>
      </c>
      <c r="L9" s="42" t="e">
        <f>VLOOKUP(F9,Input!C:M,10,0)</f>
        <v>#N/A</v>
      </c>
      <c r="M9" s="42" t="e">
        <f>VLOOKUP(F9,Input!C:M,11,0)</f>
        <v>#N/A</v>
      </c>
      <c r="N9" s="43" t="str">
        <f t="shared" si="0"/>
        <v>8,8,**</v>
      </c>
      <c r="O9" s="42">
        <v>8</v>
      </c>
    </row>
    <row r="10" spans="1:23" ht="14.25">
      <c r="A10" s="13" t="str">
        <f>IFERROR(VLOOKUP($F:$F,scan!$A:$B,2,0),"**")</f>
        <v>**</v>
      </c>
      <c r="B10" s="13" t="str">
        <f>IFERROR(VLOOKUP($F10,scan!A:C,3,0),"**")</f>
        <v>**</v>
      </c>
      <c r="C10" s="42">
        <v>9</v>
      </c>
      <c r="D10" s="42" t="s">
        <v>4936</v>
      </c>
      <c r="E10" s="42" t="s">
        <v>4937</v>
      </c>
      <c r="H10" s="42" t="s">
        <v>4936</v>
      </c>
      <c r="I10" s="42" t="s">
        <v>4938</v>
      </c>
      <c r="J10" s="42" t="s">
        <v>4939</v>
      </c>
      <c r="K10" s="42" t="e">
        <f>VLOOKUP(F10,Input!C:M,9,0)</f>
        <v>#N/A</v>
      </c>
      <c r="L10" s="42" t="e">
        <f>VLOOKUP(F10,Input!C:M,10,0)</f>
        <v>#N/A</v>
      </c>
      <c r="M10" s="42" t="e">
        <f>VLOOKUP(F10,Input!C:M,11,0)</f>
        <v>#N/A</v>
      </c>
      <c r="N10" s="43" t="str">
        <f t="shared" si="0"/>
        <v>9,9,**</v>
      </c>
      <c r="O10" s="42">
        <v>9</v>
      </c>
    </row>
    <row r="11" spans="1:23" ht="14.25">
      <c r="A11" s="13" t="str">
        <f>IFERROR(VLOOKUP($F:$F,scan!$A:$B,2,0),"**")</f>
        <v>**</v>
      </c>
      <c r="B11" s="13" t="str">
        <f>IFERROR(VLOOKUP($F11,scan!A:C,3,0),"**")</f>
        <v>**</v>
      </c>
      <c r="C11" s="42">
        <v>10</v>
      </c>
      <c r="D11" s="42" t="s">
        <v>4936</v>
      </c>
      <c r="E11" s="42" t="s">
        <v>4937</v>
      </c>
      <c r="H11" s="42" t="s">
        <v>4936</v>
      </c>
      <c r="I11" s="42" t="s">
        <v>4938</v>
      </c>
      <c r="J11" s="42" t="s">
        <v>4939</v>
      </c>
      <c r="K11" s="42" t="e">
        <f>VLOOKUP(F11,Input!C:M,9,0)</f>
        <v>#N/A</v>
      </c>
      <c r="L11" s="42" t="e">
        <f>VLOOKUP(F11,Input!C:M,10,0)</f>
        <v>#N/A</v>
      </c>
      <c r="M11" s="42" t="e">
        <f>VLOOKUP(F11,Input!C:M,11,0)</f>
        <v>#N/A</v>
      </c>
      <c r="N11" s="43" t="str">
        <f t="shared" si="0"/>
        <v>10,10,**</v>
      </c>
      <c r="O11" s="42">
        <v>10</v>
      </c>
    </row>
    <row r="12" spans="1:23" ht="14.25">
      <c r="A12" s="13" t="str">
        <f>IFERROR(VLOOKUP($F:$F,scan!$A:$B,2,0),"**")</f>
        <v>**</v>
      </c>
      <c r="B12" s="13" t="str">
        <f>IFERROR(VLOOKUP($F12,scan!A:C,3,0),"**")</f>
        <v>**</v>
      </c>
      <c r="C12" s="42">
        <v>11</v>
      </c>
      <c r="D12" s="42" t="s">
        <v>4936</v>
      </c>
      <c r="E12" s="42" t="s">
        <v>4937</v>
      </c>
      <c r="H12" s="42" t="s">
        <v>4936</v>
      </c>
      <c r="I12" s="42" t="s">
        <v>4938</v>
      </c>
      <c r="J12" s="42" t="s">
        <v>4939</v>
      </c>
      <c r="K12" s="42" t="e">
        <f>VLOOKUP(F12,Input!C:M,9,0)</f>
        <v>#N/A</v>
      </c>
      <c r="L12" s="42" t="e">
        <f>VLOOKUP(F12,Input!C:M,10,0)</f>
        <v>#N/A</v>
      </c>
      <c r="M12" s="42" t="e">
        <f>VLOOKUP(F12,Input!C:M,11,0)</f>
        <v>#N/A</v>
      </c>
      <c r="N12" s="43" t="str">
        <f t="shared" si="0"/>
        <v>11,11,**</v>
      </c>
      <c r="O12" s="42">
        <v>11</v>
      </c>
    </row>
    <row r="13" spans="1:23" ht="14.25">
      <c r="A13" s="13" t="str">
        <f>IFERROR(VLOOKUP($F:$F,scan!$A:$B,2,0),"**")</f>
        <v>**</v>
      </c>
      <c r="B13" s="13" t="str">
        <f>IFERROR(VLOOKUP($F13,scan!A:C,3,0),"**")</f>
        <v>**</v>
      </c>
      <c r="C13" s="42">
        <v>12</v>
      </c>
      <c r="D13" s="42" t="s">
        <v>4936</v>
      </c>
      <c r="E13" s="42" t="s">
        <v>4937</v>
      </c>
      <c r="H13" s="42" t="s">
        <v>4936</v>
      </c>
      <c r="I13" s="42" t="s">
        <v>4938</v>
      </c>
      <c r="J13" s="42" t="s">
        <v>4939</v>
      </c>
      <c r="K13" s="42" t="e">
        <f>VLOOKUP(F13,Input!C:M,9,0)</f>
        <v>#N/A</v>
      </c>
      <c r="L13" s="42" t="e">
        <f>VLOOKUP(F13,Input!C:M,10,0)</f>
        <v>#N/A</v>
      </c>
      <c r="M13" s="42" t="e">
        <f>VLOOKUP(F13,Input!C:M,11,0)</f>
        <v>#N/A</v>
      </c>
      <c r="N13" s="43" t="str">
        <f t="shared" si="0"/>
        <v>12,12,**</v>
      </c>
      <c r="O13" s="42">
        <v>12</v>
      </c>
    </row>
    <row r="14" spans="1:23" ht="14.25">
      <c r="A14" s="13" t="str">
        <f>IFERROR(VLOOKUP($F:$F,scan!$A:$B,2,0),"**")</f>
        <v>**</v>
      </c>
      <c r="B14" s="13" t="str">
        <f>IFERROR(VLOOKUP($F14,scan!A:C,3,0),"**")</f>
        <v>**</v>
      </c>
      <c r="C14" s="42">
        <v>13</v>
      </c>
      <c r="D14" s="42" t="s">
        <v>4936</v>
      </c>
      <c r="E14" s="42" t="s">
        <v>4937</v>
      </c>
      <c r="H14" s="42" t="s">
        <v>4936</v>
      </c>
      <c r="I14" s="42" t="s">
        <v>4938</v>
      </c>
      <c r="J14" s="42" t="s">
        <v>4939</v>
      </c>
      <c r="K14" s="42" t="e">
        <f>VLOOKUP(F14,Input!C:M,9,0)</f>
        <v>#N/A</v>
      </c>
      <c r="L14" s="42" t="e">
        <f>VLOOKUP(F14,Input!C:M,10,0)</f>
        <v>#N/A</v>
      </c>
      <c r="M14" s="42" t="e">
        <f>VLOOKUP(F14,Input!C:M,11,0)</f>
        <v>#N/A</v>
      </c>
      <c r="N14" s="43" t="str">
        <f t="shared" si="0"/>
        <v>13,13,**</v>
      </c>
      <c r="O14" s="42">
        <v>13</v>
      </c>
    </row>
    <row r="15" spans="1:23" ht="14.25">
      <c r="A15" s="13" t="str">
        <f>IFERROR(VLOOKUP($F:$F,scan!$A:$B,2,0),"**")</f>
        <v>**</v>
      </c>
      <c r="B15" s="13" t="str">
        <f>IFERROR(VLOOKUP($F15,scan!A:C,3,0),"**")</f>
        <v>**</v>
      </c>
      <c r="C15" s="42">
        <v>14</v>
      </c>
      <c r="D15" s="42" t="s">
        <v>4936</v>
      </c>
      <c r="E15" s="42" t="s">
        <v>4937</v>
      </c>
      <c r="H15" s="42" t="s">
        <v>4936</v>
      </c>
      <c r="I15" s="42" t="s">
        <v>4938</v>
      </c>
      <c r="J15" s="42" t="s">
        <v>4939</v>
      </c>
      <c r="K15" s="42" t="e">
        <f>VLOOKUP(F15,Input!C:M,9,0)</f>
        <v>#N/A</v>
      </c>
      <c r="L15" s="42" t="e">
        <f>VLOOKUP(F15,Input!C:M,10,0)</f>
        <v>#N/A</v>
      </c>
      <c r="M15" s="42" t="e">
        <f>VLOOKUP(F15,Input!C:M,11,0)</f>
        <v>#N/A</v>
      </c>
      <c r="N15" s="43" t="str">
        <f t="shared" si="0"/>
        <v>14,14,**</v>
      </c>
      <c r="O15" s="42">
        <v>14</v>
      </c>
    </row>
    <row r="16" spans="1:23" ht="14.25">
      <c r="A16" s="13" t="str">
        <f>IFERROR(VLOOKUP($F:$F,scan!$A:$B,2,0),"**")</f>
        <v>**</v>
      </c>
      <c r="B16" s="13" t="str">
        <f>IFERROR(VLOOKUP($F16,scan!A:C,3,0),"**")</f>
        <v>**</v>
      </c>
      <c r="C16" s="42">
        <v>15</v>
      </c>
      <c r="D16" s="42" t="s">
        <v>4936</v>
      </c>
      <c r="E16" s="42" t="s">
        <v>4937</v>
      </c>
      <c r="H16" s="42" t="s">
        <v>4936</v>
      </c>
      <c r="I16" s="42" t="s">
        <v>4938</v>
      </c>
      <c r="J16" s="42" t="s">
        <v>4939</v>
      </c>
      <c r="K16" s="42" t="e">
        <f>VLOOKUP(F16,Input!C:M,9,0)</f>
        <v>#N/A</v>
      </c>
      <c r="L16" s="42" t="e">
        <f>VLOOKUP(F16,Input!C:M,10,0)</f>
        <v>#N/A</v>
      </c>
      <c r="M16" s="42" t="e">
        <f>VLOOKUP(F16,Input!C:M,11,0)</f>
        <v>#N/A</v>
      </c>
      <c r="N16" s="43" t="str">
        <f t="shared" si="0"/>
        <v>15,15,**</v>
      </c>
      <c r="O16" s="42">
        <v>15</v>
      </c>
    </row>
    <row r="17" spans="1:15" ht="14.25">
      <c r="A17" s="13" t="str">
        <f>IFERROR(VLOOKUP($F:$F,scan!$A:$B,2,0),"**")</f>
        <v>**</v>
      </c>
      <c r="B17" s="13" t="str">
        <f>IFERROR(VLOOKUP($F17,scan!A:C,3,0),"**")</f>
        <v>**</v>
      </c>
      <c r="C17" s="42">
        <v>16</v>
      </c>
      <c r="D17" s="42" t="s">
        <v>4936</v>
      </c>
      <c r="E17" s="42" t="s">
        <v>4937</v>
      </c>
      <c r="H17" s="42" t="s">
        <v>4936</v>
      </c>
      <c r="I17" s="42" t="s">
        <v>4938</v>
      </c>
      <c r="J17" s="42" t="s">
        <v>4939</v>
      </c>
      <c r="K17" s="42" t="e">
        <f>VLOOKUP(F17,Input!C:M,9,0)</f>
        <v>#N/A</v>
      </c>
      <c r="L17" s="42" t="e">
        <f>VLOOKUP(F17,Input!C:M,10,0)</f>
        <v>#N/A</v>
      </c>
      <c r="M17" s="42" t="e">
        <f>VLOOKUP(F17,Input!C:M,11,0)</f>
        <v>#N/A</v>
      </c>
      <c r="N17" s="43" t="str">
        <f t="shared" si="0"/>
        <v>16,16,**</v>
      </c>
      <c r="O17" s="42">
        <v>16</v>
      </c>
    </row>
    <row r="18" spans="1:15" ht="14.25">
      <c r="A18" s="13" t="str">
        <f>IFERROR(VLOOKUP($F:$F,scan!$A:$B,2,0),"**")</f>
        <v>**</v>
      </c>
      <c r="B18" s="13" t="str">
        <f>IFERROR(VLOOKUP($F18,scan!A:C,3,0),"**")</f>
        <v>**</v>
      </c>
      <c r="C18" s="42">
        <v>17</v>
      </c>
      <c r="D18" s="42" t="s">
        <v>4936</v>
      </c>
      <c r="E18" s="42" t="s">
        <v>4937</v>
      </c>
      <c r="H18" s="42" t="s">
        <v>4936</v>
      </c>
      <c r="I18" s="42" t="s">
        <v>4938</v>
      </c>
      <c r="J18" s="42" t="s">
        <v>4939</v>
      </c>
      <c r="K18" s="42" t="e">
        <f>VLOOKUP(F18,Input!C:M,9,0)</f>
        <v>#N/A</v>
      </c>
      <c r="L18" s="42" t="e">
        <f>VLOOKUP(F18,Input!C:M,10,0)</f>
        <v>#N/A</v>
      </c>
      <c r="M18" s="42" t="e">
        <f>VLOOKUP(F18,Input!C:M,11,0)</f>
        <v>#N/A</v>
      </c>
      <c r="N18" s="43" t="str">
        <f t="shared" si="0"/>
        <v>17,17,**</v>
      </c>
      <c r="O18" s="42">
        <v>17</v>
      </c>
    </row>
    <row r="19" spans="1:15" ht="14.25">
      <c r="A19" s="13" t="str">
        <f>IFERROR(VLOOKUP($F:$F,scan!$A:$B,2,0),"**")</f>
        <v>**</v>
      </c>
      <c r="B19" s="13" t="str">
        <f>IFERROR(VLOOKUP($F19,scan!A:C,3,0),"**")</f>
        <v>**</v>
      </c>
      <c r="C19" s="42">
        <v>18</v>
      </c>
      <c r="D19" s="42" t="s">
        <v>4936</v>
      </c>
      <c r="E19" s="42" t="s">
        <v>4937</v>
      </c>
      <c r="H19" s="42" t="s">
        <v>4936</v>
      </c>
      <c r="I19" s="42" t="s">
        <v>4938</v>
      </c>
      <c r="J19" s="42" t="s">
        <v>4939</v>
      </c>
      <c r="K19" s="42" t="e">
        <f>VLOOKUP(F19,Input!C:M,9,0)</f>
        <v>#N/A</v>
      </c>
      <c r="L19" s="42" t="e">
        <f>VLOOKUP(F19,Input!C:M,10,0)</f>
        <v>#N/A</v>
      </c>
      <c r="M19" s="42" t="e">
        <f>VLOOKUP(F19,Input!C:M,11,0)</f>
        <v>#N/A</v>
      </c>
      <c r="N19" s="43" t="str">
        <f t="shared" si="0"/>
        <v>18,18,**</v>
      </c>
      <c r="O19" s="42">
        <v>18</v>
      </c>
    </row>
    <row r="20" spans="1:15" ht="14.25">
      <c r="A20" s="13" t="str">
        <f>IFERROR(VLOOKUP($F:$F,scan!$A:$B,2,0),"**")</f>
        <v>**</v>
      </c>
      <c r="B20" s="13" t="str">
        <f>IFERROR(VLOOKUP($F20,scan!A:C,3,0),"**")</f>
        <v>**</v>
      </c>
      <c r="C20" s="42">
        <v>19</v>
      </c>
      <c r="D20" s="42" t="s">
        <v>4936</v>
      </c>
      <c r="E20" s="42" t="s">
        <v>4937</v>
      </c>
      <c r="H20" s="42" t="s">
        <v>4936</v>
      </c>
      <c r="I20" s="42" t="s">
        <v>4938</v>
      </c>
      <c r="J20" s="42" t="s">
        <v>4939</v>
      </c>
      <c r="K20" s="42" t="e">
        <f>VLOOKUP(F20,Input!C:M,9,0)</f>
        <v>#N/A</v>
      </c>
      <c r="L20" s="42" t="e">
        <f>VLOOKUP(F20,Input!C:M,10,0)</f>
        <v>#N/A</v>
      </c>
      <c r="M20" s="42" t="e">
        <f>VLOOKUP(F20,Input!C:M,11,0)</f>
        <v>#N/A</v>
      </c>
      <c r="N20" s="43" t="str">
        <f t="shared" si="0"/>
        <v>19,19,**</v>
      </c>
      <c r="O20" s="42">
        <v>19</v>
      </c>
    </row>
    <row r="21" spans="1:15" ht="14.25">
      <c r="A21" s="13" t="str">
        <f>IFERROR(VLOOKUP($F:$F,scan!$A:$B,2,0),"**")</f>
        <v>**</v>
      </c>
      <c r="B21" s="13" t="str">
        <f>IFERROR(VLOOKUP($F21,scan!A:C,3,0),"**")</f>
        <v>**</v>
      </c>
      <c r="C21" s="42">
        <v>20</v>
      </c>
      <c r="D21" s="42" t="s">
        <v>4936</v>
      </c>
      <c r="E21" s="42" t="s">
        <v>4937</v>
      </c>
      <c r="H21" s="42" t="s">
        <v>4936</v>
      </c>
      <c r="I21" s="42" t="s">
        <v>4938</v>
      </c>
      <c r="J21" s="42" t="s">
        <v>4939</v>
      </c>
      <c r="K21" s="42" t="e">
        <f>VLOOKUP(F21,Input!C:M,9,0)</f>
        <v>#N/A</v>
      </c>
      <c r="L21" s="42" t="e">
        <f>VLOOKUP(F21,Input!C:M,10,0)</f>
        <v>#N/A</v>
      </c>
      <c r="M21" s="42" t="e">
        <f>VLOOKUP(F21,Input!C:M,11,0)</f>
        <v>#N/A</v>
      </c>
      <c r="N21" s="43" t="str">
        <f t="shared" si="0"/>
        <v>20,20,**</v>
      </c>
      <c r="O21" s="42">
        <v>20</v>
      </c>
    </row>
    <row r="22" spans="1:15" ht="14.25">
      <c r="A22" s="13" t="str">
        <f>IFERROR(VLOOKUP($F:$F,scan!$A:$B,2,0),"**")</f>
        <v>**</v>
      </c>
      <c r="B22" s="13" t="str">
        <f>IFERROR(VLOOKUP($F22,scan!A:C,3,0),"**")</f>
        <v>**</v>
      </c>
      <c r="C22" s="42">
        <v>21</v>
      </c>
      <c r="D22" s="42" t="s">
        <v>4936</v>
      </c>
      <c r="E22" s="42" t="s">
        <v>4937</v>
      </c>
      <c r="H22" s="42" t="s">
        <v>4936</v>
      </c>
      <c r="I22" s="42" t="s">
        <v>4938</v>
      </c>
      <c r="J22" s="42" t="s">
        <v>4939</v>
      </c>
      <c r="K22" s="42" t="e">
        <f>VLOOKUP(F22,Input!C:M,9,0)</f>
        <v>#N/A</v>
      </c>
      <c r="L22" s="42" t="e">
        <f>VLOOKUP(F22,Input!C:M,10,0)</f>
        <v>#N/A</v>
      </c>
      <c r="M22" s="42" t="e">
        <f>VLOOKUP(F22,Input!C:M,11,0)</f>
        <v>#N/A</v>
      </c>
      <c r="N22" s="43" t="str">
        <f t="shared" si="0"/>
        <v>21,21,**</v>
      </c>
      <c r="O22" s="42">
        <v>21</v>
      </c>
    </row>
    <row r="23" spans="1:15" ht="14.25">
      <c r="A23" s="13" t="str">
        <f>IFERROR(VLOOKUP($F:$F,scan!$A:$B,2,0),"**")</f>
        <v>**</v>
      </c>
      <c r="B23" s="13" t="str">
        <f>IFERROR(VLOOKUP($F23,scan!A:C,3,0),"**")</f>
        <v>**</v>
      </c>
      <c r="C23" s="42">
        <v>22</v>
      </c>
      <c r="D23" s="42" t="s">
        <v>4936</v>
      </c>
      <c r="E23" s="42" t="s">
        <v>4937</v>
      </c>
      <c r="H23" s="42" t="s">
        <v>4936</v>
      </c>
      <c r="I23" s="42" t="s">
        <v>4938</v>
      </c>
      <c r="J23" s="42" t="s">
        <v>4939</v>
      </c>
      <c r="K23" s="42" t="e">
        <f>VLOOKUP(F23,Input!C:M,9,0)</f>
        <v>#N/A</v>
      </c>
      <c r="L23" s="42" t="e">
        <f>VLOOKUP(F23,Input!C:M,10,0)</f>
        <v>#N/A</v>
      </c>
      <c r="M23" s="42" t="e">
        <f>VLOOKUP(F23,Input!C:M,11,0)</f>
        <v>#N/A</v>
      </c>
      <c r="N23" s="43" t="str">
        <f t="shared" si="0"/>
        <v>22,22,**</v>
      </c>
      <c r="O23" s="42">
        <v>22</v>
      </c>
    </row>
    <row r="24" spans="1:15" ht="14.25">
      <c r="A24" s="13" t="str">
        <f>IFERROR(VLOOKUP($F:$F,scan!$A:$B,2,0),"**")</f>
        <v>**</v>
      </c>
      <c r="B24" s="13" t="str">
        <f>IFERROR(VLOOKUP($F24,scan!A:C,3,0),"**")</f>
        <v>**</v>
      </c>
      <c r="C24" s="42">
        <v>23</v>
      </c>
      <c r="D24" s="42" t="s">
        <v>4936</v>
      </c>
      <c r="E24" s="42" t="s">
        <v>4937</v>
      </c>
      <c r="H24" s="42" t="s">
        <v>4936</v>
      </c>
      <c r="I24" s="42" t="s">
        <v>4938</v>
      </c>
      <c r="J24" s="42" t="s">
        <v>4939</v>
      </c>
      <c r="K24" s="42" t="e">
        <f>VLOOKUP(F24,Input!C:M,9,0)</f>
        <v>#N/A</v>
      </c>
      <c r="L24" s="42" t="e">
        <f>VLOOKUP(F24,Input!C:M,10,0)</f>
        <v>#N/A</v>
      </c>
      <c r="M24" s="42" t="e">
        <f>VLOOKUP(F24,Input!C:M,11,0)</f>
        <v>#N/A</v>
      </c>
      <c r="N24" s="43" t="str">
        <f t="shared" si="0"/>
        <v>23,23,**</v>
      </c>
      <c r="O24" s="42">
        <v>23</v>
      </c>
    </row>
    <row r="25" spans="1:15" ht="14.25">
      <c r="A25" s="13" t="str">
        <f>IFERROR(VLOOKUP($F:$F,scan!$A:$B,2,0),"**")</f>
        <v>**</v>
      </c>
      <c r="B25" s="13" t="str">
        <f>IFERROR(VLOOKUP($F25,scan!A:C,3,0),"**")</f>
        <v>**</v>
      </c>
      <c r="C25" s="42">
        <v>24</v>
      </c>
      <c r="D25" s="42" t="s">
        <v>4936</v>
      </c>
      <c r="E25" s="42" t="s">
        <v>4937</v>
      </c>
      <c r="H25" s="42" t="s">
        <v>4936</v>
      </c>
      <c r="I25" s="42" t="s">
        <v>4938</v>
      </c>
      <c r="J25" s="42" t="s">
        <v>4939</v>
      </c>
      <c r="K25" s="42" t="e">
        <f>VLOOKUP(F25,Input!C:M,9,0)</f>
        <v>#N/A</v>
      </c>
      <c r="L25" s="42" t="e">
        <f>VLOOKUP(F25,Input!C:M,10,0)</f>
        <v>#N/A</v>
      </c>
      <c r="M25" s="42" t="e">
        <f>VLOOKUP(F25,Input!C:M,11,0)</f>
        <v>#N/A</v>
      </c>
      <c r="N25" s="43" t="str">
        <f t="shared" si="0"/>
        <v>24,24,**</v>
      </c>
      <c r="O25" s="42">
        <v>24</v>
      </c>
    </row>
    <row r="26" spans="1:15" ht="14.25">
      <c r="A26" s="13" t="str">
        <f>IFERROR(VLOOKUP($F:$F,scan!$A:$B,2,0),"**")</f>
        <v>**</v>
      </c>
      <c r="B26" s="13" t="str">
        <f>IFERROR(VLOOKUP($F26,scan!A:C,3,0),"**")</f>
        <v>**</v>
      </c>
      <c r="C26" s="42">
        <v>25</v>
      </c>
      <c r="D26" s="42" t="s">
        <v>4936</v>
      </c>
      <c r="E26" s="42" t="s">
        <v>4937</v>
      </c>
      <c r="H26" s="42" t="s">
        <v>4936</v>
      </c>
      <c r="I26" s="42" t="s">
        <v>4938</v>
      </c>
      <c r="J26" s="42" t="s">
        <v>4939</v>
      </c>
      <c r="K26" s="42" t="e">
        <f>VLOOKUP(F26,Input!C:M,9,0)</f>
        <v>#N/A</v>
      </c>
      <c r="L26" s="42" t="e">
        <f>VLOOKUP(F26,Input!C:M,10,0)</f>
        <v>#N/A</v>
      </c>
      <c r="M26" s="42" t="e">
        <f>VLOOKUP(F26,Input!C:M,11,0)</f>
        <v>#N/A</v>
      </c>
      <c r="N26" s="43" t="str">
        <f t="shared" si="0"/>
        <v>25,25,**</v>
      </c>
      <c r="O26" s="42">
        <v>25</v>
      </c>
    </row>
    <row r="27" spans="1:15" ht="14.25">
      <c r="A27" s="13" t="str">
        <f>IFERROR(VLOOKUP($F:$F,scan!$A:$B,2,0),"**")</f>
        <v>**</v>
      </c>
      <c r="B27" s="13" t="str">
        <f>IFERROR(VLOOKUP($F27,scan!A:C,3,0),"**")</f>
        <v>**</v>
      </c>
      <c r="C27" s="42">
        <v>26</v>
      </c>
      <c r="D27" s="42" t="s">
        <v>4936</v>
      </c>
      <c r="E27" s="42" t="s">
        <v>4937</v>
      </c>
      <c r="H27" s="42" t="s">
        <v>4936</v>
      </c>
      <c r="I27" s="42" t="s">
        <v>4938</v>
      </c>
      <c r="J27" s="42" t="s">
        <v>4939</v>
      </c>
      <c r="K27" s="42" t="e">
        <f>VLOOKUP(F27,Input!C:M,9,0)</f>
        <v>#N/A</v>
      </c>
      <c r="L27" s="42" t="e">
        <f>VLOOKUP(F27,Input!C:M,10,0)</f>
        <v>#N/A</v>
      </c>
      <c r="M27" s="42" t="e">
        <f>VLOOKUP(F27,Input!C:M,11,0)</f>
        <v>#N/A</v>
      </c>
      <c r="N27" s="43" t="str">
        <f t="shared" si="0"/>
        <v>26,26,**</v>
      </c>
      <c r="O27" s="42">
        <v>26</v>
      </c>
    </row>
    <row r="28" spans="1:15" ht="14.25">
      <c r="A28" s="13" t="str">
        <f>IFERROR(VLOOKUP($F:$F,scan!$A:$B,2,0),"**")</f>
        <v>**</v>
      </c>
      <c r="B28" s="13" t="str">
        <f>IFERROR(VLOOKUP($F28,scan!A:C,3,0),"**")</f>
        <v>**</v>
      </c>
      <c r="C28" s="42">
        <v>27</v>
      </c>
      <c r="D28" s="42" t="s">
        <v>4936</v>
      </c>
      <c r="E28" s="42" t="s">
        <v>4937</v>
      </c>
      <c r="H28" s="42" t="s">
        <v>4936</v>
      </c>
      <c r="I28" s="42" t="s">
        <v>4938</v>
      </c>
      <c r="J28" s="42" t="s">
        <v>4939</v>
      </c>
      <c r="K28" s="42" t="e">
        <f>VLOOKUP(F28,Input!C:M,9,0)</f>
        <v>#N/A</v>
      </c>
      <c r="L28" s="42" t="e">
        <f>VLOOKUP(F28,Input!C:M,10,0)</f>
        <v>#N/A</v>
      </c>
      <c r="M28" s="42" t="e">
        <f>VLOOKUP(F28,Input!C:M,11,0)</f>
        <v>#N/A</v>
      </c>
      <c r="N28" s="43" t="str">
        <f t="shared" si="0"/>
        <v>27,27,**</v>
      </c>
      <c r="O28" s="42">
        <v>27</v>
      </c>
    </row>
    <row r="29" spans="1:15" ht="14.25">
      <c r="A29" s="13" t="str">
        <f>IFERROR(VLOOKUP($F:$F,scan!$A:$B,2,0),"**")</f>
        <v>**</v>
      </c>
      <c r="B29" s="13" t="str">
        <f>IFERROR(VLOOKUP($F29,scan!A:C,3,0),"**")</f>
        <v>**</v>
      </c>
      <c r="C29" s="42">
        <v>28</v>
      </c>
      <c r="D29" s="42" t="s">
        <v>4936</v>
      </c>
      <c r="E29" s="42" t="s">
        <v>4937</v>
      </c>
      <c r="H29" s="42" t="s">
        <v>4936</v>
      </c>
      <c r="I29" s="42" t="s">
        <v>4938</v>
      </c>
      <c r="J29" s="42" t="s">
        <v>4939</v>
      </c>
      <c r="K29" s="42" t="e">
        <f>VLOOKUP(F29,Input!C:M,9,0)</f>
        <v>#N/A</v>
      </c>
      <c r="L29" s="42" t="e">
        <f>VLOOKUP(F29,Input!C:M,10,0)</f>
        <v>#N/A</v>
      </c>
      <c r="M29" s="42" t="e">
        <f>VLOOKUP(F29,Input!C:M,11,0)</f>
        <v>#N/A</v>
      </c>
      <c r="N29" s="43" t="str">
        <f t="shared" si="0"/>
        <v>28,28,**</v>
      </c>
      <c r="O29" s="42">
        <v>28</v>
      </c>
    </row>
    <row r="30" spans="1:15" ht="14.25">
      <c r="A30" s="13" t="str">
        <f>IFERROR(VLOOKUP($F:$F,scan!$A:$B,2,0),"**")</f>
        <v>**</v>
      </c>
      <c r="B30" s="13" t="str">
        <f>IFERROR(VLOOKUP($F30,scan!A:C,3,0),"**")</f>
        <v>**</v>
      </c>
      <c r="C30" s="42">
        <v>29</v>
      </c>
      <c r="D30" s="42" t="s">
        <v>4936</v>
      </c>
      <c r="E30" s="42" t="s">
        <v>4937</v>
      </c>
      <c r="H30" s="42" t="s">
        <v>4936</v>
      </c>
      <c r="I30" s="42" t="s">
        <v>4938</v>
      </c>
      <c r="J30" s="42" t="s">
        <v>4939</v>
      </c>
      <c r="K30" s="42" t="e">
        <f>VLOOKUP(F30,Input!C:M,9,0)</f>
        <v>#N/A</v>
      </c>
      <c r="L30" s="42" t="e">
        <f>VLOOKUP(F30,Input!C:M,10,0)</f>
        <v>#N/A</v>
      </c>
      <c r="M30" s="42" t="e">
        <f>VLOOKUP(F30,Input!C:M,11,0)</f>
        <v>#N/A</v>
      </c>
      <c r="N30" s="43" t="str">
        <f t="shared" si="0"/>
        <v>29,29,**</v>
      </c>
      <c r="O30" s="42">
        <v>29</v>
      </c>
    </row>
    <row r="31" spans="1:15" ht="14.25">
      <c r="A31" s="13" t="str">
        <f>IFERROR(VLOOKUP($F:$F,scan!$A:$B,2,0),"**")</f>
        <v>**</v>
      </c>
      <c r="B31" s="13" t="str">
        <f>IFERROR(VLOOKUP($F31,scan!A:C,3,0),"**")</f>
        <v>**</v>
      </c>
      <c r="C31" s="42">
        <v>30</v>
      </c>
      <c r="D31" s="42" t="s">
        <v>4936</v>
      </c>
      <c r="E31" s="42" t="s">
        <v>4937</v>
      </c>
      <c r="H31" s="42" t="s">
        <v>4936</v>
      </c>
      <c r="I31" s="42" t="s">
        <v>4938</v>
      </c>
      <c r="J31" s="42" t="s">
        <v>4939</v>
      </c>
      <c r="K31" s="42" t="e">
        <f>VLOOKUP(F31,Input!C:M,9,0)</f>
        <v>#N/A</v>
      </c>
      <c r="L31" s="42" t="e">
        <f>VLOOKUP(F31,Input!C:M,10,0)</f>
        <v>#N/A</v>
      </c>
      <c r="M31" s="42" t="e">
        <f>VLOOKUP(F31,Input!C:M,11,0)</f>
        <v>#N/A</v>
      </c>
      <c r="N31" s="43" t="str">
        <f t="shared" si="0"/>
        <v>30,30,**</v>
      </c>
      <c r="O31" s="42">
        <v>30</v>
      </c>
    </row>
    <row r="32" spans="1:15" ht="14.25">
      <c r="A32" s="13" t="str">
        <f>IFERROR(VLOOKUP($F:$F,scan!$A:$B,2,0),"**")</f>
        <v>**</v>
      </c>
      <c r="B32" s="13" t="str">
        <f>IFERROR(VLOOKUP($F32,scan!A:C,3,0),"**")</f>
        <v>**</v>
      </c>
      <c r="C32" s="42">
        <v>31</v>
      </c>
      <c r="D32" s="42" t="s">
        <v>4936</v>
      </c>
      <c r="E32" s="42" t="s">
        <v>4937</v>
      </c>
      <c r="H32" s="42" t="s">
        <v>4936</v>
      </c>
      <c r="I32" s="42" t="s">
        <v>4938</v>
      </c>
      <c r="J32" s="42" t="s">
        <v>4939</v>
      </c>
      <c r="K32" s="42" t="e">
        <f>VLOOKUP(F32,Input!C:M,9,0)</f>
        <v>#N/A</v>
      </c>
      <c r="L32" s="42" t="e">
        <f>VLOOKUP(F32,Input!C:M,10,0)</f>
        <v>#N/A</v>
      </c>
      <c r="M32" s="42" t="e">
        <f>VLOOKUP(F32,Input!C:M,11,0)</f>
        <v>#N/A</v>
      </c>
      <c r="N32" s="43" t="str">
        <f t="shared" si="0"/>
        <v>31,31,**</v>
      </c>
      <c r="O32" s="42">
        <v>31</v>
      </c>
    </row>
    <row r="33" spans="1:15" ht="14.25">
      <c r="A33" s="13" t="str">
        <f>IFERROR(VLOOKUP($F:$F,scan!$A:$B,2,0),"**")</f>
        <v>**</v>
      </c>
      <c r="B33" s="13" t="str">
        <f>IFERROR(VLOOKUP($F33,scan!A:C,3,0),"**")</f>
        <v>**</v>
      </c>
      <c r="C33" s="42">
        <v>32</v>
      </c>
      <c r="D33" s="42" t="s">
        <v>4936</v>
      </c>
      <c r="E33" s="42" t="s">
        <v>4937</v>
      </c>
      <c r="H33" s="42" t="s">
        <v>4936</v>
      </c>
      <c r="I33" s="42" t="s">
        <v>4938</v>
      </c>
      <c r="J33" s="42" t="s">
        <v>4939</v>
      </c>
      <c r="K33" s="42" t="e">
        <f>VLOOKUP(F33,Input!C:M,9,0)</f>
        <v>#N/A</v>
      </c>
      <c r="L33" s="42" t="e">
        <f>VLOOKUP(F33,Input!C:M,10,0)</f>
        <v>#N/A</v>
      </c>
      <c r="M33" s="42" t="e">
        <f>VLOOKUP(F33,Input!C:M,11,0)</f>
        <v>#N/A</v>
      </c>
      <c r="N33" s="43" t="str">
        <f t="shared" si="0"/>
        <v>32,32,**</v>
      </c>
      <c r="O33" s="42">
        <v>32</v>
      </c>
    </row>
    <row r="34" spans="1:15" ht="14.25">
      <c r="A34" s="13" t="str">
        <f>IFERROR(VLOOKUP($F:$F,scan!$A:$B,2,0),"**")</f>
        <v>**</v>
      </c>
      <c r="B34" s="13" t="str">
        <f>IFERROR(VLOOKUP($F34,scan!A:C,3,0),"**")</f>
        <v>**</v>
      </c>
      <c r="C34" s="42">
        <v>33</v>
      </c>
      <c r="D34" s="42" t="s">
        <v>4936</v>
      </c>
      <c r="E34" s="42" t="s">
        <v>4937</v>
      </c>
      <c r="H34" s="42" t="s">
        <v>4936</v>
      </c>
      <c r="I34" s="42" t="s">
        <v>4938</v>
      </c>
      <c r="J34" s="42" t="s">
        <v>4939</v>
      </c>
      <c r="K34" s="42" t="e">
        <f>VLOOKUP(F34,Input!C:M,9,0)</f>
        <v>#N/A</v>
      </c>
      <c r="L34" s="42" t="e">
        <f>VLOOKUP(F34,Input!C:M,10,0)</f>
        <v>#N/A</v>
      </c>
      <c r="M34" s="42" t="e">
        <f>VLOOKUP(F34,Input!C:M,11,0)</f>
        <v>#N/A</v>
      </c>
      <c r="N34" s="43" t="str">
        <f t="shared" si="0"/>
        <v>33,33,**</v>
      </c>
      <c r="O34" s="42">
        <v>33</v>
      </c>
    </row>
    <row r="35" spans="1:15" ht="14.25">
      <c r="A35" s="13" t="str">
        <f>IFERROR(VLOOKUP($F:$F,scan!$A:$B,2,0),"**")</f>
        <v>**</v>
      </c>
      <c r="B35" s="13" t="str">
        <f>IFERROR(VLOOKUP($F35,scan!A:C,3,0),"**")</f>
        <v>**</v>
      </c>
      <c r="C35" s="42">
        <v>34</v>
      </c>
      <c r="D35" s="42" t="s">
        <v>4936</v>
      </c>
      <c r="E35" s="42" t="s">
        <v>4937</v>
      </c>
      <c r="H35" s="42" t="s">
        <v>4936</v>
      </c>
      <c r="I35" s="42" t="s">
        <v>4938</v>
      </c>
      <c r="J35" s="42" t="s">
        <v>4939</v>
      </c>
      <c r="K35" s="42" t="e">
        <f>VLOOKUP(F35,Input!C:M,9,0)</f>
        <v>#N/A</v>
      </c>
      <c r="L35" s="42" t="e">
        <f>VLOOKUP(F35,Input!C:M,10,0)</f>
        <v>#N/A</v>
      </c>
      <c r="M35" s="42" t="e">
        <f>VLOOKUP(F35,Input!C:M,11,0)</f>
        <v>#N/A</v>
      </c>
      <c r="N35" s="43" t="str">
        <f t="shared" si="0"/>
        <v>34,34,**</v>
      </c>
      <c r="O35" s="42">
        <v>34</v>
      </c>
    </row>
    <row r="36" spans="1:15" ht="14.25">
      <c r="A36" s="13" t="str">
        <f>IFERROR(VLOOKUP($F:$F,scan!$A:$B,2,0),"**")</f>
        <v>**</v>
      </c>
      <c r="B36" s="13" t="str">
        <f>IFERROR(VLOOKUP($F36,scan!A:C,3,0),"**")</f>
        <v>**</v>
      </c>
      <c r="C36" s="42">
        <v>35</v>
      </c>
      <c r="D36" s="42" t="s">
        <v>4936</v>
      </c>
      <c r="E36" s="42" t="s">
        <v>4937</v>
      </c>
      <c r="H36" s="42" t="s">
        <v>4936</v>
      </c>
      <c r="I36" s="42" t="s">
        <v>4938</v>
      </c>
      <c r="J36" s="42" t="s">
        <v>4939</v>
      </c>
      <c r="K36" s="42" t="e">
        <f>VLOOKUP(F36,Input!C:M,9,0)</f>
        <v>#N/A</v>
      </c>
      <c r="L36" s="42" t="e">
        <f>VLOOKUP(F36,Input!C:M,10,0)</f>
        <v>#N/A</v>
      </c>
      <c r="M36" s="42" t="e">
        <f>VLOOKUP(F36,Input!C:M,11,0)</f>
        <v>#N/A</v>
      </c>
      <c r="N36" s="43" t="str">
        <f t="shared" si="0"/>
        <v>35,35,**</v>
      </c>
      <c r="O36" s="42">
        <v>35</v>
      </c>
    </row>
    <row r="37" spans="1:15" ht="14.25">
      <c r="A37" s="13" t="str">
        <f>IFERROR(VLOOKUP($F:$F,scan!$A:$B,2,0),"**")</f>
        <v>**</v>
      </c>
      <c r="B37" s="13" t="str">
        <f>IFERROR(VLOOKUP($F37,scan!A:C,3,0),"**")</f>
        <v>**</v>
      </c>
      <c r="C37" s="42">
        <v>36</v>
      </c>
      <c r="D37" s="42" t="s">
        <v>4936</v>
      </c>
      <c r="E37" s="42" t="s">
        <v>4937</v>
      </c>
      <c r="H37" s="42" t="s">
        <v>4936</v>
      </c>
      <c r="I37" s="42" t="s">
        <v>4938</v>
      </c>
      <c r="J37" s="42" t="s">
        <v>4939</v>
      </c>
      <c r="K37" s="42" t="e">
        <f>VLOOKUP(F37,Input!C:M,9,0)</f>
        <v>#N/A</v>
      </c>
      <c r="L37" s="42" t="e">
        <f>VLOOKUP(F37,Input!C:M,10,0)</f>
        <v>#N/A</v>
      </c>
      <c r="M37" s="42" t="e">
        <f>VLOOKUP(F37,Input!C:M,11,0)</f>
        <v>#N/A</v>
      </c>
      <c r="N37" s="43" t="str">
        <f t="shared" si="0"/>
        <v>36,36,**</v>
      </c>
      <c r="O37" s="42">
        <v>36</v>
      </c>
    </row>
    <row r="38" spans="1:15" ht="14.25">
      <c r="A38" s="13" t="str">
        <f>IFERROR(VLOOKUP($F:$F,scan!$A:$B,2,0),"**")</f>
        <v>**</v>
      </c>
      <c r="B38" s="13" t="str">
        <f>IFERROR(VLOOKUP($F38,scan!A:C,3,0),"**")</f>
        <v>**</v>
      </c>
      <c r="C38" s="42">
        <v>37</v>
      </c>
      <c r="D38" s="42" t="s">
        <v>4936</v>
      </c>
      <c r="E38" s="42" t="s">
        <v>4937</v>
      </c>
      <c r="H38" s="42" t="s">
        <v>4936</v>
      </c>
      <c r="I38" s="42" t="s">
        <v>4938</v>
      </c>
      <c r="J38" s="42" t="s">
        <v>4939</v>
      </c>
      <c r="K38" s="42" t="e">
        <f>VLOOKUP(F38,Input!C:M,9,0)</f>
        <v>#N/A</v>
      </c>
      <c r="L38" s="42" t="e">
        <f>VLOOKUP(F38,Input!C:M,10,0)</f>
        <v>#N/A</v>
      </c>
      <c r="M38" s="42" t="e">
        <f>VLOOKUP(F38,Input!C:M,11,0)</f>
        <v>#N/A</v>
      </c>
      <c r="N38" s="43" t="str">
        <f t="shared" si="0"/>
        <v>37,37,**</v>
      </c>
      <c r="O38" s="42">
        <v>37</v>
      </c>
    </row>
    <row r="39" spans="1:15" ht="14.25">
      <c r="A39" s="13" t="str">
        <f>IFERROR(VLOOKUP($F:$F,scan!$A:$B,2,0),"**")</f>
        <v>**</v>
      </c>
      <c r="B39" s="13" t="str">
        <f>IFERROR(VLOOKUP($F39,scan!A:C,3,0),"**")</f>
        <v>**</v>
      </c>
      <c r="C39" s="42">
        <v>38</v>
      </c>
      <c r="D39" s="42" t="s">
        <v>4936</v>
      </c>
      <c r="E39" s="42" t="s">
        <v>4937</v>
      </c>
      <c r="H39" s="42" t="s">
        <v>4936</v>
      </c>
      <c r="I39" s="42" t="s">
        <v>4938</v>
      </c>
      <c r="J39" s="42" t="s">
        <v>4939</v>
      </c>
      <c r="K39" s="42" t="e">
        <f>VLOOKUP(F39,Input!C:M,9,0)</f>
        <v>#N/A</v>
      </c>
      <c r="L39" s="42" t="e">
        <f>VLOOKUP(F39,Input!C:M,10,0)</f>
        <v>#N/A</v>
      </c>
      <c r="M39" s="42" t="e">
        <f>VLOOKUP(F39,Input!C:M,11,0)</f>
        <v>#N/A</v>
      </c>
      <c r="N39" s="43" t="str">
        <f t="shared" si="0"/>
        <v>38,38,**</v>
      </c>
      <c r="O39" s="42">
        <v>38</v>
      </c>
    </row>
    <row r="40" spans="1:15" ht="14.25">
      <c r="A40" s="13" t="str">
        <f>IFERROR(VLOOKUP($F:$F,scan!$A:$B,2,0),"**")</f>
        <v>**</v>
      </c>
      <c r="B40" s="13" t="str">
        <f>IFERROR(VLOOKUP($F40,scan!A:C,3,0),"**")</f>
        <v>**</v>
      </c>
      <c r="C40" s="42">
        <v>39</v>
      </c>
      <c r="D40" s="42" t="s">
        <v>4936</v>
      </c>
      <c r="E40" s="42" t="s">
        <v>4937</v>
      </c>
      <c r="H40" s="42" t="s">
        <v>4936</v>
      </c>
      <c r="I40" s="42" t="s">
        <v>4938</v>
      </c>
      <c r="J40" s="42" t="s">
        <v>4939</v>
      </c>
      <c r="K40" s="42" t="e">
        <f>VLOOKUP(F40,Input!C:M,9,0)</f>
        <v>#N/A</v>
      </c>
      <c r="L40" s="42" t="e">
        <f>VLOOKUP(F40,Input!C:M,10,0)</f>
        <v>#N/A</v>
      </c>
      <c r="M40" s="42" t="e">
        <f>VLOOKUP(F40,Input!C:M,11,0)</f>
        <v>#N/A</v>
      </c>
      <c r="N40" s="43" t="str">
        <f t="shared" si="0"/>
        <v>39,39,**</v>
      </c>
      <c r="O40" s="42">
        <v>39</v>
      </c>
    </row>
    <row r="41" spans="1:15" ht="14.25">
      <c r="A41" s="13" t="str">
        <f>IFERROR(VLOOKUP($F:$F,scan!$A:$B,2,0),"**")</f>
        <v>**</v>
      </c>
      <c r="B41" s="13" t="str">
        <f>IFERROR(VLOOKUP($F41,scan!A:C,3,0),"**")</f>
        <v>**</v>
      </c>
      <c r="C41" s="42">
        <v>40</v>
      </c>
      <c r="D41" s="42" t="s">
        <v>4936</v>
      </c>
      <c r="E41" s="42" t="s">
        <v>4937</v>
      </c>
      <c r="H41" s="42" t="s">
        <v>4936</v>
      </c>
      <c r="I41" s="42" t="s">
        <v>4938</v>
      </c>
      <c r="J41" s="42" t="s">
        <v>4939</v>
      </c>
      <c r="K41" s="42" t="e">
        <f>VLOOKUP(F41,Input!C:M,9,0)</f>
        <v>#N/A</v>
      </c>
      <c r="L41" s="42" t="e">
        <f>VLOOKUP(F41,Input!C:M,10,0)</f>
        <v>#N/A</v>
      </c>
      <c r="M41" s="42" t="e">
        <f>VLOOKUP(F41,Input!C:M,11,0)</f>
        <v>#N/A</v>
      </c>
      <c r="N41" s="43" t="str">
        <f t="shared" si="0"/>
        <v>40,40,**</v>
      </c>
      <c r="O41" s="42">
        <v>40</v>
      </c>
    </row>
    <row r="42" spans="1:15" ht="14.25">
      <c r="A42" s="13" t="str">
        <f>IFERROR(VLOOKUP($F:$F,scan!$A:$B,2,0),"**")</f>
        <v>**</v>
      </c>
      <c r="B42" s="13" t="str">
        <f>IFERROR(VLOOKUP($F42,scan!A:C,3,0),"**")</f>
        <v>**</v>
      </c>
      <c r="C42" s="42">
        <v>41</v>
      </c>
      <c r="D42" s="42" t="s">
        <v>4936</v>
      </c>
      <c r="E42" s="42" t="s">
        <v>4937</v>
      </c>
      <c r="H42" s="42" t="s">
        <v>4936</v>
      </c>
      <c r="I42" s="42" t="s">
        <v>4938</v>
      </c>
      <c r="J42" s="42" t="s">
        <v>4939</v>
      </c>
      <c r="K42" s="42" t="e">
        <f>VLOOKUP(F42,Input!C:M,9,0)</f>
        <v>#N/A</v>
      </c>
      <c r="L42" s="42" t="e">
        <f>VLOOKUP(F42,Input!C:M,10,0)</f>
        <v>#N/A</v>
      </c>
      <c r="M42" s="42" t="e">
        <f>VLOOKUP(F42,Input!C:M,11,0)</f>
        <v>#N/A</v>
      </c>
      <c r="N42" s="43" t="str">
        <f t="shared" si="0"/>
        <v>41,41,**</v>
      </c>
      <c r="O42" s="42">
        <v>41</v>
      </c>
    </row>
    <row r="43" spans="1:15" ht="14.25">
      <c r="A43" s="13" t="str">
        <f>IFERROR(VLOOKUP($F:$F,scan!$A:$B,2,0),"**")</f>
        <v>**</v>
      </c>
      <c r="B43" s="13" t="str">
        <f>IFERROR(VLOOKUP($F43,scan!A:C,3,0),"**")</f>
        <v>**</v>
      </c>
      <c r="C43" s="42">
        <v>42</v>
      </c>
      <c r="D43" s="42" t="s">
        <v>4936</v>
      </c>
      <c r="E43" s="42" t="s">
        <v>4937</v>
      </c>
      <c r="H43" s="42" t="s">
        <v>4936</v>
      </c>
      <c r="I43" s="42" t="s">
        <v>4938</v>
      </c>
      <c r="J43" s="42" t="s">
        <v>4939</v>
      </c>
      <c r="K43" s="42" t="e">
        <f>VLOOKUP(F43,Input!C:M,9,0)</f>
        <v>#N/A</v>
      </c>
      <c r="L43" s="42" t="e">
        <f>VLOOKUP(F43,Input!C:M,10,0)</f>
        <v>#N/A</v>
      </c>
      <c r="M43" s="42" t="e">
        <f>VLOOKUP(F43,Input!C:M,11,0)</f>
        <v>#N/A</v>
      </c>
      <c r="N43" s="43" t="str">
        <f t="shared" si="0"/>
        <v>42,42,**</v>
      </c>
      <c r="O43" s="42">
        <v>42</v>
      </c>
    </row>
    <row r="44" spans="1:15" ht="14.25">
      <c r="A44" s="13" t="str">
        <f>IFERROR(VLOOKUP($F:$F,scan!$A:$B,2,0),"**")</f>
        <v>**</v>
      </c>
      <c r="B44" s="13" t="str">
        <f>IFERROR(VLOOKUP($F44,scan!A:C,3,0),"**")</f>
        <v>**</v>
      </c>
      <c r="C44" s="42">
        <v>43</v>
      </c>
      <c r="D44" s="42" t="s">
        <v>4936</v>
      </c>
      <c r="E44" s="42" t="s">
        <v>4937</v>
      </c>
      <c r="H44" s="42" t="s">
        <v>4936</v>
      </c>
      <c r="I44" s="42" t="s">
        <v>4938</v>
      </c>
      <c r="J44" s="42" t="s">
        <v>4939</v>
      </c>
      <c r="K44" s="42" t="e">
        <f>VLOOKUP(F44,Input!C:M,9,0)</f>
        <v>#N/A</v>
      </c>
      <c r="L44" s="42" t="e">
        <f>VLOOKUP(F44,Input!C:M,10,0)</f>
        <v>#N/A</v>
      </c>
      <c r="M44" s="42" t="e">
        <f>VLOOKUP(F44,Input!C:M,11,0)</f>
        <v>#N/A</v>
      </c>
      <c r="N44" s="43" t="str">
        <f t="shared" si="0"/>
        <v>43,43,**</v>
      </c>
      <c r="O44" s="42">
        <v>43</v>
      </c>
    </row>
    <row r="45" spans="1:15" ht="14.25">
      <c r="A45" s="13" t="str">
        <f>IFERROR(VLOOKUP($F:$F,scan!$A:$B,2,0),"**")</f>
        <v>**</v>
      </c>
      <c r="B45" s="13" t="str">
        <f>IFERROR(VLOOKUP($F45,scan!A:C,3,0),"**")</f>
        <v>**</v>
      </c>
      <c r="C45" s="42">
        <v>44</v>
      </c>
      <c r="D45" s="42" t="s">
        <v>4936</v>
      </c>
      <c r="E45" s="42" t="s">
        <v>4937</v>
      </c>
      <c r="H45" s="42" t="s">
        <v>4936</v>
      </c>
      <c r="I45" s="42" t="s">
        <v>4938</v>
      </c>
      <c r="J45" s="42" t="s">
        <v>4939</v>
      </c>
      <c r="K45" s="42" t="e">
        <f>VLOOKUP(F45,Input!C:M,9,0)</f>
        <v>#N/A</v>
      </c>
      <c r="L45" s="42" t="e">
        <f>VLOOKUP(F45,Input!C:M,10,0)</f>
        <v>#N/A</v>
      </c>
      <c r="M45" s="42" t="e">
        <f>VLOOKUP(F45,Input!C:M,11,0)</f>
        <v>#N/A</v>
      </c>
      <c r="N45" s="43" t="str">
        <f t="shared" si="0"/>
        <v>44,44,**</v>
      </c>
      <c r="O45" s="42">
        <v>44</v>
      </c>
    </row>
    <row r="46" spans="1:15" ht="14.25">
      <c r="A46" s="13" t="str">
        <f>IFERROR(VLOOKUP($F:$F,scan!$A:$B,2,0),"**")</f>
        <v>**</v>
      </c>
      <c r="B46" s="13" t="str">
        <f>IFERROR(VLOOKUP($F46,scan!A:C,3,0),"**")</f>
        <v>**</v>
      </c>
      <c r="C46" s="42">
        <v>45</v>
      </c>
      <c r="D46" s="42" t="s">
        <v>4936</v>
      </c>
      <c r="E46" s="42" t="s">
        <v>4937</v>
      </c>
      <c r="H46" s="42" t="s">
        <v>4936</v>
      </c>
      <c r="I46" s="42" t="s">
        <v>4938</v>
      </c>
      <c r="J46" s="42" t="s">
        <v>4939</v>
      </c>
      <c r="K46" s="42" t="e">
        <f>VLOOKUP(F46,Input!C:M,9,0)</f>
        <v>#N/A</v>
      </c>
      <c r="L46" s="42" t="e">
        <f>VLOOKUP(F46,Input!C:M,10,0)</f>
        <v>#N/A</v>
      </c>
      <c r="M46" s="42" t="e">
        <f>VLOOKUP(F46,Input!C:M,11,0)</f>
        <v>#N/A</v>
      </c>
      <c r="N46" s="43" t="str">
        <f t="shared" si="0"/>
        <v>45,45,**</v>
      </c>
      <c r="O46" s="42">
        <v>45</v>
      </c>
    </row>
    <row r="47" spans="1:15" ht="14.25">
      <c r="A47" s="13" t="str">
        <f>IFERROR(VLOOKUP($F:$F,scan!$A:$B,2,0),"**")</f>
        <v>**</v>
      </c>
      <c r="B47" s="13" t="str">
        <f>IFERROR(VLOOKUP($F47,scan!A:C,3,0),"**")</f>
        <v>**</v>
      </c>
      <c r="C47" s="42">
        <v>46</v>
      </c>
      <c r="D47" s="42" t="s">
        <v>4936</v>
      </c>
      <c r="E47" s="42" t="s">
        <v>4937</v>
      </c>
      <c r="H47" s="42" t="s">
        <v>4936</v>
      </c>
      <c r="I47" s="42" t="s">
        <v>4938</v>
      </c>
      <c r="J47" s="42" t="s">
        <v>4939</v>
      </c>
      <c r="K47" s="42" t="e">
        <f>VLOOKUP(F47,Input!C:M,9,0)</f>
        <v>#N/A</v>
      </c>
      <c r="L47" s="42" t="e">
        <f>VLOOKUP(F47,Input!C:M,10,0)</f>
        <v>#N/A</v>
      </c>
      <c r="M47" s="42" t="e">
        <f>VLOOKUP(F47,Input!C:M,11,0)</f>
        <v>#N/A</v>
      </c>
      <c r="N47" s="43" t="str">
        <f t="shared" si="0"/>
        <v>46,46,**</v>
      </c>
      <c r="O47" s="42">
        <v>46</v>
      </c>
    </row>
    <row r="48" spans="1:15" ht="14.25">
      <c r="A48" s="13" t="str">
        <f>IFERROR(VLOOKUP($F:$F,scan!$A:$B,2,0),"**")</f>
        <v>**</v>
      </c>
      <c r="B48" s="13" t="str">
        <f>IFERROR(VLOOKUP($F48,scan!A:C,3,0),"**")</f>
        <v>**</v>
      </c>
      <c r="C48" s="42">
        <v>47</v>
      </c>
      <c r="D48" s="42" t="s">
        <v>4936</v>
      </c>
      <c r="E48" s="42" t="s">
        <v>4937</v>
      </c>
      <c r="H48" s="42" t="s">
        <v>4936</v>
      </c>
      <c r="I48" s="42" t="s">
        <v>4938</v>
      </c>
      <c r="J48" s="42" t="s">
        <v>4939</v>
      </c>
      <c r="K48" s="42" t="e">
        <f>VLOOKUP(F48,Input!C:M,9,0)</f>
        <v>#N/A</v>
      </c>
      <c r="L48" s="42" t="e">
        <f>VLOOKUP(F48,Input!C:M,10,0)</f>
        <v>#N/A</v>
      </c>
      <c r="M48" s="42" t="e">
        <f>VLOOKUP(F48,Input!C:M,11,0)</f>
        <v>#N/A</v>
      </c>
      <c r="N48" s="43" t="str">
        <f t="shared" si="0"/>
        <v>47,47,**</v>
      </c>
      <c r="O48" s="42">
        <v>47</v>
      </c>
    </row>
    <row r="49" spans="1:15" ht="14.25">
      <c r="A49" s="13" t="str">
        <f>IFERROR(VLOOKUP($F:$F,scan!$A:$B,2,0),"**")</f>
        <v>**</v>
      </c>
      <c r="B49" s="13" t="str">
        <f>IFERROR(VLOOKUP($F49,scan!A:C,3,0),"**")</f>
        <v>**</v>
      </c>
      <c r="C49" s="42">
        <v>48</v>
      </c>
      <c r="D49" s="42" t="s">
        <v>4936</v>
      </c>
      <c r="E49" s="42" t="s">
        <v>4937</v>
      </c>
      <c r="H49" s="42" t="s">
        <v>4936</v>
      </c>
      <c r="I49" s="42" t="s">
        <v>4938</v>
      </c>
      <c r="J49" s="42" t="s">
        <v>4939</v>
      </c>
      <c r="K49" s="42" t="e">
        <f>VLOOKUP(F49,Input!C:M,9,0)</f>
        <v>#N/A</v>
      </c>
      <c r="L49" s="42" t="e">
        <f>VLOOKUP(F49,Input!C:M,10,0)</f>
        <v>#N/A</v>
      </c>
      <c r="M49" s="42" t="e">
        <f>VLOOKUP(F49,Input!C:M,11,0)</f>
        <v>#N/A</v>
      </c>
      <c r="N49" s="43" t="str">
        <f t="shared" si="0"/>
        <v>48,48,**</v>
      </c>
      <c r="O49" s="42">
        <v>48</v>
      </c>
    </row>
    <row r="50" spans="1:15" ht="14.25">
      <c r="A50" s="13" t="str">
        <f>IFERROR(VLOOKUP($F:$F,scan!$A:$B,2,0),"**")</f>
        <v>**</v>
      </c>
      <c r="B50" s="13" t="str">
        <f>IFERROR(VLOOKUP($F50,scan!A:C,3,0),"**")</f>
        <v>**</v>
      </c>
      <c r="C50" s="42">
        <v>49</v>
      </c>
      <c r="D50" s="42" t="s">
        <v>4936</v>
      </c>
      <c r="E50" s="42" t="s">
        <v>4937</v>
      </c>
      <c r="H50" s="42" t="s">
        <v>4936</v>
      </c>
      <c r="I50" s="42" t="s">
        <v>4938</v>
      </c>
      <c r="J50" s="42" t="s">
        <v>4939</v>
      </c>
      <c r="K50" s="42" t="e">
        <f>VLOOKUP(F50,Input!C:M,9,0)</f>
        <v>#N/A</v>
      </c>
      <c r="L50" s="42" t="e">
        <f>VLOOKUP(F50,Input!C:M,10,0)</f>
        <v>#N/A</v>
      </c>
      <c r="M50" s="42" t="e">
        <f>VLOOKUP(F50,Input!C:M,11,0)</f>
        <v>#N/A</v>
      </c>
      <c r="N50" s="43" t="str">
        <f t="shared" si="0"/>
        <v>49,49,**</v>
      </c>
      <c r="O50" s="42">
        <v>49</v>
      </c>
    </row>
    <row r="51" spans="1:15" ht="14.25">
      <c r="A51" s="13" t="str">
        <f>IFERROR(VLOOKUP($F:$F,scan!$A:$B,2,0),"**")</f>
        <v>**</v>
      </c>
      <c r="B51" s="13" t="str">
        <f>IFERROR(VLOOKUP($F51,scan!A:C,3,0),"**")</f>
        <v>**</v>
      </c>
      <c r="C51" s="42">
        <v>50</v>
      </c>
      <c r="D51" s="42" t="s">
        <v>4936</v>
      </c>
      <c r="E51" s="42" t="s">
        <v>4937</v>
      </c>
      <c r="H51" s="42" t="s">
        <v>4936</v>
      </c>
      <c r="I51" s="42" t="s">
        <v>4938</v>
      </c>
      <c r="J51" s="42" t="s">
        <v>4939</v>
      </c>
      <c r="K51" s="42" t="e">
        <f>VLOOKUP(F51,Input!C:M,9,0)</f>
        <v>#N/A</v>
      </c>
      <c r="L51" s="42" t="e">
        <f>VLOOKUP(F51,Input!C:M,10,0)</f>
        <v>#N/A</v>
      </c>
      <c r="M51" s="42" t="e">
        <f>VLOOKUP(F51,Input!C:M,11,0)</f>
        <v>#N/A</v>
      </c>
      <c r="N51" s="43" t="str">
        <f t="shared" si="0"/>
        <v>50,50,**</v>
      </c>
      <c r="O51" s="42">
        <v>50</v>
      </c>
    </row>
    <row r="52" spans="1:15" ht="14.25">
      <c r="A52" s="13" t="str">
        <f>IFERROR(VLOOKUP($F:$F,scan!$A:$B,2,0),"**")</f>
        <v>**</v>
      </c>
      <c r="B52" s="13" t="str">
        <f>IFERROR(VLOOKUP($F52,scan!A:C,3,0),"**")</f>
        <v>**</v>
      </c>
      <c r="C52" s="42">
        <v>51</v>
      </c>
      <c r="D52" s="42" t="s">
        <v>4936</v>
      </c>
      <c r="E52" s="42" t="s">
        <v>4937</v>
      </c>
      <c r="H52" s="42" t="s">
        <v>4936</v>
      </c>
      <c r="I52" s="42" t="s">
        <v>4938</v>
      </c>
      <c r="J52" s="42" t="s">
        <v>4939</v>
      </c>
      <c r="K52" s="42" t="e">
        <f>VLOOKUP(F52,Input!C:M,9,0)</f>
        <v>#N/A</v>
      </c>
      <c r="L52" s="42" t="e">
        <f>VLOOKUP(F52,Input!C:M,10,0)</f>
        <v>#N/A</v>
      </c>
      <c r="M52" s="42" t="e">
        <f>VLOOKUP(F52,Input!C:M,11,0)</f>
        <v>#N/A</v>
      </c>
      <c r="N52" s="43" t="str">
        <f t="shared" si="0"/>
        <v>51,51,**</v>
      </c>
      <c r="O52" s="42">
        <v>51</v>
      </c>
    </row>
    <row r="53" spans="1:15" ht="14.25">
      <c r="A53" s="13" t="str">
        <f>IFERROR(VLOOKUP($F:$F,scan!$A:$B,2,0),"**")</f>
        <v>**</v>
      </c>
      <c r="B53" s="13" t="str">
        <f>IFERROR(VLOOKUP($F53,scan!A:C,3,0),"**")</f>
        <v>**</v>
      </c>
      <c r="C53" s="42">
        <v>52</v>
      </c>
      <c r="D53" s="42" t="s">
        <v>4936</v>
      </c>
      <c r="E53" s="42" t="s">
        <v>4937</v>
      </c>
      <c r="H53" s="42" t="s">
        <v>4936</v>
      </c>
      <c r="I53" s="42" t="s">
        <v>4938</v>
      </c>
      <c r="J53" s="42" t="s">
        <v>4939</v>
      </c>
      <c r="K53" s="42" t="e">
        <f>VLOOKUP(F53,Input!C:M,9,0)</f>
        <v>#N/A</v>
      </c>
      <c r="L53" s="42" t="e">
        <f>VLOOKUP(F53,Input!C:M,10,0)</f>
        <v>#N/A</v>
      </c>
      <c r="M53" s="42" t="e">
        <f>VLOOKUP(F53,Input!C:M,11,0)</f>
        <v>#N/A</v>
      </c>
      <c r="N53" s="43" t="str">
        <f t="shared" si="0"/>
        <v>52,52,**</v>
      </c>
      <c r="O53" s="42">
        <v>52</v>
      </c>
    </row>
    <row r="54" spans="1:15" ht="14.25">
      <c r="A54" s="13" t="str">
        <f>IFERROR(VLOOKUP($F:$F,scan!$A:$B,2,0),"**")</f>
        <v>**</v>
      </c>
      <c r="B54" s="13" t="str">
        <f>IFERROR(VLOOKUP($F54,scan!A:C,3,0),"**")</f>
        <v>**</v>
      </c>
      <c r="C54" s="42">
        <v>53</v>
      </c>
      <c r="D54" s="42" t="s">
        <v>4936</v>
      </c>
      <c r="E54" s="42" t="s">
        <v>4937</v>
      </c>
      <c r="H54" s="42" t="s">
        <v>4936</v>
      </c>
      <c r="I54" s="42" t="s">
        <v>4938</v>
      </c>
      <c r="J54" s="42" t="s">
        <v>4939</v>
      </c>
      <c r="K54" s="42" t="e">
        <f>VLOOKUP(F54,Input!C:M,9,0)</f>
        <v>#N/A</v>
      </c>
      <c r="L54" s="42" t="e">
        <f>VLOOKUP(F54,Input!C:M,10,0)</f>
        <v>#N/A</v>
      </c>
      <c r="M54" s="42" t="e">
        <f>VLOOKUP(F54,Input!C:M,11,0)</f>
        <v>#N/A</v>
      </c>
      <c r="N54" s="43" t="str">
        <f t="shared" si="0"/>
        <v>53,53,**</v>
      </c>
      <c r="O54" s="42">
        <v>53</v>
      </c>
    </row>
    <row r="55" spans="1:15" ht="14.25">
      <c r="A55" s="13" t="str">
        <f>IFERROR(VLOOKUP($F:$F,scan!$A:$B,2,0),"**")</f>
        <v>**</v>
      </c>
      <c r="B55" s="13" t="str">
        <f>IFERROR(VLOOKUP($F55,scan!A:C,3,0),"**")</f>
        <v>**</v>
      </c>
      <c r="C55" s="42">
        <v>54</v>
      </c>
      <c r="D55" s="42" t="s">
        <v>4936</v>
      </c>
      <c r="E55" s="42" t="s">
        <v>4937</v>
      </c>
      <c r="H55" s="42" t="s">
        <v>4936</v>
      </c>
      <c r="I55" s="42" t="s">
        <v>4938</v>
      </c>
      <c r="J55" s="42" t="s">
        <v>4939</v>
      </c>
      <c r="K55" s="42" t="e">
        <f>VLOOKUP(F55,Input!C:M,9,0)</f>
        <v>#N/A</v>
      </c>
      <c r="L55" s="42" t="e">
        <f>VLOOKUP(F55,Input!C:M,10,0)</f>
        <v>#N/A</v>
      </c>
      <c r="M55" s="42" t="e">
        <f>VLOOKUP(F55,Input!C:M,11,0)</f>
        <v>#N/A</v>
      </c>
      <c r="N55" s="43" t="str">
        <f t="shared" si="0"/>
        <v>54,54,**</v>
      </c>
      <c r="O55" s="42">
        <v>54</v>
      </c>
    </row>
    <row r="56" spans="1:15" ht="14.25">
      <c r="A56" s="13" t="str">
        <f>IFERROR(VLOOKUP($F:$F,scan!$A:$B,2,0),"**")</f>
        <v>**</v>
      </c>
      <c r="B56" s="13" t="str">
        <f>IFERROR(VLOOKUP($F56,scan!A:C,3,0),"**")</f>
        <v>**</v>
      </c>
      <c r="C56" s="42">
        <v>55</v>
      </c>
      <c r="D56" s="42" t="s">
        <v>4936</v>
      </c>
      <c r="E56" s="42" t="s">
        <v>4937</v>
      </c>
      <c r="H56" s="42" t="s">
        <v>4936</v>
      </c>
      <c r="I56" s="42" t="s">
        <v>4938</v>
      </c>
      <c r="J56" s="42" t="s">
        <v>4939</v>
      </c>
      <c r="K56" s="42" t="e">
        <f>VLOOKUP(F56,Input!C:M,9,0)</f>
        <v>#N/A</v>
      </c>
      <c r="L56" s="42" t="e">
        <f>VLOOKUP(F56,Input!C:M,10,0)</f>
        <v>#N/A</v>
      </c>
      <c r="M56" s="42" t="e">
        <f>VLOOKUP(F56,Input!C:M,11,0)</f>
        <v>#N/A</v>
      </c>
      <c r="N56" s="43" t="str">
        <f t="shared" si="0"/>
        <v>55,55,**</v>
      </c>
      <c r="O56" s="42">
        <v>55</v>
      </c>
    </row>
    <row r="57" spans="1:15" ht="14.25">
      <c r="A57" s="13" t="str">
        <f>IFERROR(VLOOKUP($F:$F,scan!$A:$B,2,0),"**")</f>
        <v>**</v>
      </c>
      <c r="B57" s="13" t="str">
        <f>IFERROR(VLOOKUP($F57,scan!A:C,3,0),"**")</f>
        <v>**</v>
      </c>
      <c r="C57" s="42">
        <v>56</v>
      </c>
      <c r="D57" s="42" t="s">
        <v>4936</v>
      </c>
      <c r="E57" s="42" t="s">
        <v>4937</v>
      </c>
      <c r="H57" s="42" t="s">
        <v>4936</v>
      </c>
      <c r="I57" s="42" t="s">
        <v>4938</v>
      </c>
      <c r="J57" s="42" t="s">
        <v>4939</v>
      </c>
      <c r="K57" s="42" t="e">
        <f>VLOOKUP(F57,Input!C:M,9,0)</f>
        <v>#N/A</v>
      </c>
      <c r="L57" s="42" t="e">
        <f>VLOOKUP(F57,Input!C:M,10,0)</f>
        <v>#N/A</v>
      </c>
      <c r="M57" s="42" t="e">
        <f>VLOOKUP(F57,Input!C:M,11,0)</f>
        <v>#N/A</v>
      </c>
      <c r="N57" s="43" t="str">
        <f t="shared" si="0"/>
        <v>56,56,**</v>
      </c>
      <c r="O57" s="42">
        <v>56</v>
      </c>
    </row>
    <row r="58" spans="1:15" ht="14.25">
      <c r="A58" s="13" t="str">
        <f>IFERROR(VLOOKUP($F:$F,scan!$A:$B,2,0),"**")</f>
        <v>**</v>
      </c>
      <c r="B58" s="13" t="str">
        <f>IFERROR(VLOOKUP($F58,scan!A:C,3,0),"**")</f>
        <v>**</v>
      </c>
      <c r="C58" s="42">
        <v>57</v>
      </c>
      <c r="D58" s="42" t="s">
        <v>4936</v>
      </c>
      <c r="E58" s="42" t="s">
        <v>4937</v>
      </c>
      <c r="H58" s="42" t="s">
        <v>4936</v>
      </c>
      <c r="I58" s="42" t="s">
        <v>4938</v>
      </c>
      <c r="J58" s="42" t="s">
        <v>4939</v>
      </c>
      <c r="K58" s="42" t="e">
        <f>VLOOKUP(F58,Input!C:M,9,0)</f>
        <v>#N/A</v>
      </c>
      <c r="L58" s="42" t="e">
        <f>VLOOKUP(F58,Input!C:M,10,0)</f>
        <v>#N/A</v>
      </c>
      <c r="M58" s="42" t="e">
        <f>VLOOKUP(F58,Input!C:M,11,0)</f>
        <v>#N/A</v>
      </c>
      <c r="N58" s="43" t="str">
        <f t="shared" si="0"/>
        <v>57,57,**</v>
      </c>
      <c r="O58" s="42">
        <v>57</v>
      </c>
    </row>
    <row r="59" spans="1:15" ht="14.25">
      <c r="A59" s="13" t="str">
        <f>IFERROR(VLOOKUP($F:$F,scan!$A:$B,2,0),"**")</f>
        <v>**</v>
      </c>
      <c r="B59" s="13" t="str">
        <f>IFERROR(VLOOKUP($F59,scan!A:C,3,0),"**")</f>
        <v>**</v>
      </c>
      <c r="C59" s="42">
        <v>58</v>
      </c>
      <c r="D59" s="42" t="s">
        <v>4936</v>
      </c>
      <c r="E59" s="42" t="s">
        <v>4937</v>
      </c>
      <c r="H59" s="42" t="s">
        <v>4936</v>
      </c>
      <c r="I59" s="42" t="s">
        <v>4938</v>
      </c>
      <c r="J59" s="42" t="s">
        <v>4939</v>
      </c>
      <c r="K59" s="42" t="e">
        <f>VLOOKUP(F59,Input!C:M,9,0)</f>
        <v>#N/A</v>
      </c>
      <c r="L59" s="42" t="e">
        <f>VLOOKUP(F59,Input!C:M,10,0)</f>
        <v>#N/A</v>
      </c>
      <c r="M59" s="42" t="e">
        <f>VLOOKUP(F59,Input!C:M,11,0)</f>
        <v>#N/A</v>
      </c>
      <c r="N59" s="43" t="str">
        <f t="shared" si="0"/>
        <v>58,58,**</v>
      </c>
      <c r="O59" s="42">
        <v>58</v>
      </c>
    </row>
    <row r="60" spans="1:15" ht="14.25">
      <c r="A60" s="13" t="str">
        <f>IFERROR(VLOOKUP($F:$F,scan!$A:$B,2,0),"**")</f>
        <v>**</v>
      </c>
      <c r="B60" s="13" t="str">
        <f>IFERROR(VLOOKUP($F60,scan!A:C,3,0),"**")</f>
        <v>**</v>
      </c>
      <c r="C60" s="42">
        <v>59</v>
      </c>
      <c r="D60" s="42" t="s">
        <v>4936</v>
      </c>
      <c r="E60" s="42" t="s">
        <v>4937</v>
      </c>
      <c r="H60" s="42" t="s">
        <v>4936</v>
      </c>
      <c r="I60" s="42" t="s">
        <v>4938</v>
      </c>
      <c r="J60" s="42" t="s">
        <v>4939</v>
      </c>
      <c r="K60" s="42" t="e">
        <f>VLOOKUP(F60,Input!C:M,9,0)</f>
        <v>#N/A</v>
      </c>
      <c r="L60" s="42" t="e">
        <f>VLOOKUP(F60,Input!C:M,10,0)</f>
        <v>#N/A</v>
      </c>
      <c r="M60" s="42" t="e">
        <f>VLOOKUP(F60,Input!C:M,11,0)</f>
        <v>#N/A</v>
      </c>
      <c r="N60" s="43" t="str">
        <f t="shared" si="0"/>
        <v>59,59,**</v>
      </c>
      <c r="O60" s="42">
        <v>59</v>
      </c>
    </row>
    <row r="61" spans="1:15" ht="14.25">
      <c r="A61" s="13" t="str">
        <f>IFERROR(VLOOKUP($F:$F,scan!$A:$B,2,0),"**")</f>
        <v>**</v>
      </c>
      <c r="B61" s="13" t="str">
        <f>IFERROR(VLOOKUP($F61,scan!A:C,3,0),"**")</f>
        <v>**</v>
      </c>
      <c r="C61" s="42">
        <v>60</v>
      </c>
      <c r="D61" s="42" t="s">
        <v>4936</v>
      </c>
      <c r="E61" s="42" t="s">
        <v>4937</v>
      </c>
      <c r="H61" s="42" t="s">
        <v>4936</v>
      </c>
      <c r="I61" s="42" t="s">
        <v>4938</v>
      </c>
      <c r="J61" s="42" t="s">
        <v>4939</v>
      </c>
      <c r="K61" s="42" t="e">
        <f>VLOOKUP(F61,Input!C:M,9,0)</f>
        <v>#N/A</v>
      </c>
      <c r="L61" s="42" t="e">
        <f>VLOOKUP(F61,Input!C:M,10,0)</f>
        <v>#N/A</v>
      </c>
      <c r="M61" s="42" t="e">
        <f>VLOOKUP(F61,Input!C:M,11,0)</f>
        <v>#N/A</v>
      </c>
      <c r="N61" s="43" t="str">
        <f t="shared" si="0"/>
        <v>60,60,**</v>
      </c>
      <c r="O61" s="42">
        <v>60</v>
      </c>
    </row>
    <row r="62" spans="1:15" ht="14.25">
      <c r="A62" s="13" t="str">
        <f>IFERROR(VLOOKUP($F:$F,scan!$A:$B,2,0),"**")</f>
        <v>**</v>
      </c>
      <c r="B62" s="13" t="str">
        <f>IFERROR(VLOOKUP($F62,scan!A:C,3,0),"**")</f>
        <v>**</v>
      </c>
      <c r="C62" s="42">
        <v>61</v>
      </c>
      <c r="D62" s="42" t="s">
        <v>4936</v>
      </c>
      <c r="E62" s="42" t="s">
        <v>4937</v>
      </c>
      <c r="H62" s="42" t="s">
        <v>4936</v>
      </c>
      <c r="I62" s="42" t="s">
        <v>4938</v>
      </c>
      <c r="J62" s="42" t="s">
        <v>4939</v>
      </c>
      <c r="K62" s="42" t="e">
        <f>VLOOKUP(F62,Input!C:M,9,0)</f>
        <v>#N/A</v>
      </c>
      <c r="L62" s="42" t="e">
        <f>VLOOKUP(F62,Input!C:M,10,0)</f>
        <v>#N/A</v>
      </c>
      <c r="M62" s="42" t="e">
        <f>VLOOKUP(F62,Input!C:M,11,0)</f>
        <v>#N/A</v>
      </c>
      <c r="N62" s="43" t="str">
        <f t="shared" si="0"/>
        <v>61,61,**</v>
      </c>
      <c r="O62" s="42">
        <v>61</v>
      </c>
    </row>
    <row r="63" spans="1:15" ht="14.25">
      <c r="A63" s="13" t="str">
        <f>IFERROR(VLOOKUP($F:$F,scan!$A:$B,2,0),"**")</f>
        <v>**</v>
      </c>
      <c r="B63" s="13" t="str">
        <f>IFERROR(VLOOKUP($F63,scan!A:C,3,0),"**")</f>
        <v>**</v>
      </c>
      <c r="C63" s="42">
        <v>62</v>
      </c>
      <c r="D63" s="42" t="s">
        <v>4936</v>
      </c>
      <c r="E63" s="42" t="s">
        <v>4937</v>
      </c>
      <c r="H63" s="42" t="s">
        <v>4936</v>
      </c>
      <c r="I63" s="42" t="s">
        <v>4938</v>
      </c>
      <c r="J63" s="42" t="s">
        <v>4939</v>
      </c>
      <c r="K63" s="42" t="e">
        <f>VLOOKUP(F63,Input!C:M,9,0)</f>
        <v>#N/A</v>
      </c>
      <c r="L63" s="42" t="e">
        <f>VLOOKUP(F63,Input!C:M,10,0)</f>
        <v>#N/A</v>
      </c>
      <c r="M63" s="42" t="e">
        <f>VLOOKUP(F63,Input!C:M,11,0)</f>
        <v>#N/A</v>
      </c>
      <c r="N63" s="43" t="str">
        <f t="shared" si="0"/>
        <v>62,62,**</v>
      </c>
      <c r="O63" s="42">
        <v>62</v>
      </c>
    </row>
    <row r="64" spans="1:15" ht="14.25">
      <c r="A64" s="13" t="str">
        <f>IFERROR(VLOOKUP($F:$F,scan!$A:$B,2,0),"**")</f>
        <v>**</v>
      </c>
      <c r="B64" s="13" t="str">
        <f>IFERROR(VLOOKUP($F64,scan!A:C,3,0),"**")</f>
        <v>**</v>
      </c>
      <c r="C64" s="42">
        <v>63</v>
      </c>
      <c r="D64" s="42" t="s">
        <v>4936</v>
      </c>
      <c r="E64" s="42" t="s">
        <v>4937</v>
      </c>
      <c r="H64" s="42" t="s">
        <v>4936</v>
      </c>
      <c r="I64" s="42" t="s">
        <v>4938</v>
      </c>
      <c r="J64" s="42" t="s">
        <v>4939</v>
      </c>
      <c r="K64" s="42" t="e">
        <f>VLOOKUP(F64,Input!C:M,9,0)</f>
        <v>#N/A</v>
      </c>
      <c r="L64" s="42" t="e">
        <f>VLOOKUP(F64,Input!C:M,10,0)</f>
        <v>#N/A</v>
      </c>
      <c r="M64" s="42" t="e">
        <f>VLOOKUP(F64,Input!C:M,11,0)</f>
        <v>#N/A</v>
      </c>
      <c r="N64" s="43" t="str">
        <f t="shared" si="0"/>
        <v>63,63,**</v>
      </c>
      <c r="O64" s="42">
        <v>63</v>
      </c>
    </row>
    <row r="65" spans="1:15" ht="14.25">
      <c r="A65" s="13" t="str">
        <f>IFERROR(VLOOKUP($F:$F,scan!$A:$B,2,0),"**")</f>
        <v>**</v>
      </c>
      <c r="B65" s="13" t="str">
        <f>IFERROR(VLOOKUP($F65,scan!A:C,3,0),"**")</f>
        <v>**</v>
      </c>
      <c r="C65" s="42">
        <v>64</v>
      </c>
      <c r="D65" s="42" t="s">
        <v>4936</v>
      </c>
      <c r="E65" s="42" t="s">
        <v>4937</v>
      </c>
      <c r="H65" s="42" t="s">
        <v>4936</v>
      </c>
      <c r="I65" s="42" t="s">
        <v>4938</v>
      </c>
      <c r="J65" s="42" t="s">
        <v>4939</v>
      </c>
      <c r="K65" s="42" t="e">
        <f>VLOOKUP(F65,Input!C:M,9,0)</f>
        <v>#N/A</v>
      </c>
      <c r="L65" s="42" t="e">
        <f>VLOOKUP(F65,Input!C:M,10,0)</f>
        <v>#N/A</v>
      </c>
      <c r="M65" s="42" t="e">
        <f>VLOOKUP(F65,Input!C:M,11,0)</f>
        <v>#N/A</v>
      </c>
      <c r="N65" s="43" t="str">
        <f t="shared" si="0"/>
        <v>64,64,**</v>
      </c>
      <c r="O65" s="42">
        <v>64</v>
      </c>
    </row>
    <row r="66" spans="1:15" ht="14.25">
      <c r="A66" s="13" t="str">
        <f>IFERROR(VLOOKUP($F:$F,scan!$A:$B,2,0),"**")</f>
        <v>**</v>
      </c>
      <c r="B66" s="13" t="str">
        <f>IFERROR(VLOOKUP($F66,scan!A:C,3,0),"**")</f>
        <v>**</v>
      </c>
      <c r="C66" s="42">
        <v>65</v>
      </c>
      <c r="D66" s="42" t="s">
        <v>4936</v>
      </c>
      <c r="E66" s="42" t="s">
        <v>4937</v>
      </c>
      <c r="H66" s="42" t="s">
        <v>4936</v>
      </c>
      <c r="I66" s="42" t="s">
        <v>4938</v>
      </c>
      <c r="J66" s="42" t="s">
        <v>4939</v>
      </c>
      <c r="K66" s="42" t="e">
        <f>VLOOKUP(F66,Input!C:M,9,0)</f>
        <v>#N/A</v>
      </c>
      <c r="L66" s="42" t="e">
        <f>VLOOKUP(F66,Input!C:M,10,0)</f>
        <v>#N/A</v>
      </c>
      <c r="M66" s="42" t="e">
        <f>VLOOKUP(F66,Input!C:M,11,0)</f>
        <v>#N/A</v>
      </c>
      <c r="N66" s="43" t="str">
        <f t="shared" si="0"/>
        <v>65,65,**</v>
      </c>
      <c r="O66" s="42">
        <v>65</v>
      </c>
    </row>
    <row r="67" spans="1:15" ht="14.25">
      <c r="A67" s="13" t="str">
        <f>IFERROR(VLOOKUP($F:$F,scan!$A:$B,2,0),"**")</f>
        <v>**</v>
      </c>
      <c r="B67" s="13" t="str">
        <f>IFERROR(VLOOKUP($F67,scan!A:C,3,0),"**")</f>
        <v>**</v>
      </c>
      <c r="C67" s="42">
        <v>66</v>
      </c>
      <c r="D67" s="42" t="s">
        <v>4936</v>
      </c>
      <c r="E67" s="42" t="s">
        <v>4937</v>
      </c>
      <c r="H67" s="42" t="s">
        <v>4936</v>
      </c>
      <c r="I67" s="42" t="s">
        <v>4938</v>
      </c>
      <c r="J67" s="42" t="s">
        <v>4939</v>
      </c>
      <c r="K67" s="42" t="e">
        <f>VLOOKUP(F67,Input!C:M,9,0)</f>
        <v>#N/A</v>
      </c>
      <c r="L67" s="42" t="e">
        <f>VLOOKUP(F67,Input!C:M,10,0)</f>
        <v>#N/A</v>
      </c>
      <c r="M67" s="42" t="e">
        <f>VLOOKUP(F67,Input!C:M,11,0)</f>
        <v>#N/A</v>
      </c>
      <c r="N67" s="43" t="str">
        <f t="shared" ref="N67:N130" si="1">O67&amp;","&amp;C67&amp;","&amp;B67</f>
        <v>66,66,**</v>
      </c>
      <c r="O67" s="42">
        <v>66</v>
      </c>
    </row>
    <row r="68" spans="1:15" ht="14.25">
      <c r="A68" s="13" t="str">
        <f>IFERROR(VLOOKUP($F:$F,scan!$A:$B,2,0),"**")</f>
        <v>**</v>
      </c>
      <c r="B68" s="13" t="str">
        <f>IFERROR(VLOOKUP($F68,scan!A:C,3,0),"**")</f>
        <v>**</v>
      </c>
      <c r="C68" s="42">
        <v>67</v>
      </c>
      <c r="D68" s="42" t="s">
        <v>4936</v>
      </c>
      <c r="E68" s="42" t="s">
        <v>4937</v>
      </c>
      <c r="H68" s="42" t="s">
        <v>4936</v>
      </c>
      <c r="I68" s="42" t="s">
        <v>4938</v>
      </c>
      <c r="J68" s="42" t="s">
        <v>4939</v>
      </c>
      <c r="K68" s="42" t="e">
        <f>VLOOKUP(F68,Input!C:M,9,0)</f>
        <v>#N/A</v>
      </c>
      <c r="L68" s="42" t="e">
        <f>VLOOKUP(F68,Input!C:M,10,0)</f>
        <v>#N/A</v>
      </c>
      <c r="M68" s="42" t="e">
        <f>VLOOKUP(F68,Input!C:M,11,0)</f>
        <v>#N/A</v>
      </c>
      <c r="N68" s="43" t="str">
        <f t="shared" si="1"/>
        <v>67,67,**</v>
      </c>
      <c r="O68" s="42">
        <v>67</v>
      </c>
    </row>
    <row r="69" spans="1:15" ht="14.25">
      <c r="A69" s="13" t="str">
        <f>IFERROR(VLOOKUP($F:$F,scan!$A:$B,2,0),"**")</f>
        <v>**</v>
      </c>
      <c r="B69" s="13" t="str">
        <f>IFERROR(VLOOKUP($F69,scan!A:C,3,0),"**")</f>
        <v>**</v>
      </c>
      <c r="C69" s="42">
        <v>68</v>
      </c>
      <c r="D69" s="42" t="s">
        <v>4936</v>
      </c>
      <c r="E69" s="42" t="s">
        <v>4937</v>
      </c>
      <c r="H69" s="42" t="s">
        <v>4936</v>
      </c>
      <c r="I69" s="42" t="s">
        <v>4938</v>
      </c>
      <c r="J69" s="42" t="s">
        <v>4939</v>
      </c>
      <c r="K69" s="42" t="e">
        <f>VLOOKUP(F69,Input!C:M,9,0)</f>
        <v>#N/A</v>
      </c>
      <c r="L69" s="42" t="e">
        <f>VLOOKUP(F69,Input!C:M,10,0)</f>
        <v>#N/A</v>
      </c>
      <c r="M69" s="42" t="e">
        <f>VLOOKUP(F69,Input!C:M,11,0)</f>
        <v>#N/A</v>
      </c>
      <c r="N69" s="43" t="str">
        <f t="shared" si="1"/>
        <v>68,68,**</v>
      </c>
      <c r="O69" s="42">
        <v>68</v>
      </c>
    </row>
    <row r="70" spans="1:15" ht="14.25">
      <c r="A70" s="13" t="str">
        <f>IFERROR(VLOOKUP($F:$F,scan!$A:$B,2,0),"**")</f>
        <v>**</v>
      </c>
      <c r="B70" s="13" t="str">
        <f>IFERROR(VLOOKUP($F70,scan!A:C,3,0),"**")</f>
        <v>**</v>
      </c>
      <c r="C70" s="42">
        <v>69</v>
      </c>
      <c r="D70" s="42" t="s">
        <v>4936</v>
      </c>
      <c r="E70" s="42" t="s">
        <v>4937</v>
      </c>
      <c r="H70" s="42" t="s">
        <v>4936</v>
      </c>
      <c r="I70" s="42" t="s">
        <v>4938</v>
      </c>
      <c r="J70" s="42" t="s">
        <v>4939</v>
      </c>
      <c r="K70" s="42" t="e">
        <f>VLOOKUP(F70,Input!C:M,9,0)</f>
        <v>#N/A</v>
      </c>
      <c r="L70" s="42" t="e">
        <f>VLOOKUP(F70,Input!C:M,10,0)</f>
        <v>#N/A</v>
      </c>
      <c r="M70" s="42" t="e">
        <f>VLOOKUP(F70,Input!C:M,11,0)</f>
        <v>#N/A</v>
      </c>
      <c r="N70" s="43" t="str">
        <f t="shared" si="1"/>
        <v>69,69,**</v>
      </c>
      <c r="O70" s="42">
        <v>69</v>
      </c>
    </row>
    <row r="71" spans="1:15" ht="14.25">
      <c r="A71" s="13" t="str">
        <f>IFERROR(VLOOKUP($F:$F,scan!$A:$B,2,0),"**")</f>
        <v>**</v>
      </c>
      <c r="B71" s="13" t="str">
        <f>IFERROR(VLOOKUP($F71,scan!A:C,3,0),"**")</f>
        <v>**</v>
      </c>
      <c r="C71" s="42">
        <v>70</v>
      </c>
      <c r="D71" s="42" t="s">
        <v>4936</v>
      </c>
      <c r="E71" s="42" t="s">
        <v>4937</v>
      </c>
      <c r="H71" s="42" t="s">
        <v>4936</v>
      </c>
      <c r="I71" s="42" t="s">
        <v>4938</v>
      </c>
      <c r="J71" s="42" t="s">
        <v>4939</v>
      </c>
      <c r="K71" s="42" t="e">
        <f>VLOOKUP(F71,Input!C:M,9,0)</f>
        <v>#N/A</v>
      </c>
      <c r="L71" s="42" t="e">
        <f>VLOOKUP(F71,Input!C:M,10,0)</f>
        <v>#N/A</v>
      </c>
      <c r="M71" s="42" t="e">
        <f>VLOOKUP(F71,Input!C:M,11,0)</f>
        <v>#N/A</v>
      </c>
      <c r="N71" s="43" t="str">
        <f t="shared" si="1"/>
        <v>70,70,**</v>
      </c>
      <c r="O71" s="42">
        <v>70</v>
      </c>
    </row>
    <row r="72" spans="1:15" ht="14.25">
      <c r="A72" s="13" t="str">
        <f>IFERROR(VLOOKUP($F:$F,scan!$A:$B,2,0),"**")</f>
        <v>**</v>
      </c>
      <c r="B72" s="13" t="str">
        <f>IFERROR(VLOOKUP($F72,scan!A:C,3,0),"**")</f>
        <v>**</v>
      </c>
      <c r="C72" s="42">
        <v>71</v>
      </c>
      <c r="D72" s="42" t="s">
        <v>4936</v>
      </c>
      <c r="E72" s="42" t="s">
        <v>4937</v>
      </c>
      <c r="H72" s="42" t="s">
        <v>4936</v>
      </c>
      <c r="I72" s="42" t="s">
        <v>4938</v>
      </c>
      <c r="J72" s="42" t="s">
        <v>4939</v>
      </c>
      <c r="K72" s="42" t="e">
        <f>VLOOKUP(F72,Input!C:M,9,0)</f>
        <v>#N/A</v>
      </c>
      <c r="L72" s="42" t="e">
        <f>VLOOKUP(F72,Input!C:M,10,0)</f>
        <v>#N/A</v>
      </c>
      <c r="M72" s="42" t="e">
        <f>VLOOKUP(F72,Input!C:M,11,0)</f>
        <v>#N/A</v>
      </c>
      <c r="N72" s="43" t="str">
        <f t="shared" si="1"/>
        <v>71,71,**</v>
      </c>
      <c r="O72" s="42">
        <v>71</v>
      </c>
    </row>
    <row r="73" spans="1:15" ht="14.25">
      <c r="A73" s="13" t="str">
        <f>IFERROR(VLOOKUP($F:$F,scan!$A:$B,2,0),"**")</f>
        <v>**</v>
      </c>
      <c r="B73" s="13" t="str">
        <f>IFERROR(VLOOKUP($F73,scan!A:C,3,0),"**")</f>
        <v>**</v>
      </c>
      <c r="C73" s="42">
        <v>72</v>
      </c>
      <c r="D73" s="42" t="s">
        <v>4936</v>
      </c>
      <c r="E73" s="42" t="s">
        <v>4937</v>
      </c>
      <c r="H73" s="42" t="s">
        <v>4936</v>
      </c>
      <c r="I73" s="42" t="s">
        <v>4938</v>
      </c>
      <c r="J73" s="42" t="s">
        <v>4939</v>
      </c>
      <c r="K73" s="42" t="e">
        <f>VLOOKUP(F73,Input!C:M,9,0)</f>
        <v>#N/A</v>
      </c>
      <c r="L73" s="42" t="e">
        <f>VLOOKUP(F73,Input!C:M,10,0)</f>
        <v>#N/A</v>
      </c>
      <c r="M73" s="42" t="e">
        <f>VLOOKUP(F73,Input!C:M,11,0)</f>
        <v>#N/A</v>
      </c>
      <c r="N73" s="43" t="str">
        <f t="shared" si="1"/>
        <v>72,72,**</v>
      </c>
      <c r="O73" s="42">
        <v>72</v>
      </c>
    </row>
    <row r="74" spans="1:15" ht="14.25">
      <c r="A74" s="13" t="str">
        <f>IFERROR(VLOOKUP($F:$F,scan!$A:$B,2,0),"**")</f>
        <v>**</v>
      </c>
      <c r="B74" s="13" t="str">
        <f>IFERROR(VLOOKUP($F74,scan!A:C,3,0),"**")</f>
        <v>**</v>
      </c>
      <c r="C74" s="42">
        <v>73</v>
      </c>
      <c r="D74" s="42" t="s">
        <v>4936</v>
      </c>
      <c r="E74" s="42" t="s">
        <v>4937</v>
      </c>
      <c r="H74" s="42" t="s">
        <v>4936</v>
      </c>
      <c r="I74" s="42" t="s">
        <v>4938</v>
      </c>
      <c r="J74" s="42" t="s">
        <v>4939</v>
      </c>
      <c r="K74" s="42" t="e">
        <f>VLOOKUP(F74,Input!C:M,9,0)</f>
        <v>#N/A</v>
      </c>
      <c r="L74" s="42" t="e">
        <f>VLOOKUP(F74,Input!C:M,10,0)</f>
        <v>#N/A</v>
      </c>
      <c r="M74" s="42" t="e">
        <f>VLOOKUP(F74,Input!C:M,11,0)</f>
        <v>#N/A</v>
      </c>
      <c r="N74" s="43" t="str">
        <f t="shared" si="1"/>
        <v>73,73,**</v>
      </c>
      <c r="O74" s="42">
        <v>73</v>
      </c>
    </row>
    <row r="75" spans="1:15" ht="14.25">
      <c r="A75" s="13" t="str">
        <f>IFERROR(VLOOKUP($F:$F,scan!$A:$B,2,0),"**")</f>
        <v>**</v>
      </c>
      <c r="B75" s="13" t="str">
        <f>IFERROR(VLOOKUP($F75,scan!A:C,3,0),"**")</f>
        <v>**</v>
      </c>
      <c r="C75" s="42">
        <v>74</v>
      </c>
      <c r="D75" s="42" t="s">
        <v>4936</v>
      </c>
      <c r="E75" s="42" t="s">
        <v>4937</v>
      </c>
      <c r="H75" s="42" t="s">
        <v>4936</v>
      </c>
      <c r="I75" s="42" t="s">
        <v>4938</v>
      </c>
      <c r="J75" s="42" t="s">
        <v>4939</v>
      </c>
      <c r="K75" s="42" t="e">
        <f>VLOOKUP(F75,Input!C:M,9,0)</f>
        <v>#N/A</v>
      </c>
      <c r="L75" s="42" t="e">
        <f>VLOOKUP(F75,Input!C:M,10,0)</f>
        <v>#N/A</v>
      </c>
      <c r="M75" s="42" t="e">
        <f>VLOOKUP(F75,Input!C:M,11,0)</f>
        <v>#N/A</v>
      </c>
      <c r="N75" s="43" t="str">
        <f t="shared" si="1"/>
        <v>74,74,**</v>
      </c>
      <c r="O75" s="42">
        <v>74</v>
      </c>
    </row>
    <row r="76" spans="1:15" ht="14.25">
      <c r="A76" s="13" t="str">
        <f>IFERROR(VLOOKUP($F:$F,scan!$A:$B,2,0),"**")</f>
        <v>**</v>
      </c>
      <c r="B76" s="13" t="str">
        <f>IFERROR(VLOOKUP($F76,scan!A:C,3,0),"**")</f>
        <v>**</v>
      </c>
      <c r="C76" s="42">
        <v>75</v>
      </c>
      <c r="D76" s="42" t="s">
        <v>4936</v>
      </c>
      <c r="E76" s="42" t="s">
        <v>4937</v>
      </c>
      <c r="H76" s="42" t="s">
        <v>4936</v>
      </c>
      <c r="I76" s="42" t="s">
        <v>4938</v>
      </c>
      <c r="J76" s="42" t="s">
        <v>4939</v>
      </c>
      <c r="K76" s="42" t="e">
        <f>VLOOKUP(F76,Input!C:M,9,0)</f>
        <v>#N/A</v>
      </c>
      <c r="L76" s="42" t="e">
        <f>VLOOKUP(F76,Input!C:M,10,0)</f>
        <v>#N/A</v>
      </c>
      <c r="M76" s="42" t="e">
        <f>VLOOKUP(F76,Input!C:M,11,0)</f>
        <v>#N/A</v>
      </c>
      <c r="N76" s="43" t="str">
        <f t="shared" si="1"/>
        <v>75,75,**</v>
      </c>
      <c r="O76" s="42">
        <v>75</v>
      </c>
    </row>
    <row r="77" spans="1:15" ht="14.25">
      <c r="A77" s="13" t="str">
        <f>IFERROR(VLOOKUP($F:$F,scan!$A:$B,2,0),"**")</f>
        <v>**</v>
      </c>
      <c r="B77" s="13" t="str">
        <f>IFERROR(VLOOKUP($F77,scan!A:C,3,0),"**")</f>
        <v>**</v>
      </c>
      <c r="C77" s="42">
        <v>76</v>
      </c>
      <c r="D77" s="42" t="s">
        <v>4936</v>
      </c>
      <c r="E77" s="42" t="s">
        <v>4937</v>
      </c>
      <c r="H77" s="42" t="s">
        <v>4936</v>
      </c>
      <c r="I77" s="42" t="s">
        <v>4938</v>
      </c>
      <c r="J77" s="42" t="s">
        <v>4939</v>
      </c>
      <c r="K77" s="42" t="e">
        <f>VLOOKUP(F77,Input!C:M,9,0)</f>
        <v>#N/A</v>
      </c>
      <c r="L77" s="42" t="e">
        <f>VLOOKUP(F77,Input!C:M,10,0)</f>
        <v>#N/A</v>
      </c>
      <c r="M77" s="42" t="e">
        <f>VLOOKUP(F77,Input!C:M,11,0)</f>
        <v>#N/A</v>
      </c>
      <c r="N77" s="43" t="str">
        <f t="shared" si="1"/>
        <v>76,76,**</v>
      </c>
      <c r="O77" s="42">
        <v>76</v>
      </c>
    </row>
    <row r="78" spans="1:15" ht="14.25">
      <c r="A78" s="13" t="str">
        <f>IFERROR(VLOOKUP($F:$F,scan!$A:$B,2,0),"**")</f>
        <v>**</v>
      </c>
      <c r="B78" s="13" t="str">
        <f>IFERROR(VLOOKUP($F78,scan!A:C,3,0),"**")</f>
        <v>**</v>
      </c>
      <c r="C78" s="42">
        <v>77</v>
      </c>
      <c r="D78" s="42" t="s">
        <v>4936</v>
      </c>
      <c r="E78" s="42" t="s">
        <v>4937</v>
      </c>
      <c r="H78" s="42" t="s">
        <v>4936</v>
      </c>
      <c r="I78" s="42" t="s">
        <v>4938</v>
      </c>
      <c r="J78" s="42" t="s">
        <v>4939</v>
      </c>
      <c r="K78" s="42" t="e">
        <f>VLOOKUP(F78,Input!C:M,9,0)</f>
        <v>#N/A</v>
      </c>
      <c r="L78" s="42" t="e">
        <f>VLOOKUP(F78,Input!C:M,10,0)</f>
        <v>#N/A</v>
      </c>
      <c r="M78" s="42" t="e">
        <f>VLOOKUP(F78,Input!C:M,11,0)</f>
        <v>#N/A</v>
      </c>
      <c r="N78" s="43" t="str">
        <f t="shared" si="1"/>
        <v>77,77,**</v>
      </c>
      <c r="O78" s="42">
        <v>77</v>
      </c>
    </row>
    <row r="79" spans="1:15" ht="14.25">
      <c r="A79" s="13" t="str">
        <f>IFERROR(VLOOKUP($F:$F,scan!$A:$B,2,0),"**")</f>
        <v>**</v>
      </c>
      <c r="B79" s="13" t="str">
        <f>IFERROR(VLOOKUP($F79,scan!A:C,3,0),"**")</f>
        <v>**</v>
      </c>
      <c r="C79" s="42">
        <v>78</v>
      </c>
      <c r="D79" s="42" t="s">
        <v>4936</v>
      </c>
      <c r="E79" s="42" t="s">
        <v>4937</v>
      </c>
      <c r="H79" s="42" t="s">
        <v>4936</v>
      </c>
      <c r="I79" s="42" t="s">
        <v>4938</v>
      </c>
      <c r="J79" s="42" t="s">
        <v>4939</v>
      </c>
      <c r="K79" s="42" t="e">
        <f>VLOOKUP(F79,Input!C:M,9,0)</f>
        <v>#N/A</v>
      </c>
      <c r="L79" s="42" t="e">
        <f>VLOOKUP(F79,Input!C:M,10,0)</f>
        <v>#N/A</v>
      </c>
      <c r="M79" s="42" t="e">
        <f>VLOOKUP(F79,Input!C:M,11,0)</f>
        <v>#N/A</v>
      </c>
      <c r="N79" s="43" t="str">
        <f t="shared" si="1"/>
        <v>78,78,**</v>
      </c>
      <c r="O79" s="42">
        <v>78</v>
      </c>
    </row>
    <row r="80" spans="1:15" ht="14.25">
      <c r="A80" s="13" t="str">
        <f>IFERROR(VLOOKUP($F:$F,scan!$A:$B,2,0),"**")</f>
        <v>**</v>
      </c>
      <c r="B80" s="13" t="str">
        <f>IFERROR(VLOOKUP($F80,scan!A:C,3,0),"**")</f>
        <v>**</v>
      </c>
      <c r="C80" s="42">
        <v>79</v>
      </c>
      <c r="D80" s="42" t="s">
        <v>4936</v>
      </c>
      <c r="E80" s="42" t="s">
        <v>4937</v>
      </c>
      <c r="H80" s="42" t="s">
        <v>4936</v>
      </c>
      <c r="I80" s="42" t="s">
        <v>4938</v>
      </c>
      <c r="J80" s="42" t="s">
        <v>4939</v>
      </c>
      <c r="K80" s="42" t="e">
        <f>VLOOKUP(F80,Input!C:M,9,0)</f>
        <v>#N/A</v>
      </c>
      <c r="L80" s="42" t="e">
        <f>VLOOKUP(F80,Input!C:M,10,0)</f>
        <v>#N/A</v>
      </c>
      <c r="M80" s="42" t="e">
        <f>VLOOKUP(F80,Input!C:M,11,0)</f>
        <v>#N/A</v>
      </c>
      <c r="N80" s="43" t="str">
        <f t="shared" si="1"/>
        <v>79,79,**</v>
      </c>
      <c r="O80" s="42">
        <v>79</v>
      </c>
    </row>
    <row r="81" spans="1:15" ht="14.25">
      <c r="A81" s="13" t="str">
        <f>IFERROR(VLOOKUP($F:$F,scan!$A:$B,2,0),"**")</f>
        <v>**</v>
      </c>
      <c r="B81" s="13" t="str">
        <f>IFERROR(VLOOKUP($F81,scan!A:C,3,0),"**")</f>
        <v>**</v>
      </c>
      <c r="C81" s="42">
        <v>80</v>
      </c>
      <c r="D81" s="42" t="s">
        <v>4936</v>
      </c>
      <c r="E81" s="42" t="s">
        <v>4937</v>
      </c>
      <c r="H81" s="42" t="s">
        <v>4936</v>
      </c>
      <c r="I81" s="42" t="s">
        <v>4938</v>
      </c>
      <c r="J81" s="42" t="s">
        <v>4939</v>
      </c>
      <c r="K81" s="42" t="e">
        <f>VLOOKUP(F81,Input!C:M,9,0)</f>
        <v>#N/A</v>
      </c>
      <c r="L81" s="42" t="e">
        <f>VLOOKUP(F81,Input!C:M,10,0)</f>
        <v>#N/A</v>
      </c>
      <c r="M81" s="42" t="e">
        <f>VLOOKUP(F81,Input!C:M,11,0)</f>
        <v>#N/A</v>
      </c>
      <c r="N81" s="43" t="str">
        <f t="shared" si="1"/>
        <v>80,80,**</v>
      </c>
      <c r="O81" s="42">
        <v>80</v>
      </c>
    </row>
    <row r="82" spans="1:15" ht="14.25">
      <c r="A82" s="13" t="str">
        <f>IFERROR(VLOOKUP($F:$F,scan!$A:$B,2,0),"**")</f>
        <v>**</v>
      </c>
      <c r="B82" s="13" t="str">
        <f>IFERROR(VLOOKUP($F82,scan!A:C,3,0),"**")</f>
        <v>**</v>
      </c>
      <c r="C82" s="42">
        <v>81</v>
      </c>
      <c r="D82" s="42" t="s">
        <v>4936</v>
      </c>
      <c r="E82" s="42" t="s">
        <v>4937</v>
      </c>
      <c r="H82" s="42" t="s">
        <v>4936</v>
      </c>
      <c r="I82" s="42" t="s">
        <v>4938</v>
      </c>
      <c r="J82" s="42" t="s">
        <v>4939</v>
      </c>
      <c r="K82" s="42" t="e">
        <f>VLOOKUP(F82,Input!C:M,9,0)</f>
        <v>#N/A</v>
      </c>
      <c r="L82" s="42" t="e">
        <f>VLOOKUP(F82,Input!C:M,10,0)</f>
        <v>#N/A</v>
      </c>
      <c r="M82" s="42" t="e">
        <f>VLOOKUP(F82,Input!C:M,11,0)</f>
        <v>#N/A</v>
      </c>
      <c r="N82" s="43" t="str">
        <f t="shared" si="1"/>
        <v>81,81,**</v>
      </c>
      <c r="O82" s="42">
        <v>81</v>
      </c>
    </row>
    <row r="83" spans="1:15" ht="14.25">
      <c r="A83" s="13" t="str">
        <f>IFERROR(VLOOKUP($F:$F,scan!$A:$B,2,0),"**")</f>
        <v>**</v>
      </c>
      <c r="B83" s="13" t="str">
        <f>IFERROR(VLOOKUP($F83,scan!A:C,3,0),"**")</f>
        <v>**</v>
      </c>
      <c r="C83" s="42">
        <v>82</v>
      </c>
      <c r="D83" s="42" t="s">
        <v>4936</v>
      </c>
      <c r="E83" s="42" t="s">
        <v>4937</v>
      </c>
      <c r="H83" s="42" t="s">
        <v>4936</v>
      </c>
      <c r="I83" s="42" t="s">
        <v>4938</v>
      </c>
      <c r="J83" s="42" t="s">
        <v>4939</v>
      </c>
      <c r="K83" s="42" t="e">
        <f>VLOOKUP(F83,Input!C:M,9,0)</f>
        <v>#N/A</v>
      </c>
      <c r="L83" s="42" t="e">
        <f>VLOOKUP(F83,Input!C:M,10,0)</f>
        <v>#N/A</v>
      </c>
      <c r="M83" s="42" t="e">
        <f>VLOOKUP(F83,Input!C:M,11,0)</f>
        <v>#N/A</v>
      </c>
      <c r="N83" s="43" t="str">
        <f t="shared" si="1"/>
        <v>82,82,**</v>
      </c>
      <c r="O83" s="42">
        <v>82</v>
      </c>
    </row>
    <row r="84" spans="1:15" ht="14.25">
      <c r="A84" s="13" t="str">
        <f>IFERROR(VLOOKUP($F:$F,scan!$A:$B,2,0),"**")</f>
        <v>**</v>
      </c>
      <c r="B84" s="13" t="str">
        <f>IFERROR(VLOOKUP($F84,scan!A:C,3,0),"**")</f>
        <v>**</v>
      </c>
      <c r="C84" s="42">
        <v>83</v>
      </c>
      <c r="D84" s="42" t="s">
        <v>4936</v>
      </c>
      <c r="E84" s="42" t="s">
        <v>4937</v>
      </c>
      <c r="H84" s="42" t="s">
        <v>4936</v>
      </c>
      <c r="I84" s="42" t="s">
        <v>4938</v>
      </c>
      <c r="J84" s="42" t="s">
        <v>4939</v>
      </c>
      <c r="K84" s="42" t="e">
        <f>VLOOKUP(F84,Input!C:M,9,0)</f>
        <v>#N/A</v>
      </c>
      <c r="L84" s="42" t="e">
        <f>VLOOKUP(F84,Input!C:M,10,0)</f>
        <v>#N/A</v>
      </c>
      <c r="M84" s="42" t="e">
        <f>VLOOKUP(F84,Input!C:M,11,0)</f>
        <v>#N/A</v>
      </c>
      <c r="N84" s="43" t="str">
        <f t="shared" si="1"/>
        <v>83,83,**</v>
      </c>
      <c r="O84" s="42">
        <v>83</v>
      </c>
    </row>
    <row r="85" spans="1:15" ht="14.25">
      <c r="A85" s="13" t="str">
        <f>IFERROR(VLOOKUP($F:$F,scan!$A:$B,2,0),"**")</f>
        <v>**</v>
      </c>
      <c r="B85" s="13" t="str">
        <f>IFERROR(VLOOKUP($F85,scan!A:C,3,0),"**")</f>
        <v>**</v>
      </c>
      <c r="C85" s="42">
        <v>84</v>
      </c>
      <c r="D85" s="42" t="s">
        <v>4936</v>
      </c>
      <c r="E85" s="42" t="s">
        <v>4937</v>
      </c>
      <c r="H85" s="42" t="s">
        <v>4936</v>
      </c>
      <c r="I85" s="42" t="s">
        <v>4938</v>
      </c>
      <c r="J85" s="42" t="s">
        <v>4939</v>
      </c>
      <c r="K85" s="42" t="e">
        <f>VLOOKUP(F85,Input!C:M,9,0)</f>
        <v>#N/A</v>
      </c>
      <c r="L85" s="42" t="e">
        <f>VLOOKUP(F85,Input!C:M,10,0)</f>
        <v>#N/A</v>
      </c>
      <c r="M85" s="42" t="e">
        <f>VLOOKUP(F85,Input!C:M,11,0)</f>
        <v>#N/A</v>
      </c>
      <c r="N85" s="43" t="str">
        <f t="shared" si="1"/>
        <v>84,84,**</v>
      </c>
      <c r="O85" s="42">
        <v>84</v>
      </c>
    </row>
    <row r="86" spans="1:15" ht="14.25">
      <c r="A86" s="13" t="str">
        <f>IFERROR(VLOOKUP($F:$F,scan!$A:$B,2,0),"**")</f>
        <v>**</v>
      </c>
      <c r="B86" s="13" t="str">
        <f>IFERROR(VLOOKUP($F86,scan!A:C,3,0),"**")</f>
        <v>**</v>
      </c>
      <c r="C86" s="42">
        <v>85</v>
      </c>
      <c r="D86" s="42" t="s">
        <v>4936</v>
      </c>
      <c r="E86" s="42" t="s">
        <v>4937</v>
      </c>
      <c r="H86" s="42" t="s">
        <v>4936</v>
      </c>
      <c r="I86" s="42" t="s">
        <v>4938</v>
      </c>
      <c r="J86" s="42" t="s">
        <v>4939</v>
      </c>
      <c r="K86" s="42" t="e">
        <f>VLOOKUP(F86,Input!C:M,9,0)</f>
        <v>#N/A</v>
      </c>
      <c r="L86" s="42" t="e">
        <f>VLOOKUP(F86,Input!C:M,10,0)</f>
        <v>#N/A</v>
      </c>
      <c r="M86" s="42" t="e">
        <f>VLOOKUP(F86,Input!C:M,11,0)</f>
        <v>#N/A</v>
      </c>
      <c r="N86" s="43" t="str">
        <f t="shared" si="1"/>
        <v>85,85,**</v>
      </c>
      <c r="O86" s="42">
        <v>85</v>
      </c>
    </row>
    <row r="87" spans="1:15" ht="14.25">
      <c r="A87" s="13" t="str">
        <f>IFERROR(VLOOKUP($F:$F,scan!$A:$B,2,0),"**")</f>
        <v>**</v>
      </c>
      <c r="B87" s="13" t="str">
        <f>IFERROR(VLOOKUP($F87,scan!A:C,3,0),"**")</f>
        <v>**</v>
      </c>
      <c r="C87" s="42">
        <v>86</v>
      </c>
      <c r="D87" s="42" t="s">
        <v>4936</v>
      </c>
      <c r="E87" s="42" t="s">
        <v>4937</v>
      </c>
      <c r="H87" s="42" t="s">
        <v>4936</v>
      </c>
      <c r="I87" s="42" t="s">
        <v>4938</v>
      </c>
      <c r="J87" s="42" t="s">
        <v>4939</v>
      </c>
      <c r="K87" s="42" t="e">
        <f>VLOOKUP(F87,Input!C:M,9,0)</f>
        <v>#N/A</v>
      </c>
      <c r="L87" s="42" t="e">
        <f>VLOOKUP(F87,Input!C:M,10,0)</f>
        <v>#N/A</v>
      </c>
      <c r="M87" s="42" t="e">
        <f>VLOOKUP(F87,Input!C:M,11,0)</f>
        <v>#N/A</v>
      </c>
      <c r="N87" s="43" t="str">
        <f t="shared" si="1"/>
        <v>86,86,**</v>
      </c>
      <c r="O87" s="42">
        <v>86</v>
      </c>
    </row>
    <row r="88" spans="1:15" ht="14.25">
      <c r="A88" s="13" t="str">
        <f>IFERROR(VLOOKUP($F:$F,scan!$A:$B,2,0),"**")</f>
        <v>**</v>
      </c>
      <c r="B88" s="13" t="str">
        <f>IFERROR(VLOOKUP($F88,scan!A:C,3,0),"**")</f>
        <v>**</v>
      </c>
      <c r="C88" s="42">
        <v>87</v>
      </c>
      <c r="D88" s="42" t="s">
        <v>4936</v>
      </c>
      <c r="E88" s="42" t="s">
        <v>4937</v>
      </c>
      <c r="H88" s="42" t="s">
        <v>4936</v>
      </c>
      <c r="I88" s="42" t="s">
        <v>4938</v>
      </c>
      <c r="J88" s="42" t="s">
        <v>4939</v>
      </c>
      <c r="K88" s="42" t="e">
        <f>VLOOKUP(F88,Input!C:M,9,0)</f>
        <v>#N/A</v>
      </c>
      <c r="L88" s="42" t="e">
        <f>VLOOKUP(F88,Input!C:M,10,0)</f>
        <v>#N/A</v>
      </c>
      <c r="M88" s="42" t="e">
        <f>VLOOKUP(F88,Input!C:M,11,0)</f>
        <v>#N/A</v>
      </c>
      <c r="N88" s="43" t="str">
        <f t="shared" si="1"/>
        <v>87,87,**</v>
      </c>
      <c r="O88" s="42">
        <v>87</v>
      </c>
    </row>
    <row r="89" spans="1:15" ht="14.25">
      <c r="A89" s="13" t="str">
        <f>IFERROR(VLOOKUP($F:$F,scan!$A:$B,2,0),"**")</f>
        <v>**</v>
      </c>
      <c r="B89" s="13" t="str">
        <f>IFERROR(VLOOKUP($F89,scan!A:C,3,0),"**")</f>
        <v>**</v>
      </c>
      <c r="C89" s="42">
        <v>88</v>
      </c>
      <c r="D89" s="42" t="s">
        <v>4936</v>
      </c>
      <c r="E89" s="42" t="s">
        <v>4937</v>
      </c>
      <c r="H89" s="42" t="s">
        <v>4936</v>
      </c>
      <c r="I89" s="42" t="s">
        <v>4938</v>
      </c>
      <c r="J89" s="42" t="s">
        <v>4939</v>
      </c>
      <c r="K89" s="42" t="e">
        <f>VLOOKUP(F89,Input!C:M,9,0)</f>
        <v>#N/A</v>
      </c>
      <c r="L89" s="42" t="e">
        <f>VLOOKUP(F89,Input!C:M,10,0)</f>
        <v>#N/A</v>
      </c>
      <c r="M89" s="42" t="e">
        <f>VLOOKUP(F89,Input!C:M,11,0)</f>
        <v>#N/A</v>
      </c>
      <c r="N89" s="43" t="str">
        <f t="shared" si="1"/>
        <v>88,88,**</v>
      </c>
      <c r="O89" s="42">
        <v>88</v>
      </c>
    </row>
    <row r="90" spans="1:15" ht="14.25">
      <c r="A90" s="13" t="str">
        <f>IFERROR(VLOOKUP($F:$F,scan!$A:$B,2,0),"**")</f>
        <v>**</v>
      </c>
      <c r="B90" s="13" t="str">
        <f>IFERROR(VLOOKUP($F90,scan!A:C,3,0),"**")</f>
        <v>**</v>
      </c>
      <c r="C90" s="42">
        <v>89</v>
      </c>
      <c r="D90" s="42" t="s">
        <v>4936</v>
      </c>
      <c r="E90" s="42" t="s">
        <v>4937</v>
      </c>
      <c r="H90" s="42" t="s">
        <v>4936</v>
      </c>
      <c r="I90" s="42" t="s">
        <v>4938</v>
      </c>
      <c r="J90" s="42" t="s">
        <v>4939</v>
      </c>
      <c r="K90" s="42" t="e">
        <f>VLOOKUP(F90,Input!C:M,9,0)</f>
        <v>#N/A</v>
      </c>
      <c r="L90" s="42" t="e">
        <f>VLOOKUP(F90,Input!C:M,10,0)</f>
        <v>#N/A</v>
      </c>
      <c r="M90" s="42" t="e">
        <f>VLOOKUP(F90,Input!C:M,11,0)</f>
        <v>#N/A</v>
      </c>
      <c r="N90" s="43" t="str">
        <f t="shared" si="1"/>
        <v>89,89,**</v>
      </c>
      <c r="O90" s="42">
        <v>89</v>
      </c>
    </row>
    <row r="91" spans="1:15" ht="14.25">
      <c r="A91" s="13" t="str">
        <f>IFERROR(VLOOKUP($F:$F,scan!$A:$B,2,0),"**")</f>
        <v>**</v>
      </c>
      <c r="B91" s="13" t="str">
        <f>IFERROR(VLOOKUP($F91,scan!A:C,3,0),"**")</f>
        <v>**</v>
      </c>
      <c r="C91" s="42">
        <v>90</v>
      </c>
      <c r="D91" s="42" t="s">
        <v>4936</v>
      </c>
      <c r="E91" s="42" t="s">
        <v>4937</v>
      </c>
      <c r="H91" s="42" t="s">
        <v>4936</v>
      </c>
      <c r="I91" s="42" t="s">
        <v>4938</v>
      </c>
      <c r="J91" s="42" t="s">
        <v>4939</v>
      </c>
      <c r="K91" s="42" t="e">
        <f>VLOOKUP(F91,Input!C:M,9,0)</f>
        <v>#N/A</v>
      </c>
      <c r="L91" s="42" t="e">
        <f>VLOOKUP(F91,Input!C:M,10,0)</f>
        <v>#N/A</v>
      </c>
      <c r="M91" s="42" t="e">
        <f>VLOOKUP(F91,Input!C:M,11,0)</f>
        <v>#N/A</v>
      </c>
      <c r="N91" s="43" t="str">
        <f t="shared" si="1"/>
        <v>90,90,**</v>
      </c>
      <c r="O91" s="42">
        <v>90</v>
      </c>
    </row>
    <row r="92" spans="1:15" ht="14.25">
      <c r="A92" s="13" t="str">
        <f>IFERROR(VLOOKUP($F:$F,scan!$A:$B,2,0),"**")</f>
        <v>**</v>
      </c>
      <c r="B92" s="13" t="str">
        <f>IFERROR(VLOOKUP($F92,scan!A:C,3,0),"**")</f>
        <v>**</v>
      </c>
      <c r="C92" s="42">
        <v>91</v>
      </c>
      <c r="D92" s="42" t="s">
        <v>4936</v>
      </c>
      <c r="E92" s="42" t="s">
        <v>4937</v>
      </c>
      <c r="H92" s="42" t="s">
        <v>4936</v>
      </c>
      <c r="I92" s="42" t="s">
        <v>4938</v>
      </c>
      <c r="J92" s="42" t="s">
        <v>4939</v>
      </c>
      <c r="K92" s="42" t="e">
        <f>VLOOKUP(F92,Input!C:M,9,0)</f>
        <v>#N/A</v>
      </c>
      <c r="L92" s="42" t="e">
        <f>VLOOKUP(F92,Input!C:M,10,0)</f>
        <v>#N/A</v>
      </c>
      <c r="M92" s="42" t="e">
        <f>VLOOKUP(F92,Input!C:M,11,0)</f>
        <v>#N/A</v>
      </c>
      <c r="N92" s="43" t="str">
        <f t="shared" si="1"/>
        <v>91,91,**</v>
      </c>
      <c r="O92" s="42">
        <v>91</v>
      </c>
    </row>
    <row r="93" spans="1:15" ht="14.25">
      <c r="A93" s="13" t="str">
        <f>IFERROR(VLOOKUP($F:$F,scan!$A:$B,2,0),"**")</f>
        <v>**</v>
      </c>
      <c r="B93" s="13" t="str">
        <f>IFERROR(VLOOKUP($F93,scan!A:C,3,0),"**")</f>
        <v>**</v>
      </c>
      <c r="C93" s="42">
        <v>92</v>
      </c>
      <c r="D93" s="42" t="s">
        <v>4936</v>
      </c>
      <c r="E93" s="42" t="s">
        <v>4937</v>
      </c>
      <c r="H93" s="42" t="s">
        <v>4936</v>
      </c>
      <c r="I93" s="42" t="s">
        <v>4938</v>
      </c>
      <c r="J93" s="42" t="s">
        <v>4939</v>
      </c>
      <c r="K93" s="42" t="e">
        <f>VLOOKUP(F93,Input!C:M,9,0)</f>
        <v>#N/A</v>
      </c>
      <c r="L93" s="42" t="e">
        <f>VLOOKUP(F93,Input!C:M,10,0)</f>
        <v>#N/A</v>
      </c>
      <c r="M93" s="42" t="e">
        <f>VLOOKUP(F93,Input!C:M,11,0)</f>
        <v>#N/A</v>
      </c>
      <c r="N93" s="43" t="str">
        <f t="shared" si="1"/>
        <v>92,92,**</v>
      </c>
      <c r="O93" s="42">
        <v>92</v>
      </c>
    </row>
    <row r="94" spans="1:15" ht="14.25">
      <c r="A94" s="13" t="str">
        <f>IFERROR(VLOOKUP($F:$F,scan!$A:$B,2,0),"**")</f>
        <v>**</v>
      </c>
      <c r="B94" s="13" t="str">
        <f>IFERROR(VLOOKUP($F94,scan!A:C,3,0),"**")</f>
        <v>**</v>
      </c>
      <c r="C94" s="42">
        <v>93</v>
      </c>
      <c r="D94" s="42" t="s">
        <v>4936</v>
      </c>
      <c r="E94" s="42" t="s">
        <v>4937</v>
      </c>
      <c r="H94" s="42" t="s">
        <v>4936</v>
      </c>
      <c r="I94" s="42" t="s">
        <v>4938</v>
      </c>
      <c r="J94" s="42" t="s">
        <v>4939</v>
      </c>
      <c r="K94" s="42" t="e">
        <f>VLOOKUP(F94,Input!C:M,9,0)</f>
        <v>#N/A</v>
      </c>
      <c r="L94" s="42" t="e">
        <f>VLOOKUP(F94,Input!C:M,10,0)</f>
        <v>#N/A</v>
      </c>
      <c r="M94" s="42" t="e">
        <f>VLOOKUP(F94,Input!C:M,11,0)</f>
        <v>#N/A</v>
      </c>
      <c r="N94" s="43" t="str">
        <f t="shared" si="1"/>
        <v>93,93,**</v>
      </c>
      <c r="O94" s="42">
        <v>93</v>
      </c>
    </row>
    <row r="95" spans="1:15" ht="14.25">
      <c r="A95" s="13" t="str">
        <f>IFERROR(VLOOKUP($F:$F,scan!$A:$B,2,0),"**")</f>
        <v>**</v>
      </c>
      <c r="B95" s="13" t="str">
        <f>IFERROR(VLOOKUP($F95,scan!A:C,3,0),"**")</f>
        <v>**</v>
      </c>
      <c r="C95" s="42">
        <v>94</v>
      </c>
      <c r="D95" s="42" t="s">
        <v>4936</v>
      </c>
      <c r="E95" s="42" t="s">
        <v>4937</v>
      </c>
      <c r="H95" s="42" t="s">
        <v>4936</v>
      </c>
      <c r="I95" s="42" t="s">
        <v>4938</v>
      </c>
      <c r="J95" s="42" t="s">
        <v>4939</v>
      </c>
      <c r="K95" s="42" t="e">
        <f>VLOOKUP(F95,Input!C:M,9,0)</f>
        <v>#N/A</v>
      </c>
      <c r="L95" s="42" t="e">
        <f>VLOOKUP(F95,Input!C:M,10,0)</f>
        <v>#N/A</v>
      </c>
      <c r="M95" s="42" t="e">
        <f>VLOOKUP(F95,Input!C:M,11,0)</f>
        <v>#N/A</v>
      </c>
      <c r="N95" s="43" t="str">
        <f t="shared" si="1"/>
        <v>94,94,**</v>
      </c>
      <c r="O95" s="42">
        <v>94</v>
      </c>
    </row>
    <row r="96" spans="1:15" ht="14.25">
      <c r="A96" s="13" t="str">
        <f>IFERROR(VLOOKUP($F:$F,scan!$A:$B,2,0),"**")</f>
        <v>**</v>
      </c>
      <c r="B96" s="13" t="str">
        <f>IFERROR(VLOOKUP($F96,scan!A:C,3,0),"**")</f>
        <v>**</v>
      </c>
      <c r="C96" s="42">
        <v>95</v>
      </c>
      <c r="D96" s="42" t="s">
        <v>4936</v>
      </c>
      <c r="E96" s="42" t="s">
        <v>4937</v>
      </c>
      <c r="H96" s="42" t="s">
        <v>4936</v>
      </c>
      <c r="I96" s="42" t="s">
        <v>4938</v>
      </c>
      <c r="J96" s="42" t="s">
        <v>4939</v>
      </c>
      <c r="K96" s="42" t="e">
        <f>VLOOKUP(F96,Input!C:M,9,0)</f>
        <v>#N/A</v>
      </c>
      <c r="L96" s="42" t="e">
        <f>VLOOKUP(F96,Input!C:M,10,0)</f>
        <v>#N/A</v>
      </c>
      <c r="M96" s="42" t="e">
        <f>VLOOKUP(F96,Input!C:M,11,0)</f>
        <v>#N/A</v>
      </c>
      <c r="N96" s="43" t="str">
        <f t="shared" si="1"/>
        <v>95,95,**</v>
      </c>
      <c r="O96" s="42">
        <v>95</v>
      </c>
    </row>
    <row r="97" spans="1:15" ht="14.25">
      <c r="A97" s="13" t="str">
        <f>IFERROR(VLOOKUP($F:$F,scan!$A:$B,2,0),"**")</f>
        <v>**</v>
      </c>
      <c r="B97" s="13" t="str">
        <f>IFERROR(VLOOKUP($F97,scan!A:C,3,0),"**")</f>
        <v>**</v>
      </c>
      <c r="C97" s="42">
        <v>96</v>
      </c>
      <c r="D97" s="42" t="s">
        <v>4936</v>
      </c>
      <c r="E97" s="42" t="s">
        <v>4937</v>
      </c>
      <c r="H97" s="42" t="s">
        <v>4936</v>
      </c>
      <c r="I97" s="42" t="s">
        <v>4938</v>
      </c>
      <c r="J97" s="42" t="s">
        <v>4939</v>
      </c>
      <c r="K97" s="42" t="e">
        <f>VLOOKUP(F97,Input!C:M,9,0)</f>
        <v>#N/A</v>
      </c>
      <c r="L97" s="42" t="e">
        <f>VLOOKUP(F97,Input!C:M,10,0)</f>
        <v>#N/A</v>
      </c>
      <c r="M97" s="42" t="e">
        <f>VLOOKUP(F97,Input!C:M,11,0)</f>
        <v>#N/A</v>
      </c>
      <c r="N97" s="43" t="str">
        <f t="shared" si="1"/>
        <v>96,96,**</v>
      </c>
      <c r="O97" s="42">
        <v>96</v>
      </c>
    </row>
    <row r="98" spans="1:15" ht="14.25">
      <c r="A98" s="13" t="str">
        <f>IFERROR(VLOOKUP($F:$F,scan!$A:$B,2,0),"**")</f>
        <v>**</v>
      </c>
      <c r="B98" s="13" t="str">
        <f>IFERROR(VLOOKUP($F98,scan!A:C,3,0),"**")</f>
        <v>**</v>
      </c>
      <c r="C98" s="42">
        <v>97</v>
      </c>
      <c r="D98" s="42" t="s">
        <v>4936</v>
      </c>
      <c r="E98" s="42" t="s">
        <v>4937</v>
      </c>
      <c r="H98" s="42" t="s">
        <v>4936</v>
      </c>
      <c r="I98" s="42" t="s">
        <v>4938</v>
      </c>
      <c r="J98" s="42" t="s">
        <v>4939</v>
      </c>
      <c r="K98" s="42" t="e">
        <f>VLOOKUP(F98,Input!C:M,9,0)</f>
        <v>#N/A</v>
      </c>
      <c r="L98" s="42" t="e">
        <f>VLOOKUP(F98,Input!C:M,10,0)</f>
        <v>#N/A</v>
      </c>
      <c r="M98" s="42" t="e">
        <f>VLOOKUP(F98,Input!C:M,11,0)</f>
        <v>#N/A</v>
      </c>
      <c r="N98" s="43" t="str">
        <f t="shared" si="1"/>
        <v>97,97,**</v>
      </c>
      <c r="O98" s="42">
        <v>97</v>
      </c>
    </row>
    <row r="99" spans="1:15" ht="14.25">
      <c r="A99" s="13" t="str">
        <f>IFERROR(VLOOKUP($F:$F,scan!$A:$B,2,0),"**")</f>
        <v>**</v>
      </c>
      <c r="B99" s="13" t="str">
        <f>IFERROR(VLOOKUP($F99,scan!A:C,3,0),"**")</f>
        <v>**</v>
      </c>
      <c r="C99" s="42">
        <v>98</v>
      </c>
      <c r="D99" s="42" t="s">
        <v>4936</v>
      </c>
      <c r="E99" s="42" t="s">
        <v>4937</v>
      </c>
      <c r="H99" s="42" t="s">
        <v>4936</v>
      </c>
      <c r="I99" s="42" t="s">
        <v>4938</v>
      </c>
      <c r="J99" s="42" t="s">
        <v>4939</v>
      </c>
      <c r="K99" s="42" t="e">
        <f>VLOOKUP(F99,Input!C:M,9,0)</f>
        <v>#N/A</v>
      </c>
      <c r="L99" s="42" t="e">
        <f>VLOOKUP(F99,Input!C:M,10,0)</f>
        <v>#N/A</v>
      </c>
      <c r="M99" s="42" t="e">
        <f>VLOOKUP(F99,Input!C:M,11,0)</f>
        <v>#N/A</v>
      </c>
      <c r="N99" s="43" t="str">
        <f t="shared" si="1"/>
        <v>98,98,**</v>
      </c>
      <c r="O99" s="42">
        <v>98</v>
      </c>
    </row>
    <row r="100" spans="1:15" ht="14.25">
      <c r="A100" s="13" t="str">
        <f>IFERROR(VLOOKUP($F:$F,scan!$A:$B,2,0),"**")</f>
        <v>**</v>
      </c>
      <c r="B100" s="13" t="str">
        <f>IFERROR(VLOOKUP($F100,scan!A:C,3,0),"**")</f>
        <v>**</v>
      </c>
      <c r="C100" s="42">
        <v>99</v>
      </c>
      <c r="D100" s="42" t="s">
        <v>4936</v>
      </c>
      <c r="E100" s="42" t="s">
        <v>4937</v>
      </c>
      <c r="H100" s="42" t="s">
        <v>4936</v>
      </c>
      <c r="I100" s="42" t="s">
        <v>4938</v>
      </c>
      <c r="J100" s="42" t="s">
        <v>4939</v>
      </c>
      <c r="K100" s="42" t="e">
        <f>VLOOKUP(F100,Input!C:M,9,0)</f>
        <v>#N/A</v>
      </c>
      <c r="L100" s="42" t="e">
        <f>VLOOKUP(F100,Input!C:M,10,0)</f>
        <v>#N/A</v>
      </c>
      <c r="M100" s="42" t="e">
        <f>VLOOKUP(F100,Input!C:M,11,0)</f>
        <v>#N/A</v>
      </c>
      <c r="N100" s="43" t="str">
        <f t="shared" si="1"/>
        <v>99,99,**</v>
      </c>
      <c r="O100" s="42">
        <v>99</v>
      </c>
    </row>
    <row r="101" spans="1:15" ht="14.25">
      <c r="A101" s="13" t="str">
        <f>IFERROR(VLOOKUP($F:$F,scan!$A:$B,2,0),"**")</f>
        <v>**</v>
      </c>
      <c r="B101" s="13" t="str">
        <f>IFERROR(VLOOKUP($F101,scan!A:C,3,0),"**")</f>
        <v>**</v>
      </c>
      <c r="C101" s="42">
        <v>100</v>
      </c>
      <c r="D101" s="42" t="s">
        <v>4936</v>
      </c>
      <c r="E101" s="42" t="s">
        <v>4937</v>
      </c>
      <c r="H101" s="42" t="s">
        <v>4936</v>
      </c>
      <c r="I101" s="42" t="s">
        <v>4938</v>
      </c>
      <c r="J101" s="42" t="s">
        <v>4939</v>
      </c>
      <c r="K101" s="42" t="e">
        <f>VLOOKUP(F101,Input!C:M,9,0)</f>
        <v>#N/A</v>
      </c>
      <c r="L101" s="42" t="e">
        <f>VLOOKUP(F101,Input!C:M,10,0)</f>
        <v>#N/A</v>
      </c>
      <c r="M101" s="42" t="e">
        <f>VLOOKUP(F101,Input!C:M,11,0)</f>
        <v>#N/A</v>
      </c>
      <c r="N101" s="43" t="str">
        <f t="shared" si="1"/>
        <v>100,100,**</v>
      </c>
      <c r="O101" s="42">
        <v>100</v>
      </c>
    </row>
    <row r="102" spans="1:15" ht="14.25">
      <c r="A102" s="13" t="str">
        <f>IFERROR(VLOOKUP($F:$F,scan!$A:$B,2,0),"**")</f>
        <v>**</v>
      </c>
      <c r="B102" s="13" t="str">
        <f>IFERROR(VLOOKUP($F102,scan!A:C,3,0),"**")</f>
        <v>**</v>
      </c>
      <c r="C102" s="42">
        <v>101</v>
      </c>
      <c r="D102" s="42" t="s">
        <v>4936</v>
      </c>
      <c r="E102" s="42" t="s">
        <v>4937</v>
      </c>
      <c r="H102" s="42" t="s">
        <v>4936</v>
      </c>
      <c r="I102" s="42" t="s">
        <v>4938</v>
      </c>
      <c r="J102" s="42" t="s">
        <v>4939</v>
      </c>
      <c r="K102" s="42" t="e">
        <f>VLOOKUP(F102,Input!C:M,9,0)</f>
        <v>#N/A</v>
      </c>
      <c r="L102" s="42" t="e">
        <f>VLOOKUP(F102,Input!C:M,10,0)</f>
        <v>#N/A</v>
      </c>
      <c r="M102" s="42" t="e">
        <f>VLOOKUP(F102,Input!C:M,11,0)</f>
        <v>#N/A</v>
      </c>
      <c r="N102" s="43" t="str">
        <f t="shared" si="1"/>
        <v>101,101,**</v>
      </c>
      <c r="O102" s="42">
        <v>101</v>
      </c>
    </row>
    <row r="103" spans="1:15" ht="14.25">
      <c r="A103" s="13" t="str">
        <f>IFERROR(VLOOKUP($F:$F,scan!$A:$B,2,0),"**")</f>
        <v>**</v>
      </c>
      <c r="B103" s="13" t="str">
        <f>IFERROR(VLOOKUP($F103,scan!A:C,3,0),"**")</f>
        <v>**</v>
      </c>
      <c r="C103" s="42">
        <v>102</v>
      </c>
      <c r="D103" s="42" t="s">
        <v>4936</v>
      </c>
      <c r="E103" s="42" t="s">
        <v>4937</v>
      </c>
      <c r="H103" s="42" t="s">
        <v>4936</v>
      </c>
      <c r="I103" s="42" t="s">
        <v>4938</v>
      </c>
      <c r="J103" s="42" t="s">
        <v>4939</v>
      </c>
      <c r="K103" s="42" t="e">
        <f>VLOOKUP(F103,Input!C:M,9,0)</f>
        <v>#N/A</v>
      </c>
      <c r="L103" s="42" t="e">
        <f>VLOOKUP(F103,Input!C:M,10,0)</f>
        <v>#N/A</v>
      </c>
      <c r="M103" s="42" t="e">
        <f>VLOOKUP(F103,Input!C:M,11,0)</f>
        <v>#N/A</v>
      </c>
      <c r="N103" s="43" t="str">
        <f t="shared" si="1"/>
        <v>102,102,**</v>
      </c>
      <c r="O103" s="42">
        <v>102</v>
      </c>
    </row>
    <row r="104" spans="1:15" ht="14.25">
      <c r="A104" s="13" t="str">
        <f>IFERROR(VLOOKUP($F:$F,scan!$A:$B,2,0),"**")</f>
        <v>**</v>
      </c>
      <c r="B104" s="13" t="str">
        <f>IFERROR(VLOOKUP($F104,scan!A:C,3,0),"**")</f>
        <v>**</v>
      </c>
      <c r="C104" s="42">
        <v>103</v>
      </c>
      <c r="D104" s="42" t="s">
        <v>4936</v>
      </c>
      <c r="E104" s="42" t="s">
        <v>4937</v>
      </c>
      <c r="H104" s="42" t="s">
        <v>4936</v>
      </c>
      <c r="I104" s="42" t="s">
        <v>4938</v>
      </c>
      <c r="J104" s="42" t="s">
        <v>4939</v>
      </c>
      <c r="K104" s="42" t="e">
        <f>VLOOKUP(F104,Input!C:M,9,0)</f>
        <v>#N/A</v>
      </c>
      <c r="L104" s="42" t="e">
        <f>VLOOKUP(F104,Input!C:M,10,0)</f>
        <v>#N/A</v>
      </c>
      <c r="M104" s="42" t="e">
        <f>VLOOKUP(F104,Input!C:M,11,0)</f>
        <v>#N/A</v>
      </c>
      <c r="N104" s="43" t="str">
        <f t="shared" si="1"/>
        <v>103,103,**</v>
      </c>
      <c r="O104" s="42">
        <v>103</v>
      </c>
    </row>
    <row r="105" spans="1:15" ht="14.25">
      <c r="A105" s="13" t="str">
        <f>IFERROR(VLOOKUP($F:$F,scan!$A:$B,2,0),"**")</f>
        <v>**</v>
      </c>
      <c r="B105" s="13" t="str">
        <f>IFERROR(VLOOKUP($F105,scan!A:C,3,0),"**")</f>
        <v>**</v>
      </c>
      <c r="C105" s="42">
        <v>104</v>
      </c>
      <c r="D105" s="42" t="s">
        <v>4936</v>
      </c>
      <c r="E105" s="42" t="s">
        <v>4937</v>
      </c>
      <c r="H105" s="42" t="s">
        <v>4936</v>
      </c>
      <c r="I105" s="42" t="s">
        <v>4938</v>
      </c>
      <c r="J105" s="42" t="s">
        <v>4939</v>
      </c>
      <c r="K105" s="42" t="e">
        <f>VLOOKUP(F105,Input!C:M,9,0)</f>
        <v>#N/A</v>
      </c>
      <c r="L105" s="42" t="e">
        <f>VLOOKUP(F105,Input!C:M,10,0)</f>
        <v>#N/A</v>
      </c>
      <c r="M105" s="42" t="e">
        <f>VLOOKUP(F105,Input!C:M,11,0)</f>
        <v>#N/A</v>
      </c>
      <c r="N105" s="43" t="str">
        <f t="shared" si="1"/>
        <v>104,104,**</v>
      </c>
      <c r="O105" s="42">
        <v>104</v>
      </c>
    </row>
    <row r="106" spans="1:15" ht="14.25">
      <c r="A106" s="13" t="str">
        <f>IFERROR(VLOOKUP($F:$F,scan!$A:$B,2,0),"**")</f>
        <v>**</v>
      </c>
      <c r="B106" s="13" t="str">
        <f>IFERROR(VLOOKUP($F106,scan!A:C,3,0),"**")</f>
        <v>**</v>
      </c>
      <c r="C106" s="42">
        <v>105</v>
      </c>
      <c r="D106" s="42" t="s">
        <v>4936</v>
      </c>
      <c r="E106" s="42" t="s">
        <v>4937</v>
      </c>
      <c r="H106" s="42" t="s">
        <v>4936</v>
      </c>
      <c r="I106" s="42" t="s">
        <v>4938</v>
      </c>
      <c r="J106" s="42" t="s">
        <v>4939</v>
      </c>
      <c r="K106" s="42" t="e">
        <f>VLOOKUP(F106,Input!C:M,9,0)</f>
        <v>#N/A</v>
      </c>
      <c r="L106" s="42" t="e">
        <f>VLOOKUP(F106,Input!C:M,10,0)</f>
        <v>#N/A</v>
      </c>
      <c r="M106" s="42" t="e">
        <f>VLOOKUP(F106,Input!C:M,11,0)</f>
        <v>#N/A</v>
      </c>
      <c r="N106" s="43" t="str">
        <f t="shared" si="1"/>
        <v>105,105,**</v>
      </c>
      <c r="O106" s="42">
        <v>105</v>
      </c>
    </row>
    <row r="107" spans="1:15" ht="14.25">
      <c r="A107" s="13" t="str">
        <f>IFERROR(VLOOKUP($F:$F,scan!$A:$B,2,0),"**")</f>
        <v>**</v>
      </c>
      <c r="B107" s="13" t="str">
        <f>IFERROR(VLOOKUP($F107,scan!A:C,3,0),"**")</f>
        <v>**</v>
      </c>
      <c r="C107" s="42">
        <v>106</v>
      </c>
      <c r="D107" s="42" t="s">
        <v>4936</v>
      </c>
      <c r="E107" s="42" t="s">
        <v>4937</v>
      </c>
      <c r="H107" s="42" t="s">
        <v>4936</v>
      </c>
      <c r="I107" s="42" t="s">
        <v>4938</v>
      </c>
      <c r="J107" s="42" t="s">
        <v>4939</v>
      </c>
      <c r="K107" s="42" t="e">
        <f>VLOOKUP(F107,Input!C:M,9,0)</f>
        <v>#N/A</v>
      </c>
      <c r="L107" s="42" t="e">
        <f>VLOOKUP(F107,Input!C:M,10,0)</f>
        <v>#N/A</v>
      </c>
      <c r="M107" s="42" t="e">
        <f>VLOOKUP(F107,Input!C:M,11,0)</f>
        <v>#N/A</v>
      </c>
      <c r="N107" s="43" t="str">
        <f t="shared" si="1"/>
        <v>106,106,**</v>
      </c>
      <c r="O107" s="42">
        <v>106</v>
      </c>
    </row>
    <row r="108" spans="1:15" ht="14.25">
      <c r="A108" s="13" t="str">
        <f>IFERROR(VLOOKUP($F:$F,scan!$A:$B,2,0),"**")</f>
        <v>**</v>
      </c>
      <c r="B108" s="13" t="str">
        <f>IFERROR(VLOOKUP($F108,scan!A:C,3,0),"**")</f>
        <v>**</v>
      </c>
      <c r="C108" s="42">
        <v>107</v>
      </c>
      <c r="D108" s="42" t="s">
        <v>4936</v>
      </c>
      <c r="E108" s="42" t="s">
        <v>4937</v>
      </c>
      <c r="H108" s="42" t="s">
        <v>4936</v>
      </c>
      <c r="I108" s="42" t="s">
        <v>4938</v>
      </c>
      <c r="J108" s="42" t="s">
        <v>4939</v>
      </c>
      <c r="K108" s="42" t="e">
        <f>VLOOKUP(F108,Input!C:M,9,0)</f>
        <v>#N/A</v>
      </c>
      <c r="L108" s="42" t="e">
        <f>VLOOKUP(F108,Input!C:M,10,0)</f>
        <v>#N/A</v>
      </c>
      <c r="M108" s="42" t="e">
        <f>VLOOKUP(F108,Input!C:M,11,0)</f>
        <v>#N/A</v>
      </c>
      <c r="N108" s="43" t="str">
        <f t="shared" si="1"/>
        <v>107,107,**</v>
      </c>
      <c r="O108" s="42">
        <v>107</v>
      </c>
    </row>
    <row r="109" spans="1:15" ht="14.25">
      <c r="A109" s="13" t="str">
        <f>IFERROR(VLOOKUP($F:$F,scan!$A:$B,2,0),"**")</f>
        <v>**</v>
      </c>
      <c r="B109" s="13" t="str">
        <f>IFERROR(VLOOKUP($F109,scan!A:C,3,0),"**")</f>
        <v>**</v>
      </c>
      <c r="C109" s="42">
        <v>108</v>
      </c>
      <c r="D109" s="42" t="s">
        <v>4936</v>
      </c>
      <c r="E109" s="42" t="s">
        <v>4937</v>
      </c>
      <c r="H109" s="42" t="s">
        <v>4936</v>
      </c>
      <c r="I109" s="42" t="s">
        <v>4938</v>
      </c>
      <c r="J109" s="42" t="s">
        <v>4939</v>
      </c>
      <c r="K109" s="42" t="e">
        <f>VLOOKUP(F109,Input!C:M,9,0)</f>
        <v>#N/A</v>
      </c>
      <c r="L109" s="42" t="e">
        <f>VLOOKUP(F109,Input!C:M,10,0)</f>
        <v>#N/A</v>
      </c>
      <c r="M109" s="42" t="e">
        <f>VLOOKUP(F109,Input!C:M,11,0)</f>
        <v>#N/A</v>
      </c>
      <c r="N109" s="43" t="str">
        <f t="shared" si="1"/>
        <v>108,108,**</v>
      </c>
      <c r="O109" s="42">
        <v>108</v>
      </c>
    </row>
    <row r="110" spans="1:15" ht="14.25">
      <c r="A110" s="13" t="str">
        <f>IFERROR(VLOOKUP($F:$F,scan!$A:$B,2,0),"**")</f>
        <v>**</v>
      </c>
      <c r="B110" s="13" t="str">
        <f>IFERROR(VLOOKUP($F110,scan!A:C,3,0),"**")</f>
        <v>**</v>
      </c>
      <c r="C110" s="42">
        <v>109</v>
      </c>
      <c r="D110" s="42" t="s">
        <v>4936</v>
      </c>
      <c r="E110" s="42" t="s">
        <v>4937</v>
      </c>
      <c r="H110" s="42" t="s">
        <v>4936</v>
      </c>
      <c r="I110" s="42" t="s">
        <v>4938</v>
      </c>
      <c r="J110" s="42" t="s">
        <v>4939</v>
      </c>
      <c r="K110" s="42" t="e">
        <f>VLOOKUP(F110,Input!C:M,9,0)</f>
        <v>#N/A</v>
      </c>
      <c r="L110" s="42" t="e">
        <f>VLOOKUP(F110,Input!C:M,10,0)</f>
        <v>#N/A</v>
      </c>
      <c r="M110" s="42" t="e">
        <f>VLOOKUP(F110,Input!C:M,11,0)</f>
        <v>#N/A</v>
      </c>
      <c r="N110" s="43" t="str">
        <f t="shared" si="1"/>
        <v>109,109,**</v>
      </c>
      <c r="O110" s="42">
        <v>109</v>
      </c>
    </row>
    <row r="111" spans="1:15" ht="14.25">
      <c r="A111" s="13" t="str">
        <f>IFERROR(VLOOKUP($F:$F,scan!$A:$B,2,0),"**")</f>
        <v>**</v>
      </c>
      <c r="B111" s="13" t="str">
        <f>IFERROR(VLOOKUP($F111,scan!A:C,3,0),"**")</f>
        <v>**</v>
      </c>
      <c r="C111" s="42">
        <v>110</v>
      </c>
      <c r="D111" s="42" t="s">
        <v>4936</v>
      </c>
      <c r="E111" s="42" t="s">
        <v>4937</v>
      </c>
      <c r="H111" s="42" t="s">
        <v>4936</v>
      </c>
      <c r="I111" s="42" t="s">
        <v>4938</v>
      </c>
      <c r="J111" s="42" t="s">
        <v>4939</v>
      </c>
      <c r="K111" s="42" t="e">
        <f>VLOOKUP(F111,Input!C:M,9,0)</f>
        <v>#N/A</v>
      </c>
      <c r="L111" s="42" t="e">
        <f>VLOOKUP(F111,Input!C:M,10,0)</f>
        <v>#N/A</v>
      </c>
      <c r="M111" s="42" t="e">
        <f>VLOOKUP(F111,Input!C:M,11,0)</f>
        <v>#N/A</v>
      </c>
      <c r="N111" s="43" t="str">
        <f t="shared" si="1"/>
        <v>110,110,**</v>
      </c>
      <c r="O111" s="42">
        <v>110</v>
      </c>
    </row>
    <row r="112" spans="1:15" ht="14.25">
      <c r="A112" s="13" t="str">
        <f>IFERROR(VLOOKUP($F:$F,scan!$A:$B,2,0),"**")</f>
        <v>**</v>
      </c>
      <c r="B112" s="13" t="str">
        <f>IFERROR(VLOOKUP($F112,scan!A:C,3,0),"**")</f>
        <v>**</v>
      </c>
      <c r="C112" s="42">
        <v>111</v>
      </c>
      <c r="D112" s="42" t="s">
        <v>4936</v>
      </c>
      <c r="E112" s="42" t="s">
        <v>4937</v>
      </c>
      <c r="H112" s="42" t="s">
        <v>4936</v>
      </c>
      <c r="I112" s="42" t="s">
        <v>4938</v>
      </c>
      <c r="J112" s="42" t="s">
        <v>4939</v>
      </c>
      <c r="K112" s="42" t="e">
        <f>VLOOKUP(F112,Input!C:M,9,0)</f>
        <v>#N/A</v>
      </c>
      <c r="L112" s="42" t="e">
        <f>VLOOKUP(F112,Input!C:M,10,0)</f>
        <v>#N/A</v>
      </c>
      <c r="M112" s="42" t="e">
        <f>VLOOKUP(F112,Input!C:M,11,0)</f>
        <v>#N/A</v>
      </c>
      <c r="N112" s="43" t="str">
        <f t="shared" si="1"/>
        <v>111,111,**</v>
      </c>
      <c r="O112" s="42">
        <v>111</v>
      </c>
    </row>
    <row r="113" spans="1:15" ht="14.25">
      <c r="A113" s="13" t="str">
        <f>IFERROR(VLOOKUP($F:$F,scan!$A:$B,2,0),"**")</f>
        <v>**</v>
      </c>
      <c r="B113" s="13" t="str">
        <f>IFERROR(VLOOKUP($F113,scan!A:C,3,0),"**")</f>
        <v>**</v>
      </c>
      <c r="C113" s="42">
        <v>112</v>
      </c>
      <c r="D113" s="42" t="s">
        <v>4936</v>
      </c>
      <c r="E113" s="42" t="s">
        <v>4937</v>
      </c>
      <c r="H113" s="42" t="s">
        <v>4936</v>
      </c>
      <c r="I113" s="42" t="s">
        <v>4938</v>
      </c>
      <c r="J113" s="42" t="s">
        <v>4939</v>
      </c>
      <c r="K113" s="42" t="e">
        <f>VLOOKUP(F113,Input!C:M,9,0)</f>
        <v>#N/A</v>
      </c>
      <c r="L113" s="42" t="e">
        <f>VLOOKUP(F113,Input!C:M,10,0)</f>
        <v>#N/A</v>
      </c>
      <c r="M113" s="42" t="e">
        <f>VLOOKUP(F113,Input!C:M,11,0)</f>
        <v>#N/A</v>
      </c>
      <c r="N113" s="43" t="str">
        <f t="shared" si="1"/>
        <v>112,112,**</v>
      </c>
      <c r="O113" s="42">
        <v>112</v>
      </c>
    </row>
    <row r="114" spans="1:15" ht="14.25">
      <c r="A114" s="13" t="str">
        <f>IFERROR(VLOOKUP($F:$F,scan!$A:$B,2,0),"**")</f>
        <v>**</v>
      </c>
      <c r="B114" s="13" t="str">
        <f>IFERROR(VLOOKUP($F114,scan!A:C,3,0),"**")</f>
        <v>**</v>
      </c>
      <c r="C114" s="42">
        <v>113</v>
      </c>
      <c r="D114" s="42" t="s">
        <v>4936</v>
      </c>
      <c r="E114" s="42" t="s">
        <v>4937</v>
      </c>
      <c r="H114" s="42" t="s">
        <v>4936</v>
      </c>
      <c r="I114" s="42" t="s">
        <v>4938</v>
      </c>
      <c r="J114" s="42" t="s">
        <v>4939</v>
      </c>
      <c r="K114" s="42" t="e">
        <f>VLOOKUP(F114,Input!C:M,9,0)</f>
        <v>#N/A</v>
      </c>
      <c r="L114" s="42" t="e">
        <f>VLOOKUP(F114,Input!C:M,10,0)</f>
        <v>#N/A</v>
      </c>
      <c r="M114" s="42" t="e">
        <f>VLOOKUP(F114,Input!C:M,11,0)</f>
        <v>#N/A</v>
      </c>
      <c r="N114" s="43" t="str">
        <f t="shared" si="1"/>
        <v>113,113,**</v>
      </c>
      <c r="O114" s="42">
        <v>113</v>
      </c>
    </row>
    <row r="115" spans="1:15" ht="14.25">
      <c r="A115" s="13" t="str">
        <f>IFERROR(VLOOKUP($F:$F,scan!$A:$B,2,0),"**")</f>
        <v>**</v>
      </c>
      <c r="B115" s="13" t="str">
        <f>IFERROR(VLOOKUP($F115,scan!A:C,3,0),"**")</f>
        <v>**</v>
      </c>
      <c r="C115" s="42">
        <v>114</v>
      </c>
      <c r="D115" s="42" t="s">
        <v>4936</v>
      </c>
      <c r="E115" s="42" t="s">
        <v>4937</v>
      </c>
      <c r="H115" s="42" t="s">
        <v>4936</v>
      </c>
      <c r="I115" s="42" t="s">
        <v>4938</v>
      </c>
      <c r="J115" s="42" t="s">
        <v>4939</v>
      </c>
      <c r="K115" s="42" t="e">
        <f>VLOOKUP(F115,Input!C:M,9,0)</f>
        <v>#N/A</v>
      </c>
      <c r="L115" s="42" t="e">
        <f>VLOOKUP(F115,Input!C:M,10,0)</f>
        <v>#N/A</v>
      </c>
      <c r="M115" s="42" t="e">
        <f>VLOOKUP(F115,Input!C:M,11,0)</f>
        <v>#N/A</v>
      </c>
      <c r="N115" s="43" t="str">
        <f t="shared" si="1"/>
        <v>114,114,**</v>
      </c>
      <c r="O115" s="42">
        <v>114</v>
      </c>
    </row>
    <row r="116" spans="1:15" ht="14.25">
      <c r="A116" s="13" t="str">
        <f>IFERROR(VLOOKUP($F:$F,scan!$A:$B,2,0),"**")</f>
        <v>**</v>
      </c>
      <c r="B116" s="13" t="str">
        <f>IFERROR(VLOOKUP($F116,scan!A:C,3,0),"**")</f>
        <v>**</v>
      </c>
      <c r="C116" s="42">
        <v>115</v>
      </c>
      <c r="D116" s="42" t="s">
        <v>4936</v>
      </c>
      <c r="E116" s="42" t="s">
        <v>4937</v>
      </c>
      <c r="H116" s="42" t="s">
        <v>4936</v>
      </c>
      <c r="I116" s="42" t="s">
        <v>4938</v>
      </c>
      <c r="J116" s="42" t="s">
        <v>4939</v>
      </c>
      <c r="K116" s="42" t="e">
        <f>VLOOKUP(F116,Input!C:M,9,0)</f>
        <v>#N/A</v>
      </c>
      <c r="L116" s="42" t="e">
        <f>VLOOKUP(F116,Input!C:M,10,0)</f>
        <v>#N/A</v>
      </c>
      <c r="M116" s="42" t="e">
        <f>VLOOKUP(F116,Input!C:M,11,0)</f>
        <v>#N/A</v>
      </c>
      <c r="N116" s="43" t="str">
        <f t="shared" si="1"/>
        <v>115,115,**</v>
      </c>
      <c r="O116" s="42">
        <v>115</v>
      </c>
    </row>
    <row r="117" spans="1:15" ht="14.25">
      <c r="A117" s="13" t="str">
        <f>IFERROR(VLOOKUP($F:$F,scan!$A:$B,2,0),"**")</f>
        <v>**</v>
      </c>
      <c r="B117" s="13" t="str">
        <f>IFERROR(VLOOKUP($F117,scan!A:C,3,0),"**")</f>
        <v>**</v>
      </c>
      <c r="C117" s="42">
        <v>116</v>
      </c>
      <c r="D117" s="42" t="s">
        <v>4936</v>
      </c>
      <c r="E117" s="42" t="s">
        <v>4937</v>
      </c>
      <c r="H117" s="42" t="s">
        <v>4936</v>
      </c>
      <c r="I117" s="42" t="s">
        <v>4938</v>
      </c>
      <c r="J117" s="42" t="s">
        <v>4939</v>
      </c>
      <c r="K117" s="42" t="e">
        <f>VLOOKUP(F117,Input!C:M,9,0)</f>
        <v>#N/A</v>
      </c>
      <c r="L117" s="42" t="e">
        <f>VLOOKUP(F117,Input!C:M,10,0)</f>
        <v>#N/A</v>
      </c>
      <c r="M117" s="42" t="e">
        <f>VLOOKUP(F117,Input!C:M,11,0)</f>
        <v>#N/A</v>
      </c>
      <c r="N117" s="43" t="str">
        <f t="shared" si="1"/>
        <v>116,116,**</v>
      </c>
      <c r="O117" s="42">
        <v>116</v>
      </c>
    </row>
    <row r="118" spans="1:15" ht="14.25">
      <c r="A118" s="13" t="str">
        <f>IFERROR(VLOOKUP($F:$F,scan!$A:$B,2,0),"**")</f>
        <v>**</v>
      </c>
      <c r="B118" s="13" t="str">
        <f>IFERROR(VLOOKUP($F118,scan!A:C,3,0),"**")</f>
        <v>**</v>
      </c>
      <c r="C118" s="42">
        <v>117</v>
      </c>
      <c r="D118" s="42" t="s">
        <v>4936</v>
      </c>
      <c r="E118" s="42" t="s">
        <v>4937</v>
      </c>
      <c r="H118" s="42" t="s">
        <v>4936</v>
      </c>
      <c r="I118" s="42" t="s">
        <v>4938</v>
      </c>
      <c r="J118" s="42" t="s">
        <v>4939</v>
      </c>
      <c r="K118" s="42" t="e">
        <f>VLOOKUP(F118,Input!C:M,9,0)</f>
        <v>#N/A</v>
      </c>
      <c r="L118" s="42" t="e">
        <f>VLOOKUP(F118,Input!C:M,10,0)</f>
        <v>#N/A</v>
      </c>
      <c r="M118" s="42" t="e">
        <f>VLOOKUP(F118,Input!C:M,11,0)</f>
        <v>#N/A</v>
      </c>
      <c r="N118" s="43" t="str">
        <f t="shared" si="1"/>
        <v>117,117,**</v>
      </c>
      <c r="O118" s="42">
        <v>117</v>
      </c>
    </row>
    <row r="119" spans="1:15" ht="14.25">
      <c r="A119" s="13" t="str">
        <f>IFERROR(VLOOKUP($F:$F,scan!$A:$B,2,0),"**")</f>
        <v>**</v>
      </c>
      <c r="B119" s="13" t="str">
        <f>IFERROR(VLOOKUP($F119,scan!A:C,3,0),"**")</f>
        <v>**</v>
      </c>
      <c r="C119" s="42">
        <v>118</v>
      </c>
      <c r="D119" s="42" t="s">
        <v>4936</v>
      </c>
      <c r="E119" s="42" t="s">
        <v>4937</v>
      </c>
      <c r="H119" s="42" t="s">
        <v>4936</v>
      </c>
      <c r="I119" s="42" t="s">
        <v>4938</v>
      </c>
      <c r="J119" s="42" t="s">
        <v>4939</v>
      </c>
      <c r="K119" s="42" t="e">
        <f>VLOOKUP(F119,Input!C:M,9,0)</f>
        <v>#N/A</v>
      </c>
      <c r="L119" s="42" t="e">
        <f>VLOOKUP(F119,Input!C:M,10,0)</f>
        <v>#N/A</v>
      </c>
      <c r="M119" s="42" t="e">
        <f>VLOOKUP(F119,Input!C:M,11,0)</f>
        <v>#N/A</v>
      </c>
      <c r="N119" s="43" t="str">
        <f t="shared" si="1"/>
        <v>118,118,**</v>
      </c>
      <c r="O119" s="42">
        <v>118</v>
      </c>
    </row>
    <row r="120" spans="1:15" ht="14.25">
      <c r="A120" s="13" t="str">
        <f>IFERROR(VLOOKUP($F:$F,scan!$A:$B,2,0),"**")</f>
        <v>**</v>
      </c>
      <c r="B120" s="13" t="str">
        <f>IFERROR(VLOOKUP($F120,scan!A:C,3,0),"**")</f>
        <v>**</v>
      </c>
      <c r="C120" s="42">
        <v>119</v>
      </c>
      <c r="D120" s="42" t="s">
        <v>4936</v>
      </c>
      <c r="E120" s="42" t="s">
        <v>4937</v>
      </c>
      <c r="H120" s="42" t="s">
        <v>4936</v>
      </c>
      <c r="I120" s="42" t="s">
        <v>4938</v>
      </c>
      <c r="J120" s="42" t="s">
        <v>4939</v>
      </c>
      <c r="K120" s="42" t="e">
        <f>VLOOKUP(F120,Input!C:M,9,0)</f>
        <v>#N/A</v>
      </c>
      <c r="L120" s="42" t="e">
        <f>VLOOKUP(F120,Input!C:M,10,0)</f>
        <v>#N/A</v>
      </c>
      <c r="M120" s="42" t="e">
        <f>VLOOKUP(F120,Input!C:M,11,0)</f>
        <v>#N/A</v>
      </c>
      <c r="N120" s="43" t="str">
        <f t="shared" si="1"/>
        <v>119,119,**</v>
      </c>
      <c r="O120" s="42">
        <v>119</v>
      </c>
    </row>
    <row r="121" spans="1:15" ht="14.25">
      <c r="A121" s="13" t="str">
        <f>IFERROR(VLOOKUP($F:$F,scan!$A:$B,2,0),"**")</f>
        <v>**</v>
      </c>
      <c r="B121" s="13" t="str">
        <f>IFERROR(VLOOKUP($F121,scan!A:C,3,0),"**")</f>
        <v>**</v>
      </c>
      <c r="C121" s="42">
        <v>120</v>
      </c>
      <c r="D121" s="42" t="s">
        <v>4936</v>
      </c>
      <c r="E121" s="42" t="s">
        <v>4937</v>
      </c>
      <c r="H121" s="42" t="s">
        <v>4936</v>
      </c>
      <c r="I121" s="42" t="s">
        <v>4938</v>
      </c>
      <c r="J121" s="42" t="s">
        <v>4939</v>
      </c>
      <c r="K121" s="42" t="e">
        <f>VLOOKUP(F121,Input!C:M,9,0)</f>
        <v>#N/A</v>
      </c>
      <c r="L121" s="42" t="e">
        <f>VLOOKUP(F121,Input!C:M,10,0)</f>
        <v>#N/A</v>
      </c>
      <c r="M121" s="42" t="e">
        <f>VLOOKUP(F121,Input!C:M,11,0)</f>
        <v>#N/A</v>
      </c>
      <c r="N121" s="43" t="str">
        <f t="shared" si="1"/>
        <v>120,120,**</v>
      </c>
      <c r="O121" s="42">
        <v>120</v>
      </c>
    </row>
    <row r="122" spans="1:15" ht="14.25">
      <c r="A122" s="13" t="str">
        <f>IFERROR(VLOOKUP($F:$F,scan!$A:$B,2,0),"**")</f>
        <v>**</v>
      </c>
      <c r="B122" s="13" t="str">
        <f>IFERROR(VLOOKUP($F122,scan!A:C,3,0),"**")</f>
        <v>**</v>
      </c>
      <c r="C122" s="42">
        <v>121</v>
      </c>
      <c r="D122" s="42" t="s">
        <v>4936</v>
      </c>
      <c r="E122" s="42" t="s">
        <v>4937</v>
      </c>
      <c r="H122" s="42" t="s">
        <v>4936</v>
      </c>
      <c r="I122" s="42" t="s">
        <v>4938</v>
      </c>
      <c r="J122" s="42" t="s">
        <v>4939</v>
      </c>
      <c r="K122" s="42" t="e">
        <f>VLOOKUP(F122,Input!C:M,9,0)</f>
        <v>#N/A</v>
      </c>
      <c r="L122" s="42" t="e">
        <f>VLOOKUP(F122,Input!C:M,10,0)</f>
        <v>#N/A</v>
      </c>
      <c r="M122" s="42" t="e">
        <f>VLOOKUP(F122,Input!C:M,11,0)</f>
        <v>#N/A</v>
      </c>
      <c r="N122" s="43" t="str">
        <f t="shared" si="1"/>
        <v>121,121,**</v>
      </c>
      <c r="O122" s="42">
        <v>121</v>
      </c>
    </row>
    <row r="123" spans="1:15" ht="14.25">
      <c r="A123" s="13" t="str">
        <f>IFERROR(VLOOKUP($F:$F,scan!$A:$B,2,0),"**")</f>
        <v>**</v>
      </c>
      <c r="B123" s="13" t="str">
        <f>IFERROR(VLOOKUP($F123,scan!A:C,3,0),"**")</f>
        <v>**</v>
      </c>
      <c r="C123" s="42">
        <v>122</v>
      </c>
      <c r="D123" s="42" t="s">
        <v>4936</v>
      </c>
      <c r="E123" s="42" t="s">
        <v>4937</v>
      </c>
      <c r="H123" s="42" t="s">
        <v>4936</v>
      </c>
      <c r="I123" s="42" t="s">
        <v>4938</v>
      </c>
      <c r="J123" s="42" t="s">
        <v>4939</v>
      </c>
      <c r="K123" s="42" t="e">
        <f>VLOOKUP(F123,Input!C:M,9,0)</f>
        <v>#N/A</v>
      </c>
      <c r="L123" s="42" t="e">
        <f>VLOOKUP(F123,Input!C:M,10,0)</f>
        <v>#N/A</v>
      </c>
      <c r="M123" s="42" t="e">
        <f>VLOOKUP(F123,Input!C:M,11,0)</f>
        <v>#N/A</v>
      </c>
      <c r="N123" s="43" t="str">
        <f t="shared" si="1"/>
        <v>122,122,**</v>
      </c>
      <c r="O123" s="42">
        <v>122</v>
      </c>
    </row>
    <row r="124" spans="1:15" ht="14.25">
      <c r="A124" s="13" t="str">
        <f>IFERROR(VLOOKUP($F:$F,scan!$A:$B,2,0),"**")</f>
        <v>**</v>
      </c>
      <c r="B124" s="13" t="str">
        <f>IFERROR(VLOOKUP($F124,scan!A:C,3,0),"**")</f>
        <v>**</v>
      </c>
      <c r="C124" s="42">
        <v>123</v>
      </c>
      <c r="D124" s="42" t="s">
        <v>4936</v>
      </c>
      <c r="E124" s="42" t="s">
        <v>4937</v>
      </c>
      <c r="H124" s="42" t="s">
        <v>4936</v>
      </c>
      <c r="I124" s="42" t="s">
        <v>4938</v>
      </c>
      <c r="J124" s="42" t="s">
        <v>4939</v>
      </c>
      <c r="K124" s="42" t="e">
        <f>VLOOKUP(F124,Input!C:M,9,0)</f>
        <v>#N/A</v>
      </c>
      <c r="L124" s="42" t="e">
        <f>VLOOKUP(F124,Input!C:M,10,0)</f>
        <v>#N/A</v>
      </c>
      <c r="M124" s="42" t="e">
        <f>VLOOKUP(F124,Input!C:M,11,0)</f>
        <v>#N/A</v>
      </c>
      <c r="N124" s="43" t="str">
        <f t="shared" si="1"/>
        <v>123,123,**</v>
      </c>
      <c r="O124" s="42">
        <v>123</v>
      </c>
    </row>
    <row r="125" spans="1:15" ht="14.25">
      <c r="A125" s="13" t="str">
        <f>IFERROR(VLOOKUP($F:$F,scan!$A:$B,2,0),"**")</f>
        <v>**</v>
      </c>
      <c r="B125" s="13" t="str">
        <f>IFERROR(VLOOKUP($F125,scan!A:C,3,0),"**")</f>
        <v>**</v>
      </c>
      <c r="C125" s="42">
        <v>124</v>
      </c>
      <c r="D125" s="42" t="s">
        <v>4936</v>
      </c>
      <c r="E125" s="42" t="s">
        <v>4937</v>
      </c>
      <c r="H125" s="42" t="s">
        <v>4936</v>
      </c>
      <c r="I125" s="42" t="s">
        <v>4938</v>
      </c>
      <c r="J125" s="42" t="s">
        <v>4939</v>
      </c>
      <c r="K125" s="42" t="e">
        <f>VLOOKUP(F125,Input!C:M,9,0)</f>
        <v>#N/A</v>
      </c>
      <c r="L125" s="42" t="e">
        <f>VLOOKUP(F125,Input!C:M,10,0)</f>
        <v>#N/A</v>
      </c>
      <c r="M125" s="42" t="e">
        <f>VLOOKUP(F125,Input!C:M,11,0)</f>
        <v>#N/A</v>
      </c>
      <c r="N125" s="43" t="str">
        <f t="shared" si="1"/>
        <v>124,124,**</v>
      </c>
      <c r="O125" s="42">
        <v>124</v>
      </c>
    </row>
    <row r="126" spans="1:15" ht="14.25">
      <c r="A126" s="13" t="str">
        <f>IFERROR(VLOOKUP($F:$F,scan!$A:$B,2,0),"**")</f>
        <v>**</v>
      </c>
      <c r="B126" s="13" t="str">
        <f>IFERROR(VLOOKUP($F126,scan!A:C,3,0),"**")</f>
        <v>**</v>
      </c>
      <c r="C126" s="42">
        <v>125</v>
      </c>
      <c r="D126" s="42" t="s">
        <v>4936</v>
      </c>
      <c r="E126" s="42" t="s">
        <v>4937</v>
      </c>
      <c r="H126" s="42" t="s">
        <v>4936</v>
      </c>
      <c r="I126" s="42" t="s">
        <v>4938</v>
      </c>
      <c r="J126" s="42" t="s">
        <v>4939</v>
      </c>
      <c r="K126" s="42" t="e">
        <f>VLOOKUP(F126,Input!C:M,9,0)</f>
        <v>#N/A</v>
      </c>
      <c r="L126" s="42" t="e">
        <f>VLOOKUP(F126,Input!C:M,10,0)</f>
        <v>#N/A</v>
      </c>
      <c r="M126" s="42" t="e">
        <f>VLOOKUP(F126,Input!C:M,11,0)</f>
        <v>#N/A</v>
      </c>
      <c r="N126" s="43" t="str">
        <f t="shared" si="1"/>
        <v>125,125,**</v>
      </c>
      <c r="O126" s="42">
        <v>125</v>
      </c>
    </row>
    <row r="127" spans="1:15" ht="14.25">
      <c r="A127" s="13" t="str">
        <f>IFERROR(VLOOKUP($F:$F,scan!$A:$B,2,0),"**")</f>
        <v>**</v>
      </c>
      <c r="B127" s="13" t="str">
        <f>IFERROR(VLOOKUP($F127,scan!A:C,3,0),"**")</f>
        <v>**</v>
      </c>
      <c r="C127" s="42">
        <v>126</v>
      </c>
      <c r="D127" s="42" t="s">
        <v>4936</v>
      </c>
      <c r="E127" s="42" t="s">
        <v>4937</v>
      </c>
      <c r="H127" s="42" t="s">
        <v>4936</v>
      </c>
      <c r="I127" s="42" t="s">
        <v>4938</v>
      </c>
      <c r="J127" s="42" t="s">
        <v>4939</v>
      </c>
      <c r="K127" s="42" t="e">
        <f>VLOOKUP(F127,Input!C:M,9,0)</f>
        <v>#N/A</v>
      </c>
      <c r="L127" s="42" t="e">
        <f>VLOOKUP(F127,Input!C:M,10,0)</f>
        <v>#N/A</v>
      </c>
      <c r="M127" s="42" t="e">
        <f>VLOOKUP(F127,Input!C:M,11,0)</f>
        <v>#N/A</v>
      </c>
      <c r="N127" s="43" t="str">
        <f t="shared" si="1"/>
        <v>126,126,**</v>
      </c>
      <c r="O127" s="42">
        <v>126</v>
      </c>
    </row>
    <row r="128" spans="1:15" ht="14.25">
      <c r="A128" s="13" t="str">
        <f>IFERROR(VLOOKUP($F:$F,scan!$A:$B,2,0),"**")</f>
        <v>**</v>
      </c>
      <c r="B128" s="13" t="str">
        <f>IFERROR(VLOOKUP($F128,scan!A:C,3,0),"**")</f>
        <v>**</v>
      </c>
      <c r="C128" s="42">
        <v>127</v>
      </c>
      <c r="D128" s="42" t="s">
        <v>4936</v>
      </c>
      <c r="E128" s="42" t="s">
        <v>4937</v>
      </c>
      <c r="H128" s="42" t="s">
        <v>4936</v>
      </c>
      <c r="I128" s="42" t="s">
        <v>4938</v>
      </c>
      <c r="J128" s="42" t="s">
        <v>4939</v>
      </c>
      <c r="K128" s="42" t="e">
        <f>VLOOKUP(F128,Input!C:M,9,0)</f>
        <v>#N/A</v>
      </c>
      <c r="L128" s="42" t="e">
        <f>VLOOKUP(F128,Input!C:M,10,0)</f>
        <v>#N/A</v>
      </c>
      <c r="M128" s="42" t="e">
        <f>VLOOKUP(F128,Input!C:M,11,0)</f>
        <v>#N/A</v>
      </c>
      <c r="N128" s="43" t="str">
        <f t="shared" si="1"/>
        <v>127,127,**</v>
      </c>
      <c r="O128" s="42">
        <v>127</v>
      </c>
    </row>
    <row r="129" spans="1:15" ht="14.25">
      <c r="A129" s="13" t="str">
        <f>IFERROR(VLOOKUP($F:$F,scan!$A:$B,2,0),"**")</f>
        <v>**</v>
      </c>
      <c r="B129" s="13" t="str">
        <f>IFERROR(VLOOKUP($F129,scan!A:C,3,0),"**")</f>
        <v>**</v>
      </c>
      <c r="C129" s="42">
        <v>128</v>
      </c>
      <c r="D129" s="42" t="s">
        <v>4936</v>
      </c>
      <c r="E129" s="42" t="s">
        <v>4937</v>
      </c>
      <c r="H129" s="42" t="s">
        <v>4936</v>
      </c>
      <c r="I129" s="42" t="s">
        <v>4938</v>
      </c>
      <c r="J129" s="42" t="s">
        <v>4939</v>
      </c>
      <c r="K129" s="42" t="e">
        <f>VLOOKUP(F129,Input!C:M,9,0)</f>
        <v>#N/A</v>
      </c>
      <c r="L129" s="42" t="e">
        <f>VLOOKUP(F129,Input!C:M,10,0)</f>
        <v>#N/A</v>
      </c>
      <c r="M129" s="42" t="e">
        <f>VLOOKUP(F129,Input!C:M,11,0)</f>
        <v>#N/A</v>
      </c>
      <c r="N129" s="43" t="str">
        <f t="shared" si="1"/>
        <v>128,128,**</v>
      </c>
      <c r="O129" s="42">
        <v>128</v>
      </c>
    </row>
    <row r="130" spans="1:15" ht="14.25">
      <c r="A130" s="13" t="str">
        <f>IFERROR(VLOOKUP($F:$F,scan!$A:$B,2,0),"**")</f>
        <v>**</v>
      </c>
      <c r="B130" s="13" t="str">
        <f>IFERROR(VLOOKUP($F130,scan!A:C,3,0),"**")</f>
        <v>**</v>
      </c>
      <c r="C130" s="42">
        <v>129</v>
      </c>
      <c r="D130" s="42" t="s">
        <v>4936</v>
      </c>
      <c r="E130" s="42" t="s">
        <v>4937</v>
      </c>
      <c r="H130" s="42" t="s">
        <v>4936</v>
      </c>
      <c r="I130" s="42" t="s">
        <v>4938</v>
      </c>
      <c r="J130" s="42" t="s">
        <v>4939</v>
      </c>
      <c r="K130" s="42" t="e">
        <f>VLOOKUP(F130,Input!C:M,9,0)</f>
        <v>#N/A</v>
      </c>
      <c r="L130" s="42" t="e">
        <f>VLOOKUP(F130,Input!C:M,10,0)</f>
        <v>#N/A</v>
      </c>
      <c r="M130" s="42" t="e">
        <f>VLOOKUP(F130,Input!C:M,11,0)</f>
        <v>#N/A</v>
      </c>
      <c r="N130" s="43" t="str">
        <f t="shared" si="1"/>
        <v>129,129,**</v>
      </c>
      <c r="O130" s="42">
        <v>129</v>
      </c>
    </row>
    <row r="131" spans="1:15" ht="14.25">
      <c r="A131" s="13" t="str">
        <f>IFERROR(VLOOKUP($F:$F,scan!$A:$B,2,0),"**")</f>
        <v>**</v>
      </c>
      <c r="B131" s="13" t="str">
        <f>IFERROR(VLOOKUP($F131,scan!A:C,3,0),"**")</f>
        <v>**</v>
      </c>
      <c r="C131" s="42">
        <v>130</v>
      </c>
      <c r="D131" s="42" t="s">
        <v>4936</v>
      </c>
      <c r="E131" s="42" t="s">
        <v>4937</v>
      </c>
      <c r="H131" s="42" t="s">
        <v>4936</v>
      </c>
      <c r="I131" s="42" t="s">
        <v>4938</v>
      </c>
      <c r="J131" s="42" t="s">
        <v>4939</v>
      </c>
      <c r="K131" s="42" t="e">
        <f>VLOOKUP(F131,Input!C:M,9,0)</f>
        <v>#N/A</v>
      </c>
      <c r="L131" s="42" t="e">
        <f>VLOOKUP(F131,Input!C:M,10,0)</f>
        <v>#N/A</v>
      </c>
      <c r="M131" s="42" t="e">
        <f>VLOOKUP(F131,Input!C:M,11,0)</f>
        <v>#N/A</v>
      </c>
      <c r="N131" s="43" t="str">
        <f t="shared" ref="N131:N194" si="2">O131&amp;","&amp;C131&amp;","&amp;B131</f>
        <v>130,130,**</v>
      </c>
      <c r="O131" s="42">
        <v>130</v>
      </c>
    </row>
    <row r="132" spans="1:15" ht="14.25">
      <c r="A132" s="13" t="str">
        <f>IFERROR(VLOOKUP($F:$F,scan!$A:$B,2,0),"**")</f>
        <v>**</v>
      </c>
      <c r="B132" s="13" t="str">
        <f>IFERROR(VLOOKUP($F132,scan!A:C,3,0),"**")</f>
        <v>**</v>
      </c>
      <c r="C132" s="42">
        <v>131</v>
      </c>
      <c r="D132" s="42" t="s">
        <v>4936</v>
      </c>
      <c r="E132" s="42" t="s">
        <v>4937</v>
      </c>
      <c r="H132" s="42" t="s">
        <v>4936</v>
      </c>
      <c r="I132" s="42" t="s">
        <v>4938</v>
      </c>
      <c r="J132" s="42" t="s">
        <v>4939</v>
      </c>
      <c r="K132" s="42" t="e">
        <f>VLOOKUP(F132,Input!C:M,9,0)</f>
        <v>#N/A</v>
      </c>
      <c r="L132" s="42" t="e">
        <f>VLOOKUP(F132,Input!C:M,10,0)</f>
        <v>#N/A</v>
      </c>
      <c r="M132" s="42" t="e">
        <f>VLOOKUP(F132,Input!C:M,11,0)</f>
        <v>#N/A</v>
      </c>
      <c r="N132" s="43" t="str">
        <f t="shared" si="2"/>
        <v>131,131,**</v>
      </c>
      <c r="O132" s="42">
        <v>131</v>
      </c>
    </row>
    <row r="133" spans="1:15" ht="14.25">
      <c r="A133" s="13" t="str">
        <f>IFERROR(VLOOKUP($F:$F,scan!$A:$B,2,0),"**")</f>
        <v>**</v>
      </c>
      <c r="B133" s="13" t="str">
        <f>IFERROR(VLOOKUP($F133,scan!A:C,3,0),"**")</f>
        <v>**</v>
      </c>
      <c r="C133" s="42">
        <v>132</v>
      </c>
      <c r="D133" s="42" t="s">
        <v>4936</v>
      </c>
      <c r="E133" s="42" t="s">
        <v>4937</v>
      </c>
      <c r="H133" s="42" t="s">
        <v>4936</v>
      </c>
      <c r="I133" s="42" t="s">
        <v>4938</v>
      </c>
      <c r="J133" s="42" t="s">
        <v>4939</v>
      </c>
      <c r="K133" s="42" t="e">
        <f>VLOOKUP(F133,Input!C:M,9,0)</f>
        <v>#N/A</v>
      </c>
      <c r="L133" s="42" t="e">
        <f>VLOOKUP(F133,Input!C:M,10,0)</f>
        <v>#N/A</v>
      </c>
      <c r="M133" s="42" t="e">
        <f>VLOOKUP(F133,Input!C:M,11,0)</f>
        <v>#N/A</v>
      </c>
      <c r="N133" s="43" t="str">
        <f t="shared" si="2"/>
        <v>132,132,**</v>
      </c>
      <c r="O133" s="42">
        <v>132</v>
      </c>
    </row>
    <row r="134" spans="1:15" ht="14.25">
      <c r="A134" s="13" t="str">
        <f>IFERROR(VLOOKUP($F:$F,scan!$A:$B,2,0),"**")</f>
        <v>**</v>
      </c>
      <c r="B134" s="13" t="str">
        <f>IFERROR(VLOOKUP($F134,scan!A:C,3,0),"**")</f>
        <v>**</v>
      </c>
      <c r="C134" s="42">
        <v>133</v>
      </c>
      <c r="D134" s="42" t="s">
        <v>4936</v>
      </c>
      <c r="E134" s="42" t="s">
        <v>4937</v>
      </c>
      <c r="H134" s="42" t="s">
        <v>4936</v>
      </c>
      <c r="I134" s="42" t="s">
        <v>4938</v>
      </c>
      <c r="J134" s="42" t="s">
        <v>4939</v>
      </c>
      <c r="K134" s="42" t="e">
        <f>VLOOKUP(F134,Input!C:M,9,0)</f>
        <v>#N/A</v>
      </c>
      <c r="L134" s="42" t="e">
        <f>VLOOKUP(F134,Input!C:M,10,0)</f>
        <v>#N/A</v>
      </c>
      <c r="M134" s="42" t="e">
        <f>VLOOKUP(F134,Input!C:M,11,0)</f>
        <v>#N/A</v>
      </c>
      <c r="N134" s="43" t="str">
        <f t="shared" si="2"/>
        <v>133,133,**</v>
      </c>
      <c r="O134" s="42">
        <v>133</v>
      </c>
    </row>
    <row r="135" spans="1:15" ht="14.25">
      <c r="A135" s="13" t="str">
        <f>IFERROR(VLOOKUP($F:$F,scan!$A:$B,2,0),"**")</f>
        <v>**</v>
      </c>
      <c r="B135" s="13" t="str">
        <f>IFERROR(VLOOKUP($F135,scan!A:C,3,0),"**")</f>
        <v>**</v>
      </c>
      <c r="C135" s="42">
        <v>134</v>
      </c>
      <c r="D135" s="42" t="s">
        <v>4936</v>
      </c>
      <c r="E135" s="42" t="s">
        <v>4937</v>
      </c>
      <c r="H135" s="42" t="s">
        <v>4936</v>
      </c>
      <c r="I135" s="42" t="s">
        <v>4938</v>
      </c>
      <c r="J135" s="42" t="s">
        <v>4939</v>
      </c>
      <c r="K135" s="42" t="e">
        <f>VLOOKUP(F135,Input!C:M,9,0)</f>
        <v>#N/A</v>
      </c>
      <c r="L135" s="42" t="e">
        <f>VLOOKUP(F135,Input!C:M,10,0)</f>
        <v>#N/A</v>
      </c>
      <c r="M135" s="42" t="e">
        <f>VLOOKUP(F135,Input!C:M,11,0)</f>
        <v>#N/A</v>
      </c>
      <c r="N135" s="43" t="str">
        <f t="shared" si="2"/>
        <v>134,134,**</v>
      </c>
      <c r="O135" s="42">
        <v>134</v>
      </c>
    </row>
    <row r="136" spans="1:15" ht="14.25">
      <c r="A136" s="13" t="str">
        <f>IFERROR(VLOOKUP($F:$F,scan!$A:$B,2,0),"**")</f>
        <v>**</v>
      </c>
      <c r="B136" s="13" t="str">
        <f>IFERROR(VLOOKUP($F136,scan!A:C,3,0),"**")</f>
        <v>**</v>
      </c>
      <c r="C136" s="42">
        <v>135</v>
      </c>
      <c r="D136" s="42" t="s">
        <v>4936</v>
      </c>
      <c r="E136" s="42" t="s">
        <v>4937</v>
      </c>
      <c r="H136" s="42" t="s">
        <v>4936</v>
      </c>
      <c r="I136" s="42" t="s">
        <v>4938</v>
      </c>
      <c r="J136" s="42" t="s">
        <v>4939</v>
      </c>
      <c r="K136" s="42" t="e">
        <f>VLOOKUP(F136,Input!C:M,9,0)</f>
        <v>#N/A</v>
      </c>
      <c r="L136" s="42" t="e">
        <f>VLOOKUP(F136,Input!C:M,10,0)</f>
        <v>#N/A</v>
      </c>
      <c r="M136" s="42" t="e">
        <f>VLOOKUP(F136,Input!C:M,11,0)</f>
        <v>#N/A</v>
      </c>
      <c r="N136" s="43" t="str">
        <f t="shared" si="2"/>
        <v>135,135,**</v>
      </c>
      <c r="O136" s="42">
        <v>135</v>
      </c>
    </row>
    <row r="137" spans="1:15" ht="14.25">
      <c r="A137" s="13" t="str">
        <f>IFERROR(VLOOKUP($F:$F,scan!$A:$B,2,0),"**")</f>
        <v>**</v>
      </c>
      <c r="B137" s="13" t="str">
        <f>IFERROR(VLOOKUP($F137,scan!A:C,3,0),"**")</f>
        <v>**</v>
      </c>
      <c r="C137" s="42">
        <v>136</v>
      </c>
      <c r="D137" s="42" t="s">
        <v>4936</v>
      </c>
      <c r="E137" s="42" t="s">
        <v>4937</v>
      </c>
      <c r="H137" s="42" t="s">
        <v>4936</v>
      </c>
      <c r="I137" s="42" t="s">
        <v>4938</v>
      </c>
      <c r="J137" s="42" t="s">
        <v>4939</v>
      </c>
      <c r="K137" s="42" t="e">
        <f>VLOOKUP(F137,Input!C:M,9,0)</f>
        <v>#N/A</v>
      </c>
      <c r="L137" s="42" t="e">
        <f>VLOOKUP(F137,Input!C:M,10,0)</f>
        <v>#N/A</v>
      </c>
      <c r="M137" s="42" t="e">
        <f>VLOOKUP(F137,Input!C:M,11,0)</f>
        <v>#N/A</v>
      </c>
      <c r="N137" s="43" t="str">
        <f t="shared" si="2"/>
        <v>136,136,**</v>
      </c>
      <c r="O137" s="42">
        <v>136</v>
      </c>
    </row>
    <row r="138" spans="1:15" ht="14.25">
      <c r="A138" s="13" t="str">
        <f>IFERROR(VLOOKUP($F:$F,scan!$A:$B,2,0),"**")</f>
        <v>**</v>
      </c>
      <c r="B138" s="13" t="str">
        <f>IFERROR(VLOOKUP($F138,scan!A:C,3,0),"**")</f>
        <v>**</v>
      </c>
      <c r="C138" s="42">
        <v>137</v>
      </c>
      <c r="D138" s="42" t="s">
        <v>4936</v>
      </c>
      <c r="E138" s="42" t="s">
        <v>4937</v>
      </c>
      <c r="H138" s="42" t="s">
        <v>4936</v>
      </c>
      <c r="I138" s="42" t="s">
        <v>4938</v>
      </c>
      <c r="J138" s="42" t="s">
        <v>4939</v>
      </c>
      <c r="K138" s="42" t="e">
        <f>VLOOKUP(F138,Input!C:M,9,0)</f>
        <v>#N/A</v>
      </c>
      <c r="L138" s="42" t="e">
        <f>VLOOKUP(F138,Input!C:M,10,0)</f>
        <v>#N/A</v>
      </c>
      <c r="M138" s="42" t="e">
        <f>VLOOKUP(F138,Input!C:M,11,0)</f>
        <v>#N/A</v>
      </c>
      <c r="N138" s="43" t="str">
        <f t="shared" si="2"/>
        <v>137,137,**</v>
      </c>
      <c r="O138" s="42">
        <v>137</v>
      </c>
    </row>
    <row r="139" spans="1:15" ht="14.25">
      <c r="A139" s="13" t="str">
        <f>IFERROR(VLOOKUP($F:$F,scan!$A:$B,2,0),"**")</f>
        <v>**</v>
      </c>
      <c r="B139" s="13" t="str">
        <f>IFERROR(VLOOKUP($F139,scan!A:C,3,0),"**")</f>
        <v>**</v>
      </c>
      <c r="C139" s="42">
        <v>138</v>
      </c>
      <c r="D139" s="42" t="s">
        <v>4936</v>
      </c>
      <c r="E139" s="42" t="s">
        <v>4937</v>
      </c>
      <c r="H139" s="42" t="s">
        <v>4936</v>
      </c>
      <c r="I139" s="42" t="s">
        <v>4938</v>
      </c>
      <c r="J139" s="42" t="s">
        <v>4939</v>
      </c>
      <c r="K139" s="42" t="e">
        <f>VLOOKUP(F139,Input!C:M,9,0)</f>
        <v>#N/A</v>
      </c>
      <c r="L139" s="42" t="e">
        <f>VLOOKUP(F139,Input!C:M,10,0)</f>
        <v>#N/A</v>
      </c>
      <c r="M139" s="42" t="e">
        <f>VLOOKUP(F139,Input!C:M,11,0)</f>
        <v>#N/A</v>
      </c>
      <c r="N139" s="43" t="str">
        <f t="shared" si="2"/>
        <v>138,138,**</v>
      </c>
      <c r="O139" s="42">
        <v>138</v>
      </c>
    </row>
    <row r="140" spans="1:15" ht="14.25">
      <c r="A140" s="13" t="str">
        <f>IFERROR(VLOOKUP($F:$F,scan!$A:$B,2,0),"**")</f>
        <v>**</v>
      </c>
      <c r="B140" s="13" t="str">
        <f>IFERROR(VLOOKUP($F140,scan!A:C,3,0),"**")</f>
        <v>**</v>
      </c>
      <c r="C140" s="42">
        <v>139</v>
      </c>
      <c r="D140" s="42" t="s">
        <v>4936</v>
      </c>
      <c r="E140" s="42" t="s">
        <v>4937</v>
      </c>
      <c r="H140" s="42" t="s">
        <v>4936</v>
      </c>
      <c r="I140" s="42" t="s">
        <v>4938</v>
      </c>
      <c r="J140" s="42" t="s">
        <v>4939</v>
      </c>
      <c r="K140" s="42" t="e">
        <f>VLOOKUP(F140,Input!C:M,9,0)</f>
        <v>#N/A</v>
      </c>
      <c r="L140" s="42" t="e">
        <f>VLOOKUP(F140,Input!C:M,10,0)</f>
        <v>#N/A</v>
      </c>
      <c r="M140" s="42" t="e">
        <f>VLOOKUP(F140,Input!C:M,11,0)</f>
        <v>#N/A</v>
      </c>
      <c r="N140" s="43" t="str">
        <f t="shared" si="2"/>
        <v>139,139,**</v>
      </c>
      <c r="O140" s="42">
        <v>139</v>
      </c>
    </row>
    <row r="141" spans="1:15" ht="14.25">
      <c r="A141" s="13" t="str">
        <f>IFERROR(VLOOKUP($F:$F,scan!$A:$B,2,0),"**")</f>
        <v>**</v>
      </c>
      <c r="B141" s="13" t="str">
        <f>IFERROR(VLOOKUP($F141,scan!A:C,3,0),"**")</f>
        <v>**</v>
      </c>
      <c r="C141" s="42">
        <v>140</v>
      </c>
      <c r="D141" s="42" t="s">
        <v>4936</v>
      </c>
      <c r="E141" s="42" t="s">
        <v>4937</v>
      </c>
      <c r="H141" s="42" t="s">
        <v>4936</v>
      </c>
      <c r="I141" s="42" t="s">
        <v>4938</v>
      </c>
      <c r="J141" s="42" t="s">
        <v>4939</v>
      </c>
      <c r="K141" s="42" t="e">
        <f>VLOOKUP(F141,Input!C:M,9,0)</f>
        <v>#N/A</v>
      </c>
      <c r="L141" s="42" t="e">
        <f>VLOOKUP(F141,Input!C:M,10,0)</f>
        <v>#N/A</v>
      </c>
      <c r="M141" s="42" t="e">
        <f>VLOOKUP(F141,Input!C:M,11,0)</f>
        <v>#N/A</v>
      </c>
      <c r="N141" s="43" t="str">
        <f t="shared" si="2"/>
        <v>140,140,**</v>
      </c>
      <c r="O141" s="42">
        <v>140</v>
      </c>
    </row>
    <row r="142" spans="1:15" ht="14.25">
      <c r="A142" s="13" t="str">
        <f>IFERROR(VLOOKUP($F:$F,scan!$A:$B,2,0),"**")</f>
        <v>**</v>
      </c>
      <c r="B142" s="13" t="str">
        <f>IFERROR(VLOOKUP($F142,scan!A:C,3,0),"**")</f>
        <v>**</v>
      </c>
      <c r="C142" s="42">
        <v>141</v>
      </c>
      <c r="D142" s="42" t="s">
        <v>4936</v>
      </c>
      <c r="E142" s="42" t="s">
        <v>4937</v>
      </c>
      <c r="H142" s="42" t="s">
        <v>4936</v>
      </c>
      <c r="I142" s="42" t="s">
        <v>4938</v>
      </c>
      <c r="J142" s="42" t="s">
        <v>4939</v>
      </c>
      <c r="K142" s="42" t="e">
        <f>VLOOKUP(F142,Input!C:M,9,0)</f>
        <v>#N/A</v>
      </c>
      <c r="L142" s="42" t="e">
        <f>VLOOKUP(F142,Input!C:M,10,0)</f>
        <v>#N/A</v>
      </c>
      <c r="M142" s="42" t="e">
        <f>VLOOKUP(F142,Input!C:M,11,0)</f>
        <v>#N/A</v>
      </c>
      <c r="N142" s="43" t="str">
        <f t="shared" si="2"/>
        <v>141,141,**</v>
      </c>
      <c r="O142" s="42">
        <v>141</v>
      </c>
    </row>
    <row r="143" spans="1:15" ht="14.25">
      <c r="A143" s="13" t="str">
        <f>IFERROR(VLOOKUP($F:$F,scan!$A:$B,2,0),"**")</f>
        <v>**</v>
      </c>
      <c r="B143" s="13" t="str">
        <f>IFERROR(VLOOKUP($F143,scan!A:C,3,0),"**")</f>
        <v>**</v>
      </c>
      <c r="C143" s="42">
        <v>142</v>
      </c>
      <c r="D143" s="42" t="s">
        <v>4936</v>
      </c>
      <c r="E143" s="42" t="s">
        <v>4937</v>
      </c>
      <c r="H143" s="42" t="s">
        <v>4936</v>
      </c>
      <c r="I143" s="42" t="s">
        <v>4938</v>
      </c>
      <c r="J143" s="42" t="s">
        <v>4939</v>
      </c>
      <c r="K143" s="42" t="e">
        <f>VLOOKUP(F143,Input!C:M,9,0)</f>
        <v>#N/A</v>
      </c>
      <c r="L143" s="42" t="e">
        <f>VLOOKUP(F143,Input!C:M,10,0)</f>
        <v>#N/A</v>
      </c>
      <c r="M143" s="42" t="e">
        <f>VLOOKUP(F143,Input!C:M,11,0)</f>
        <v>#N/A</v>
      </c>
      <c r="N143" s="43" t="str">
        <f t="shared" si="2"/>
        <v>142,142,**</v>
      </c>
      <c r="O143" s="42">
        <v>142</v>
      </c>
    </row>
    <row r="144" spans="1:15" ht="14.25">
      <c r="A144" s="13" t="str">
        <f>IFERROR(VLOOKUP($F:$F,scan!$A:$B,2,0),"**")</f>
        <v>**</v>
      </c>
      <c r="B144" s="13" t="str">
        <f>IFERROR(VLOOKUP($F144,scan!A:C,3,0),"**")</f>
        <v>**</v>
      </c>
      <c r="C144" s="42">
        <v>143</v>
      </c>
      <c r="D144" s="42" t="s">
        <v>4936</v>
      </c>
      <c r="E144" s="42" t="s">
        <v>4937</v>
      </c>
      <c r="H144" s="42" t="s">
        <v>4936</v>
      </c>
      <c r="I144" s="42" t="s">
        <v>4938</v>
      </c>
      <c r="J144" s="42" t="s">
        <v>4939</v>
      </c>
      <c r="K144" s="42" t="e">
        <f>VLOOKUP(F144,Input!C:M,9,0)</f>
        <v>#N/A</v>
      </c>
      <c r="L144" s="42" t="e">
        <f>VLOOKUP(F144,Input!C:M,10,0)</f>
        <v>#N/A</v>
      </c>
      <c r="M144" s="42" t="e">
        <f>VLOOKUP(F144,Input!C:M,11,0)</f>
        <v>#N/A</v>
      </c>
      <c r="N144" s="43" t="str">
        <f t="shared" si="2"/>
        <v>143,143,**</v>
      </c>
      <c r="O144" s="42">
        <v>143</v>
      </c>
    </row>
    <row r="145" spans="1:15" ht="14.25">
      <c r="A145" s="13" t="str">
        <f>IFERROR(VLOOKUP($F:$F,scan!$A:$B,2,0),"**")</f>
        <v>**</v>
      </c>
      <c r="B145" s="13" t="str">
        <f>IFERROR(VLOOKUP($F145,scan!A:C,3,0),"**")</f>
        <v>**</v>
      </c>
      <c r="C145" s="42">
        <v>144</v>
      </c>
      <c r="D145" s="42" t="s">
        <v>4936</v>
      </c>
      <c r="E145" s="42" t="s">
        <v>4937</v>
      </c>
      <c r="H145" s="42" t="s">
        <v>4936</v>
      </c>
      <c r="I145" s="42" t="s">
        <v>4938</v>
      </c>
      <c r="J145" s="42" t="s">
        <v>4939</v>
      </c>
      <c r="K145" s="42" t="e">
        <f>VLOOKUP(F145,Input!C:M,9,0)</f>
        <v>#N/A</v>
      </c>
      <c r="L145" s="42" t="e">
        <f>VLOOKUP(F145,Input!C:M,10,0)</f>
        <v>#N/A</v>
      </c>
      <c r="M145" s="42" t="e">
        <f>VLOOKUP(F145,Input!C:M,11,0)</f>
        <v>#N/A</v>
      </c>
      <c r="N145" s="43" t="str">
        <f t="shared" si="2"/>
        <v>144,144,**</v>
      </c>
      <c r="O145" s="42">
        <v>144</v>
      </c>
    </row>
    <row r="146" spans="1:15" ht="14.25">
      <c r="A146" s="13" t="str">
        <f>IFERROR(VLOOKUP($F:$F,scan!$A:$B,2,0),"**")</f>
        <v>**</v>
      </c>
      <c r="B146" s="13" t="str">
        <f>IFERROR(VLOOKUP($F146,scan!A:C,3,0),"**")</f>
        <v>**</v>
      </c>
      <c r="C146" s="42">
        <v>145</v>
      </c>
      <c r="D146" s="42" t="s">
        <v>4936</v>
      </c>
      <c r="E146" s="42" t="s">
        <v>4937</v>
      </c>
      <c r="H146" s="42" t="s">
        <v>4936</v>
      </c>
      <c r="I146" s="42" t="s">
        <v>4938</v>
      </c>
      <c r="J146" s="42" t="s">
        <v>4939</v>
      </c>
      <c r="K146" s="42" t="e">
        <f>VLOOKUP(F146,Input!C:M,9,0)</f>
        <v>#N/A</v>
      </c>
      <c r="L146" s="42" t="e">
        <f>VLOOKUP(F146,Input!C:M,10,0)</f>
        <v>#N/A</v>
      </c>
      <c r="M146" s="42" t="e">
        <f>VLOOKUP(F146,Input!C:M,11,0)</f>
        <v>#N/A</v>
      </c>
      <c r="N146" s="43" t="str">
        <f t="shared" si="2"/>
        <v>145,145,**</v>
      </c>
      <c r="O146" s="42">
        <v>145</v>
      </c>
    </row>
    <row r="147" spans="1:15" ht="14.25">
      <c r="A147" s="13" t="str">
        <f>IFERROR(VLOOKUP($F:$F,scan!$A:$B,2,0),"**")</f>
        <v>**</v>
      </c>
      <c r="B147" s="13" t="str">
        <f>IFERROR(VLOOKUP($F147,scan!A:C,3,0),"**")</f>
        <v>**</v>
      </c>
      <c r="C147" s="42">
        <v>146</v>
      </c>
      <c r="D147" s="42" t="s">
        <v>4936</v>
      </c>
      <c r="E147" s="42" t="s">
        <v>4937</v>
      </c>
      <c r="H147" s="42" t="s">
        <v>4936</v>
      </c>
      <c r="I147" s="42" t="s">
        <v>4938</v>
      </c>
      <c r="J147" s="42" t="s">
        <v>4939</v>
      </c>
      <c r="K147" s="42" t="e">
        <f>VLOOKUP(F147,Input!C:M,9,0)</f>
        <v>#N/A</v>
      </c>
      <c r="L147" s="42" t="e">
        <f>VLOOKUP(F147,Input!C:M,10,0)</f>
        <v>#N/A</v>
      </c>
      <c r="M147" s="42" t="e">
        <f>VLOOKUP(F147,Input!C:M,11,0)</f>
        <v>#N/A</v>
      </c>
      <c r="N147" s="43" t="str">
        <f t="shared" si="2"/>
        <v>146,146,**</v>
      </c>
      <c r="O147" s="42">
        <v>146</v>
      </c>
    </row>
    <row r="148" spans="1:15" ht="14.25">
      <c r="A148" s="13" t="str">
        <f>IFERROR(VLOOKUP($F:$F,scan!$A:$B,2,0),"**")</f>
        <v>**</v>
      </c>
      <c r="B148" s="13" t="str">
        <f>IFERROR(VLOOKUP($F148,scan!A:C,3,0),"**")</f>
        <v>**</v>
      </c>
      <c r="C148" s="42">
        <v>147</v>
      </c>
      <c r="D148" s="42" t="s">
        <v>4936</v>
      </c>
      <c r="E148" s="42" t="s">
        <v>4937</v>
      </c>
      <c r="H148" s="42" t="s">
        <v>4936</v>
      </c>
      <c r="I148" s="42" t="s">
        <v>4938</v>
      </c>
      <c r="J148" s="42" t="s">
        <v>4939</v>
      </c>
      <c r="K148" s="42" t="e">
        <f>VLOOKUP(F148,Input!C:M,9,0)</f>
        <v>#N/A</v>
      </c>
      <c r="L148" s="42" t="e">
        <f>VLOOKUP(F148,Input!C:M,10,0)</f>
        <v>#N/A</v>
      </c>
      <c r="M148" s="42" t="e">
        <f>VLOOKUP(F148,Input!C:M,11,0)</f>
        <v>#N/A</v>
      </c>
      <c r="N148" s="43" t="str">
        <f t="shared" si="2"/>
        <v>147,147,**</v>
      </c>
      <c r="O148" s="42">
        <v>147</v>
      </c>
    </row>
    <row r="149" spans="1:15" ht="14.25">
      <c r="A149" s="13" t="str">
        <f>IFERROR(VLOOKUP($F:$F,scan!$A:$B,2,0),"**")</f>
        <v>**</v>
      </c>
      <c r="B149" s="13" t="str">
        <f>IFERROR(VLOOKUP($F149,scan!A:C,3,0),"**")</f>
        <v>**</v>
      </c>
      <c r="C149" s="42">
        <v>148</v>
      </c>
      <c r="D149" s="42" t="s">
        <v>4936</v>
      </c>
      <c r="E149" s="42" t="s">
        <v>4937</v>
      </c>
      <c r="H149" s="42" t="s">
        <v>4936</v>
      </c>
      <c r="I149" s="42" t="s">
        <v>4938</v>
      </c>
      <c r="J149" s="42" t="s">
        <v>4939</v>
      </c>
      <c r="K149" s="42" t="e">
        <f>VLOOKUP(F149,Input!C:M,9,0)</f>
        <v>#N/A</v>
      </c>
      <c r="L149" s="42" t="e">
        <f>VLOOKUP(F149,Input!C:M,10,0)</f>
        <v>#N/A</v>
      </c>
      <c r="M149" s="42" t="e">
        <f>VLOOKUP(F149,Input!C:M,11,0)</f>
        <v>#N/A</v>
      </c>
      <c r="N149" s="43" t="str">
        <f t="shared" si="2"/>
        <v>148,148,**</v>
      </c>
      <c r="O149" s="42">
        <v>148</v>
      </c>
    </row>
    <row r="150" spans="1:15" ht="14.25">
      <c r="A150" s="13" t="str">
        <f>IFERROR(VLOOKUP($F:$F,scan!$A:$B,2,0),"**")</f>
        <v>**</v>
      </c>
      <c r="B150" s="13" t="str">
        <f>IFERROR(VLOOKUP($F150,scan!A:C,3,0),"**")</f>
        <v>**</v>
      </c>
      <c r="C150" s="42">
        <v>149</v>
      </c>
      <c r="D150" s="42" t="s">
        <v>4936</v>
      </c>
      <c r="E150" s="42" t="s">
        <v>4937</v>
      </c>
      <c r="H150" s="42" t="s">
        <v>4936</v>
      </c>
      <c r="I150" s="42" t="s">
        <v>4938</v>
      </c>
      <c r="J150" s="42" t="s">
        <v>4939</v>
      </c>
      <c r="K150" s="42" t="e">
        <f>VLOOKUP(F150,Input!C:M,9,0)</f>
        <v>#N/A</v>
      </c>
      <c r="L150" s="42" t="e">
        <f>VLOOKUP(F150,Input!C:M,10,0)</f>
        <v>#N/A</v>
      </c>
      <c r="M150" s="42" t="e">
        <f>VLOOKUP(F150,Input!C:M,11,0)</f>
        <v>#N/A</v>
      </c>
      <c r="N150" s="43" t="str">
        <f t="shared" si="2"/>
        <v>149,149,**</v>
      </c>
      <c r="O150" s="42">
        <v>149</v>
      </c>
    </row>
    <row r="151" spans="1:15" ht="14.25">
      <c r="A151" s="13" t="str">
        <f>IFERROR(VLOOKUP($F:$F,scan!$A:$B,2,0),"**")</f>
        <v>**</v>
      </c>
      <c r="B151" s="13" t="str">
        <f>IFERROR(VLOOKUP($F151,scan!A:C,3,0),"**")</f>
        <v>**</v>
      </c>
      <c r="C151" s="42">
        <v>150</v>
      </c>
      <c r="D151" s="42" t="s">
        <v>4936</v>
      </c>
      <c r="E151" s="42" t="s">
        <v>4937</v>
      </c>
      <c r="H151" s="42" t="s">
        <v>4936</v>
      </c>
      <c r="I151" s="42" t="s">
        <v>4938</v>
      </c>
      <c r="J151" s="42" t="s">
        <v>4939</v>
      </c>
      <c r="K151" s="42" t="e">
        <f>VLOOKUP(F151,Input!C:M,9,0)</f>
        <v>#N/A</v>
      </c>
      <c r="L151" s="42" t="e">
        <f>VLOOKUP(F151,Input!C:M,10,0)</f>
        <v>#N/A</v>
      </c>
      <c r="M151" s="42" t="e">
        <f>VLOOKUP(F151,Input!C:M,11,0)</f>
        <v>#N/A</v>
      </c>
      <c r="N151" s="43" t="str">
        <f t="shared" si="2"/>
        <v>150,150,**</v>
      </c>
      <c r="O151" s="42">
        <v>150</v>
      </c>
    </row>
    <row r="152" spans="1:15" ht="14.25">
      <c r="A152" s="13" t="str">
        <f>IFERROR(VLOOKUP($F:$F,scan!$A:$B,2,0),"**")</f>
        <v>**</v>
      </c>
      <c r="B152" s="13" t="str">
        <f>IFERROR(VLOOKUP($F152,scan!A:C,3,0),"**")</f>
        <v>**</v>
      </c>
      <c r="C152" s="42">
        <v>151</v>
      </c>
      <c r="D152" s="42" t="s">
        <v>4936</v>
      </c>
      <c r="E152" s="42" t="s">
        <v>4937</v>
      </c>
      <c r="H152" s="42" t="s">
        <v>4936</v>
      </c>
      <c r="I152" s="42" t="s">
        <v>4938</v>
      </c>
      <c r="J152" s="42" t="s">
        <v>4939</v>
      </c>
      <c r="K152" s="42" t="e">
        <f>VLOOKUP(F152,Input!C:M,9,0)</f>
        <v>#N/A</v>
      </c>
      <c r="L152" s="42" t="e">
        <f>VLOOKUP(F152,Input!C:M,10,0)</f>
        <v>#N/A</v>
      </c>
      <c r="M152" s="42" t="e">
        <f>VLOOKUP(F152,Input!C:M,11,0)</f>
        <v>#N/A</v>
      </c>
      <c r="N152" s="43" t="str">
        <f t="shared" si="2"/>
        <v>151,151,**</v>
      </c>
      <c r="O152" s="42">
        <v>151</v>
      </c>
    </row>
    <row r="153" spans="1:15" ht="14.25">
      <c r="A153" s="13" t="str">
        <f>IFERROR(VLOOKUP($F:$F,scan!$A:$B,2,0),"**")</f>
        <v>**</v>
      </c>
      <c r="B153" s="13" t="str">
        <f>IFERROR(VLOOKUP($F153,scan!A:C,3,0),"**")</f>
        <v>**</v>
      </c>
      <c r="C153" s="42">
        <v>152</v>
      </c>
      <c r="D153" s="42" t="s">
        <v>4936</v>
      </c>
      <c r="E153" s="42" t="s">
        <v>4937</v>
      </c>
      <c r="H153" s="42" t="s">
        <v>4936</v>
      </c>
      <c r="I153" s="42" t="s">
        <v>4938</v>
      </c>
      <c r="J153" s="42" t="s">
        <v>4939</v>
      </c>
      <c r="K153" s="42" t="e">
        <f>VLOOKUP(F153,Input!C:M,9,0)</f>
        <v>#N/A</v>
      </c>
      <c r="L153" s="42" t="e">
        <f>VLOOKUP(F153,Input!C:M,10,0)</f>
        <v>#N/A</v>
      </c>
      <c r="M153" s="42" t="e">
        <f>VLOOKUP(F153,Input!C:M,11,0)</f>
        <v>#N/A</v>
      </c>
      <c r="N153" s="43" t="str">
        <f t="shared" si="2"/>
        <v>152,152,**</v>
      </c>
      <c r="O153" s="42">
        <v>152</v>
      </c>
    </row>
    <row r="154" spans="1:15" ht="14.25">
      <c r="A154" s="13" t="str">
        <f>IFERROR(VLOOKUP($F:$F,scan!$A:$B,2,0),"**")</f>
        <v>**</v>
      </c>
      <c r="B154" s="13" t="str">
        <f>IFERROR(VLOOKUP($F154,scan!A:C,3,0),"**")</f>
        <v>**</v>
      </c>
      <c r="C154" s="42">
        <v>153</v>
      </c>
      <c r="D154" s="42" t="s">
        <v>4936</v>
      </c>
      <c r="E154" s="42" t="s">
        <v>4937</v>
      </c>
      <c r="H154" s="42" t="s">
        <v>4936</v>
      </c>
      <c r="I154" s="42" t="s">
        <v>4938</v>
      </c>
      <c r="J154" s="42" t="s">
        <v>4939</v>
      </c>
      <c r="K154" s="42" t="e">
        <f>VLOOKUP(F154,Input!C:M,9,0)</f>
        <v>#N/A</v>
      </c>
      <c r="L154" s="42" t="e">
        <f>VLOOKUP(F154,Input!C:M,10,0)</f>
        <v>#N/A</v>
      </c>
      <c r="M154" s="42" t="e">
        <f>VLOOKUP(F154,Input!C:M,11,0)</f>
        <v>#N/A</v>
      </c>
      <c r="N154" s="43" t="str">
        <f t="shared" si="2"/>
        <v>153,153,**</v>
      </c>
      <c r="O154" s="42">
        <v>153</v>
      </c>
    </row>
    <row r="155" spans="1:15" ht="14.25">
      <c r="A155" s="13" t="str">
        <f>IFERROR(VLOOKUP($F:$F,scan!$A:$B,2,0),"**")</f>
        <v>**</v>
      </c>
      <c r="B155" s="13" t="str">
        <f>IFERROR(VLOOKUP($F155,scan!A:C,3,0),"**")</f>
        <v>**</v>
      </c>
      <c r="C155" s="42">
        <v>154</v>
      </c>
      <c r="D155" s="42" t="s">
        <v>4936</v>
      </c>
      <c r="E155" s="42" t="s">
        <v>4937</v>
      </c>
      <c r="H155" s="42" t="s">
        <v>4936</v>
      </c>
      <c r="I155" s="42" t="s">
        <v>4938</v>
      </c>
      <c r="J155" s="42" t="s">
        <v>4939</v>
      </c>
      <c r="K155" s="42" t="e">
        <f>VLOOKUP(F155,Input!C:M,9,0)</f>
        <v>#N/A</v>
      </c>
      <c r="L155" s="42" t="e">
        <f>VLOOKUP(F155,Input!C:M,10,0)</f>
        <v>#N/A</v>
      </c>
      <c r="M155" s="42" t="e">
        <f>VLOOKUP(F155,Input!C:M,11,0)</f>
        <v>#N/A</v>
      </c>
      <c r="N155" s="43" t="str">
        <f t="shared" si="2"/>
        <v>154,154,**</v>
      </c>
      <c r="O155" s="42">
        <v>154</v>
      </c>
    </row>
    <row r="156" spans="1:15" ht="14.25">
      <c r="A156" s="13" t="str">
        <f>IFERROR(VLOOKUP($F:$F,scan!$A:$B,2,0),"**")</f>
        <v>**</v>
      </c>
      <c r="B156" s="13" t="str">
        <f>IFERROR(VLOOKUP($F156,scan!A:C,3,0),"**")</f>
        <v>**</v>
      </c>
      <c r="C156" s="42">
        <v>155</v>
      </c>
      <c r="D156" s="42" t="s">
        <v>4936</v>
      </c>
      <c r="E156" s="42" t="s">
        <v>4937</v>
      </c>
      <c r="H156" s="42" t="s">
        <v>4936</v>
      </c>
      <c r="I156" s="42" t="s">
        <v>4938</v>
      </c>
      <c r="J156" s="42" t="s">
        <v>4939</v>
      </c>
      <c r="K156" s="42" t="e">
        <f>VLOOKUP(F156,Input!C:M,9,0)</f>
        <v>#N/A</v>
      </c>
      <c r="L156" s="42" t="e">
        <f>VLOOKUP(F156,Input!C:M,10,0)</f>
        <v>#N/A</v>
      </c>
      <c r="M156" s="42" t="e">
        <f>VLOOKUP(F156,Input!C:M,11,0)</f>
        <v>#N/A</v>
      </c>
      <c r="N156" s="43" t="str">
        <f t="shared" si="2"/>
        <v>155,155,**</v>
      </c>
      <c r="O156" s="42">
        <v>155</v>
      </c>
    </row>
    <row r="157" spans="1:15" ht="14.25">
      <c r="A157" s="13" t="str">
        <f>IFERROR(VLOOKUP($F:$F,scan!$A:$B,2,0),"**")</f>
        <v>**</v>
      </c>
      <c r="B157" s="13" t="str">
        <f>IFERROR(VLOOKUP($F157,scan!A:C,3,0),"**")</f>
        <v>**</v>
      </c>
      <c r="C157" s="42">
        <v>156</v>
      </c>
      <c r="D157" s="42" t="s">
        <v>4936</v>
      </c>
      <c r="E157" s="42" t="s">
        <v>4937</v>
      </c>
      <c r="H157" s="42" t="s">
        <v>4936</v>
      </c>
      <c r="I157" s="42" t="s">
        <v>4938</v>
      </c>
      <c r="J157" s="42" t="s">
        <v>4939</v>
      </c>
      <c r="K157" s="42" t="e">
        <f>VLOOKUP(F157,Input!C:M,9,0)</f>
        <v>#N/A</v>
      </c>
      <c r="L157" s="42" t="e">
        <f>VLOOKUP(F157,Input!C:M,10,0)</f>
        <v>#N/A</v>
      </c>
      <c r="M157" s="42" t="e">
        <f>VLOOKUP(F157,Input!C:M,11,0)</f>
        <v>#N/A</v>
      </c>
      <c r="N157" s="43" t="str">
        <f t="shared" si="2"/>
        <v>156,156,**</v>
      </c>
      <c r="O157" s="42">
        <v>156</v>
      </c>
    </row>
    <row r="158" spans="1:15" ht="14.25">
      <c r="A158" s="13" t="str">
        <f>IFERROR(VLOOKUP($F:$F,scan!$A:$B,2,0),"**")</f>
        <v>**</v>
      </c>
      <c r="B158" s="13" t="str">
        <f>IFERROR(VLOOKUP($F158,scan!A:C,3,0),"**")</f>
        <v>**</v>
      </c>
      <c r="C158" s="42">
        <v>157</v>
      </c>
      <c r="D158" s="42" t="s">
        <v>4936</v>
      </c>
      <c r="E158" s="42" t="s">
        <v>4937</v>
      </c>
      <c r="H158" s="42" t="s">
        <v>4936</v>
      </c>
      <c r="I158" s="42" t="s">
        <v>4938</v>
      </c>
      <c r="J158" s="42" t="s">
        <v>4939</v>
      </c>
      <c r="K158" s="42" t="e">
        <f>VLOOKUP(F158,Input!C:M,9,0)</f>
        <v>#N/A</v>
      </c>
      <c r="L158" s="42" t="e">
        <f>VLOOKUP(F158,Input!C:M,10,0)</f>
        <v>#N/A</v>
      </c>
      <c r="M158" s="42" t="e">
        <f>VLOOKUP(F158,Input!C:M,11,0)</f>
        <v>#N/A</v>
      </c>
      <c r="N158" s="43" t="str">
        <f t="shared" si="2"/>
        <v>157,157,**</v>
      </c>
      <c r="O158" s="42">
        <v>157</v>
      </c>
    </row>
    <row r="159" spans="1:15" ht="14.25">
      <c r="A159" s="13" t="str">
        <f>IFERROR(VLOOKUP($F:$F,scan!$A:$B,2,0),"**")</f>
        <v>**</v>
      </c>
      <c r="B159" s="13" t="str">
        <f>IFERROR(VLOOKUP($F159,scan!A:C,3,0),"**")</f>
        <v>**</v>
      </c>
      <c r="C159" s="42">
        <v>158</v>
      </c>
      <c r="D159" s="42" t="s">
        <v>4936</v>
      </c>
      <c r="E159" s="42" t="s">
        <v>4937</v>
      </c>
      <c r="H159" s="42" t="s">
        <v>4936</v>
      </c>
      <c r="I159" s="42" t="s">
        <v>4938</v>
      </c>
      <c r="J159" s="42" t="s">
        <v>4939</v>
      </c>
      <c r="K159" s="42" t="e">
        <f>VLOOKUP(F159,Input!C:M,9,0)</f>
        <v>#N/A</v>
      </c>
      <c r="L159" s="42" t="e">
        <f>VLOOKUP(F159,Input!C:M,10,0)</f>
        <v>#N/A</v>
      </c>
      <c r="M159" s="42" t="e">
        <f>VLOOKUP(F159,Input!C:M,11,0)</f>
        <v>#N/A</v>
      </c>
      <c r="N159" s="43" t="str">
        <f t="shared" si="2"/>
        <v>158,158,**</v>
      </c>
      <c r="O159" s="42">
        <v>158</v>
      </c>
    </row>
    <row r="160" spans="1:15" ht="14.25">
      <c r="A160" s="13" t="str">
        <f>IFERROR(VLOOKUP($F:$F,scan!$A:$B,2,0),"**")</f>
        <v>**</v>
      </c>
      <c r="B160" s="13" t="str">
        <f>IFERROR(VLOOKUP($F160,scan!A:C,3,0),"**")</f>
        <v>**</v>
      </c>
      <c r="C160" s="42">
        <v>159</v>
      </c>
      <c r="D160" s="42" t="s">
        <v>4936</v>
      </c>
      <c r="E160" s="42" t="s">
        <v>4937</v>
      </c>
      <c r="H160" s="42" t="s">
        <v>4936</v>
      </c>
      <c r="I160" s="42" t="s">
        <v>4938</v>
      </c>
      <c r="J160" s="42" t="s">
        <v>4939</v>
      </c>
      <c r="K160" s="42" t="e">
        <f>VLOOKUP(F160,Input!C:M,9,0)</f>
        <v>#N/A</v>
      </c>
      <c r="L160" s="42" t="e">
        <f>VLOOKUP(F160,Input!C:M,10,0)</f>
        <v>#N/A</v>
      </c>
      <c r="M160" s="42" t="e">
        <f>VLOOKUP(F160,Input!C:M,11,0)</f>
        <v>#N/A</v>
      </c>
      <c r="N160" s="43" t="str">
        <f t="shared" si="2"/>
        <v>159,159,**</v>
      </c>
      <c r="O160" s="42">
        <v>159</v>
      </c>
    </row>
    <row r="161" spans="1:15" ht="14.25">
      <c r="A161" s="13" t="str">
        <f>IFERROR(VLOOKUP($F:$F,scan!$A:$B,2,0),"**")</f>
        <v>**</v>
      </c>
      <c r="B161" s="13" t="str">
        <f>IFERROR(VLOOKUP($F161,scan!A:C,3,0),"**")</f>
        <v>**</v>
      </c>
      <c r="C161" s="42">
        <v>160</v>
      </c>
      <c r="D161" s="42" t="s">
        <v>4936</v>
      </c>
      <c r="E161" s="42" t="s">
        <v>4937</v>
      </c>
      <c r="H161" s="42" t="s">
        <v>4936</v>
      </c>
      <c r="I161" s="42" t="s">
        <v>4938</v>
      </c>
      <c r="J161" s="42" t="s">
        <v>4939</v>
      </c>
      <c r="K161" s="42" t="e">
        <f>VLOOKUP(F161,Input!C:M,9,0)</f>
        <v>#N/A</v>
      </c>
      <c r="L161" s="42" t="e">
        <f>VLOOKUP(F161,Input!C:M,10,0)</f>
        <v>#N/A</v>
      </c>
      <c r="M161" s="42" t="e">
        <f>VLOOKUP(F161,Input!C:M,11,0)</f>
        <v>#N/A</v>
      </c>
      <c r="N161" s="43" t="str">
        <f t="shared" si="2"/>
        <v>160,160,**</v>
      </c>
      <c r="O161" s="42">
        <v>160</v>
      </c>
    </row>
    <row r="162" spans="1:15" ht="14.25">
      <c r="A162" s="13" t="str">
        <f>IFERROR(VLOOKUP($F:$F,scan!$A:$B,2,0),"**")</f>
        <v>**</v>
      </c>
      <c r="B162" s="13" t="str">
        <f>IFERROR(VLOOKUP($F162,scan!A:C,3,0),"**")</f>
        <v>**</v>
      </c>
      <c r="C162" s="42">
        <v>161</v>
      </c>
      <c r="D162" s="42" t="s">
        <v>4936</v>
      </c>
      <c r="E162" s="42" t="s">
        <v>4937</v>
      </c>
      <c r="H162" s="42" t="s">
        <v>4936</v>
      </c>
      <c r="I162" s="42" t="s">
        <v>4938</v>
      </c>
      <c r="J162" s="42" t="s">
        <v>4939</v>
      </c>
      <c r="K162" s="42" t="e">
        <f>VLOOKUP(F162,Input!C:M,9,0)</f>
        <v>#N/A</v>
      </c>
      <c r="L162" s="42" t="e">
        <f>VLOOKUP(F162,Input!C:M,10,0)</f>
        <v>#N/A</v>
      </c>
      <c r="M162" s="42" t="e">
        <f>VLOOKUP(F162,Input!C:M,11,0)</f>
        <v>#N/A</v>
      </c>
      <c r="N162" s="43" t="str">
        <f t="shared" si="2"/>
        <v>161,161,**</v>
      </c>
      <c r="O162" s="42">
        <v>161</v>
      </c>
    </row>
    <row r="163" spans="1:15" ht="14.25">
      <c r="A163" s="13" t="str">
        <f>IFERROR(VLOOKUP($F:$F,scan!$A:$B,2,0),"**")</f>
        <v>**</v>
      </c>
      <c r="B163" s="13" t="str">
        <f>IFERROR(VLOOKUP($F163,scan!A:C,3,0),"**")</f>
        <v>**</v>
      </c>
      <c r="C163" s="42">
        <v>162</v>
      </c>
      <c r="D163" s="42" t="s">
        <v>4936</v>
      </c>
      <c r="E163" s="42" t="s">
        <v>4937</v>
      </c>
      <c r="H163" s="42" t="s">
        <v>4936</v>
      </c>
      <c r="I163" s="42" t="s">
        <v>4938</v>
      </c>
      <c r="J163" s="42" t="s">
        <v>4939</v>
      </c>
      <c r="K163" s="42" t="e">
        <f>VLOOKUP(F163,Input!C:M,9,0)</f>
        <v>#N/A</v>
      </c>
      <c r="L163" s="42" t="e">
        <f>VLOOKUP(F163,Input!C:M,10,0)</f>
        <v>#N/A</v>
      </c>
      <c r="M163" s="42" t="e">
        <f>VLOOKUP(F163,Input!C:M,11,0)</f>
        <v>#N/A</v>
      </c>
      <c r="N163" s="43" t="str">
        <f t="shared" si="2"/>
        <v>162,162,**</v>
      </c>
      <c r="O163" s="42">
        <v>162</v>
      </c>
    </row>
    <row r="164" spans="1:15" ht="14.25">
      <c r="A164" s="13" t="str">
        <f>IFERROR(VLOOKUP($F:$F,scan!$A:$B,2,0),"**")</f>
        <v>**</v>
      </c>
      <c r="B164" s="13" t="str">
        <f>IFERROR(VLOOKUP($F164,scan!A:C,3,0),"**")</f>
        <v>**</v>
      </c>
      <c r="C164" s="42">
        <v>163</v>
      </c>
      <c r="D164" s="42" t="s">
        <v>4936</v>
      </c>
      <c r="E164" s="42" t="s">
        <v>4937</v>
      </c>
      <c r="H164" s="42" t="s">
        <v>4936</v>
      </c>
      <c r="I164" s="42" t="s">
        <v>4938</v>
      </c>
      <c r="J164" s="42" t="s">
        <v>4939</v>
      </c>
      <c r="K164" s="42" t="e">
        <f>VLOOKUP(F164,Input!C:M,9,0)</f>
        <v>#N/A</v>
      </c>
      <c r="L164" s="42" t="e">
        <f>VLOOKUP(F164,Input!C:M,10,0)</f>
        <v>#N/A</v>
      </c>
      <c r="M164" s="42" t="e">
        <f>VLOOKUP(F164,Input!C:M,11,0)</f>
        <v>#N/A</v>
      </c>
      <c r="N164" s="43" t="str">
        <f t="shared" si="2"/>
        <v>163,163,**</v>
      </c>
      <c r="O164" s="42">
        <v>163</v>
      </c>
    </row>
    <row r="165" spans="1:15" ht="14.25">
      <c r="A165" s="13" t="str">
        <f>IFERROR(VLOOKUP($F:$F,scan!$A:$B,2,0),"**")</f>
        <v>**</v>
      </c>
      <c r="B165" s="13" t="str">
        <f>IFERROR(VLOOKUP($F165,scan!A:C,3,0),"**")</f>
        <v>**</v>
      </c>
      <c r="C165" s="42">
        <v>164</v>
      </c>
      <c r="D165" s="42" t="s">
        <v>4936</v>
      </c>
      <c r="E165" s="42" t="s">
        <v>4937</v>
      </c>
      <c r="H165" s="42" t="s">
        <v>4936</v>
      </c>
      <c r="I165" s="42" t="s">
        <v>4938</v>
      </c>
      <c r="J165" s="42" t="s">
        <v>4939</v>
      </c>
      <c r="K165" s="42" t="e">
        <f>VLOOKUP(F165,Input!C:M,9,0)</f>
        <v>#N/A</v>
      </c>
      <c r="L165" s="42" t="e">
        <f>VLOOKUP(F165,Input!C:M,10,0)</f>
        <v>#N/A</v>
      </c>
      <c r="M165" s="42" t="e">
        <f>VLOOKUP(F165,Input!C:M,11,0)</f>
        <v>#N/A</v>
      </c>
      <c r="N165" s="43" t="str">
        <f t="shared" si="2"/>
        <v>164,164,**</v>
      </c>
      <c r="O165" s="42">
        <v>164</v>
      </c>
    </row>
    <row r="166" spans="1:15" ht="14.25">
      <c r="A166" s="13" t="str">
        <f>IFERROR(VLOOKUP($F:$F,scan!$A:$B,2,0),"**")</f>
        <v>**</v>
      </c>
      <c r="B166" s="13" t="str">
        <f>IFERROR(VLOOKUP($F166,scan!A:C,3,0),"**")</f>
        <v>**</v>
      </c>
      <c r="C166" s="42">
        <v>165</v>
      </c>
      <c r="D166" s="42" t="s">
        <v>4936</v>
      </c>
      <c r="E166" s="42" t="s">
        <v>4937</v>
      </c>
      <c r="H166" s="42" t="s">
        <v>4936</v>
      </c>
      <c r="I166" s="42" t="s">
        <v>4938</v>
      </c>
      <c r="J166" s="42" t="s">
        <v>4939</v>
      </c>
      <c r="K166" s="42" t="e">
        <f>VLOOKUP(F166,Input!C:M,9,0)</f>
        <v>#N/A</v>
      </c>
      <c r="L166" s="42" t="e">
        <f>VLOOKUP(F166,Input!C:M,10,0)</f>
        <v>#N/A</v>
      </c>
      <c r="M166" s="42" t="e">
        <f>VLOOKUP(F166,Input!C:M,11,0)</f>
        <v>#N/A</v>
      </c>
      <c r="N166" s="43" t="str">
        <f t="shared" si="2"/>
        <v>165,165,**</v>
      </c>
      <c r="O166" s="42">
        <v>165</v>
      </c>
    </row>
    <row r="167" spans="1:15" ht="14.25">
      <c r="A167" s="13" t="str">
        <f>IFERROR(VLOOKUP($F:$F,scan!$A:$B,2,0),"**")</f>
        <v>**</v>
      </c>
      <c r="B167" s="13" t="str">
        <f>IFERROR(VLOOKUP($F167,scan!A:C,3,0),"**")</f>
        <v>**</v>
      </c>
      <c r="C167" s="42">
        <v>166</v>
      </c>
      <c r="D167" s="42" t="s">
        <v>4936</v>
      </c>
      <c r="E167" s="42" t="s">
        <v>4937</v>
      </c>
      <c r="H167" s="42" t="s">
        <v>4936</v>
      </c>
      <c r="I167" s="42" t="s">
        <v>4938</v>
      </c>
      <c r="J167" s="42" t="s">
        <v>4939</v>
      </c>
      <c r="K167" s="42" t="e">
        <f>VLOOKUP(F167,Input!C:M,9,0)</f>
        <v>#N/A</v>
      </c>
      <c r="L167" s="42" t="e">
        <f>VLOOKUP(F167,Input!C:M,10,0)</f>
        <v>#N/A</v>
      </c>
      <c r="M167" s="42" t="e">
        <f>VLOOKUP(F167,Input!C:M,11,0)</f>
        <v>#N/A</v>
      </c>
      <c r="N167" s="43" t="str">
        <f t="shared" si="2"/>
        <v>166,166,**</v>
      </c>
      <c r="O167" s="42">
        <v>166</v>
      </c>
    </row>
    <row r="168" spans="1:15" ht="14.25">
      <c r="A168" s="13" t="str">
        <f>IFERROR(VLOOKUP($F:$F,scan!$A:$B,2,0),"**")</f>
        <v>**</v>
      </c>
      <c r="B168" s="13" t="str">
        <f>IFERROR(VLOOKUP($F168,scan!A:C,3,0),"**")</f>
        <v>**</v>
      </c>
      <c r="C168" s="42">
        <v>167</v>
      </c>
      <c r="D168" s="42" t="s">
        <v>4936</v>
      </c>
      <c r="E168" s="42" t="s">
        <v>4937</v>
      </c>
      <c r="H168" s="42" t="s">
        <v>4936</v>
      </c>
      <c r="I168" s="42" t="s">
        <v>4938</v>
      </c>
      <c r="J168" s="42" t="s">
        <v>4939</v>
      </c>
      <c r="K168" s="42" t="e">
        <f>VLOOKUP(F168,Input!C:M,9,0)</f>
        <v>#N/A</v>
      </c>
      <c r="L168" s="42" t="e">
        <f>VLOOKUP(F168,Input!C:M,10,0)</f>
        <v>#N/A</v>
      </c>
      <c r="M168" s="42" t="e">
        <f>VLOOKUP(F168,Input!C:M,11,0)</f>
        <v>#N/A</v>
      </c>
      <c r="N168" s="43" t="str">
        <f t="shared" si="2"/>
        <v>167,167,**</v>
      </c>
      <c r="O168" s="42">
        <v>167</v>
      </c>
    </row>
    <row r="169" spans="1:15" ht="14.25">
      <c r="A169" s="13" t="str">
        <f>IFERROR(VLOOKUP($F:$F,scan!$A:$B,2,0),"**")</f>
        <v>**</v>
      </c>
      <c r="B169" s="13" t="str">
        <f>IFERROR(VLOOKUP($F169,scan!A:C,3,0),"**")</f>
        <v>**</v>
      </c>
      <c r="C169" s="42">
        <v>168</v>
      </c>
      <c r="D169" s="42" t="s">
        <v>4936</v>
      </c>
      <c r="E169" s="42" t="s">
        <v>4937</v>
      </c>
      <c r="H169" s="42" t="s">
        <v>4936</v>
      </c>
      <c r="I169" s="42" t="s">
        <v>4938</v>
      </c>
      <c r="J169" s="42" t="s">
        <v>4939</v>
      </c>
      <c r="K169" s="42" t="e">
        <f>VLOOKUP(F169,Input!C:M,9,0)</f>
        <v>#N/A</v>
      </c>
      <c r="L169" s="42" t="e">
        <f>VLOOKUP(F169,Input!C:M,10,0)</f>
        <v>#N/A</v>
      </c>
      <c r="M169" s="42" t="e">
        <f>VLOOKUP(F169,Input!C:M,11,0)</f>
        <v>#N/A</v>
      </c>
      <c r="N169" s="43" t="str">
        <f t="shared" si="2"/>
        <v>168,168,**</v>
      </c>
      <c r="O169" s="42">
        <v>168</v>
      </c>
    </row>
    <row r="170" spans="1:15" ht="14.25">
      <c r="A170" s="13" t="str">
        <f>IFERROR(VLOOKUP($F:$F,scan!$A:$B,2,0),"**")</f>
        <v>**</v>
      </c>
      <c r="B170" s="13" t="str">
        <f>IFERROR(VLOOKUP($F170,scan!A:C,3,0),"**")</f>
        <v>**</v>
      </c>
      <c r="C170" s="42">
        <v>169</v>
      </c>
      <c r="D170" s="42" t="s">
        <v>4936</v>
      </c>
      <c r="E170" s="42" t="s">
        <v>4937</v>
      </c>
      <c r="H170" s="42" t="s">
        <v>4936</v>
      </c>
      <c r="I170" s="42" t="s">
        <v>4938</v>
      </c>
      <c r="J170" s="42" t="s">
        <v>4939</v>
      </c>
      <c r="K170" s="42" t="e">
        <f>VLOOKUP(F170,Input!C:M,9,0)</f>
        <v>#N/A</v>
      </c>
      <c r="L170" s="42" t="e">
        <f>VLOOKUP(F170,Input!C:M,10,0)</f>
        <v>#N/A</v>
      </c>
      <c r="M170" s="42" t="e">
        <f>VLOOKUP(F170,Input!C:M,11,0)</f>
        <v>#N/A</v>
      </c>
      <c r="N170" s="43" t="str">
        <f t="shared" si="2"/>
        <v>169,169,**</v>
      </c>
      <c r="O170" s="42">
        <v>169</v>
      </c>
    </row>
    <row r="171" spans="1:15" ht="14.25">
      <c r="A171" s="13" t="str">
        <f>IFERROR(VLOOKUP($F:$F,scan!$A:$B,2,0),"**")</f>
        <v>**</v>
      </c>
      <c r="B171" s="13" t="str">
        <f>IFERROR(VLOOKUP($F171,scan!A:C,3,0),"**")</f>
        <v>**</v>
      </c>
      <c r="C171" s="42">
        <v>170</v>
      </c>
      <c r="D171" s="42" t="s">
        <v>4936</v>
      </c>
      <c r="E171" s="42" t="s">
        <v>4937</v>
      </c>
      <c r="H171" s="42" t="s">
        <v>4936</v>
      </c>
      <c r="I171" s="42" t="s">
        <v>4938</v>
      </c>
      <c r="J171" s="42" t="s">
        <v>4939</v>
      </c>
      <c r="K171" s="42" t="e">
        <f>VLOOKUP(F171,Input!C:M,9,0)</f>
        <v>#N/A</v>
      </c>
      <c r="L171" s="42" t="e">
        <f>VLOOKUP(F171,Input!C:M,10,0)</f>
        <v>#N/A</v>
      </c>
      <c r="M171" s="42" t="e">
        <f>VLOOKUP(F171,Input!C:M,11,0)</f>
        <v>#N/A</v>
      </c>
      <c r="N171" s="43" t="str">
        <f t="shared" si="2"/>
        <v>170,170,**</v>
      </c>
      <c r="O171" s="42">
        <v>170</v>
      </c>
    </row>
    <row r="172" spans="1:15" ht="14.25">
      <c r="A172" s="13" t="str">
        <f>IFERROR(VLOOKUP($F:$F,scan!$A:$B,2,0),"**")</f>
        <v>**</v>
      </c>
      <c r="B172" s="13" t="str">
        <f>IFERROR(VLOOKUP($F172,scan!A:C,3,0),"**")</f>
        <v>**</v>
      </c>
      <c r="C172" s="42">
        <v>171</v>
      </c>
      <c r="D172" s="42" t="s">
        <v>4936</v>
      </c>
      <c r="E172" s="42" t="s">
        <v>4937</v>
      </c>
      <c r="H172" s="42" t="s">
        <v>4936</v>
      </c>
      <c r="I172" s="42" t="s">
        <v>4938</v>
      </c>
      <c r="J172" s="42" t="s">
        <v>4939</v>
      </c>
      <c r="K172" s="42" t="e">
        <f>VLOOKUP(F172,Input!C:M,9,0)</f>
        <v>#N/A</v>
      </c>
      <c r="L172" s="42" t="e">
        <f>VLOOKUP(F172,Input!C:M,10,0)</f>
        <v>#N/A</v>
      </c>
      <c r="M172" s="42" t="e">
        <f>VLOOKUP(F172,Input!C:M,11,0)</f>
        <v>#N/A</v>
      </c>
      <c r="N172" s="43" t="str">
        <f t="shared" si="2"/>
        <v>171,171,**</v>
      </c>
      <c r="O172" s="42">
        <v>171</v>
      </c>
    </row>
    <row r="173" spans="1:15" ht="14.25">
      <c r="A173" s="13" t="str">
        <f>IFERROR(VLOOKUP($F:$F,scan!$A:$B,2,0),"**")</f>
        <v>**</v>
      </c>
      <c r="B173" s="13" t="str">
        <f>IFERROR(VLOOKUP($F173,scan!A:C,3,0),"**")</f>
        <v>**</v>
      </c>
      <c r="C173" s="42">
        <v>172</v>
      </c>
      <c r="D173" s="42" t="s">
        <v>4936</v>
      </c>
      <c r="E173" s="42" t="s">
        <v>4937</v>
      </c>
      <c r="H173" s="42" t="s">
        <v>4936</v>
      </c>
      <c r="I173" s="42" t="s">
        <v>4938</v>
      </c>
      <c r="J173" s="42" t="s">
        <v>4939</v>
      </c>
      <c r="K173" s="42" t="e">
        <f>VLOOKUP(F173,Input!C:M,9,0)</f>
        <v>#N/A</v>
      </c>
      <c r="L173" s="42" t="e">
        <f>VLOOKUP(F173,Input!C:M,10,0)</f>
        <v>#N/A</v>
      </c>
      <c r="M173" s="42" t="e">
        <f>VLOOKUP(F173,Input!C:M,11,0)</f>
        <v>#N/A</v>
      </c>
      <c r="N173" s="43" t="str">
        <f t="shared" si="2"/>
        <v>172,172,**</v>
      </c>
      <c r="O173" s="42">
        <v>172</v>
      </c>
    </row>
    <row r="174" spans="1:15" ht="14.25">
      <c r="A174" s="13" t="str">
        <f>IFERROR(VLOOKUP($F:$F,scan!$A:$B,2,0),"**")</f>
        <v>**</v>
      </c>
      <c r="B174" s="13" t="str">
        <f>IFERROR(VLOOKUP($F174,scan!A:C,3,0),"**")</f>
        <v>**</v>
      </c>
      <c r="C174" s="42">
        <v>173</v>
      </c>
      <c r="D174" s="42" t="s">
        <v>4936</v>
      </c>
      <c r="E174" s="42" t="s">
        <v>4937</v>
      </c>
      <c r="H174" s="42" t="s">
        <v>4936</v>
      </c>
      <c r="I174" s="42" t="s">
        <v>4938</v>
      </c>
      <c r="J174" s="42" t="s">
        <v>4939</v>
      </c>
      <c r="K174" s="42" t="e">
        <f>VLOOKUP(F174,Input!C:M,9,0)</f>
        <v>#N/A</v>
      </c>
      <c r="L174" s="42" t="e">
        <f>VLOOKUP(F174,Input!C:M,10,0)</f>
        <v>#N/A</v>
      </c>
      <c r="M174" s="42" t="e">
        <f>VLOOKUP(F174,Input!C:M,11,0)</f>
        <v>#N/A</v>
      </c>
      <c r="N174" s="43" t="str">
        <f t="shared" si="2"/>
        <v>173,173,**</v>
      </c>
      <c r="O174" s="42">
        <v>173</v>
      </c>
    </row>
    <row r="175" spans="1:15" ht="14.25">
      <c r="A175" s="13" t="str">
        <f>IFERROR(VLOOKUP($F:$F,scan!$A:$B,2,0),"**")</f>
        <v>**</v>
      </c>
      <c r="B175" s="13" t="str">
        <f>IFERROR(VLOOKUP($F175,scan!A:C,3,0),"**")</f>
        <v>**</v>
      </c>
      <c r="C175" s="42">
        <v>174</v>
      </c>
      <c r="D175" s="42" t="s">
        <v>4936</v>
      </c>
      <c r="E175" s="42" t="s">
        <v>4937</v>
      </c>
      <c r="H175" s="42" t="s">
        <v>4936</v>
      </c>
      <c r="I175" s="42" t="s">
        <v>4938</v>
      </c>
      <c r="J175" s="42" t="s">
        <v>4939</v>
      </c>
      <c r="K175" s="42" t="e">
        <f>VLOOKUP(F175,Input!C:M,9,0)</f>
        <v>#N/A</v>
      </c>
      <c r="L175" s="42" t="e">
        <f>VLOOKUP(F175,Input!C:M,10,0)</f>
        <v>#N/A</v>
      </c>
      <c r="M175" s="42" t="e">
        <f>VLOOKUP(F175,Input!C:M,11,0)</f>
        <v>#N/A</v>
      </c>
      <c r="N175" s="43" t="str">
        <f t="shared" si="2"/>
        <v>174,174,**</v>
      </c>
      <c r="O175" s="42">
        <v>174</v>
      </c>
    </row>
    <row r="176" spans="1:15" ht="14.25">
      <c r="A176" s="13" t="str">
        <f>IFERROR(VLOOKUP($F:$F,scan!$A:$B,2,0),"**")</f>
        <v>**</v>
      </c>
      <c r="B176" s="13" t="str">
        <f>IFERROR(VLOOKUP($F176,scan!A:C,3,0),"**")</f>
        <v>**</v>
      </c>
      <c r="C176" s="42">
        <v>175</v>
      </c>
      <c r="D176" s="42" t="s">
        <v>4936</v>
      </c>
      <c r="E176" s="42" t="s">
        <v>4937</v>
      </c>
      <c r="H176" s="42" t="s">
        <v>4936</v>
      </c>
      <c r="I176" s="42" t="s">
        <v>4938</v>
      </c>
      <c r="J176" s="42" t="s">
        <v>4939</v>
      </c>
      <c r="K176" s="42" t="e">
        <f>VLOOKUP(F176,Input!C:M,9,0)</f>
        <v>#N/A</v>
      </c>
      <c r="L176" s="42" t="e">
        <f>VLOOKUP(F176,Input!C:M,10,0)</f>
        <v>#N/A</v>
      </c>
      <c r="M176" s="42" t="e">
        <f>VLOOKUP(F176,Input!C:M,11,0)</f>
        <v>#N/A</v>
      </c>
      <c r="N176" s="43" t="str">
        <f t="shared" si="2"/>
        <v>175,175,**</v>
      </c>
      <c r="O176" s="42">
        <v>175</v>
      </c>
    </row>
    <row r="177" spans="1:15" ht="14.25">
      <c r="A177" s="13" t="str">
        <f>IFERROR(VLOOKUP($F:$F,scan!$A:$B,2,0),"**")</f>
        <v>**</v>
      </c>
      <c r="B177" s="13" t="str">
        <f>IFERROR(VLOOKUP($F177,scan!A:C,3,0),"**")</f>
        <v>**</v>
      </c>
      <c r="C177" s="42">
        <v>176</v>
      </c>
      <c r="D177" s="42" t="s">
        <v>4936</v>
      </c>
      <c r="E177" s="42" t="s">
        <v>4937</v>
      </c>
      <c r="H177" s="42" t="s">
        <v>4936</v>
      </c>
      <c r="I177" s="42" t="s">
        <v>4938</v>
      </c>
      <c r="J177" s="42" t="s">
        <v>4939</v>
      </c>
      <c r="K177" s="42" t="e">
        <f>VLOOKUP(F177,Input!C:M,9,0)</f>
        <v>#N/A</v>
      </c>
      <c r="L177" s="42" t="e">
        <f>VLOOKUP(F177,Input!C:M,10,0)</f>
        <v>#N/A</v>
      </c>
      <c r="M177" s="42" t="e">
        <f>VLOOKUP(F177,Input!C:M,11,0)</f>
        <v>#N/A</v>
      </c>
      <c r="N177" s="43" t="str">
        <f t="shared" si="2"/>
        <v>176,176,**</v>
      </c>
      <c r="O177" s="42">
        <v>176</v>
      </c>
    </row>
    <row r="178" spans="1:15" ht="14.25">
      <c r="A178" s="13" t="str">
        <f>IFERROR(VLOOKUP($F:$F,scan!$A:$B,2,0),"**")</f>
        <v>**</v>
      </c>
      <c r="B178" s="13" t="str">
        <f>IFERROR(VLOOKUP($F178,scan!A:C,3,0),"**")</f>
        <v>**</v>
      </c>
      <c r="C178" s="42">
        <v>177</v>
      </c>
      <c r="D178" s="42" t="s">
        <v>4936</v>
      </c>
      <c r="E178" s="42" t="s">
        <v>4937</v>
      </c>
      <c r="H178" s="42" t="s">
        <v>4936</v>
      </c>
      <c r="I178" s="42" t="s">
        <v>4938</v>
      </c>
      <c r="J178" s="42" t="s">
        <v>4939</v>
      </c>
      <c r="K178" s="42" t="e">
        <f>VLOOKUP(F178,Input!C:M,9,0)</f>
        <v>#N/A</v>
      </c>
      <c r="L178" s="42" t="e">
        <f>VLOOKUP(F178,Input!C:M,10,0)</f>
        <v>#N/A</v>
      </c>
      <c r="M178" s="42" t="e">
        <f>VLOOKUP(F178,Input!C:M,11,0)</f>
        <v>#N/A</v>
      </c>
      <c r="N178" s="43" t="str">
        <f t="shared" si="2"/>
        <v>177,177,**</v>
      </c>
      <c r="O178" s="42">
        <v>177</v>
      </c>
    </row>
    <row r="179" spans="1:15" ht="14.25">
      <c r="A179" s="13" t="str">
        <f>IFERROR(VLOOKUP($F:$F,scan!$A:$B,2,0),"**")</f>
        <v>**</v>
      </c>
      <c r="B179" s="13" t="str">
        <f>IFERROR(VLOOKUP($F179,scan!A:C,3,0),"**")</f>
        <v>**</v>
      </c>
      <c r="C179" s="42">
        <v>178</v>
      </c>
      <c r="D179" s="42" t="s">
        <v>4936</v>
      </c>
      <c r="E179" s="42" t="s">
        <v>4937</v>
      </c>
      <c r="H179" s="42" t="s">
        <v>4936</v>
      </c>
      <c r="I179" s="42" t="s">
        <v>4938</v>
      </c>
      <c r="J179" s="42" t="s">
        <v>4939</v>
      </c>
      <c r="K179" s="42" t="e">
        <f>VLOOKUP(F179,Input!C:M,9,0)</f>
        <v>#N/A</v>
      </c>
      <c r="L179" s="42" t="e">
        <f>VLOOKUP(F179,Input!C:M,10,0)</f>
        <v>#N/A</v>
      </c>
      <c r="M179" s="42" t="e">
        <f>VLOOKUP(F179,Input!C:M,11,0)</f>
        <v>#N/A</v>
      </c>
      <c r="N179" s="43" t="str">
        <f t="shared" si="2"/>
        <v>178,178,**</v>
      </c>
      <c r="O179" s="42">
        <v>178</v>
      </c>
    </row>
    <row r="180" spans="1:15" ht="14.25">
      <c r="A180" s="13" t="str">
        <f>IFERROR(VLOOKUP($F:$F,scan!$A:$B,2,0),"**")</f>
        <v>**</v>
      </c>
      <c r="B180" s="13" t="str">
        <f>IFERROR(VLOOKUP($F180,scan!A:C,3,0),"**")</f>
        <v>**</v>
      </c>
      <c r="C180" s="42">
        <v>179</v>
      </c>
      <c r="D180" s="42" t="s">
        <v>4936</v>
      </c>
      <c r="E180" s="42" t="s">
        <v>4937</v>
      </c>
      <c r="H180" s="42" t="s">
        <v>4936</v>
      </c>
      <c r="I180" s="42" t="s">
        <v>4938</v>
      </c>
      <c r="J180" s="42" t="s">
        <v>4939</v>
      </c>
      <c r="K180" s="42" t="e">
        <f>VLOOKUP(F180,Input!C:M,9,0)</f>
        <v>#N/A</v>
      </c>
      <c r="L180" s="42" t="e">
        <f>VLOOKUP(F180,Input!C:M,10,0)</f>
        <v>#N/A</v>
      </c>
      <c r="M180" s="42" t="e">
        <f>VLOOKUP(F180,Input!C:M,11,0)</f>
        <v>#N/A</v>
      </c>
      <c r="N180" s="43" t="str">
        <f t="shared" si="2"/>
        <v>179,179,**</v>
      </c>
      <c r="O180" s="42">
        <v>179</v>
      </c>
    </row>
    <row r="181" spans="1:15" ht="14.25">
      <c r="A181" s="13" t="str">
        <f>IFERROR(VLOOKUP($F:$F,scan!$A:$B,2,0),"**")</f>
        <v>**</v>
      </c>
      <c r="B181" s="13" t="str">
        <f>IFERROR(VLOOKUP($F181,scan!A:C,3,0),"**")</f>
        <v>**</v>
      </c>
      <c r="C181" s="42">
        <v>180</v>
      </c>
      <c r="D181" s="42" t="s">
        <v>4936</v>
      </c>
      <c r="E181" s="42" t="s">
        <v>4937</v>
      </c>
      <c r="H181" s="42" t="s">
        <v>4936</v>
      </c>
      <c r="I181" s="42" t="s">
        <v>4938</v>
      </c>
      <c r="J181" s="42" t="s">
        <v>4939</v>
      </c>
      <c r="K181" s="42" t="e">
        <f>VLOOKUP(F181,Input!C:M,9,0)</f>
        <v>#N/A</v>
      </c>
      <c r="L181" s="42" t="e">
        <f>VLOOKUP(F181,Input!C:M,10,0)</f>
        <v>#N/A</v>
      </c>
      <c r="M181" s="42" t="e">
        <f>VLOOKUP(F181,Input!C:M,11,0)</f>
        <v>#N/A</v>
      </c>
      <c r="N181" s="43" t="str">
        <f t="shared" si="2"/>
        <v>180,180,**</v>
      </c>
      <c r="O181" s="42">
        <v>180</v>
      </c>
    </row>
    <row r="182" spans="1:15" ht="14.25">
      <c r="A182" s="13" t="str">
        <f>IFERROR(VLOOKUP($F:$F,scan!$A:$B,2,0),"**")</f>
        <v>**</v>
      </c>
      <c r="B182" s="13" t="str">
        <f>IFERROR(VLOOKUP($F182,scan!A:C,3,0),"**")</f>
        <v>**</v>
      </c>
      <c r="C182" s="42">
        <v>181</v>
      </c>
      <c r="D182" s="42" t="s">
        <v>4936</v>
      </c>
      <c r="E182" s="42" t="s">
        <v>4937</v>
      </c>
      <c r="H182" s="42" t="s">
        <v>4936</v>
      </c>
      <c r="I182" s="42" t="s">
        <v>4938</v>
      </c>
      <c r="J182" s="42" t="s">
        <v>4939</v>
      </c>
      <c r="K182" s="42" t="e">
        <f>VLOOKUP(F182,Input!C:M,9,0)</f>
        <v>#N/A</v>
      </c>
      <c r="L182" s="42" t="e">
        <f>VLOOKUP(F182,Input!C:M,10,0)</f>
        <v>#N/A</v>
      </c>
      <c r="M182" s="42" t="e">
        <f>VLOOKUP(F182,Input!C:M,11,0)</f>
        <v>#N/A</v>
      </c>
      <c r="N182" s="43" t="str">
        <f t="shared" si="2"/>
        <v>181,181,**</v>
      </c>
      <c r="O182" s="42">
        <v>181</v>
      </c>
    </row>
    <row r="183" spans="1:15" ht="14.25">
      <c r="A183" s="13" t="str">
        <f>IFERROR(VLOOKUP($F:$F,scan!$A:$B,2,0),"**")</f>
        <v>**</v>
      </c>
      <c r="B183" s="13" t="str">
        <f>IFERROR(VLOOKUP($F183,scan!A:C,3,0),"**")</f>
        <v>**</v>
      </c>
      <c r="C183" s="42">
        <v>182</v>
      </c>
      <c r="D183" s="42" t="s">
        <v>4936</v>
      </c>
      <c r="E183" s="42" t="s">
        <v>4937</v>
      </c>
      <c r="H183" s="42" t="s">
        <v>4936</v>
      </c>
      <c r="I183" s="42" t="s">
        <v>4938</v>
      </c>
      <c r="J183" s="42" t="s">
        <v>4939</v>
      </c>
      <c r="K183" s="42" t="e">
        <f>VLOOKUP(F183,Input!C:M,9,0)</f>
        <v>#N/A</v>
      </c>
      <c r="L183" s="42" t="e">
        <f>VLOOKUP(F183,Input!C:M,10,0)</f>
        <v>#N/A</v>
      </c>
      <c r="M183" s="42" t="e">
        <f>VLOOKUP(F183,Input!C:M,11,0)</f>
        <v>#N/A</v>
      </c>
      <c r="N183" s="43" t="str">
        <f t="shared" si="2"/>
        <v>182,182,**</v>
      </c>
      <c r="O183" s="42">
        <v>182</v>
      </c>
    </row>
    <row r="184" spans="1:15" ht="14.25">
      <c r="A184" s="13" t="str">
        <f>IFERROR(VLOOKUP($F:$F,scan!$A:$B,2,0),"**")</f>
        <v>**</v>
      </c>
      <c r="B184" s="13" t="str">
        <f>IFERROR(VLOOKUP($F184,scan!A:C,3,0),"**")</f>
        <v>**</v>
      </c>
      <c r="C184" s="42">
        <v>183</v>
      </c>
      <c r="D184" s="42" t="s">
        <v>4936</v>
      </c>
      <c r="E184" s="42" t="s">
        <v>4937</v>
      </c>
      <c r="H184" s="42" t="s">
        <v>4936</v>
      </c>
      <c r="I184" s="42" t="s">
        <v>4938</v>
      </c>
      <c r="J184" s="42" t="s">
        <v>4939</v>
      </c>
      <c r="K184" s="42" t="e">
        <f>VLOOKUP(F184,Input!C:M,9,0)</f>
        <v>#N/A</v>
      </c>
      <c r="L184" s="42" t="e">
        <f>VLOOKUP(F184,Input!C:M,10,0)</f>
        <v>#N/A</v>
      </c>
      <c r="M184" s="42" t="e">
        <f>VLOOKUP(F184,Input!C:M,11,0)</f>
        <v>#N/A</v>
      </c>
      <c r="N184" s="43" t="str">
        <f t="shared" si="2"/>
        <v>183,183,**</v>
      </c>
      <c r="O184" s="42">
        <v>183</v>
      </c>
    </row>
    <row r="185" spans="1:15" ht="14.25">
      <c r="A185" s="13" t="str">
        <f>IFERROR(VLOOKUP($F:$F,scan!$A:$B,2,0),"**")</f>
        <v>**</v>
      </c>
      <c r="B185" s="13" t="str">
        <f>IFERROR(VLOOKUP($F185,scan!A:C,3,0),"**")</f>
        <v>**</v>
      </c>
      <c r="C185" s="42">
        <v>184</v>
      </c>
      <c r="D185" s="42" t="s">
        <v>4936</v>
      </c>
      <c r="E185" s="42" t="s">
        <v>4937</v>
      </c>
      <c r="H185" s="42" t="s">
        <v>4936</v>
      </c>
      <c r="I185" s="42" t="s">
        <v>4938</v>
      </c>
      <c r="J185" s="42" t="s">
        <v>4939</v>
      </c>
      <c r="K185" s="42" t="e">
        <f>VLOOKUP(F185,Input!C:M,9,0)</f>
        <v>#N/A</v>
      </c>
      <c r="L185" s="42" t="e">
        <f>VLOOKUP(F185,Input!C:M,10,0)</f>
        <v>#N/A</v>
      </c>
      <c r="M185" s="42" t="e">
        <f>VLOOKUP(F185,Input!C:M,11,0)</f>
        <v>#N/A</v>
      </c>
      <c r="N185" s="43" t="str">
        <f t="shared" si="2"/>
        <v>184,184,**</v>
      </c>
      <c r="O185" s="42">
        <v>184</v>
      </c>
    </row>
    <row r="186" spans="1:15" ht="14.25">
      <c r="A186" s="13" t="str">
        <f>IFERROR(VLOOKUP($F:$F,scan!$A:$B,2,0),"**")</f>
        <v>**</v>
      </c>
      <c r="B186" s="13" t="str">
        <f>IFERROR(VLOOKUP($F186,scan!A:C,3,0),"**")</f>
        <v>**</v>
      </c>
      <c r="C186" s="42">
        <v>185</v>
      </c>
      <c r="D186" s="42" t="s">
        <v>4936</v>
      </c>
      <c r="E186" s="42" t="s">
        <v>4937</v>
      </c>
      <c r="H186" s="42" t="s">
        <v>4936</v>
      </c>
      <c r="I186" s="42" t="s">
        <v>4938</v>
      </c>
      <c r="J186" s="42" t="s">
        <v>4939</v>
      </c>
      <c r="K186" s="42" t="e">
        <f>VLOOKUP(F186,Input!C:M,9,0)</f>
        <v>#N/A</v>
      </c>
      <c r="L186" s="42" t="e">
        <f>VLOOKUP(F186,Input!C:M,10,0)</f>
        <v>#N/A</v>
      </c>
      <c r="M186" s="42" t="e">
        <f>VLOOKUP(F186,Input!C:M,11,0)</f>
        <v>#N/A</v>
      </c>
      <c r="N186" s="43" t="str">
        <f t="shared" si="2"/>
        <v>185,185,**</v>
      </c>
      <c r="O186" s="42">
        <v>185</v>
      </c>
    </row>
    <row r="187" spans="1:15" ht="14.25">
      <c r="A187" s="13" t="str">
        <f>IFERROR(VLOOKUP($F:$F,scan!$A:$B,2,0),"**")</f>
        <v>**</v>
      </c>
      <c r="B187" s="13" t="str">
        <f>IFERROR(VLOOKUP($F187,scan!A:C,3,0),"**")</f>
        <v>**</v>
      </c>
      <c r="C187" s="42">
        <v>186</v>
      </c>
      <c r="D187" s="42" t="s">
        <v>4936</v>
      </c>
      <c r="E187" s="42" t="s">
        <v>4937</v>
      </c>
      <c r="H187" s="42" t="s">
        <v>4936</v>
      </c>
      <c r="I187" s="42" t="s">
        <v>4938</v>
      </c>
      <c r="J187" s="42" t="s">
        <v>4939</v>
      </c>
      <c r="K187" s="42" t="e">
        <f>VLOOKUP(F187,Input!C:M,9,0)</f>
        <v>#N/A</v>
      </c>
      <c r="L187" s="42" t="e">
        <f>VLOOKUP(F187,Input!C:M,10,0)</f>
        <v>#N/A</v>
      </c>
      <c r="M187" s="42" t="e">
        <f>VLOOKUP(F187,Input!C:M,11,0)</f>
        <v>#N/A</v>
      </c>
      <c r="N187" s="43" t="str">
        <f t="shared" si="2"/>
        <v>186,186,**</v>
      </c>
      <c r="O187" s="42">
        <v>186</v>
      </c>
    </row>
    <row r="188" spans="1:15" ht="14.25">
      <c r="A188" s="13" t="str">
        <f>IFERROR(VLOOKUP($F:$F,scan!$A:$B,2,0),"**")</f>
        <v>**</v>
      </c>
      <c r="B188" s="13" t="str">
        <f>IFERROR(VLOOKUP($F188,scan!A:C,3,0),"**")</f>
        <v>**</v>
      </c>
      <c r="C188" s="42">
        <v>187</v>
      </c>
      <c r="D188" s="42" t="s">
        <v>4936</v>
      </c>
      <c r="E188" s="42" t="s">
        <v>4937</v>
      </c>
      <c r="H188" s="42" t="s">
        <v>4936</v>
      </c>
      <c r="I188" s="42" t="s">
        <v>4938</v>
      </c>
      <c r="J188" s="42" t="s">
        <v>4939</v>
      </c>
      <c r="K188" s="42" t="e">
        <f>VLOOKUP(F188,Input!C:M,9,0)</f>
        <v>#N/A</v>
      </c>
      <c r="L188" s="42" t="e">
        <f>VLOOKUP(F188,Input!C:M,10,0)</f>
        <v>#N/A</v>
      </c>
      <c r="M188" s="42" t="e">
        <f>VLOOKUP(F188,Input!C:M,11,0)</f>
        <v>#N/A</v>
      </c>
      <c r="N188" s="43" t="str">
        <f t="shared" si="2"/>
        <v>187,187,**</v>
      </c>
      <c r="O188" s="42">
        <v>187</v>
      </c>
    </row>
    <row r="189" spans="1:15" ht="14.25">
      <c r="A189" s="13" t="str">
        <f>IFERROR(VLOOKUP($F:$F,scan!$A:$B,2,0),"**")</f>
        <v>**</v>
      </c>
      <c r="B189" s="13" t="str">
        <f>IFERROR(VLOOKUP($F189,scan!A:C,3,0),"**")</f>
        <v>**</v>
      </c>
      <c r="C189" s="42">
        <v>188</v>
      </c>
      <c r="D189" s="42" t="s">
        <v>4936</v>
      </c>
      <c r="E189" s="42" t="s">
        <v>4937</v>
      </c>
      <c r="H189" s="42" t="s">
        <v>4936</v>
      </c>
      <c r="I189" s="42" t="s">
        <v>4938</v>
      </c>
      <c r="J189" s="42" t="s">
        <v>4939</v>
      </c>
      <c r="K189" s="42" t="e">
        <f>VLOOKUP(F189,Input!C:M,9,0)</f>
        <v>#N/A</v>
      </c>
      <c r="L189" s="42" t="e">
        <f>VLOOKUP(F189,Input!C:M,10,0)</f>
        <v>#N/A</v>
      </c>
      <c r="M189" s="42" t="e">
        <f>VLOOKUP(F189,Input!C:M,11,0)</f>
        <v>#N/A</v>
      </c>
      <c r="N189" s="43" t="str">
        <f t="shared" si="2"/>
        <v>188,188,**</v>
      </c>
      <c r="O189" s="42">
        <v>188</v>
      </c>
    </row>
    <row r="190" spans="1:15" ht="14.25">
      <c r="A190" s="13" t="str">
        <f>IFERROR(VLOOKUP($F:$F,scan!$A:$B,2,0),"**")</f>
        <v>**</v>
      </c>
      <c r="B190" s="13" t="str">
        <f>IFERROR(VLOOKUP($F190,scan!A:C,3,0),"**")</f>
        <v>**</v>
      </c>
      <c r="C190" s="42">
        <v>189</v>
      </c>
      <c r="D190" s="42" t="s">
        <v>4936</v>
      </c>
      <c r="E190" s="42" t="s">
        <v>4937</v>
      </c>
      <c r="H190" s="42" t="s">
        <v>4936</v>
      </c>
      <c r="I190" s="42" t="s">
        <v>4938</v>
      </c>
      <c r="J190" s="42" t="s">
        <v>4939</v>
      </c>
      <c r="K190" s="42" t="e">
        <f>VLOOKUP(F190,Input!C:M,9,0)</f>
        <v>#N/A</v>
      </c>
      <c r="L190" s="42" t="e">
        <f>VLOOKUP(F190,Input!C:M,10,0)</f>
        <v>#N/A</v>
      </c>
      <c r="M190" s="42" t="e">
        <f>VLOOKUP(F190,Input!C:M,11,0)</f>
        <v>#N/A</v>
      </c>
      <c r="N190" s="43" t="str">
        <f t="shared" si="2"/>
        <v>189,189,**</v>
      </c>
      <c r="O190" s="42">
        <v>189</v>
      </c>
    </row>
    <row r="191" spans="1:15" ht="14.25">
      <c r="A191" s="13" t="str">
        <f>IFERROR(VLOOKUP($F:$F,scan!$A:$B,2,0),"**")</f>
        <v>**</v>
      </c>
      <c r="B191" s="13" t="str">
        <f>IFERROR(VLOOKUP($F191,scan!A:C,3,0),"**")</f>
        <v>**</v>
      </c>
      <c r="C191" s="42">
        <v>190</v>
      </c>
      <c r="D191" s="42" t="s">
        <v>4936</v>
      </c>
      <c r="E191" s="42" t="s">
        <v>4937</v>
      </c>
      <c r="H191" s="42" t="s">
        <v>4936</v>
      </c>
      <c r="I191" s="42" t="s">
        <v>4938</v>
      </c>
      <c r="J191" s="42" t="s">
        <v>4939</v>
      </c>
      <c r="K191" s="42" t="e">
        <f>VLOOKUP(F191,Input!C:M,9,0)</f>
        <v>#N/A</v>
      </c>
      <c r="L191" s="42" t="e">
        <f>VLOOKUP(F191,Input!C:M,10,0)</f>
        <v>#N/A</v>
      </c>
      <c r="M191" s="42" t="e">
        <f>VLOOKUP(F191,Input!C:M,11,0)</f>
        <v>#N/A</v>
      </c>
      <c r="N191" s="43" t="str">
        <f t="shared" si="2"/>
        <v>190,190,**</v>
      </c>
      <c r="O191" s="42">
        <v>190</v>
      </c>
    </row>
    <row r="192" spans="1:15" ht="14.25">
      <c r="A192" s="13" t="str">
        <f>IFERROR(VLOOKUP($F:$F,scan!$A:$B,2,0),"**")</f>
        <v>**</v>
      </c>
      <c r="B192" s="13" t="str">
        <f>IFERROR(VLOOKUP($F192,scan!A:C,3,0),"**")</f>
        <v>**</v>
      </c>
      <c r="C192" s="42">
        <v>191</v>
      </c>
      <c r="D192" s="42" t="s">
        <v>4936</v>
      </c>
      <c r="E192" s="42" t="s">
        <v>4937</v>
      </c>
      <c r="H192" s="42" t="s">
        <v>4936</v>
      </c>
      <c r="I192" s="42" t="s">
        <v>4938</v>
      </c>
      <c r="J192" s="42" t="s">
        <v>4939</v>
      </c>
      <c r="K192" s="42" t="e">
        <f>VLOOKUP(F192,Input!C:M,9,0)</f>
        <v>#N/A</v>
      </c>
      <c r="L192" s="42" t="e">
        <f>VLOOKUP(F192,Input!C:M,10,0)</f>
        <v>#N/A</v>
      </c>
      <c r="M192" s="42" t="e">
        <f>VLOOKUP(F192,Input!C:M,11,0)</f>
        <v>#N/A</v>
      </c>
      <c r="N192" s="43" t="str">
        <f t="shared" si="2"/>
        <v>191,191,**</v>
      </c>
      <c r="O192" s="42">
        <v>191</v>
      </c>
    </row>
    <row r="193" spans="1:15" ht="14.25">
      <c r="A193" s="13" t="str">
        <f>IFERROR(VLOOKUP($F:$F,scan!$A:$B,2,0),"**")</f>
        <v>**</v>
      </c>
      <c r="B193" s="13" t="str">
        <f>IFERROR(VLOOKUP($F193,scan!A:C,3,0),"**")</f>
        <v>**</v>
      </c>
      <c r="C193" s="42">
        <v>192</v>
      </c>
      <c r="D193" s="42" t="s">
        <v>4936</v>
      </c>
      <c r="E193" s="42" t="s">
        <v>4937</v>
      </c>
      <c r="H193" s="42" t="s">
        <v>4936</v>
      </c>
      <c r="I193" s="42" t="s">
        <v>4938</v>
      </c>
      <c r="J193" s="42" t="s">
        <v>4939</v>
      </c>
      <c r="K193" s="42" t="e">
        <f>VLOOKUP(F193,Input!C:M,9,0)</f>
        <v>#N/A</v>
      </c>
      <c r="L193" s="42" t="e">
        <f>VLOOKUP(F193,Input!C:M,10,0)</f>
        <v>#N/A</v>
      </c>
      <c r="M193" s="42" t="e">
        <f>VLOOKUP(F193,Input!C:M,11,0)</f>
        <v>#N/A</v>
      </c>
      <c r="N193" s="43" t="str">
        <f t="shared" si="2"/>
        <v>192,192,**</v>
      </c>
      <c r="O193" s="42">
        <v>192</v>
      </c>
    </row>
    <row r="194" spans="1:15" ht="14.25">
      <c r="A194" s="13" t="str">
        <f>IFERROR(VLOOKUP($F:$F,scan!$A:$B,2,0),"**")</f>
        <v>**</v>
      </c>
      <c r="B194" s="13" t="str">
        <f>IFERROR(VLOOKUP($F194,scan!A:C,3,0),"**")</f>
        <v>**</v>
      </c>
      <c r="C194" s="42">
        <v>193</v>
      </c>
      <c r="D194" s="42" t="s">
        <v>4936</v>
      </c>
      <c r="E194" s="42" t="s">
        <v>4937</v>
      </c>
      <c r="H194" s="42" t="s">
        <v>4936</v>
      </c>
      <c r="I194" s="42" t="s">
        <v>4938</v>
      </c>
      <c r="J194" s="42" t="s">
        <v>4939</v>
      </c>
      <c r="K194" s="42" t="e">
        <f>VLOOKUP(F194,Input!C:M,9,0)</f>
        <v>#N/A</v>
      </c>
      <c r="L194" s="42" t="e">
        <f>VLOOKUP(F194,Input!C:M,10,0)</f>
        <v>#N/A</v>
      </c>
      <c r="M194" s="42" t="e">
        <f>VLOOKUP(F194,Input!C:M,11,0)</f>
        <v>#N/A</v>
      </c>
      <c r="N194" s="43" t="str">
        <f t="shared" si="2"/>
        <v>193,193,**</v>
      </c>
      <c r="O194" s="42">
        <v>193</v>
      </c>
    </row>
    <row r="195" spans="1:15" ht="14.25">
      <c r="A195" s="13" t="str">
        <f>IFERROR(VLOOKUP($F:$F,scan!$A:$B,2,0),"**")</f>
        <v>**</v>
      </c>
      <c r="B195" s="13" t="str">
        <f>IFERROR(VLOOKUP($F195,scan!A:C,3,0),"**")</f>
        <v>**</v>
      </c>
      <c r="C195" s="42">
        <v>194</v>
      </c>
      <c r="D195" s="42" t="s">
        <v>4936</v>
      </c>
      <c r="E195" s="42" t="s">
        <v>4937</v>
      </c>
      <c r="H195" s="42" t="s">
        <v>4936</v>
      </c>
      <c r="I195" s="42" t="s">
        <v>4938</v>
      </c>
      <c r="J195" s="42" t="s">
        <v>4939</v>
      </c>
      <c r="K195" s="42" t="e">
        <f>VLOOKUP(F195,Input!C:M,9,0)</f>
        <v>#N/A</v>
      </c>
      <c r="L195" s="42" t="e">
        <f>VLOOKUP(F195,Input!C:M,10,0)</f>
        <v>#N/A</v>
      </c>
      <c r="M195" s="42" t="e">
        <f>VLOOKUP(F195,Input!C:M,11,0)</f>
        <v>#N/A</v>
      </c>
      <c r="N195" s="43" t="str">
        <f t="shared" ref="N195:N258" si="3">O195&amp;","&amp;C195&amp;","&amp;B195</f>
        <v>194,194,**</v>
      </c>
      <c r="O195" s="42">
        <v>194</v>
      </c>
    </row>
    <row r="196" spans="1:15" ht="14.25">
      <c r="A196" s="13" t="str">
        <f>IFERROR(VLOOKUP($F:$F,scan!$A:$B,2,0),"**")</f>
        <v>**</v>
      </c>
      <c r="B196" s="13" t="str">
        <f>IFERROR(VLOOKUP($F196,scan!A:C,3,0),"**")</f>
        <v>**</v>
      </c>
      <c r="C196" s="42">
        <v>195</v>
      </c>
      <c r="D196" s="42" t="s">
        <v>4936</v>
      </c>
      <c r="E196" s="42" t="s">
        <v>4937</v>
      </c>
      <c r="H196" s="42" t="s">
        <v>4936</v>
      </c>
      <c r="I196" s="42" t="s">
        <v>4938</v>
      </c>
      <c r="J196" s="42" t="s">
        <v>4939</v>
      </c>
      <c r="K196" s="42" t="e">
        <f>VLOOKUP(F196,Input!C:M,9,0)</f>
        <v>#N/A</v>
      </c>
      <c r="L196" s="42" t="e">
        <f>VLOOKUP(F196,Input!C:M,10,0)</f>
        <v>#N/A</v>
      </c>
      <c r="M196" s="42" t="e">
        <f>VLOOKUP(F196,Input!C:M,11,0)</f>
        <v>#N/A</v>
      </c>
      <c r="N196" s="43" t="str">
        <f t="shared" si="3"/>
        <v>195,195,**</v>
      </c>
      <c r="O196" s="42">
        <v>195</v>
      </c>
    </row>
    <row r="197" spans="1:15" ht="14.25">
      <c r="A197" s="13" t="str">
        <f>IFERROR(VLOOKUP($F:$F,scan!$A:$B,2,0),"**")</f>
        <v>**</v>
      </c>
      <c r="B197" s="13" t="str">
        <f>IFERROR(VLOOKUP($F197,scan!A:C,3,0),"**")</f>
        <v>**</v>
      </c>
      <c r="C197" s="42">
        <v>196</v>
      </c>
      <c r="D197" s="42" t="s">
        <v>4936</v>
      </c>
      <c r="E197" s="42" t="s">
        <v>4937</v>
      </c>
      <c r="H197" s="42" t="s">
        <v>4936</v>
      </c>
      <c r="I197" s="42" t="s">
        <v>4938</v>
      </c>
      <c r="J197" s="42" t="s">
        <v>4939</v>
      </c>
      <c r="K197" s="42" t="e">
        <f>VLOOKUP(F197,Input!C:M,9,0)</f>
        <v>#N/A</v>
      </c>
      <c r="L197" s="42" t="e">
        <f>VLOOKUP(F197,Input!C:M,10,0)</f>
        <v>#N/A</v>
      </c>
      <c r="M197" s="42" t="e">
        <f>VLOOKUP(F197,Input!C:M,11,0)</f>
        <v>#N/A</v>
      </c>
      <c r="N197" s="43" t="str">
        <f t="shared" si="3"/>
        <v>196,196,**</v>
      </c>
      <c r="O197" s="42">
        <v>196</v>
      </c>
    </row>
    <row r="198" spans="1:15" ht="14.25">
      <c r="A198" s="13" t="str">
        <f>IFERROR(VLOOKUP($F:$F,scan!$A:$B,2,0),"**")</f>
        <v>**</v>
      </c>
      <c r="B198" s="13" t="str">
        <f>IFERROR(VLOOKUP($F198,scan!A:C,3,0),"**")</f>
        <v>**</v>
      </c>
      <c r="C198" s="42">
        <v>197</v>
      </c>
      <c r="D198" s="42" t="s">
        <v>4936</v>
      </c>
      <c r="E198" s="42" t="s">
        <v>4937</v>
      </c>
      <c r="H198" s="42" t="s">
        <v>4936</v>
      </c>
      <c r="I198" s="42" t="s">
        <v>4938</v>
      </c>
      <c r="J198" s="42" t="s">
        <v>4939</v>
      </c>
      <c r="K198" s="42" t="e">
        <f>VLOOKUP(F198,Input!C:M,9,0)</f>
        <v>#N/A</v>
      </c>
      <c r="L198" s="42" t="e">
        <f>VLOOKUP(F198,Input!C:M,10,0)</f>
        <v>#N/A</v>
      </c>
      <c r="M198" s="42" t="e">
        <f>VLOOKUP(F198,Input!C:M,11,0)</f>
        <v>#N/A</v>
      </c>
      <c r="N198" s="43" t="str">
        <f t="shared" si="3"/>
        <v>197,197,**</v>
      </c>
      <c r="O198" s="42">
        <v>197</v>
      </c>
    </row>
    <row r="199" spans="1:15" ht="14.25">
      <c r="A199" s="13" t="str">
        <f>IFERROR(VLOOKUP($F:$F,scan!$A:$B,2,0),"**")</f>
        <v>**</v>
      </c>
      <c r="B199" s="13" t="str">
        <f>IFERROR(VLOOKUP($F199,scan!A:C,3,0),"**")</f>
        <v>**</v>
      </c>
      <c r="C199" s="42">
        <v>198</v>
      </c>
      <c r="D199" s="42" t="s">
        <v>4936</v>
      </c>
      <c r="E199" s="42" t="s">
        <v>4937</v>
      </c>
      <c r="H199" s="42" t="s">
        <v>4936</v>
      </c>
      <c r="I199" s="42" t="s">
        <v>4938</v>
      </c>
      <c r="J199" s="42" t="s">
        <v>4939</v>
      </c>
      <c r="K199" s="42" t="e">
        <f>VLOOKUP(F199,Input!C:M,9,0)</f>
        <v>#N/A</v>
      </c>
      <c r="L199" s="42" t="e">
        <f>VLOOKUP(F199,Input!C:M,10,0)</f>
        <v>#N/A</v>
      </c>
      <c r="M199" s="42" t="e">
        <f>VLOOKUP(F199,Input!C:M,11,0)</f>
        <v>#N/A</v>
      </c>
      <c r="N199" s="43" t="str">
        <f t="shared" si="3"/>
        <v>198,198,**</v>
      </c>
      <c r="O199" s="42">
        <v>198</v>
      </c>
    </row>
    <row r="200" spans="1:15" ht="14.25">
      <c r="A200" s="13" t="str">
        <f>IFERROR(VLOOKUP($F:$F,scan!$A:$B,2,0),"**")</f>
        <v>**</v>
      </c>
      <c r="B200" s="13" t="str">
        <f>IFERROR(VLOOKUP($F200,scan!A:C,3,0),"**")</f>
        <v>**</v>
      </c>
      <c r="C200" s="42">
        <v>199</v>
      </c>
      <c r="D200" s="42" t="s">
        <v>4936</v>
      </c>
      <c r="E200" s="42" t="s">
        <v>4937</v>
      </c>
      <c r="H200" s="42" t="s">
        <v>4936</v>
      </c>
      <c r="I200" s="42" t="s">
        <v>4938</v>
      </c>
      <c r="J200" s="42" t="s">
        <v>4939</v>
      </c>
      <c r="K200" s="42" t="e">
        <f>VLOOKUP(F200,Input!C:M,9,0)</f>
        <v>#N/A</v>
      </c>
      <c r="L200" s="42" t="e">
        <f>VLOOKUP(F200,Input!C:M,10,0)</f>
        <v>#N/A</v>
      </c>
      <c r="M200" s="42" t="e">
        <f>VLOOKUP(F200,Input!C:M,11,0)</f>
        <v>#N/A</v>
      </c>
      <c r="N200" s="43" t="str">
        <f t="shared" si="3"/>
        <v>199,199,**</v>
      </c>
      <c r="O200" s="42">
        <v>199</v>
      </c>
    </row>
    <row r="201" spans="1:15" ht="14.25">
      <c r="A201" s="13" t="str">
        <f>IFERROR(VLOOKUP($F:$F,scan!$A:$B,2,0),"**")</f>
        <v>**</v>
      </c>
      <c r="B201" s="13" t="str">
        <f>IFERROR(VLOOKUP($F201,scan!A:C,3,0),"**")</f>
        <v>**</v>
      </c>
      <c r="C201" s="42">
        <v>200</v>
      </c>
      <c r="D201" s="42" t="s">
        <v>4936</v>
      </c>
      <c r="E201" s="42" t="s">
        <v>4937</v>
      </c>
      <c r="H201" s="42" t="s">
        <v>4936</v>
      </c>
      <c r="I201" s="42" t="s">
        <v>4938</v>
      </c>
      <c r="J201" s="42" t="s">
        <v>4939</v>
      </c>
      <c r="K201" s="42" t="e">
        <f>VLOOKUP(F201,Input!C:M,9,0)</f>
        <v>#N/A</v>
      </c>
      <c r="L201" s="42" t="e">
        <f>VLOOKUP(F201,Input!C:M,10,0)</f>
        <v>#N/A</v>
      </c>
      <c r="M201" s="42" t="e">
        <f>VLOOKUP(F201,Input!C:M,11,0)</f>
        <v>#N/A</v>
      </c>
      <c r="N201" s="43" t="str">
        <f t="shared" si="3"/>
        <v>200,200,**</v>
      </c>
      <c r="O201" s="42">
        <v>200</v>
      </c>
    </row>
    <row r="202" spans="1:15" ht="14.25">
      <c r="A202" s="13" t="str">
        <f>IFERROR(VLOOKUP($F:$F,scan!$A:$B,2,0),"**")</f>
        <v>**</v>
      </c>
      <c r="B202" s="13" t="str">
        <f>IFERROR(VLOOKUP($F202,scan!A:C,3,0),"**")</f>
        <v>**</v>
      </c>
      <c r="C202" s="42">
        <v>201</v>
      </c>
      <c r="D202" s="42" t="s">
        <v>4936</v>
      </c>
      <c r="E202" s="42" t="s">
        <v>4937</v>
      </c>
      <c r="H202" s="42" t="s">
        <v>4936</v>
      </c>
      <c r="I202" s="42" t="s">
        <v>4938</v>
      </c>
      <c r="J202" s="42" t="s">
        <v>4939</v>
      </c>
      <c r="K202" s="42" t="e">
        <f>VLOOKUP(F202,Input!C:M,9,0)</f>
        <v>#N/A</v>
      </c>
      <c r="L202" s="42" t="e">
        <f>VLOOKUP(F202,Input!C:M,10,0)</f>
        <v>#N/A</v>
      </c>
      <c r="M202" s="42" t="e">
        <f>VLOOKUP(F202,Input!C:M,11,0)</f>
        <v>#N/A</v>
      </c>
      <c r="N202" s="43" t="str">
        <f t="shared" si="3"/>
        <v>201,201,**</v>
      </c>
      <c r="O202" s="42">
        <v>201</v>
      </c>
    </row>
    <row r="203" spans="1:15" ht="14.25">
      <c r="A203" s="13" t="str">
        <f>IFERROR(VLOOKUP($F:$F,scan!$A:$B,2,0),"**")</f>
        <v>**</v>
      </c>
      <c r="B203" s="13" t="str">
        <f>IFERROR(VLOOKUP($F203,scan!A:C,3,0),"**")</f>
        <v>**</v>
      </c>
      <c r="C203" s="42">
        <v>202</v>
      </c>
      <c r="D203" s="42" t="s">
        <v>4936</v>
      </c>
      <c r="E203" s="42" t="s">
        <v>4937</v>
      </c>
      <c r="H203" s="42" t="s">
        <v>4936</v>
      </c>
      <c r="I203" s="42" t="s">
        <v>4938</v>
      </c>
      <c r="J203" s="42" t="s">
        <v>4939</v>
      </c>
      <c r="K203" s="42" t="e">
        <f>VLOOKUP(F203,Input!C:M,9,0)</f>
        <v>#N/A</v>
      </c>
      <c r="L203" s="42" t="e">
        <f>VLOOKUP(F203,Input!C:M,10,0)</f>
        <v>#N/A</v>
      </c>
      <c r="M203" s="42" t="e">
        <f>VLOOKUP(F203,Input!C:M,11,0)</f>
        <v>#N/A</v>
      </c>
      <c r="N203" s="43" t="str">
        <f t="shared" si="3"/>
        <v>202,202,**</v>
      </c>
      <c r="O203" s="42">
        <v>202</v>
      </c>
    </row>
    <row r="204" spans="1:15" ht="14.25">
      <c r="A204" s="13" t="str">
        <f>IFERROR(VLOOKUP($F:$F,scan!$A:$B,2,0),"**")</f>
        <v>**</v>
      </c>
      <c r="B204" s="13" t="str">
        <f>IFERROR(VLOOKUP($F204,scan!A:C,3,0),"**")</f>
        <v>**</v>
      </c>
      <c r="C204" s="42">
        <v>203</v>
      </c>
      <c r="D204" s="42" t="s">
        <v>4936</v>
      </c>
      <c r="E204" s="42" t="s">
        <v>4937</v>
      </c>
      <c r="H204" s="42" t="s">
        <v>4936</v>
      </c>
      <c r="I204" s="42" t="s">
        <v>4938</v>
      </c>
      <c r="J204" s="42" t="s">
        <v>4939</v>
      </c>
      <c r="K204" s="42" t="e">
        <f>VLOOKUP(F204,Input!C:M,9,0)</f>
        <v>#N/A</v>
      </c>
      <c r="L204" s="42" t="e">
        <f>VLOOKUP(F204,Input!C:M,10,0)</f>
        <v>#N/A</v>
      </c>
      <c r="M204" s="42" t="e">
        <f>VLOOKUP(F204,Input!C:M,11,0)</f>
        <v>#N/A</v>
      </c>
      <c r="N204" s="43" t="str">
        <f t="shared" si="3"/>
        <v>203,203,**</v>
      </c>
      <c r="O204" s="42">
        <v>203</v>
      </c>
    </row>
    <row r="205" spans="1:15" ht="14.25">
      <c r="A205" s="13" t="str">
        <f>IFERROR(VLOOKUP($F:$F,scan!$A:$B,2,0),"**")</f>
        <v>**</v>
      </c>
      <c r="B205" s="13" t="str">
        <f>IFERROR(VLOOKUP($F205,scan!A:C,3,0),"**")</f>
        <v>**</v>
      </c>
      <c r="C205" s="42">
        <v>204</v>
      </c>
      <c r="D205" s="42" t="s">
        <v>4936</v>
      </c>
      <c r="E205" s="42" t="s">
        <v>4937</v>
      </c>
      <c r="H205" s="42" t="s">
        <v>4936</v>
      </c>
      <c r="I205" s="42" t="s">
        <v>4938</v>
      </c>
      <c r="J205" s="42" t="s">
        <v>4939</v>
      </c>
      <c r="K205" s="42" t="e">
        <f>VLOOKUP(F205,Input!C:M,9,0)</f>
        <v>#N/A</v>
      </c>
      <c r="L205" s="42" t="e">
        <f>VLOOKUP(F205,Input!C:M,10,0)</f>
        <v>#N/A</v>
      </c>
      <c r="M205" s="42" t="e">
        <f>VLOOKUP(F205,Input!C:M,11,0)</f>
        <v>#N/A</v>
      </c>
      <c r="N205" s="43" t="str">
        <f t="shared" si="3"/>
        <v>204,204,**</v>
      </c>
      <c r="O205" s="42">
        <v>204</v>
      </c>
    </row>
    <row r="206" spans="1:15" ht="14.25">
      <c r="A206" s="13" t="str">
        <f>IFERROR(VLOOKUP($F:$F,scan!$A:$B,2,0),"**")</f>
        <v>**</v>
      </c>
      <c r="B206" s="13" t="str">
        <f>IFERROR(VLOOKUP($F206,scan!A:C,3,0),"**")</f>
        <v>**</v>
      </c>
      <c r="C206" s="42">
        <v>205</v>
      </c>
      <c r="D206" s="42" t="s">
        <v>4936</v>
      </c>
      <c r="E206" s="42" t="s">
        <v>4937</v>
      </c>
      <c r="H206" s="42" t="s">
        <v>4936</v>
      </c>
      <c r="I206" s="42" t="s">
        <v>4938</v>
      </c>
      <c r="J206" s="42" t="s">
        <v>4939</v>
      </c>
      <c r="K206" s="42" t="e">
        <f>VLOOKUP(F206,Input!C:M,9,0)</f>
        <v>#N/A</v>
      </c>
      <c r="L206" s="42" t="e">
        <f>VLOOKUP(F206,Input!C:M,10,0)</f>
        <v>#N/A</v>
      </c>
      <c r="M206" s="42" t="e">
        <f>VLOOKUP(F206,Input!C:M,11,0)</f>
        <v>#N/A</v>
      </c>
      <c r="N206" s="43" t="str">
        <f t="shared" si="3"/>
        <v>205,205,**</v>
      </c>
      <c r="O206" s="42">
        <v>205</v>
      </c>
    </row>
    <row r="207" spans="1:15" ht="14.25">
      <c r="A207" s="13" t="str">
        <f>IFERROR(VLOOKUP($F:$F,scan!$A:$B,2,0),"**")</f>
        <v>**</v>
      </c>
      <c r="B207" s="13" t="str">
        <f>IFERROR(VLOOKUP($F207,scan!A:C,3,0),"**")</f>
        <v>**</v>
      </c>
      <c r="C207" s="42">
        <v>206</v>
      </c>
      <c r="D207" s="42" t="s">
        <v>4936</v>
      </c>
      <c r="E207" s="42" t="s">
        <v>4937</v>
      </c>
      <c r="H207" s="42" t="s">
        <v>4936</v>
      </c>
      <c r="I207" s="42" t="s">
        <v>4938</v>
      </c>
      <c r="J207" s="42" t="s">
        <v>4939</v>
      </c>
      <c r="K207" s="42" t="e">
        <f>VLOOKUP(F207,Input!C:M,9,0)</f>
        <v>#N/A</v>
      </c>
      <c r="L207" s="42" t="e">
        <f>VLOOKUP(F207,Input!C:M,10,0)</f>
        <v>#N/A</v>
      </c>
      <c r="M207" s="42" t="e">
        <f>VLOOKUP(F207,Input!C:M,11,0)</f>
        <v>#N/A</v>
      </c>
      <c r="N207" s="43" t="str">
        <f t="shared" si="3"/>
        <v>206,206,**</v>
      </c>
      <c r="O207" s="42">
        <v>206</v>
      </c>
    </row>
    <row r="208" spans="1:15" ht="14.25">
      <c r="A208" s="13" t="str">
        <f>IFERROR(VLOOKUP($F:$F,scan!$A:$B,2,0),"**")</f>
        <v>**</v>
      </c>
      <c r="B208" s="13" t="str">
        <f>IFERROR(VLOOKUP($F208,scan!A:C,3,0),"**")</f>
        <v>**</v>
      </c>
      <c r="C208" s="42">
        <v>207</v>
      </c>
      <c r="D208" s="42" t="s">
        <v>4936</v>
      </c>
      <c r="E208" s="42" t="s">
        <v>4937</v>
      </c>
      <c r="H208" s="42" t="s">
        <v>4936</v>
      </c>
      <c r="I208" s="42" t="s">
        <v>4938</v>
      </c>
      <c r="J208" s="42" t="s">
        <v>4939</v>
      </c>
      <c r="K208" s="42" t="e">
        <f>VLOOKUP(F208,Input!C:M,9,0)</f>
        <v>#N/A</v>
      </c>
      <c r="L208" s="42" t="e">
        <f>VLOOKUP(F208,Input!C:M,10,0)</f>
        <v>#N/A</v>
      </c>
      <c r="M208" s="42" t="e">
        <f>VLOOKUP(F208,Input!C:M,11,0)</f>
        <v>#N/A</v>
      </c>
      <c r="N208" s="43" t="str">
        <f t="shared" si="3"/>
        <v>207,207,**</v>
      </c>
      <c r="O208" s="42">
        <v>207</v>
      </c>
    </row>
    <row r="209" spans="1:15" ht="14.25">
      <c r="A209" s="13" t="str">
        <f>IFERROR(VLOOKUP($F:$F,scan!$A:$B,2,0),"**")</f>
        <v>**</v>
      </c>
      <c r="B209" s="13" t="str">
        <f>IFERROR(VLOOKUP($F209,scan!A:C,3,0),"**")</f>
        <v>**</v>
      </c>
      <c r="C209" s="42">
        <v>208</v>
      </c>
      <c r="D209" s="42" t="s">
        <v>4936</v>
      </c>
      <c r="E209" s="42" t="s">
        <v>4937</v>
      </c>
      <c r="H209" s="42" t="s">
        <v>4936</v>
      </c>
      <c r="I209" s="42" t="s">
        <v>4938</v>
      </c>
      <c r="J209" s="42" t="s">
        <v>4939</v>
      </c>
      <c r="K209" s="42" t="e">
        <f>VLOOKUP(F209,Input!C:M,9,0)</f>
        <v>#N/A</v>
      </c>
      <c r="L209" s="42" t="e">
        <f>VLOOKUP(F209,Input!C:M,10,0)</f>
        <v>#N/A</v>
      </c>
      <c r="M209" s="42" t="e">
        <f>VLOOKUP(F209,Input!C:M,11,0)</f>
        <v>#N/A</v>
      </c>
      <c r="N209" s="43" t="str">
        <f t="shared" si="3"/>
        <v>208,208,**</v>
      </c>
      <c r="O209" s="42">
        <v>208</v>
      </c>
    </row>
    <row r="210" spans="1:15" ht="14.25">
      <c r="A210" s="13" t="str">
        <f>IFERROR(VLOOKUP($F:$F,scan!$A:$B,2,0),"**")</f>
        <v>**</v>
      </c>
      <c r="B210" s="13" t="str">
        <f>IFERROR(VLOOKUP($F210,scan!A:C,3,0),"**")</f>
        <v>**</v>
      </c>
      <c r="C210" s="42">
        <v>209</v>
      </c>
      <c r="D210" s="42" t="s">
        <v>4936</v>
      </c>
      <c r="E210" s="42" t="s">
        <v>4937</v>
      </c>
      <c r="H210" s="42" t="s">
        <v>4936</v>
      </c>
      <c r="I210" s="42" t="s">
        <v>4938</v>
      </c>
      <c r="J210" s="42" t="s">
        <v>4939</v>
      </c>
      <c r="K210" s="42" t="e">
        <f>VLOOKUP(F210,Input!C:M,9,0)</f>
        <v>#N/A</v>
      </c>
      <c r="L210" s="42" t="e">
        <f>VLOOKUP(F210,Input!C:M,10,0)</f>
        <v>#N/A</v>
      </c>
      <c r="M210" s="42" t="e">
        <f>VLOOKUP(F210,Input!C:M,11,0)</f>
        <v>#N/A</v>
      </c>
      <c r="N210" s="43" t="str">
        <f t="shared" si="3"/>
        <v>209,209,**</v>
      </c>
      <c r="O210" s="42">
        <v>209</v>
      </c>
    </row>
    <row r="211" spans="1:15" ht="14.25">
      <c r="A211" s="13" t="str">
        <f>IFERROR(VLOOKUP($F:$F,scan!$A:$B,2,0),"**")</f>
        <v>**</v>
      </c>
      <c r="B211" s="13" t="str">
        <f>IFERROR(VLOOKUP($F211,scan!A:C,3,0),"**")</f>
        <v>**</v>
      </c>
      <c r="C211" s="42">
        <v>210</v>
      </c>
      <c r="D211" s="42" t="s">
        <v>4936</v>
      </c>
      <c r="E211" s="42" t="s">
        <v>4937</v>
      </c>
      <c r="H211" s="42" t="s">
        <v>4936</v>
      </c>
      <c r="I211" s="42" t="s">
        <v>4938</v>
      </c>
      <c r="J211" s="42" t="s">
        <v>4939</v>
      </c>
      <c r="K211" s="42" t="e">
        <f>VLOOKUP(F211,Input!C:M,9,0)</f>
        <v>#N/A</v>
      </c>
      <c r="L211" s="42" t="e">
        <f>VLOOKUP(F211,Input!C:M,10,0)</f>
        <v>#N/A</v>
      </c>
      <c r="M211" s="42" t="e">
        <f>VLOOKUP(F211,Input!C:M,11,0)</f>
        <v>#N/A</v>
      </c>
      <c r="N211" s="43" t="str">
        <f t="shared" si="3"/>
        <v>210,210,**</v>
      </c>
      <c r="O211" s="42">
        <v>210</v>
      </c>
    </row>
    <row r="212" spans="1:15" ht="14.25">
      <c r="A212" s="13" t="str">
        <f>IFERROR(VLOOKUP($F:$F,scan!$A:$B,2,0),"**")</f>
        <v>**</v>
      </c>
      <c r="B212" s="13" t="str">
        <f>IFERROR(VLOOKUP($F212,scan!A:C,3,0),"**")</f>
        <v>**</v>
      </c>
      <c r="C212" s="42">
        <v>211</v>
      </c>
      <c r="D212" s="42" t="s">
        <v>4936</v>
      </c>
      <c r="E212" s="42" t="s">
        <v>4937</v>
      </c>
      <c r="H212" s="42" t="s">
        <v>4936</v>
      </c>
      <c r="I212" s="42" t="s">
        <v>4938</v>
      </c>
      <c r="J212" s="42" t="s">
        <v>4939</v>
      </c>
      <c r="K212" s="42" t="e">
        <f>VLOOKUP(F212,Input!C:M,9,0)</f>
        <v>#N/A</v>
      </c>
      <c r="L212" s="42" t="e">
        <f>VLOOKUP(F212,Input!C:M,10,0)</f>
        <v>#N/A</v>
      </c>
      <c r="M212" s="42" t="e">
        <f>VLOOKUP(F212,Input!C:M,11,0)</f>
        <v>#N/A</v>
      </c>
      <c r="N212" s="43" t="str">
        <f t="shared" si="3"/>
        <v>211,211,**</v>
      </c>
      <c r="O212" s="42">
        <v>211</v>
      </c>
    </row>
    <row r="213" spans="1:15" ht="14.25">
      <c r="A213" s="13" t="str">
        <f>IFERROR(VLOOKUP($F:$F,scan!$A:$B,2,0),"**")</f>
        <v>**</v>
      </c>
      <c r="B213" s="13" t="str">
        <f>IFERROR(VLOOKUP($F213,scan!A:C,3,0),"**")</f>
        <v>**</v>
      </c>
      <c r="C213" s="42">
        <v>212</v>
      </c>
      <c r="D213" s="42" t="s">
        <v>4936</v>
      </c>
      <c r="E213" s="42" t="s">
        <v>4937</v>
      </c>
      <c r="H213" s="42" t="s">
        <v>4936</v>
      </c>
      <c r="I213" s="42" t="s">
        <v>4938</v>
      </c>
      <c r="J213" s="42" t="s">
        <v>4939</v>
      </c>
      <c r="K213" s="42" t="e">
        <f>VLOOKUP(F213,Input!C:M,9,0)</f>
        <v>#N/A</v>
      </c>
      <c r="L213" s="42" t="e">
        <f>VLOOKUP(F213,Input!C:M,10,0)</f>
        <v>#N/A</v>
      </c>
      <c r="M213" s="42" t="e">
        <f>VLOOKUP(F213,Input!C:M,11,0)</f>
        <v>#N/A</v>
      </c>
      <c r="N213" s="43" t="str">
        <f t="shared" si="3"/>
        <v>212,212,**</v>
      </c>
      <c r="O213" s="42">
        <v>212</v>
      </c>
    </row>
    <row r="214" spans="1:15" ht="14.25">
      <c r="A214" s="13" t="str">
        <f>IFERROR(VLOOKUP($F:$F,scan!$A:$B,2,0),"**")</f>
        <v>**</v>
      </c>
      <c r="B214" s="13" t="str">
        <f>IFERROR(VLOOKUP($F214,scan!A:C,3,0),"**")</f>
        <v>**</v>
      </c>
      <c r="C214" s="42">
        <v>213</v>
      </c>
      <c r="D214" s="42" t="s">
        <v>4936</v>
      </c>
      <c r="E214" s="42" t="s">
        <v>4937</v>
      </c>
      <c r="H214" s="42" t="s">
        <v>4936</v>
      </c>
      <c r="I214" s="42" t="s">
        <v>4938</v>
      </c>
      <c r="J214" s="42" t="s">
        <v>4939</v>
      </c>
      <c r="K214" s="42" t="e">
        <f>VLOOKUP(F214,Input!C:M,9,0)</f>
        <v>#N/A</v>
      </c>
      <c r="L214" s="42" t="e">
        <f>VLOOKUP(F214,Input!C:M,10,0)</f>
        <v>#N/A</v>
      </c>
      <c r="M214" s="42" t="e">
        <f>VLOOKUP(F214,Input!C:M,11,0)</f>
        <v>#N/A</v>
      </c>
      <c r="N214" s="43" t="str">
        <f t="shared" si="3"/>
        <v>213,213,**</v>
      </c>
      <c r="O214" s="42">
        <v>213</v>
      </c>
    </row>
    <row r="215" spans="1:15" ht="14.25">
      <c r="A215" s="13" t="str">
        <f>IFERROR(VLOOKUP($F:$F,scan!$A:$B,2,0),"**")</f>
        <v>**</v>
      </c>
      <c r="B215" s="13" t="str">
        <f>IFERROR(VLOOKUP($F215,scan!A:C,3,0),"**")</f>
        <v>**</v>
      </c>
      <c r="C215" s="42">
        <v>214</v>
      </c>
      <c r="D215" s="42" t="s">
        <v>4936</v>
      </c>
      <c r="E215" s="42" t="s">
        <v>4937</v>
      </c>
      <c r="H215" s="42" t="s">
        <v>4936</v>
      </c>
      <c r="I215" s="42" t="s">
        <v>4938</v>
      </c>
      <c r="J215" s="42" t="s">
        <v>4939</v>
      </c>
      <c r="K215" s="42" t="e">
        <f>VLOOKUP(F215,Input!C:M,9,0)</f>
        <v>#N/A</v>
      </c>
      <c r="L215" s="42" t="e">
        <f>VLOOKUP(F215,Input!C:M,10,0)</f>
        <v>#N/A</v>
      </c>
      <c r="M215" s="42" t="e">
        <f>VLOOKUP(F215,Input!C:M,11,0)</f>
        <v>#N/A</v>
      </c>
      <c r="N215" s="43" t="str">
        <f t="shared" si="3"/>
        <v>214,214,**</v>
      </c>
      <c r="O215" s="42">
        <v>214</v>
      </c>
    </row>
    <row r="216" spans="1:15" ht="14.25">
      <c r="A216" s="13" t="str">
        <f>IFERROR(VLOOKUP($F:$F,scan!$A:$B,2,0),"**")</f>
        <v>**</v>
      </c>
      <c r="B216" s="13" t="str">
        <f>IFERROR(VLOOKUP($F216,scan!A:C,3,0),"**")</f>
        <v>**</v>
      </c>
      <c r="C216" s="42">
        <v>215</v>
      </c>
      <c r="D216" s="42" t="s">
        <v>4936</v>
      </c>
      <c r="E216" s="42" t="s">
        <v>4937</v>
      </c>
      <c r="H216" s="42" t="s">
        <v>4936</v>
      </c>
      <c r="I216" s="42" t="s">
        <v>4938</v>
      </c>
      <c r="J216" s="42" t="s">
        <v>4939</v>
      </c>
      <c r="K216" s="42" t="e">
        <f>VLOOKUP(F216,Input!C:M,9,0)</f>
        <v>#N/A</v>
      </c>
      <c r="L216" s="42" t="e">
        <f>VLOOKUP(F216,Input!C:M,10,0)</f>
        <v>#N/A</v>
      </c>
      <c r="M216" s="42" t="e">
        <f>VLOOKUP(F216,Input!C:M,11,0)</f>
        <v>#N/A</v>
      </c>
      <c r="N216" s="43" t="str">
        <f t="shared" si="3"/>
        <v>215,215,**</v>
      </c>
      <c r="O216" s="42">
        <v>215</v>
      </c>
    </row>
    <row r="217" spans="1:15" ht="14.25">
      <c r="A217" s="13" t="str">
        <f>IFERROR(VLOOKUP($F:$F,scan!$A:$B,2,0),"**")</f>
        <v>**</v>
      </c>
      <c r="B217" s="13" t="str">
        <f>IFERROR(VLOOKUP($F217,scan!A:C,3,0),"**")</f>
        <v>**</v>
      </c>
      <c r="C217" s="42">
        <v>216</v>
      </c>
      <c r="D217" s="42" t="s">
        <v>4936</v>
      </c>
      <c r="E217" s="42" t="s">
        <v>4937</v>
      </c>
      <c r="H217" s="42" t="s">
        <v>4936</v>
      </c>
      <c r="I217" s="42" t="s">
        <v>4938</v>
      </c>
      <c r="J217" s="42" t="s">
        <v>4939</v>
      </c>
      <c r="K217" s="42" t="e">
        <f>VLOOKUP(F217,Input!C:M,9,0)</f>
        <v>#N/A</v>
      </c>
      <c r="L217" s="42" t="e">
        <f>VLOOKUP(F217,Input!C:M,10,0)</f>
        <v>#N/A</v>
      </c>
      <c r="M217" s="42" t="e">
        <f>VLOOKUP(F217,Input!C:M,11,0)</f>
        <v>#N/A</v>
      </c>
      <c r="N217" s="43" t="str">
        <f t="shared" si="3"/>
        <v>216,216,**</v>
      </c>
      <c r="O217" s="42">
        <v>216</v>
      </c>
    </row>
    <row r="218" spans="1:15" ht="14.25">
      <c r="A218" s="13" t="str">
        <f>IFERROR(VLOOKUP($F:$F,scan!$A:$B,2,0),"**")</f>
        <v>**</v>
      </c>
      <c r="B218" s="13" t="str">
        <f>IFERROR(VLOOKUP($F218,scan!A:C,3,0),"**")</f>
        <v>**</v>
      </c>
      <c r="C218" s="42">
        <v>217</v>
      </c>
      <c r="D218" s="42" t="s">
        <v>4936</v>
      </c>
      <c r="E218" s="42" t="s">
        <v>4937</v>
      </c>
      <c r="H218" s="42" t="s">
        <v>4936</v>
      </c>
      <c r="I218" s="42" t="s">
        <v>4938</v>
      </c>
      <c r="J218" s="42" t="s">
        <v>4939</v>
      </c>
      <c r="K218" s="42" t="e">
        <f>VLOOKUP(F218,Input!C:M,9,0)</f>
        <v>#N/A</v>
      </c>
      <c r="L218" s="42" t="e">
        <f>VLOOKUP(F218,Input!C:M,10,0)</f>
        <v>#N/A</v>
      </c>
      <c r="M218" s="42" t="e">
        <f>VLOOKUP(F218,Input!C:M,11,0)</f>
        <v>#N/A</v>
      </c>
      <c r="N218" s="43" t="str">
        <f t="shared" si="3"/>
        <v>217,217,**</v>
      </c>
      <c r="O218" s="42">
        <v>217</v>
      </c>
    </row>
    <row r="219" spans="1:15" ht="14.25">
      <c r="A219" s="13" t="str">
        <f>IFERROR(VLOOKUP($F:$F,scan!$A:$B,2,0),"**")</f>
        <v>**</v>
      </c>
      <c r="B219" s="13" t="str">
        <f>IFERROR(VLOOKUP($F219,scan!A:C,3,0),"**")</f>
        <v>**</v>
      </c>
      <c r="C219" s="42">
        <v>218</v>
      </c>
      <c r="D219" s="42" t="s">
        <v>4936</v>
      </c>
      <c r="E219" s="42" t="s">
        <v>4937</v>
      </c>
      <c r="H219" s="42" t="s">
        <v>4936</v>
      </c>
      <c r="I219" s="42" t="s">
        <v>4938</v>
      </c>
      <c r="J219" s="42" t="s">
        <v>4939</v>
      </c>
      <c r="K219" s="42" t="e">
        <f>VLOOKUP(F219,Input!C:M,9,0)</f>
        <v>#N/A</v>
      </c>
      <c r="L219" s="42" t="e">
        <f>VLOOKUP(F219,Input!C:M,10,0)</f>
        <v>#N/A</v>
      </c>
      <c r="M219" s="42" t="e">
        <f>VLOOKUP(F219,Input!C:M,11,0)</f>
        <v>#N/A</v>
      </c>
      <c r="N219" s="43" t="str">
        <f t="shared" si="3"/>
        <v>218,218,**</v>
      </c>
      <c r="O219" s="42">
        <v>218</v>
      </c>
    </row>
    <row r="220" spans="1:15" ht="14.25">
      <c r="A220" s="13" t="str">
        <f>IFERROR(VLOOKUP($F:$F,scan!$A:$B,2,0),"**")</f>
        <v>**</v>
      </c>
      <c r="B220" s="13" t="str">
        <f>IFERROR(VLOOKUP($F220,scan!A:C,3,0),"**")</f>
        <v>**</v>
      </c>
      <c r="C220" s="42">
        <v>219</v>
      </c>
      <c r="D220" s="42" t="s">
        <v>4936</v>
      </c>
      <c r="E220" s="42" t="s">
        <v>4937</v>
      </c>
      <c r="H220" s="42" t="s">
        <v>4936</v>
      </c>
      <c r="I220" s="42" t="s">
        <v>4938</v>
      </c>
      <c r="J220" s="42" t="s">
        <v>4939</v>
      </c>
      <c r="K220" s="42" t="e">
        <f>VLOOKUP(F220,Input!C:M,9,0)</f>
        <v>#N/A</v>
      </c>
      <c r="L220" s="42" t="e">
        <f>VLOOKUP(F220,Input!C:M,10,0)</f>
        <v>#N/A</v>
      </c>
      <c r="M220" s="42" t="e">
        <f>VLOOKUP(F220,Input!C:M,11,0)</f>
        <v>#N/A</v>
      </c>
      <c r="N220" s="43" t="str">
        <f t="shared" si="3"/>
        <v>219,219,**</v>
      </c>
      <c r="O220" s="42">
        <v>219</v>
      </c>
    </row>
    <row r="221" spans="1:15" ht="14.25">
      <c r="A221" s="13" t="str">
        <f>IFERROR(VLOOKUP($F:$F,scan!$A:$B,2,0),"**")</f>
        <v>**</v>
      </c>
      <c r="B221" s="13" t="str">
        <f>IFERROR(VLOOKUP($F221,scan!A:C,3,0),"**")</f>
        <v>**</v>
      </c>
      <c r="C221" s="42">
        <v>220</v>
      </c>
      <c r="D221" s="42" t="s">
        <v>4936</v>
      </c>
      <c r="E221" s="42" t="s">
        <v>4937</v>
      </c>
      <c r="H221" s="42" t="s">
        <v>4936</v>
      </c>
      <c r="I221" s="42" t="s">
        <v>4938</v>
      </c>
      <c r="J221" s="42" t="s">
        <v>4939</v>
      </c>
      <c r="K221" s="42" t="e">
        <f>VLOOKUP(F221,Input!C:M,9,0)</f>
        <v>#N/A</v>
      </c>
      <c r="L221" s="42" t="e">
        <f>VLOOKUP(F221,Input!C:M,10,0)</f>
        <v>#N/A</v>
      </c>
      <c r="M221" s="42" t="e">
        <f>VLOOKUP(F221,Input!C:M,11,0)</f>
        <v>#N/A</v>
      </c>
      <c r="N221" s="43" t="str">
        <f t="shared" si="3"/>
        <v>220,220,**</v>
      </c>
      <c r="O221" s="42">
        <v>220</v>
      </c>
    </row>
    <row r="222" spans="1:15" ht="14.25">
      <c r="A222" s="13" t="str">
        <f>IFERROR(VLOOKUP($F:$F,scan!$A:$B,2,0),"**")</f>
        <v>**</v>
      </c>
      <c r="B222" s="13" t="str">
        <f>IFERROR(VLOOKUP($F222,scan!A:C,3,0),"**")</f>
        <v>**</v>
      </c>
      <c r="C222" s="42">
        <v>221</v>
      </c>
      <c r="D222" s="42" t="s">
        <v>4936</v>
      </c>
      <c r="E222" s="42" t="s">
        <v>4937</v>
      </c>
      <c r="H222" s="42" t="s">
        <v>4936</v>
      </c>
      <c r="I222" s="42" t="s">
        <v>4938</v>
      </c>
      <c r="J222" s="42" t="s">
        <v>4939</v>
      </c>
      <c r="K222" s="42" t="e">
        <f>VLOOKUP(F222,Input!C:M,9,0)</f>
        <v>#N/A</v>
      </c>
      <c r="L222" s="42" t="e">
        <f>VLOOKUP(F222,Input!C:M,10,0)</f>
        <v>#N/A</v>
      </c>
      <c r="M222" s="42" t="e">
        <f>VLOOKUP(F222,Input!C:M,11,0)</f>
        <v>#N/A</v>
      </c>
      <c r="N222" s="43" t="str">
        <f t="shared" si="3"/>
        <v>221,221,**</v>
      </c>
      <c r="O222" s="42">
        <v>221</v>
      </c>
    </row>
    <row r="223" spans="1:15" ht="14.25">
      <c r="A223" s="13" t="str">
        <f>IFERROR(VLOOKUP($F:$F,scan!$A:$B,2,0),"**")</f>
        <v>**</v>
      </c>
      <c r="B223" s="13" t="str">
        <f>IFERROR(VLOOKUP($F223,scan!A:C,3,0),"**")</f>
        <v>**</v>
      </c>
      <c r="C223" s="42">
        <v>222</v>
      </c>
      <c r="D223" s="42" t="s">
        <v>4936</v>
      </c>
      <c r="E223" s="42" t="s">
        <v>4937</v>
      </c>
      <c r="H223" s="42" t="s">
        <v>4936</v>
      </c>
      <c r="I223" s="42" t="s">
        <v>4938</v>
      </c>
      <c r="J223" s="42" t="s">
        <v>4939</v>
      </c>
      <c r="K223" s="42" t="e">
        <f>VLOOKUP(F223,Input!C:M,9,0)</f>
        <v>#N/A</v>
      </c>
      <c r="L223" s="42" t="e">
        <f>VLOOKUP(F223,Input!C:M,10,0)</f>
        <v>#N/A</v>
      </c>
      <c r="M223" s="42" t="e">
        <f>VLOOKUP(F223,Input!C:M,11,0)</f>
        <v>#N/A</v>
      </c>
      <c r="N223" s="43" t="str">
        <f t="shared" si="3"/>
        <v>222,222,**</v>
      </c>
      <c r="O223" s="42">
        <v>222</v>
      </c>
    </row>
    <row r="224" spans="1:15" ht="14.25">
      <c r="A224" s="13" t="str">
        <f>IFERROR(VLOOKUP($F:$F,scan!$A:$B,2,0),"**")</f>
        <v>**</v>
      </c>
      <c r="B224" s="13" t="str">
        <f>IFERROR(VLOOKUP($F224,scan!A:C,3,0),"**")</f>
        <v>**</v>
      </c>
      <c r="C224" s="42">
        <v>223</v>
      </c>
      <c r="D224" s="42" t="s">
        <v>4936</v>
      </c>
      <c r="E224" s="42" t="s">
        <v>4937</v>
      </c>
      <c r="H224" s="42" t="s">
        <v>4936</v>
      </c>
      <c r="I224" s="42" t="s">
        <v>4938</v>
      </c>
      <c r="J224" s="42" t="s">
        <v>4939</v>
      </c>
      <c r="K224" s="42" t="e">
        <f>VLOOKUP(F224,Input!C:M,9,0)</f>
        <v>#N/A</v>
      </c>
      <c r="L224" s="42" t="e">
        <f>VLOOKUP(F224,Input!C:M,10,0)</f>
        <v>#N/A</v>
      </c>
      <c r="M224" s="42" t="e">
        <f>VLOOKUP(F224,Input!C:M,11,0)</f>
        <v>#N/A</v>
      </c>
      <c r="N224" s="43" t="str">
        <f t="shared" si="3"/>
        <v>223,223,**</v>
      </c>
      <c r="O224" s="42">
        <v>223</v>
      </c>
    </row>
    <row r="225" spans="1:15" ht="14.25">
      <c r="A225" s="13" t="str">
        <f>IFERROR(VLOOKUP($F:$F,scan!$A:$B,2,0),"**")</f>
        <v>**</v>
      </c>
      <c r="B225" s="13" t="str">
        <f>IFERROR(VLOOKUP($F225,scan!A:C,3,0),"**")</f>
        <v>**</v>
      </c>
      <c r="C225" s="42">
        <v>224</v>
      </c>
      <c r="D225" s="42" t="s">
        <v>4936</v>
      </c>
      <c r="E225" s="42" t="s">
        <v>4937</v>
      </c>
      <c r="H225" s="42" t="s">
        <v>4936</v>
      </c>
      <c r="I225" s="42" t="s">
        <v>4938</v>
      </c>
      <c r="J225" s="42" t="s">
        <v>4939</v>
      </c>
      <c r="K225" s="42" t="e">
        <f>VLOOKUP(F225,Input!C:M,9,0)</f>
        <v>#N/A</v>
      </c>
      <c r="L225" s="42" t="e">
        <f>VLOOKUP(F225,Input!C:M,10,0)</f>
        <v>#N/A</v>
      </c>
      <c r="M225" s="42" t="e">
        <f>VLOOKUP(F225,Input!C:M,11,0)</f>
        <v>#N/A</v>
      </c>
      <c r="N225" s="43" t="str">
        <f t="shared" si="3"/>
        <v>224,224,**</v>
      </c>
      <c r="O225" s="42">
        <v>224</v>
      </c>
    </row>
    <row r="226" spans="1:15" ht="14.25">
      <c r="A226" s="13" t="str">
        <f>IFERROR(VLOOKUP($F:$F,scan!$A:$B,2,0),"**")</f>
        <v>**</v>
      </c>
      <c r="B226" s="13" t="str">
        <f>IFERROR(VLOOKUP($F226,scan!A:C,3,0),"**")</f>
        <v>**</v>
      </c>
      <c r="C226" s="42">
        <v>225</v>
      </c>
      <c r="D226" s="42" t="s">
        <v>4936</v>
      </c>
      <c r="E226" s="42" t="s">
        <v>4937</v>
      </c>
      <c r="H226" s="42" t="s">
        <v>4936</v>
      </c>
      <c r="I226" s="42" t="s">
        <v>4938</v>
      </c>
      <c r="J226" s="42" t="s">
        <v>4939</v>
      </c>
      <c r="K226" s="42" t="e">
        <f>VLOOKUP(F226,Input!C:M,9,0)</f>
        <v>#N/A</v>
      </c>
      <c r="L226" s="42" t="e">
        <f>VLOOKUP(F226,Input!C:M,10,0)</f>
        <v>#N/A</v>
      </c>
      <c r="M226" s="42" t="e">
        <f>VLOOKUP(F226,Input!C:M,11,0)</f>
        <v>#N/A</v>
      </c>
      <c r="N226" s="43" t="str">
        <f t="shared" si="3"/>
        <v>225,225,**</v>
      </c>
      <c r="O226" s="42">
        <v>225</v>
      </c>
    </row>
    <row r="227" spans="1:15" ht="14.25">
      <c r="A227" s="13" t="str">
        <f>IFERROR(VLOOKUP($F:$F,scan!$A:$B,2,0),"**")</f>
        <v>**</v>
      </c>
      <c r="B227" s="13" t="str">
        <f>IFERROR(VLOOKUP($F227,scan!A:C,3,0),"**")</f>
        <v>**</v>
      </c>
      <c r="C227" s="42">
        <v>226</v>
      </c>
      <c r="D227" s="42" t="s">
        <v>4936</v>
      </c>
      <c r="E227" s="42" t="s">
        <v>4937</v>
      </c>
      <c r="H227" s="42" t="s">
        <v>4936</v>
      </c>
      <c r="I227" s="42" t="s">
        <v>4938</v>
      </c>
      <c r="J227" s="42" t="s">
        <v>4939</v>
      </c>
      <c r="K227" s="42" t="e">
        <f>VLOOKUP(F227,Input!C:M,9,0)</f>
        <v>#N/A</v>
      </c>
      <c r="L227" s="42" t="e">
        <f>VLOOKUP(F227,Input!C:M,10,0)</f>
        <v>#N/A</v>
      </c>
      <c r="M227" s="42" t="e">
        <f>VLOOKUP(F227,Input!C:M,11,0)</f>
        <v>#N/A</v>
      </c>
      <c r="N227" s="43" t="str">
        <f t="shared" si="3"/>
        <v>226,226,**</v>
      </c>
      <c r="O227" s="42">
        <v>226</v>
      </c>
    </row>
    <row r="228" spans="1:15" ht="14.25">
      <c r="A228" s="13" t="str">
        <f>IFERROR(VLOOKUP($F:$F,scan!$A:$B,2,0),"**")</f>
        <v>**</v>
      </c>
      <c r="B228" s="13" t="str">
        <f>IFERROR(VLOOKUP($F228,scan!A:C,3,0),"**")</f>
        <v>**</v>
      </c>
      <c r="C228" s="42">
        <v>227</v>
      </c>
      <c r="D228" s="42" t="s">
        <v>4936</v>
      </c>
      <c r="E228" s="42" t="s">
        <v>4937</v>
      </c>
      <c r="H228" s="42" t="s">
        <v>4936</v>
      </c>
      <c r="I228" s="42" t="s">
        <v>4938</v>
      </c>
      <c r="J228" s="42" t="s">
        <v>4939</v>
      </c>
      <c r="K228" s="42" t="e">
        <f>VLOOKUP(F228,Input!C:M,9,0)</f>
        <v>#N/A</v>
      </c>
      <c r="L228" s="42" t="e">
        <f>VLOOKUP(F228,Input!C:M,10,0)</f>
        <v>#N/A</v>
      </c>
      <c r="M228" s="42" t="e">
        <f>VLOOKUP(F228,Input!C:M,11,0)</f>
        <v>#N/A</v>
      </c>
      <c r="N228" s="43" t="str">
        <f t="shared" si="3"/>
        <v>227,227,**</v>
      </c>
      <c r="O228" s="42">
        <v>227</v>
      </c>
    </row>
    <row r="229" spans="1:15" ht="14.25">
      <c r="A229" s="13" t="str">
        <f>IFERROR(VLOOKUP($F:$F,scan!$A:$B,2,0),"**")</f>
        <v>**</v>
      </c>
      <c r="B229" s="13" t="str">
        <f>IFERROR(VLOOKUP($F229,scan!A:C,3,0),"**")</f>
        <v>**</v>
      </c>
      <c r="C229" s="42">
        <v>228</v>
      </c>
      <c r="D229" s="42" t="s">
        <v>4936</v>
      </c>
      <c r="E229" s="42" t="s">
        <v>4937</v>
      </c>
      <c r="H229" s="42" t="s">
        <v>4936</v>
      </c>
      <c r="I229" s="42" t="s">
        <v>4938</v>
      </c>
      <c r="J229" s="42" t="s">
        <v>4939</v>
      </c>
      <c r="K229" s="42" t="e">
        <f>VLOOKUP(F229,Input!C:M,9,0)</f>
        <v>#N/A</v>
      </c>
      <c r="L229" s="42" t="e">
        <f>VLOOKUP(F229,Input!C:M,10,0)</f>
        <v>#N/A</v>
      </c>
      <c r="M229" s="42" t="e">
        <f>VLOOKUP(F229,Input!C:M,11,0)</f>
        <v>#N/A</v>
      </c>
      <c r="N229" s="43" t="str">
        <f t="shared" si="3"/>
        <v>228,228,**</v>
      </c>
      <c r="O229" s="42">
        <v>228</v>
      </c>
    </row>
    <row r="230" spans="1:15" ht="14.25">
      <c r="A230" s="13" t="str">
        <f>IFERROR(VLOOKUP($F:$F,scan!$A:$B,2,0),"**")</f>
        <v>**</v>
      </c>
      <c r="B230" s="13" t="str">
        <f>IFERROR(VLOOKUP($F230,scan!A:C,3,0),"**")</f>
        <v>**</v>
      </c>
      <c r="C230" s="42">
        <v>229</v>
      </c>
      <c r="D230" s="42" t="s">
        <v>4936</v>
      </c>
      <c r="E230" s="42" t="s">
        <v>4937</v>
      </c>
      <c r="H230" s="42" t="s">
        <v>4936</v>
      </c>
      <c r="I230" s="42" t="s">
        <v>4938</v>
      </c>
      <c r="J230" s="42" t="s">
        <v>4939</v>
      </c>
      <c r="K230" s="42" t="e">
        <f>VLOOKUP(F230,Input!C:M,9,0)</f>
        <v>#N/A</v>
      </c>
      <c r="L230" s="42" t="e">
        <f>VLOOKUP(F230,Input!C:M,10,0)</f>
        <v>#N/A</v>
      </c>
      <c r="M230" s="42" t="e">
        <f>VLOOKUP(F230,Input!C:M,11,0)</f>
        <v>#N/A</v>
      </c>
      <c r="N230" s="43" t="str">
        <f t="shared" si="3"/>
        <v>229,229,**</v>
      </c>
      <c r="O230" s="42">
        <v>229</v>
      </c>
    </row>
    <row r="231" spans="1:15" ht="14.25">
      <c r="A231" s="13" t="str">
        <f>IFERROR(VLOOKUP($F:$F,scan!$A:$B,2,0),"**")</f>
        <v>**</v>
      </c>
      <c r="B231" s="13" t="str">
        <f>IFERROR(VLOOKUP($F231,scan!A:C,3,0),"**")</f>
        <v>**</v>
      </c>
      <c r="C231" s="42">
        <v>230</v>
      </c>
      <c r="D231" s="42" t="s">
        <v>4936</v>
      </c>
      <c r="E231" s="42" t="s">
        <v>4937</v>
      </c>
      <c r="H231" s="42" t="s">
        <v>4936</v>
      </c>
      <c r="I231" s="42" t="s">
        <v>4938</v>
      </c>
      <c r="J231" s="42" t="s">
        <v>4939</v>
      </c>
      <c r="K231" s="42" t="e">
        <f>VLOOKUP(F231,Input!C:M,9,0)</f>
        <v>#N/A</v>
      </c>
      <c r="L231" s="42" t="e">
        <f>VLOOKUP(F231,Input!C:M,10,0)</f>
        <v>#N/A</v>
      </c>
      <c r="M231" s="42" t="e">
        <f>VLOOKUP(F231,Input!C:M,11,0)</f>
        <v>#N/A</v>
      </c>
      <c r="N231" s="43" t="str">
        <f t="shared" si="3"/>
        <v>230,230,**</v>
      </c>
      <c r="O231" s="42">
        <v>230</v>
      </c>
    </row>
    <row r="232" spans="1:15" ht="14.25">
      <c r="A232" s="13" t="str">
        <f>IFERROR(VLOOKUP($F:$F,scan!$A:$B,2,0),"**")</f>
        <v>**</v>
      </c>
      <c r="B232" s="13" t="str">
        <f>IFERROR(VLOOKUP($F232,scan!A:C,3,0),"**")</f>
        <v>**</v>
      </c>
      <c r="C232" s="42">
        <v>231</v>
      </c>
      <c r="D232" s="42" t="s">
        <v>4936</v>
      </c>
      <c r="E232" s="42" t="s">
        <v>4937</v>
      </c>
      <c r="H232" s="42" t="s">
        <v>4936</v>
      </c>
      <c r="I232" s="42" t="s">
        <v>4938</v>
      </c>
      <c r="J232" s="42" t="s">
        <v>4939</v>
      </c>
      <c r="K232" s="42" t="e">
        <f>VLOOKUP(F232,Input!C:M,9,0)</f>
        <v>#N/A</v>
      </c>
      <c r="L232" s="42" t="e">
        <f>VLOOKUP(F232,Input!C:M,10,0)</f>
        <v>#N/A</v>
      </c>
      <c r="M232" s="42" t="e">
        <f>VLOOKUP(F232,Input!C:M,11,0)</f>
        <v>#N/A</v>
      </c>
      <c r="N232" s="43" t="str">
        <f t="shared" si="3"/>
        <v>231,231,**</v>
      </c>
      <c r="O232" s="42">
        <v>231</v>
      </c>
    </row>
    <row r="233" spans="1:15" ht="14.25">
      <c r="A233" s="13" t="str">
        <f>IFERROR(VLOOKUP($F:$F,scan!$A:$B,2,0),"**")</f>
        <v>**</v>
      </c>
      <c r="B233" s="13" t="str">
        <f>IFERROR(VLOOKUP($F233,scan!A:C,3,0),"**")</f>
        <v>**</v>
      </c>
      <c r="C233" s="42">
        <v>232</v>
      </c>
      <c r="D233" s="42" t="s">
        <v>4936</v>
      </c>
      <c r="E233" s="42" t="s">
        <v>4937</v>
      </c>
      <c r="H233" s="42" t="s">
        <v>4936</v>
      </c>
      <c r="I233" s="42" t="s">
        <v>4938</v>
      </c>
      <c r="J233" s="42" t="s">
        <v>4939</v>
      </c>
      <c r="K233" s="42" t="e">
        <f>VLOOKUP(F233,Input!C:M,9,0)</f>
        <v>#N/A</v>
      </c>
      <c r="L233" s="42" t="e">
        <f>VLOOKUP(F233,Input!C:M,10,0)</f>
        <v>#N/A</v>
      </c>
      <c r="M233" s="42" t="e">
        <f>VLOOKUP(F233,Input!C:M,11,0)</f>
        <v>#N/A</v>
      </c>
      <c r="N233" s="43" t="str">
        <f t="shared" si="3"/>
        <v>232,232,**</v>
      </c>
      <c r="O233" s="42">
        <v>232</v>
      </c>
    </row>
    <row r="234" spans="1:15" ht="14.25">
      <c r="A234" s="13" t="str">
        <f>IFERROR(VLOOKUP($F:$F,scan!$A:$B,2,0),"**")</f>
        <v>**</v>
      </c>
      <c r="B234" s="13" t="str">
        <f>IFERROR(VLOOKUP($F234,scan!A:C,3,0),"**")</f>
        <v>**</v>
      </c>
      <c r="C234" s="42">
        <v>233</v>
      </c>
      <c r="D234" s="42" t="s">
        <v>4936</v>
      </c>
      <c r="E234" s="42" t="s">
        <v>4937</v>
      </c>
      <c r="H234" s="42" t="s">
        <v>4936</v>
      </c>
      <c r="I234" s="42" t="s">
        <v>4938</v>
      </c>
      <c r="J234" s="42" t="s">
        <v>4939</v>
      </c>
      <c r="K234" s="42" t="e">
        <f>VLOOKUP(F234,Input!C:M,9,0)</f>
        <v>#N/A</v>
      </c>
      <c r="L234" s="42" t="e">
        <f>VLOOKUP(F234,Input!C:M,10,0)</f>
        <v>#N/A</v>
      </c>
      <c r="M234" s="42" t="e">
        <f>VLOOKUP(F234,Input!C:M,11,0)</f>
        <v>#N/A</v>
      </c>
      <c r="N234" s="43" t="str">
        <f t="shared" si="3"/>
        <v>233,233,**</v>
      </c>
      <c r="O234" s="42">
        <v>233</v>
      </c>
    </row>
    <row r="235" spans="1:15" ht="14.25">
      <c r="A235" s="13" t="str">
        <f>IFERROR(VLOOKUP($F:$F,scan!$A:$B,2,0),"**")</f>
        <v>**</v>
      </c>
      <c r="B235" s="13" t="str">
        <f>IFERROR(VLOOKUP($F235,scan!A:C,3,0),"**")</f>
        <v>**</v>
      </c>
      <c r="C235" s="42">
        <v>234</v>
      </c>
      <c r="D235" s="42" t="s">
        <v>4936</v>
      </c>
      <c r="E235" s="42" t="s">
        <v>4937</v>
      </c>
      <c r="H235" s="42" t="s">
        <v>4936</v>
      </c>
      <c r="I235" s="42" t="s">
        <v>4938</v>
      </c>
      <c r="J235" s="42" t="s">
        <v>4939</v>
      </c>
      <c r="K235" s="42" t="e">
        <f>VLOOKUP(F235,Input!C:M,9,0)</f>
        <v>#N/A</v>
      </c>
      <c r="L235" s="42" t="e">
        <f>VLOOKUP(F235,Input!C:M,10,0)</f>
        <v>#N/A</v>
      </c>
      <c r="M235" s="42" t="e">
        <f>VLOOKUP(F235,Input!C:M,11,0)</f>
        <v>#N/A</v>
      </c>
      <c r="N235" s="43" t="str">
        <f t="shared" si="3"/>
        <v>234,234,**</v>
      </c>
      <c r="O235" s="42">
        <v>234</v>
      </c>
    </row>
    <row r="236" spans="1:15" ht="14.25">
      <c r="A236" s="13" t="str">
        <f>IFERROR(VLOOKUP($F:$F,scan!$A:$B,2,0),"**")</f>
        <v>**</v>
      </c>
      <c r="B236" s="13" t="str">
        <f>IFERROR(VLOOKUP($F236,scan!A:C,3,0),"**")</f>
        <v>**</v>
      </c>
      <c r="C236" s="42">
        <v>235</v>
      </c>
      <c r="D236" s="42" t="s">
        <v>4936</v>
      </c>
      <c r="E236" s="42" t="s">
        <v>4937</v>
      </c>
      <c r="H236" s="42" t="s">
        <v>4936</v>
      </c>
      <c r="I236" s="42" t="s">
        <v>4938</v>
      </c>
      <c r="J236" s="42" t="s">
        <v>4939</v>
      </c>
      <c r="K236" s="42" t="e">
        <f>VLOOKUP(F236,Input!C:M,9,0)</f>
        <v>#N/A</v>
      </c>
      <c r="L236" s="42" t="e">
        <f>VLOOKUP(F236,Input!C:M,10,0)</f>
        <v>#N/A</v>
      </c>
      <c r="M236" s="42" t="e">
        <f>VLOOKUP(F236,Input!C:M,11,0)</f>
        <v>#N/A</v>
      </c>
      <c r="N236" s="43" t="str">
        <f t="shared" si="3"/>
        <v>235,235,**</v>
      </c>
      <c r="O236" s="42">
        <v>235</v>
      </c>
    </row>
    <row r="237" spans="1:15" ht="14.25">
      <c r="A237" s="13" t="str">
        <f>IFERROR(VLOOKUP($F:$F,scan!$A:$B,2,0),"**")</f>
        <v>**</v>
      </c>
      <c r="B237" s="13" t="str">
        <f>IFERROR(VLOOKUP($F237,scan!A:C,3,0),"**")</f>
        <v>**</v>
      </c>
      <c r="C237" s="42">
        <v>236</v>
      </c>
      <c r="D237" s="42" t="s">
        <v>4936</v>
      </c>
      <c r="E237" s="42" t="s">
        <v>4937</v>
      </c>
      <c r="H237" s="42" t="s">
        <v>4936</v>
      </c>
      <c r="I237" s="42" t="s">
        <v>4938</v>
      </c>
      <c r="J237" s="42" t="s">
        <v>4939</v>
      </c>
      <c r="K237" s="42" t="e">
        <f>VLOOKUP(F237,Input!C:M,9,0)</f>
        <v>#N/A</v>
      </c>
      <c r="L237" s="42" t="e">
        <f>VLOOKUP(F237,Input!C:M,10,0)</f>
        <v>#N/A</v>
      </c>
      <c r="M237" s="42" t="e">
        <f>VLOOKUP(F237,Input!C:M,11,0)</f>
        <v>#N/A</v>
      </c>
      <c r="N237" s="43" t="str">
        <f t="shared" si="3"/>
        <v>236,236,**</v>
      </c>
      <c r="O237" s="42">
        <v>236</v>
      </c>
    </row>
    <row r="238" spans="1:15" ht="14.25">
      <c r="A238" s="13" t="str">
        <f>IFERROR(VLOOKUP($F:$F,scan!$A:$B,2,0),"**")</f>
        <v>**</v>
      </c>
      <c r="B238" s="13" t="str">
        <f>IFERROR(VLOOKUP($F238,scan!A:C,3,0),"**")</f>
        <v>**</v>
      </c>
      <c r="C238" s="42">
        <v>237</v>
      </c>
      <c r="D238" s="42" t="s">
        <v>4936</v>
      </c>
      <c r="E238" s="42" t="s">
        <v>4937</v>
      </c>
      <c r="H238" s="42" t="s">
        <v>4936</v>
      </c>
      <c r="I238" s="42" t="s">
        <v>4938</v>
      </c>
      <c r="J238" s="42" t="s">
        <v>4939</v>
      </c>
      <c r="K238" s="42" t="e">
        <f>VLOOKUP(F238,Input!C:M,9,0)</f>
        <v>#N/A</v>
      </c>
      <c r="L238" s="42" t="e">
        <f>VLOOKUP(F238,Input!C:M,10,0)</f>
        <v>#N/A</v>
      </c>
      <c r="M238" s="42" t="e">
        <f>VLOOKUP(F238,Input!C:M,11,0)</f>
        <v>#N/A</v>
      </c>
      <c r="N238" s="43" t="str">
        <f t="shared" si="3"/>
        <v>237,237,**</v>
      </c>
      <c r="O238" s="42">
        <v>237</v>
      </c>
    </row>
    <row r="239" spans="1:15" ht="14.25">
      <c r="A239" s="13" t="str">
        <f>IFERROR(VLOOKUP($F:$F,scan!$A:$B,2,0),"**")</f>
        <v>**</v>
      </c>
      <c r="B239" s="13" t="str">
        <f>IFERROR(VLOOKUP($F239,scan!A:C,3,0),"**")</f>
        <v>**</v>
      </c>
      <c r="C239" s="42">
        <v>238</v>
      </c>
      <c r="D239" s="42" t="s">
        <v>4936</v>
      </c>
      <c r="E239" s="42" t="s">
        <v>4937</v>
      </c>
      <c r="H239" s="42" t="s">
        <v>4936</v>
      </c>
      <c r="I239" s="42" t="s">
        <v>4938</v>
      </c>
      <c r="J239" s="42" t="s">
        <v>4939</v>
      </c>
      <c r="K239" s="42" t="e">
        <f>VLOOKUP(F239,Input!C:M,9,0)</f>
        <v>#N/A</v>
      </c>
      <c r="L239" s="42" t="e">
        <f>VLOOKUP(F239,Input!C:M,10,0)</f>
        <v>#N/A</v>
      </c>
      <c r="M239" s="42" t="e">
        <f>VLOOKUP(F239,Input!C:M,11,0)</f>
        <v>#N/A</v>
      </c>
      <c r="N239" s="43" t="str">
        <f t="shared" si="3"/>
        <v>238,238,**</v>
      </c>
      <c r="O239" s="42">
        <v>238</v>
      </c>
    </row>
    <row r="240" spans="1:15" ht="14.25">
      <c r="A240" s="13" t="str">
        <f>IFERROR(VLOOKUP($F:$F,scan!$A:$B,2,0),"**")</f>
        <v>**</v>
      </c>
      <c r="B240" s="13" t="str">
        <f>IFERROR(VLOOKUP($F240,scan!A:C,3,0),"**")</f>
        <v>**</v>
      </c>
      <c r="C240" s="42">
        <v>239</v>
      </c>
      <c r="D240" s="42" t="s">
        <v>4936</v>
      </c>
      <c r="E240" s="42" t="s">
        <v>4937</v>
      </c>
      <c r="H240" s="42" t="s">
        <v>4936</v>
      </c>
      <c r="I240" s="42" t="s">
        <v>4938</v>
      </c>
      <c r="J240" s="42" t="s">
        <v>4939</v>
      </c>
      <c r="K240" s="42" t="e">
        <f>VLOOKUP(F240,Input!C:M,9,0)</f>
        <v>#N/A</v>
      </c>
      <c r="L240" s="42" t="e">
        <f>VLOOKUP(F240,Input!C:M,10,0)</f>
        <v>#N/A</v>
      </c>
      <c r="M240" s="42" t="e">
        <f>VLOOKUP(F240,Input!C:M,11,0)</f>
        <v>#N/A</v>
      </c>
      <c r="N240" s="43" t="str">
        <f t="shared" si="3"/>
        <v>239,239,**</v>
      </c>
      <c r="O240" s="42">
        <v>239</v>
      </c>
    </row>
    <row r="241" spans="1:15" ht="14.25">
      <c r="A241" s="13" t="str">
        <f>IFERROR(VLOOKUP($F:$F,scan!$A:$B,2,0),"**")</f>
        <v>**</v>
      </c>
      <c r="B241" s="13" t="str">
        <f>IFERROR(VLOOKUP($F241,scan!A:C,3,0),"**")</f>
        <v>**</v>
      </c>
      <c r="C241" s="42">
        <v>240</v>
      </c>
      <c r="D241" s="42" t="s">
        <v>4936</v>
      </c>
      <c r="E241" s="42" t="s">
        <v>4937</v>
      </c>
      <c r="H241" s="42" t="s">
        <v>4936</v>
      </c>
      <c r="I241" s="42" t="s">
        <v>4938</v>
      </c>
      <c r="J241" s="42" t="s">
        <v>4939</v>
      </c>
      <c r="K241" s="42" t="e">
        <f>VLOOKUP(F241,Input!C:M,9,0)</f>
        <v>#N/A</v>
      </c>
      <c r="L241" s="42" t="e">
        <f>VLOOKUP(F241,Input!C:M,10,0)</f>
        <v>#N/A</v>
      </c>
      <c r="M241" s="42" t="e">
        <f>VLOOKUP(F241,Input!C:M,11,0)</f>
        <v>#N/A</v>
      </c>
      <c r="N241" s="43" t="str">
        <f t="shared" si="3"/>
        <v>240,240,**</v>
      </c>
      <c r="O241" s="42">
        <v>240</v>
      </c>
    </row>
    <row r="242" spans="1:15" ht="14.25">
      <c r="A242" s="13" t="str">
        <f>IFERROR(VLOOKUP($F:$F,scan!$A:$B,2,0),"**")</f>
        <v>**</v>
      </c>
      <c r="B242" s="13" t="str">
        <f>IFERROR(VLOOKUP($F242,scan!A:C,3,0),"**")</f>
        <v>**</v>
      </c>
      <c r="C242" s="42">
        <v>241</v>
      </c>
      <c r="D242" s="42" t="s">
        <v>4936</v>
      </c>
      <c r="E242" s="42" t="s">
        <v>4937</v>
      </c>
      <c r="H242" s="42" t="s">
        <v>4936</v>
      </c>
      <c r="I242" s="42" t="s">
        <v>4938</v>
      </c>
      <c r="J242" s="42" t="s">
        <v>4939</v>
      </c>
      <c r="K242" s="42" t="e">
        <f>VLOOKUP(F242,Input!C:M,9,0)</f>
        <v>#N/A</v>
      </c>
      <c r="L242" s="42" t="e">
        <f>VLOOKUP(F242,Input!C:M,10,0)</f>
        <v>#N/A</v>
      </c>
      <c r="M242" s="42" t="e">
        <f>VLOOKUP(F242,Input!C:M,11,0)</f>
        <v>#N/A</v>
      </c>
      <c r="N242" s="43" t="str">
        <f t="shared" si="3"/>
        <v>241,241,**</v>
      </c>
      <c r="O242" s="42">
        <v>241</v>
      </c>
    </row>
    <row r="243" spans="1:15" ht="14.25">
      <c r="A243" s="13" t="str">
        <f>IFERROR(VLOOKUP($F:$F,scan!$A:$B,2,0),"**")</f>
        <v>**</v>
      </c>
      <c r="B243" s="13" t="str">
        <f>IFERROR(VLOOKUP($F243,scan!A:C,3,0),"**")</f>
        <v>**</v>
      </c>
      <c r="C243" s="42">
        <v>242</v>
      </c>
      <c r="D243" s="42" t="s">
        <v>4936</v>
      </c>
      <c r="E243" s="42" t="s">
        <v>4937</v>
      </c>
      <c r="H243" s="42" t="s">
        <v>4936</v>
      </c>
      <c r="I243" s="42" t="s">
        <v>4938</v>
      </c>
      <c r="J243" s="42" t="s">
        <v>4939</v>
      </c>
      <c r="K243" s="42" t="e">
        <f>VLOOKUP(F243,Input!C:M,9,0)</f>
        <v>#N/A</v>
      </c>
      <c r="L243" s="42" t="e">
        <f>VLOOKUP(F243,Input!C:M,10,0)</f>
        <v>#N/A</v>
      </c>
      <c r="M243" s="42" t="e">
        <f>VLOOKUP(F243,Input!C:M,11,0)</f>
        <v>#N/A</v>
      </c>
      <c r="N243" s="43" t="str">
        <f t="shared" si="3"/>
        <v>242,242,**</v>
      </c>
      <c r="O243" s="42">
        <v>242</v>
      </c>
    </row>
    <row r="244" spans="1:15" ht="14.25">
      <c r="A244" s="13" t="str">
        <f>IFERROR(VLOOKUP($F:$F,scan!$A:$B,2,0),"**")</f>
        <v>**</v>
      </c>
      <c r="B244" s="13" t="str">
        <f>IFERROR(VLOOKUP($F244,scan!A:C,3,0),"**")</f>
        <v>**</v>
      </c>
      <c r="C244" s="42">
        <v>243</v>
      </c>
      <c r="D244" s="42" t="s">
        <v>4936</v>
      </c>
      <c r="E244" s="42" t="s">
        <v>4937</v>
      </c>
      <c r="H244" s="42" t="s">
        <v>4936</v>
      </c>
      <c r="I244" s="42" t="s">
        <v>4938</v>
      </c>
      <c r="J244" s="42" t="s">
        <v>4939</v>
      </c>
      <c r="K244" s="42" t="e">
        <f>VLOOKUP(F244,Input!C:M,9,0)</f>
        <v>#N/A</v>
      </c>
      <c r="L244" s="42" t="e">
        <f>VLOOKUP(F244,Input!C:M,10,0)</f>
        <v>#N/A</v>
      </c>
      <c r="M244" s="42" t="e">
        <f>VLOOKUP(F244,Input!C:M,11,0)</f>
        <v>#N/A</v>
      </c>
      <c r="N244" s="43" t="str">
        <f t="shared" si="3"/>
        <v>243,243,**</v>
      </c>
      <c r="O244" s="42">
        <v>243</v>
      </c>
    </row>
    <row r="245" spans="1:15" ht="14.25">
      <c r="A245" s="13" t="str">
        <f>IFERROR(VLOOKUP($F:$F,scan!$A:$B,2,0),"**")</f>
        <v>**</v>
      </c>
      <c r="B245" s="13" t="str">
        <f>IFERROR(VLOOKUP($F245,scan!A:C,3,0),"**")</f>
        <v>**</v>
      </c>
      <c r="C245" s="42">
        <v>244</v>
      </c>
      <c r="D245" s="42" t="s">
        <v>4936</v>
      </c>
      <c r="E245" s="42" t="s">
        <v>4937</v>
      </c>
      <c r="H245" s="42" t="s">
        <v>4936</v>
      </c>
      <c r="I245" s="42" t="s">
        <v>4938</v>
      </c>
      <c r="J245" s="42" t="s">
        <v>4939</v>
      </c>
      <c r="K245" s="42" t="e">
        <f>VLOOKUP(F245,Input!C:M,9,0)</f>
        <v>#N/A</v>
      </c>
      <c r="L245" s="42" t="e">
        <f>VLOOKUP(F245,Input!C:M,10,0)</f>
        <v>#N/A</v>
      </c>
      <c r="M245" s="42" t="e">
        <f>VLOOKUP(F245,Input!C:M,11,0)</f>
        <v>#N/A</v>
      </c>
      <c r="N245" s="43" t="str">
        <f t="shared" si="3"/>
        <v>244,244,**</v>
      </c>
      <c r="O245" s="42">
        <v>244</v>
      </c>
    </row>
    <row r="246" spans="1:15" ht="14.25">
      <c r="A246" s="13" t="str">
        <f>IFERROR(VLOOKUP($F:$F,scan!$A:$B,2,0),"**")</f>
        <v>**</v>
      </c>
      <c r="B246" s="13" t="str">
        <f>IFERROR(VLOOKUP($F246,scan!A:C,3,0),"**")</f>
        <v>**</v>
      </c>
      <c r="C246" s="42">
        <v>245</v>
      </c>
      <c r="D246" s="42" t="s">
        <v>4936</v>
      </c>
      <c r="E246" s="42" t="s">
        <v>4937</v>
      </c>
      <c r="H246" s="42" t="s">
        <v>4936</v>
      </c>
      <c r="I246" s="42" t="s">
        <v>4938</v>
      </c>
      <c r="J246" s="42" t="s">
        <v>4939</v>
      </c>
      <c r="K246" s="42" t="e">
        <f>VLOOKUP(F246,Input!C:M,9,0)</f>
        <v>#N/A</v>
      </c>
      <c r="L246" s="42" t="e">
        <f>VLOOKUP(F246,Input!C:M,10,0)</f>
        <v>#N/A</v>
      </c>
      <c r="M246" s="42" t="e">
        <f>VLOOKUP(F246,Input!C:M,11,0)</f>
        <v>#N/A</v>
      </c>
      <c r="N246" s="43" t="str">
        <f t="shared" si="3"/>
        <v>245,245,**</v>
      </c>
      <c r="O246" s="42">
        <v>245</v>
      </c>
    </row>
    <row r="247" spans="1:15" ht="14.25">
      <c r="A247" s="13" t="str">
        <f>IFERROR(VLOOKUP($F:$F,scan!$A:$B,2,0),"**")</f>
        <v>**</v>
      </c>
      <c r="B247" s="13" t="str">
        <f>IFERROR(VLOOKUP($F247,scan!A:C,3,0),"**")</f>
        <v>**</v>
      </c>
      <c r="C247" s="42">
        <v>246</v>
      </c>
      <c r="D247" s="42" t="s">
        <v>4936</v>
      </c>
      <c r="E247" s="42" t="s">
        <v>4937</v>
      </c>
      <c r="H247" s="42" t="s">
        <v>4936</v>
      </c>
      <c r="I247" s="42" t="s">
        <v>4938</v>
      </c>
      <c r="J247" s="42" t="s">
        <v>4939</v>
      </c>
      <c r="K247" s="42" t="e">
        <f>VLOOKUP(F247,Input!C:M,9,0)</f>
        <v>#N/A</v>
      </c>
      <c r="L247" s="42" t="e">
        <f>VLOOKUP(F247,Input!C:M,10,0)</f>
        <v>#N/A</v>
      </c>
      <c r="M247" s="42" t="e">
        <f>VLOOKUP(F247,Input!C:M,11,0)</f>
        <v>#N/A</v>
      </c>
      <c r="N247" s="43" t="str">
        <f t="shared" si="3"/>
        <v>246,246,**</v>
      </c>
      <c r="O247" s="42">
        <v>246</v>
      </c>
    </row>
    <row r="248" spans="1:15" ht="14.25">
      <c r="A248" s="13" t="str">
        <f>IFERROR(VLOOKUP($F:$F,scan!$A:$B,2,0),"**")</f>
        <v>**</v>
      </c>
      <c r="B248" s="13" t="str">
        <f>IFERROR(VLOOKUP($F248,scan!A:C,3,0),"**")</f>
        <v>**</v>
      </c>
      <c r="C248" s="42">
        <v>247</v>
      </c>
      <c r="D248" s="42" t="s">
        <v>4936</v>
      </c>
      <c r="E248" s="42" t="s">
        <v>4937</v>
      </c>
      <c r="H248" s="42" t="s">
        <v>4936</v>
      </c>
      <c r="I248" s="42" t="s">
        <v>4938</v>
      </c>
      <c r="J248" s="42" t="s">
        <v>4939</v>
      </c>
      <c r="K248" s="42" t="e">
        <f>VLOOKUP(F248,Input!C:M,9,0)</f>
        <v>#N/A</v>
      </c>
      <c r="L248" s="42" t="e">
        <f>VLOOKUP(F248,Input!C:M,10,0)</f>
        <v>#N/A</v>
      </c>
      <c r="M248" s="42" t="e">
        <f>VLOOKUP(F248,Input!C:M,11,0)</f>
        <v>#N/A</v>
      </c>
      <c r="N248" s="43" t="str">
        <f t="shared" si="3"/>
        <v>247,247,**</v>
      </c>
      <c r="O248" s="42">
        <v>247</v>
      </c>
    </row>
    <row r="249" spans="1:15" ht="14.25">
      <c r="A249" s="13" t="str">
        <f>IFERROR(VLOOKUP($F:$F,scan!$A:$B,2,0),"**")</f>
        <v>**</v>
      </c>
      <c r="B249" s="13" t="str">
        <f>IFERROR(VLOOKUP($F249,scan!A:C,3,0),"**")</f>
        <v>**</v>
      </c>
      <c r="C249" s="42">
        <v>248</v>
      </c>
      <c r="D249" s="42" t="s">
        <v>4936</v>
      </c>
      <c r="E249" s="42" t="s">
        <v>4937</v>
      </c>
      <c r="H249" s="42" t="s">
        <v>4936</v>
      </c>
      <c r="I249" s="42" t="s">
        <v>4938</v>
      </c>
      <c r="J249" s="42" t="s">
        <v>4939</v>
      </c>
      <c r="K249" s="42" t="e">
        <f>VLOOKUP(F249,Input!C:M,9,0)</f>
        <v>#N/A</v>
      </c>
      <c r="L249" s="42" t="e">
        <f>VLOOKUP(F249,Input!C:M,10,0)</f>
        <v>#N/A</v>
      </c>
      <c r="M249" s="42" t="e">
        <f>VLOOKUP(F249,Input!C:M,11,0)</f>
        <v>#N/A</v>
      </c>
      <c r="N249" s="43" t="str">
        <f t="shared" si="3"/>
        <v>248,248,**</v>
      </c>
      <c r="O249" s="42">
        <v>248</v>
      </c>
    </row>
    <row r="250" spans="1:15" ht="14.25">
      <c r="A250" s="13" t="str">
        <f>IFERROR(VLOOKUP($F:$F,scan!$A:$B,2,0),"**")</f>
        <v>**</v>
      </c>
      <c r="B250" s="13" t="str">
        <f>IFERROR(VLOOKUP($F250,scan!A:C,3,0),"**")</f>
        <v>**</v>
      </c>
      <c r="C250" s="42">
        <v>249</v>
      </c>
      <c r="D250" s="42" t="s">
        <v>4936</v>
      </c>
      <c r="E250" s="42" t="s">
        <v>4937</v>
      </c>
      <c r="H250" s="42" t="s">
        <v>4936</v>
      </c>
      <c r="I250" s="42" t="s">
        <v>4938</v>
      </c>
      <c r="J250" s="42" t="s">
        <v>4939</v>
      </c>
      <c r="K250" s="42" t="e">
        <f>VLOOKUP(F250,Input!C:M,9,0)</f>
        <v>#N/A</v>
      </c>
      <c r="L250" s="42" t="e">
        <f>VLOOKUP(F250,Input!C:M,10,0)</f>
        <v>#N/A</v>
      </c>
      <c r="M250" s="42" t="e">
        <f>VLOOKUP(F250,Input!C:M,11,0)</f>
        <v>#N/A</v>
      </c>
      <c r="N250" s="43" t="str">
        <f t="shared" si="3"/>
        <v>249,249,**</v>
      </c>
      <c r="O250" s="42">
        <v>249</v>
      </c>
    </row>
    <row r="251" spans="1:15" ht="14.25">
      <c r="A251" s="13" t="str">
        <f>IFERROR(VLOOKUP($F:$F,scan!$A:$B,2,0),"**")</f>
        <v>**</v>
      </c>
      <c r="B251" s="13" t="str">
        <f>IFERROR(VLOOKUP($F251,scan!A:C,3,0),"**")</f>
        <v>**</v>
      </c>
      <c r="C251" s="42">
        <v>250</v>
      </c>
      <c r="D251" s="42" t="s">
        <v>4936</v>
      </c>
      <c r="E251" s="42" t="s">
        <v>4937</v>
      </c>
      <c r="H251" s="42" t="s">
        <v>4936</v>
      </c>
      <c r="I251" s="42" t="s">
        <v>4938</v>
      </c>
      <c r="J251" s="42" t="s">
        <v>4939</v>
      </c>
      <c r="K251" s="42" t="e">
        <f>VLOOKUP(F251,Input!C:M,9,0)</f>
        <v>#N/A</v>
      </c>
      <c r="L251" s="42" t="e">
        <f>VLOOKUP(F251,Input!C:M,10,0)</f>
        <v>#N/A</v>
      </c>
      <c r="M251" s="42" t="e">
        <f>VLOOKUP(F251,Input!C:M,11,0)</f>
        <v>#N/A</v>
      </c>
      <c r="N251" s="43" t="str">
        <f t="shared" si="3"/>
        <v>250,250,**</v>
      </c>
      <c r="O251" s="42">
        <v>250</v>
      </c>
    </row>
    <row r="252" spans="1:15" ht="14.25">
      <c r="A252" s="13" t="str">
        <f>IFERROR(VLOOKUP($F:$F,scan!$A:$B,2,0),"**")</f>
        <v>**</v>
      </c>
      <c r="B252" s="13" t="str">
        <f>IFERROR(VLOOKUP($F252,scan!A:C,3,0),"**")</f>
        <v>**</v>
      </c>
      <c r="C252" s="42">
        <v>251</v>
      </c>
      <c r="D252" s="42" t="s">
        <v>4936</v>
      </c>
      <c r="E252" s="42" t="s">
        <v>4937</v>
      </c>
      <c r="H252" s="42" t="s">
        <v>4936</v>
      </c>
      <c r="I252" s="42" t="s">
        <v>4938</v>
      </c>
      <c r="J252" s="42" t="s">
        <v>4939</v>
      </c>
      <c r="K252" s="42" t="e">
        <f>VLOOKUP(F252,Input!C:M,9,0)</f>
        <v>#N/A</v>
      </c>
      <c r="L252" s="42" t="e">
        <f>VLOOKUP(F252,Input!C:M,10,0)</f>
        <v>#N/A</v>
      </c>
      <c r="M252" s="42" t="e">
        <f>VLOOKUP(F252,Input!C:M,11,0)</f>
        <v>#N/A</v>
      </c>
      <c r="N252" s="43" t="str">
        <f t="shared" si="3"/>
        <v>251,251,**</v>
      </c>
      <c r="O252" s="42">
        <v>251</v>
      </c>
    </row>
    <row r="253" spans="1:15" ht="14.25">
      <c r="A253" s="13" t="str">
        <f>IFERROR(VLOOKUP($F:$F,scan!$A:$B,2,0),"**")</f>
        <v>**</v>
      </c>
      <c r="B253" s="13" t="str">
        <f>IFERROR(VLOOKUP($F253,scan!A:C,3,0),"**")</f>
        <v>**</v>
      </c>
      <c r="C253" s="42">
        <v>252</v>
      </c>
      <c r="D253" s="42" t="s">
        <v>4936</v>
      </c>
      <c r="E253" s="42" t="s">
        <v>4937</v>
      </c>
      <c r="H253" s="42" t="s">
        <v>4936</v>
      </c>
      <c r="I253" s="42" t="s">
        <v>4938</v>
      </c>
      <c r="J253" s="42" t="s">
        <v>4939</v>
      </c>
      <c r="K253" s="42" t="e">
        <f>VLOOKUP(F253,Input!C:M,9,0)</f>
        <v>#N/A</v>
      </c>
      <c r="L253" s="42" t="e">
        <f>VLOOKUP(F253,Input!C:M,10,0)</f>
        <v>#N/A</v>
      </c>
      <c r="M253" s="42" t="e">
        <f>VLOOKUP(F253,Input!C:M,11,0)</f>
        <v>#N/A</v>
      </c>
      <c r="N253" s="43" t="str">
        <f t="shared" si="3"/>
        <v>252,252,**</v>
      </c>
      <c r="O253" s="42">
        <v>252</v>
      </c>
    </row>
    <row r="254" spans="1:15" ht="14.25">
      <c r="A254" s="13" t="str">
        <f>IFERROR(VLOOKUP($F:$F,scan!$A:$B,2,0),"**")</f>
        <v>**</v>
      </c>
      <c r="B254" s="13" t="str">
        <f>IFERROR(VLOOKUP($F254,scan!A:C,3,0),"**")</f>
        <v>**</v>
      </c>
      <c r="C254" s="42">
        <v>253</v>
      </c>
      <c r="D254" s="42" t="s">
        <v>4936</v>
      </c>
      <c r="E254" s="42" t="s">
        <v>4937</v>
      </c>
      <c r="H254" s="42" t="s">
        <v>4936</v>
      </c>
      <c r="I254" s="42" t="s">
        <v>4938</v>
      </c>
      <c r="J254" s="42" t="s">
        <v>4939</v>
      </c>
      <c r="K254" s="42" t="e">
        <f>VLOOKUP(F254,Input!C:M,9,0)</f>
        <v>#N/A</v>
      </c>
      <c r="L254" s="42" t="e">
        <f>VLOOKUP(F254,Input!C:M,10,0)</f>
        <v>#N/A</v>
      </c>
      <c r="M254" s="42" t="e">
        <f>VLOOKUP(F254,Input!C:M,11,0)</f>
        <v>#N/A</v>
      </c>
      <c r="N254" s="43" t="str">
        <f t="shared" si="3"/>
        <v>253,253,**</v>
      </c>
      <c r="O254" s="42">
        <v>253</v>
      </c>
    </row>
    <row r="255" spans="1:15" ht="14.25">
      <c r="A255" s="13" t="str">
        <f>IFERROR(VLOOKUP($F:$F,scan!$A:$B,2,0),"**")</f>
        <v>**</v>
      </c>
      <c r="B255" s="13" t="str">
        <f>IFERROR(VLOOKUP($F255,scan!A:C,3,0),"**")</f>
        <v>**</v>
      </c>
      <c r="C255" s="42">
        <v>254</v>
      </c>
      <c r="D255" s="42" t="s">
        <v>4936</v>
      </c>
      <c r="E255" s="42" t="s">
        <v>4937</v>
      </c>
      <c r="H255" s="42" t="s">
        <v>4936</v>
      </c>
      <c r="I255" s="42" t="s">
        <v>4938</v>
      </c>
      <c r="J255" s="42" t="s">
        <v>4939</v>
      </c>
      <c r="K255" s="42" t="e">
        <f>VLOOKUP(F255,Input!C:M,9,0)</f>
        <v>#N/A</v>
      </c>
      <c r="L255" s="42" t="e">
        <f>VLOOKUP(F255,Input!C:M,10,0)</f>
        <v>#N/A</v>
      </c>
      <c r="M255" s="42" t="e">
        <f>VLOOKUP(F255,Input!C:M,11,0)</f>
        <v>#N/A</v>
      </c>
      <c r="N255" s="43" t="str">
        <f t="shared" si="3"/>
        <v>254,254,**</v>
      </c>
      <c r="O255" s="42">
        <v>254</v>
      </c>
    </row>
    <row r="256" spans="1:15" ht="14.25">
      <c r="A256" s="13" t="str">
        <f>IFERROR(VLOOKUP($F:$F,scan!$A:$B,2,0),"**")</f>
        <v>**</v>
      </c>
      <c r="B256" s="13" t="str">
        <f>IFERROR(VLOOKUP($F256,scan!A:C,3,0),"**")</f>
        <v>**</v>
      </c>
      <c r="C256" s="42">
        <v>255</v>
      </c>
      <c r="D256" s="42" t="s">
        <v>4936</v>
      </c>
      <c r="E256" s="42" t="s">
        <v>4937</v>
      </c>
      <c r="H256" s="42" t="s">
        <v>4936</v>
      </c>
      <c r="I256" s="42" t="s">
        <v>4938</v>
      </c>
      <c r="J256" s="42" t="s">
        <v>4939</v>
      </c>
      <c r="K256" s="42" t="e">
        <f>VLOOKUP(F256,Input!C:M,9,0)</f>
        <v>#N/A</v>
      </c>
      <c r="L256" s="42" t="e">
        <f>VLOOKUP(F256,Input!C:M,10,0)</f>
        <v>#N/A</v>
      </c>
      <c r="M256" s="42" t="e">
        <f>VLOOKUP(F256,Input!C:M,11,0)</f>
        <v>#N/A</v>
      </c>
      <c r="N256" s="43" t="str">
        <f t="shared" si="3"/>
        <v>255,255,**</v>
      </c>
      <c r="O256" s="42">
        <v>255</v>
      </c>
    </row>
    <row r="257" spans="1:15" ht="14.25">
      <c r="A257" s="13" t="str">
        <f>IFERROR(VLOOKUP($F:$F,scan!$A:$B,2,0),"**")</f>
        <v>**</v>
      </c>
      <c r="B257" s="13" t="str">
        <f>IFERROR(VLOOKUP($F257,scan!A:C,3,0),"**")</f>
        <v>**</v>
      </c>
      <c r="C257" s="42">
        <v>256</v>
      </c>
      <c r="D257" s="42" t="s">
        <v>4936</v>
      </c>
      <c r="E257" s="42" t="s">
        <v>4937</v>
      </c>
      <c r="H257" s="42" t="s">
        <v>4936</v>
      </c>
      <c r="I257" s="42" t="s">
        <v>4938</v>
      </c>
      <c r="J257" s="42" t="s">
        <v>4939</v>
      </c>
      <c r="K257" s="42" t="e">
        <f>VLOOKUP(F257,Input!C:M,9,0)</f>
        <v>#N/A</v>
      </c>
      <c r="L257" s="42" t="e">
        <f>VLOOKUP(F257,Input!C:M,10,0)</f>
        <v>#N/A</v>
      </c>
      <c r="M257" s="42" t="e">
        <f>VLOOKUP(F257,Input!C:M,11,0)</f>
        <v>#N/A</v>
      </c>
      <c r="N257" s="43" t="str">
        <f t="shared" si="3"/>
        <v>256,256,**</v>
      </c>
      <c r="O257" s="42">
        <v>256</v>
      </c>
    </row>
    <row r="258" spans="1:15" ht="14.25">
      <c r="A258" s="13" t="str">
        <f>IFERROR(VLOOKUP($F:$F,scan!$A:$B,2,0),"**")</f>
        <v>**</v>
      </c>
      <c r="B258" s="13" t="str">
        <f>IFERROR(VLOOKUP($F258,scan!A:C,3,0),"**")</f>
        <v>**</v>
      </c>
      <c r="C258" s="42">
        <v>257</v>
      </c>
      <c r="D258" s="42" t="s">
        <v>4936</v>
      </c>
      <c r="E258" s="42" t="s">
        <v>4937</v>
      </c>
      <c r="H258" s="42" t="s">
        <v>4936</v>
      </c>
      <c r="I258" s="42" t="s">
        <v>4938</v>
      </c>
      <c r="J258" s="42" t="s">
        <v>4939</v>
      </c>
      <c r="K258" s="42" t="e">
        <f>VLOOKUP(F258,Input!C:M,9,0)</f>
        <v>#N/A</v>
      </c>
      <c r="L258" s="42" t="e">
        <f>VLOOKUP(F258,Input!C:M,10,0)</f>
        <v>#N/A</v>
      </c>
      <c r="M258" s="42" t="e">
        <f>VLOOKUP(F258,Input!C:M,11,0)</f>
        <v>#N/A</v>
      </c>
      <c r="N258" s="43" t="str">
        <f t="shared" si="3"/>
        <v>257,257,**</v>
      </c>
      <c r="O258" s="42">
        <v>257</v>
      </c>
    </row>
    <row r="259" spans="1:15" ht="14.25">
      <c r="A259" s="13" t="str">
        <f>IFERROR(VLOOKUP($F:$F,scan!$A:$B,2,0),"**")</f>
        <v>**</v>
      </c>
      <c r="B259" s="13" t="str">
        <f>IFERROR(VLOOKUP($F259,scan!A:C,3,0),"**")</f>
        <v>**</v>
      </c>
      <c r="C259" s="42">
        <v>258</v>
      </c>
      <c r="D259" s="42" t="s">
        <v>4936</v>
      </c>
      <c r="E259" s="42" t="s">
        <v>4937</v>
      </c>
      <c r="H259" s="42" t="s">
        <v>4936</v>
      </c>
      <c r="I259" s="42" t="s">
        <v>4938</v>
      </c>
      <c r="J259" s="42" t="s">
        <v>4939</v>
      </c>
      <c r="K259" s="42" t="e">
        <f>VLOOKUP(F259,Input!C:M,9,0)</f>
        <v>#N/A</v>
      </c>
      <c r="L259" s="42" t="e">
        <f>VLOOKUP(F259,Input!C:M,10,0)</f>
        <v>#N/A</v>
      </c>
      <c r="M259" s="42" t="e">
        <f>VLOOKUP(F259,Input!C:M,11,0)</f>
        <v>#N/A</v>
      </c>
      <c r="N259" s="43" t="str">
        <f t="shared" ref="N259:N322" si="4">O259&amp;","&amp;C259&amp;","&amp;B259</f>
        <v>258,258,**</v>
      </c>
      <c r="O259" s="42">
        <v>258</v>
      </c>
    </row>
    <row r="260" spans="1:15" ht="14.25">
      <c r="A260" s="13" t="str">
        <f>IFERROR(VLOOKUP($F:$F,scan!$A:$B,2,0),"**")</f>
        <v>**</v>
      </c>
      <c r="B260" s="13" t="str">
        <f>IFERROR(VLOOKUP($F260,scan!A:C,3,0),"**")</f>
        <v>**</v>
      </c>
      <c r="C260" s="42">
        <v>259</v>
      </c>
      <c r="D260" s="42" t="s">
        <v>4936</v>
      </c>
      <c r="E260" s="42" t="s">
        <v>4937</v>
      </c>
      <c r="H260" s="42" t="s">
        <v>4936</v>
      </c>
      <c r="I260" s="42" t="s">
        <v>4938</v>
      </c>
      <c r="J260" s="42" t="s">
        <v>4939</v>
      </c>
      <c r="K260" s="42" t="e">
        <f>VLOOKUP(F260,Input!C:M,9,0)</f>
        <v>#N/A</v>
      </c>
      <c r="L260" s="42" t="e">
        <f>VLOOKUP(F260,Input!C:M,10,0)</f>
        <v>#N/A</v>
      </c>
      <c r="M260" s="42" t="e">
        <f>VLOOKUP(F260,Input!C:M,11,0)</f>
        <v>#N/A</v>
      </c>
      <c r="N260" s="43" t="str">
        <f t="shared" si="4"/>
        <v>259,259,**</v>
      </c>
      <c r="O260" s="42">
        <v>259</v>
      </c>
    </row>
    <row r="261" spans="1:15" ht="14.25">
      <c r="A261" s="13" t="str">
        <f>IFERROR(VLOOKUP($F:$F,scan!$A:$B,2,0),"**")</f>
        <v>**</v>
      </c>
      <c r="B261" s="13" t="str">
        <f>IFERROR(VLOOKUP($F261,scan!A:C,3,0),"**")</f>
        <v>**</v>
      </c>
      <c r="C261" s="42">
        <v>260</v>
      </c>
      <c r="D261" s="42" t="s">
        <v>4936</v>
      </c>
      <c r="E261" s="42" t="s">
        <v>4937</v>
      </c>
      <c r="H261" s="42" t="s">
        <v>4936</v>
      </c>
      <c r="I261" s="42" t="s">
        <v>4938</v>
      </c>
      <c r="J261" s="42" t="s">
        <v>4939</v>
      </c>
      <c r="K261" s="42" t="e">
        <f>VLOOKUP(F261,Input!C:M,9,0)</f>
        <v>#N/A</v>
      </c>
      <c r="L261" s="42" t="e">
        <f>VLOOKUP(F261,Input!C:M,10,0)</f>
        <v>#N/A</v>
      </c>
      <c r="M261" s="42" t="e">
        <f>VLOOKUP(F261,Input!C:M,11,0)</f>
        <v>#N/A</v>
      </c>
      <c r="N261" s="43" t="str">
        <f t="shared" si="4"/>
        <v>260,260,**</v>
      </c>
      <c r="O261" s="42">
        <v>260</v>
      </c>
    </row>
    <row r="262" spans="1:15" ht="14.25">
      <c r="A262" s="13" t="str">
        <f>IFERROR(VLOOKUP($F:$F,scan!$A:$B,2,0),"**")</f>
        <v>**</v>
      </c>
      <c r="B262" s="13" t="str">
        <f>IFERROR(VLOOKUP($F262,scan!A:C,3,0),"**")</f>
        <v>**</v>
      </c>
      <c r="C262" s="42">
        <v>261</v>
      </c>
      <c r="D262" s="42" t="s">
        <v>4936</v>
      </c>
      <c r="E262" s="42" t="s">
        <v>4937</v>
      </c>
      <c r="H262" s="42" t="s">
        <v>4936</v>
      </c>
      <c r="I262" s="42" t="s">
        <v>4938</v>
      </c>
      <c r="J262" s="42" t="s">
        <v>4939</v>
      </c>
      <c r="K262" s="42" t="e">
        <f>VLOOKUP(F262,Input!C:M,9,0)</f>
        <v>#N/A</v>
      </c>
      <c r="L262" s="42" t="e">
        <f>VLOOKUP(F262,Input!C:M,10,0)</f>
        <v>#N/A</v>
      </c>
      <c r="M262" s="42" t="e">
        <f>VLOOKUP(F262,Input!C:M,11,0)</f>
        <v>#N/A</v>
      </c>
      <c r="N262" s="43" t="str">
        <f t="shared" si="4"/>
        <v>261,261,**</v>
      </c>
      <c r="O262" s="42">
        <v>261</v>
      </c>
    </row>
    <row r="263" spans="1:15" ht="14.25">
      <c r="A263" s="13" t="str">
        <f>IFERROR(VLOOKUP($F:$F,scan!$A:$B,2,0),"**")</f>
        <v>**</v>
      </c>
      <c r="B263" s="13" t="str">
        <f>IFERROR(VLOOKUP($F263,scan!A:C,3,0),"**")</f>
        <v>**</v>
      </c>
      <c r="C263" s="42">
        <v>262</v>
      </c>
      <c r="D263" s="42" t="s">
        <v>4936</v>
      </c>
      <c r="E263" s="42" t="s">
        <v>4937</v>
      </c>
      <c r="H263" s="42" t="s">
        <v>4936</v>
      </c>
      <c r="I263" s="42" t="s">
        <v>4938</v>
      </c>
      <c r="J263" s="42" t="s">
        <v>4939</v>
      </c>
      <c r="K263" s="42" t="e">
        <f>VLOOKUP(F263,Input!C:M,9,0)</f>
        <v>#N/A</v>
      </c>
      <c r="L263" s="42" t="e">
        <f>VLOOKUP(F263,Input!C:M,10,0)</f>
        <v>#N/A</v>
      </c>
      <c r="M263" s="42" t="e">
        <f>VLOOKUP(F263,Input!C:M,11,0)</f>
        <v>#N/A</v>
      </c>
      <c r="N263" s="43" t="str">
        <f t="shared" si="4"/>
        <v>262,262,**</v>
      </c>
      <c r="O263" s="42">
        <v>262</v>
      </c>
    </row>
    <row r="264" spans="1:15" ht="14.25">
      <c r="A264" s="13" t="str">
        <f>IFERROR(VLOOKUP($F:$F,scan!$A:$B,2,0),"**")</f>
        <v>**</v>
      </c>
      <c r="B264" s="13" t="str">
        <f>IFERROR(VLOOKUP($F264,scan!A:C,3,0),"**")</f>
        <v>**</v>
      </c>
      <c r="C264" s="42">
        <v>263</v>
      </c>
      <c r="D264" s="42" t="s">
        <v>4936</v>
      </c>
      <c r="E264" s="42" t="s">
        <v>4937</v>
      </c>
      <c r="H264" s="42" t="s">
        <v>4936</v>
      </c>
      <c r="I264" s="42" t="s">
        <v>4938</v>
      </c>
      <c r="J264" s="42" t="s">
        <v>4939</v>
      </c>
      <c r="K264" s="42" t="e">
        <f>VLOOKUP(F264,Input!C:M,9,0)</f>
        <v>#N/A</v>
      </c>
      <c r="L264" s="42" t="e">
        <f>VLOOKUP(F264,Input!C:M,10,0)</f>
        <v>#N/A</v>
      </c>
      <c r="M264" s="42" t="e">
        <f>VLOOKUP(F264,Input!C:M,11,0)</f>
        <v>#N/A</v>
      </c>
      <c r="N264" s="43" t="str">
        <f t="shared" si="4"/>
        <v>263,263,**</v>
      </c>
      <c r="O264" s="42">
        <v>263</v>
      </c>
    </row>
    <row r="265" spans="1:15" ht="14.25">
      <c r="A265" s="13" t="str">
        <f>IFERROR(VLOOKUP($F:$F,scan!$A:$B,2,0),"**")</f>
        <v>**</v>
      </c>
      <c r="B265" s="13" t="str">
        <f>IFERROR(VLOOKUP($F265,scan!A:C,3,0),"**")</f>
        <v>**</v>
      </c>
      <c r="C265" s="42">
        <v>264</v>
      </c>
      <c r="D265" s="42" t="s">
        <v>4936</v>
      </c>
      <c r="E265" s="42" t="s">
        <v>4937</v>
      </c>
      <c r="H265" s="42" t="s">
        <v>4936</v>
      </c>
      <c r="I265" s="42" t="s">
        <v>4938</v>
      </c>
      <c r="J265" s="42" t="s">
        <v>4939</v>
      </c>
      <c r="K265" s="42" t="e">
        <f>VLOOKUP(F265,Input!C:M,9,0)</f>
        <v>#N/A</v>
      </c>
      <c r="L265" s="42" t="e">
        <f>VLOOKUP(F265,Input!C:M,10,0)</f>
        <v>#N/A</v>
      </c>
      <c r="M265" s="42" t="e">
        <f>VLOOKUP(F265,Input!C:M,11,0)</f>
        <v>#N/A</v>
      </c>
      <c r="N265" s="43" t="str">
        <f t="shared" si="4"/>
        <v>264,264,**</v>
      </c>
      <c r="O265" s="42">
        <v>264</v>
      </c>
    </row>
    <row r="266" spans="1:15" ht="14.25">
      <c r="A266" s="13" t="str">
        <f>IFERROR(VLOOKUP($F:$F,scan!$A:$B,2,0),"**")</f>
        <v>**</v>
      </c>
      <c r="B266" s="13" t="str">
        <f>IFERROR(VLOOKUP($F266,scan!A:C,3,0),"**")</f>
        <v>**</v>
      </c>
      <c r="C266" s="42">
        <v>265</v>
      </c>
      <c r="D266" s="42" t="s">
        <v>4936</v>
      </c>
      <c r="E266" s="42" t="s">
        <v>4937</v>
      </c>
      <c r="H266" s="42" t="s">
        <v>4936</v>
      </c>
      <c r="I266" s="42" t="s">
        <v>4938</v>
      </c>
      <c r="J266" s="42" t="s">
        <v>4939</v>
      </c>
      <c r="K266" s="42" t="e">
        <f>VLOOKUP(F266,Input!C:M,9,0)</f>
        <v>#N/A</v>
      </c>
      <c r="L266" s="42" t="e">
        <f>VLOOKUP(F266,Input!C:M,10,0)</f>
        <v>#N/A</v>
      </c>
      <c r="M266" s="42" t="e">
        <f>VLOOKUP(F266,Input!C:M,11,0)</f>
        <v>#N/A</v>
      </c>
      <c r="N266" s="43" t="str">
        <f t="shared" si="4"/>
        <v>265,265,**</v>
      </c>
      <c r="O266" s="42">
        <v>265</v>
      </c>
    </row>
    <row r="267" spans="1:15" ht="14.25">
      <c r="A267" s="13" t="str">
        <f>IFERROR(VLOOKUP($F:$F,scan!$A:$B,2,0),"**")</f>
        <v>**</v>
      </c>
      <c r="B267" s="13" t="str">
        <f>IFERROR(VLOOKUP($F267,scan!A:C,3,0),"**")</f>
        <v>**</v>
      </c>
      <c r="C267" s="42">
        <v>266</v>
      </c>
      <c r="D267" s="42" t="s">
        <v>4936</v>
      </c>
      <c r="E267" s="42" t="s">
        <v>4937</v>
      </c>
      <c r="H267" s="42" t="s">
        <v>4936</v>
      </c>
      <c r="I267" s="42" t="s">
        <v>4938</v>
      </c>
      <c r="J267" s="42" t="s">
        <v>4939</v>
      </c>
      <c r="K267" s="42" t="e">
        <f>VLOOKUP(F267,Input!C:M,9,0)</f>
        <v>#N/A</v>
      </c>
      <c r="L267" s="42" t="e">
        <f>VLOOKUP(F267,Input!C:M,10,0)</f>
        <v>#N/A</v>
      </c>
      <c r="M267" s="42" t="e">
        <f>VLOOKUP(F267,Input!C:M,11,0)</f>
        <v>#N/A</v>
      </c>
      <c r="N267" s="43" t="str">
        <f t="shared" si="4"/>
        <v>266,266,**</v>
      </c>
      <c r="O267" s="42">
        <v>266</v>
      </c>
    </row>
    <row r="268" spans="1:15" ht="14.25">
      <c r="A268" s="13" t="str">
        <f>IFERROR(VLOOKUP($F:$F,scan!$A:$B,2,0),"**")</f>
        <v>**</v>
      </c>
      <c r="B268" s="13" t="str">
        <f>IFERROR(VLOOKUP($F268,scan!A:C,3,0),"**")</f>
        <v>**</v>
      </c>
      <c r="C268" s="42">
        <v>267</v>
      </c>
      <c r="D268" s="42" t="s">
        <v>4936</v>
      </c>
      <c r="E268" s="42" t="s">
        <v>4937</v>
      </c>
      <c r="H268" s="42" t="s">
        <v>4936</v>
      </c>
      <c r="I268" s="42" t="s">
        <v>4938</v>
      </c>
      <c r="J268" s="42" t="s">
        <v>4939</v>
      </c>
      <c r="K268" s="42" t="e">
        <f>VLOOKUP(F268,Input!C:M,9,0)</f>
        <v>#N/A</v>
      </c>
      <c r="L268" s="42" t="e">
        <f>VLOOKUP(F268,Input!C:M,10,0)</f>
        <v>#N/A</v>
      </c>
      <c r="M268" s="42" t="e">
        <f>VLOOKUP(F268,Input!C:M,11,0)</f>
        <v>#N/A</v>
      </c>
      <c r="N268" s="43" t="str">
        <f t="shared" si="4"/>
        <v>267,267,**</v>
      </c>
      <c r="O268" s="42">
        <v>267</v>
      </c>
    </row>
    <row r="269" spans="1:15" ht="14.25">
      <c r="A269" s="13" t="str">
        <f>IFERROR(VLOOKUP($F:$F,scan!$A:$B,2,0),"**")</f>
        <v>**</v>
      </c>
      <c r="B269" s="13" t="str">
        <f>IFERROR(VLOOKUP($F269,scan!A:C,3,0),"**")</f>
        <v>**</v>
      </c>
      <c r="C269" s="42">
        <v>268</v>
      </c>
      <c r="D269" s="42" t="s">
        <v>4936</v>
      </c>
      <c r="E269" s="42" t="s">
        <v>4937</v>
      </c>
      <c r="H269" s="42" t="s">
        <v>4936</v>
      </c>
      <c r="I269" s="42" t="s">
        <v>4938</v>
      </c>
      <c r="J269" s="42" t="s">
        <v>4939</v>
      </c>
      <c r="K269" s="42" t="e">
        <f>VLOOKUP(F269,Input!C:M,9,0)</f>
        <v>#N/A</v>
      </c>
      <c r="L269" s="42" t="e">
        <f>VLOOKUP(F269,Input!C:M,10,0)</f>
        <v>#N/A</v>
      </c>
      <c r="M269" s="42" t="e">
        <f>VLOOKUP(F269,Input!C:M,11,0)</f>
        <v>#N/A</v>
      </c>
      <c r="N269" s="43" t="str">
        <f t="shared" si="4"/>
        <v>268,268,**</v>
      </c>
      <c r="O269" s="42">
        <v>268</v>
      </c>
    </row>
    <row r="270" spans="1:15" ht="14.25">
      <c r="A270" s="13" t="str">
        <f>IFERROR(VLOOKUP($F:$F,scan!$A:$B,2,0),"**")</f>
        <v>**</v>
      </c>
      <c r="B270" s="13" t="str">
        <f>IFERROR(VLOOKUP($F270,scan!A:C,3,0),"**")</f>
        <v>**</v>
      </c>
      <c r="C270" s="42">
        <v>269</v>
      </c>
      <c r="D270" s="42" t="s">
        <v>4936</v>
      </c>
      <c r="E270" s="42" t="s">
        <v>4937</v>
      </c>
      <c r="H270" s="42" t="s">
        <v>4936</v>
      </c>
      <c r="I270" s="42" t="s">
        <v>4938</v>
      </c>
      <c r="J270" s="42" t="s">
        <v>4939</v>
      </c>
      <c r="K270" s="42" t="e">
        <f>VLOOKUP(F270,Input!C:M,9,0)</f>
        <v>#N/A</v>
      </c>
      <c r="L270" s="42" t="e">
        <f>VLOOKUP(F270,Input!C:M,10,0)</f>
        <v>#N/A</v>
      </c>
      <c r="M270" s="42" t="e">
        <f>VLOOKUP(F270,Input!C:M,11,0)</f>
        <v>#N/A</v>
      </c>
      <c r="N270" s="43" t="str">
        <f t="shared" si="4"/>
        <v>269,269,**</v>
      </c>
      <c r="O270" s="42">
        <v>269</v>
      </c>
    </row>
    <row r="271" spans="1:15" ht="14.25">
      <c r="A271" s="13" t="str">
        <f>IFERROR(VLOOKUP($F:$F,scan!$A:$B,2,0),"**")</f>
        <v>**</v>
      </c>
      <c r="B271" s="13" t="str">
        <f>IFERROR(VLOOKUP($F271,scan!A:C,3,0),"**")</f>
        <v>**</v>
      </c>
      <c r="C271" s="42">
        <v>270</v>
      </c>
      <c r="D271" s="42" t="s">
        <v>4936</v>
      </c>
      <c r="E271" s="42" t="s">
        <v>4937</v>
      </c>
      <c r="H271" s="42" t="s">
        <v>4936</v>
      </c>
      <c r="I271" s="42" t="s">
        <v>4938</v>
      </c>
      <c r="J271" s="42" t="s">
        <v>4939</v>
      </c>
      <c r="K271" s="42" t="e">
        <f>VLOOKUP(F271,Input!C:M,9,0)</f>
        <v>#N/A</v>
      </c>
      <c r="L271" s="42" t="e">
        <f>VLOOKUP(F271,Input!C:M,10,0)</f>
        <v>#N/A</v>
      </c>
      <c r="M271" s="42" t="e">
        <f>VLOOKUP(F271,Input!C:M,11,0)</f>
        <v>#N/A</v>
      </c>
      <c r="N271" s="43" t="str">
        <f t="shared" si="4"/>
        <v>270,270,**</v>
      </c>
      <c r="O271" s="42">
        <v>270</v>
      </c>
    </row>
    <row r="272" spans="1:15" ht="14.25">
      <c r="A272" s="13" t="str">
        <f>IFERROR(VLOOKUP($F:$F,scan!$A:$B,2,0),"**")</f>
        <v>**</v>
      </c>
      <c r="B272" s="13" t="str">
        <f>IFERROR(VLOOKUP($F272,scan!A:C,3,0),"**")</f>
        <v>**</v>
      </c>
      <c r="C272" s="42">
        <v>271</v>
      </c>
      <c r="D272" s="42" t="s">
        <v>4936</v>
      </c>
      <c r="E272" s="42" t="s">
        <v>4937</v>
      </c>
      <c r="H272" s="42" t="s">
        <v>4936</v>
      </c>
      <c r="I272" s="42" t="s">
        <v>4938</v>
      </c>
      <c r="J272" s="42" t="s">
        <v>4939</v>
      </c>
      <c r="K272" s="42" t="e">
        <f>VLOOKUP(F272,Input!C:M,9,0)</f>
        <v>#N/A</v>
      </c>
      <c r="L272" s="42" t="e">
        <f>VLOOKUP(F272,Input!C:M,10,0)</f>
        <v>#N/A</v>
      </c>
      <c r="M272" s="42" t="e">
        <f>VLOOKUP(F272,Input!C:M,11,0)</f>
        <v>#N/A</v>
      </c>
      <c r="N272" s="43" t="str">
        <f t="shared" si="4"/>
        <v>271,271,**</v>
      </c>
      <c r="O272" s="42">
        <v>271</v>
      </c>
    </row>
    <row r="273" spans="1:15" ht="14.25">
      <c r="A273" s="13" t="str">
        <f>IFERROR(VLOOKUP($F:$F,scan!$A:$B,2,0),"**")</f>
        <v>**</v>
      </c>
      <c r="B273" s="13" t="str">
        <f>IFERROR(VLOOKUP($F273,scan!A:C,3,0),"**")</f>
        <v>**</v>
      </c>
      <c r="C273" s="42">
        <v>272</v>
      </c>
      <c r="D273" s="42" t="s">
        <v>4936</v>
      </c>
      <c r="E273" s="42" t="s">
        <v>4937</v>
      </c>
      <c r="H273" s="42" t="s">
        <v>4936</v>
      </c>
      <c r="I273" s="42" t="s">
        <v>4938</v>
      </c>
      <c r="J273" s="42" t="s">
        <v>4939</v>
      </c>
      <c r="K273" s="42" t="e">
        <f>VLOOKUP(F273,Input!C:M,9,0)</f>
        <v>#N/A</v>
      </c>
      <c r="L273" s="42" t="e">
        <f>VLOOKUP(F273,Input!C:M,10,0)</f>
        <v>#N/A</v>
      </c>
      <c r="M273" s="42" t="e">
        <f>VLOOKUP(F273,Input!C:M,11,0)</f>
        <v>#N/A</v>
      </c>
      <c r="N273" s="43" t="str">
        <f t="shared" si="4"/>
        <v>272,272,**</v>
      </c>
      <c r="O273" s="42">
        <v>272</v>
      </c>
    </row>
    <row r="274" spans="1:15" ht="14.25">
      <c r="A274" s="13" t="str">
        <f>IFERROR(VLOOKUP($F:$F,scan!$A:$B,2,0),"**")</f>
        <v>**</v>
      </c>
      <c r="B274" s="13" t="str">
        <f>IFERROR(VLOOKUP($F274,scan!A:C,3,0),"**")</f>
        <v>**</v>
      </c>
      <c r="C274" s="42">
        <v>273</v>
      </c>
      <c r="D274" s="42" t="s">
        <v>4936</v>
      </c>
      <c r="E274" s="42" t="s">
        <v>4937</v>
      </c>
      <c r="H274" s="42" t="s">
        <v>4936</v>
      </c>
      <c r="I274" s="42" t="s">
        <v>4938</v>
      </c>
      <c r="J274" s="42" t="s">
        <v>4939</v>
      </c>
      <c r="K274" s="42" t="e">
        <f>VLOOKUP(F274,Input!C:M,9,0)</f>
        <v>#N/A</v>
      </c>
      <c r="L274" s="42" t="e">
        <f>VLOOKUP(F274,Input!C:M,10,0)</f>
        <v>#N/A</v>
      </c>
      <c r="M274" s="42" t="e">
        <f>VLOOKUP(F274,Input!C:M,11,0)</f>
        <v>#N/A</v>
      </c>
      <c r="N274" s="43" t="str">
        <f t="shared" si="4"/>
        <v>273,273,**</v>
      </c>
      <c r="O274" s="42">
        <v>273</v>
      </c>
    </row>
    <row r="275" spans="1:15" ht="14.25">
      <c r="A275" s="13" t="str">
        <f>IFERROR(VLOOKUP($F:$F,scan!$A:$B,2,0),"**")</f>
        <v>**</v>
      </c>
      <c r="B275" s="13" t="str">
        <f>IFERROR(VLOOKUP($F275,scan!A:C,3,0),"**")</f>
        <v>**</v>
      </c>
      <c r="C275" s="42">
        <v>274</v>
      </c>
      <c r="D275" s="42" t="s">
        <v>4936</v>
      </c>
      <c r="E275" s="42" t="s">
        <v>4937</v>
      </c>
      <c r="H275" s="42" t="s">
        <v>4936</v>
      </c>
      <c r="I275" s="42" t="s">
        <v>4938</v>
      </c>
      <c r="J275" s="42" t="s">
        <v>4939</v>
      </c>
      <c r="K275" s="42" t="e">
        <f>VLOOKUP(F275,Input!C:M,9,0)</f>
        <v>#N/A</v>
      </c>
      <c r="L275" s="42" t="e">
        <f>VLOOKUP(F275,Input!C:M,10,0)</f>
        <v>#N/A</v>
      </c>
      <c r="M275" s="42" t="e">
        <f>VLOOKUP(F275,Input!C:M,11,0)</f>
        <v>#N/A</v>
      </c>
      <c r="N275" s="43" t="str">
        <f t="shared" si="4"/>
        <v>274,274,**</v>
      </c>
      <c r="O275" s="42">
        <v>274</v>
      </c>
    </row>
    <row r="276" spans="1:15" ht="14.25">
      <c r="A276" s="13" t="str">
        <f>IFERROR(VLOOKUP($F:$F,scan!$A:$B,2,0),"**")</f>
        <v>**</v>
      </c>
      <c r="B276" s="13" t="str">
        <f>IFERROR(VLOOKUP($F276,scan!A:C,3,0),"**")</f>
        <v>**</v>
      </c>
      <c r="C276" s="42">
        <v>275</v>
      </c>
      <c r="D276" s="42" t="s">
        <v>4936</v>
      </c>
      <c r="E276" s="42" t="s">
        <v>4937</v>
      </c>
      <c r="H276" s="42" t="s">
        <v>4936</v>
      </c>
      <c r="I276" s="42" t="s">
        <v>4938</v>
      </c>
      <c r="J276" s="42" t="s">
        <v>4939</v>
      </c>
      <c r="K276" s="42" t="e">
        <f>VLOOKUP(F276,Input!C:M,9,0)</f>
        <v>#N/A</v>
      </c>
      <c r="L276" s="42" t="e">
        <f>VLOOKUP(F276,Input!C:M,10,0)</f>
        <v>#N/A</v>
      </c>
      <c r="M276" s="42" t="e">
        <f>VLOOKUP(F276,Input!C:M,11,0)</f>
        <v>#N/A</v>
      </c>
      <c r="N276" s="43" t="str">
        <f t="shared" si="4"/>
        <v>275,275,**</v>
      </c>
      <c r="O276" s="42">
        <v>275</v>
      </c>
    </row>
    <row r="277" spans="1:15" ht="14.25">
      <c r="A277" s="13" t="str">
        <f>IFERROR(VLOOKUP($F:$F,scan!$A:$B,2,0),"**")</f>
        <v>**</v>
      </c>
      <c r="B277" s="13" t="str">
        <f>IFERROR(VLOOKUP($F277,scan!A:C,3,0),"**")</f>
        <v>**</v>
      </c>
      <c r="C277" s="42">
        <v>276</v>
      </c>
      <c r="D277" s="42" t="s">
        <v>4936</v>
      </c>
      <c r="E277" s="42" t="s">
        <v>4937</v>
      </c>
      <c r="H277" s="42" t="s">
        <v>4936</v>
      </c>
      <c r="I277" s="42" t="s">
        <v>4938</v>
      </c>
      <c r="J277" s="42" t="s">
        <v>4939</v>
      </c>
      <c r="K277" s="42" t="e">
        <f>VLOOKUP(F277,Input!C:M,9,0)</f>
        <v>#N/A</v>
      </c>
      <c r="L277" s="42" t="e">
        <f>VLOOKUP(F277,Input!C:M,10,0)</f>
        <v>#N/A</v>
      </c>
      <c r="M277" s="42" t="e">
        <f>VLOOKUP(F277,Input!C:M,11,0)</f>
        <v>#N/A</v>
      </c>
      <c r="N277" s="43" t="str">
        <f t="shared" si="4"/>
        <v>276,276,**</v>
      </c>
      <c r="O277" s="42">
        <v>276</v>
      </c>
    </row>
    <row r="278" spans="1:15" ht="14.25">
      <c r="A278" s="13" t="str">
        <f>IFERROR(VLOOKUP($F:$F,scan!$A:$B,2,0),"**")</f>
        <v>**</v>
      </c>
      <c r="B278" s="13" t="str">
        <f>IFERROR(VLOOKUP($F278,scan!A:C,3,0),"**")</f>
        <v>**</v>
      </c>
      <c r="C278" s="42">
        <v>277</v>
      </c>
      <c r="D278" s="42" t="s">
        <v>4936</v>
      </c>
      <c r="E278" s="42" t="s">
        <v>4937</v>
      </c>
      <c r="H278" s="42" t="s">
        <v>4936</v>
      </c>
      <c r="I278" s="42" t="s">
        <v>4938</v>
      </c>
      <c r="J278" s="42" t="s">
        <v>4939</v>
      </c>
      <c r="K278" s="42" t="e">
        <f>VLOOKUP(F278,Input!C:M,9,0)</f>
        <v>#N/A</v>
      </c>
      <c r="L278" s="42" t="e">
        <f>VLOOKUP(F278,Input!C:M,10,0)</f>
        <v>#N/A</v>
      </c>
      <c r="M278" s="42" t="e">
        <f>VLOOKUP(F278,Input!C:M,11,0)</f>
        <v>#N/A</v>
      </c>
      <c r="N278" s="43" t="str">
        <f t="shared" si="4"/>
        <v>277,277,**</v>
      </c>
      <c r="O278" s="42">
        <v>277</v>
      </c>
    </row>
    <row r="279" spans="1:15" ht="14.25">
      <c r="A279" s="13" t="str">
        <f>IFERROR(VLOOKUP($F:$F,scan!$A:$B,2,0),"**")</f>
        <v>**</v>
      </c>
      <c r="B279" s="13" t="str">
        <f>IFERROR(VLOOKUP($F279,scan!A:C,3,0),"**")</f>
        <v>**</v>
      </c>
      <c r="C279" s="42">
        <v>278</v>
      </c>
      <c r="D279" s="42" t="s">
        <v>4936</v>
      </c>
      <c r="E279" s="42" t="s">
        <v>4937</v>
      </c>
      <c r="H279" s="42" t="s">
        <v>4936</v>
      </c>
      <c r="I279" s="42" t="s">
        <v>4938</v>
      </c>
      <c r="J279" s="42" t="s">
        <v>4939</v>
      </c>
      <c r="K279" s="42" t="e">
        <f>VLOOKUP(F279,Input!C:M,9,0)</f>
        <v>#N/A</v>
      </c>
      <c r="L279" s="42" t="e">
        <f>VLOOKUP(F279,Input!C:M,10,0)</f>
        <v>#N/A</v>
      </c>
      <c r="M279" s="42" t="e">
        <f>VLOOKUP(F279,Input!C:M,11,0)</f>
        <v>#N/A</v>
      </c>
      <c r="N279" s="43" t="str">
        <f t="shared" si="4"/>
        <v>278,278,**</v>
      </c>
      <c r="O279" s="42">
        <v>278</v>
      </c>
    </row>
    <row r="280" spans="1:15" ht="14.25">
      <c r="A280" s="13" t="str">
        <f>IFERROR(VLOOKUP($F:$F,scan!$A:$B,2,0),"**")</f>
        <v>**</v>
      </c>
      <c r="B280" s="13" t="str">
        <f>IFERROR(VLOOKUP($F280,scan!A:C,3,0),"**")</f>
        <v>**</v>
      </c>
      <c r="C280" s="42">
        <v>279</v>
      </c>
      <c r="D280" s="42" t="s">
        <v>4936</v>
      </c>
      <c r="E280" s="42" t="s">
        <v>4937</v>
      </c>
      <c r="H280" s="42" t="s">
        <v>4936</v>
      </c>
      <c r="I280" s="42" t="s">
        <v>4938</v>
      </c>
      <c r="J280" s="42" t="s">
        <v>4939</v>
      </c>
      <c r="K280" s="42" t="e">
        <f>VLOOKUP(F280,Input!C:M,9,0)</f>
        <v>#N/A</v>
      </c>
      <c r="L280" s="42" t="e">
        <f>VLOOKUP(F280,Input!C:M,10,0)</f>
        <v>#N/A</v>
      </c>
      <c r="M280" s="42" t="e">
        <f>VLOOKUP(F280,Input!C:M,11,0)</f>
        <v>#N/A</v>
      </c>
      <c r="N280" s="43" t="str">
        <f t="shared" si="4"/>
        <v>279,279,**</v>
      </c>
      <c r="O280" s="42">
        <v>279</v>
      </c>
    </row>
    <row r="281" spans="1:15" ht="14.25">
      <c r="A281" s="13" t="str">
        <f>IFERROR(VLOOKUP($F:$F,scan!$A:$B,2,0),"**")</f>
        <v>**</v>
      </c>
      <c r="B281" s="13" t="str">
        <f>IFERROR(VLOOKUP($F281,scan!A:C,3,0),"**")</f>
        <v>**</v>
      </c>
      <c r="C281" s="42">
        <v>280</v>
      </c>
      <c r="D281" s="42" t="s">
        <v>4936</v>
      </c>
      <c r="E281" s="42" t="s">
        <v>4937</v>
      </c>
      <c r="H281" s="42" t="s">
        <v>4936</v>
      </c>
      <c r="I281" s="42" t="s">
        <v>4938</v>
      </c>
      <c r="J281" s="42" t="s">
        <v>4939</v>
      </c>
      <c r="K281" s="42" t="e">
        <f>VLOOKUP(F281,Input!C:M,9,0)</f>
        <v>#N/A</v>
      </c>
      <c r="L281" s="42" t="e">
        <f>VLOOKUP(F281,Input!C:M,10,0)</f>
        <v>#N/A</v>
      </c>
      <c r="M281" s="42" t="e">
        <f>VLOOKUP(F281,Input!C:M,11,0)</f>
        <v>#N/A</v>
      </c>
      <c r="N281" s="43" t="str">
        <f t="shared" si="4"/>
        <v>280,280,**</v>
      </c>
      <c r="O281" s="42">
        <v>280</v>
      </c>
    </row>
    <row r="282" spans="1:15" ht="14.25">
      <c r="A282" s="13" t="str">
        <f>IFERROR(VLOOKUP($F:$F,scan!$A:$B,2,0),"**")</f>
        <v>**</v>
      </c>
      <c r="B282" s="13" t="str">
        <f>IFERROR(VLOOKUP($F282,scan!A:C,3,0),"**")</f>
        <v>**</v>
      </c>
      <c r="C282" s="42">
        <v>281</v>
      </c>
      <c r="D282" s="42" t="s">
        <v>4936</v>
      </c>
      <c r="E282" s="42" t="s">
        <v>4937</v>
      </c>
      <c r="H282" s="42" t="s">
        <v>4936</v>
      </c>
      <c r="I282" s="42" t="s">
        <v>4938</v>
      </c>
      <c r="J282" s="42" t="s">
        <v>4939</v>
      </c>
      <c r="K282" s="42" t="e">
        <f>VLOOKUP(F282,Input!C:M,9,0)</f>
        <v>#N/A</v>
      </c>
      <c r="L282" s="42" t="e">
        <f>VLOOKUP(F282,Input!C:M,10,0)</f>
        <v>#N/A</v>
      </c>
      <c r="M282" s="42" t="e">
        <f>VLOOKUP(F282,Input!C:M,11,0)</f>
        <v>#N/A</v>
      </c>
      <c r="N282" s="43" t="str">
        <f t="shared" si="4"/>
        <v>281,281,**</v>
      </c>
      <c r="O282" s="42">
        <v>281</v>
      </c>
    </row>
    <row r="283" spans="1:15" ht="14.25">
      <c r="A283" s="13" t="str">
        <f>IFERROR(VLOOKUP($F:$F,scan!$A:$B,2,0),"**")</f>
        <v>**</v>
      </c>
      <c r="B283" s="13" t="str">
        <f>IFERROR(VLOOKUP($F283,scan!A:C,3,0),"**")</f>
        <v>**</v>
      </c>
      <c r="C283" s="42">
        <v>282</v>
      </c>
      <c r="D283" s="42" t="s">
        <v>4936</v>
      </c>
      <c r="E283" s="42" t="s">
        <v>4937</v>
      </c>
      <c r="H283" s="42" t="s">
        <v>4936</v>
      </c>
      <c r="I283" s="42" t="s">
        <v>4938</v>
      </c>
      <c r="J283" s="42" t="s">
        <v>4939</v>
      </c>
      <c r="K283" s="42" t="e">
        <f>VLOOKUP(F283,Input!C:M,9,0)</f>
        <v>#N/A</v>
      </c>
      <c r="L283" s="42" t="e">
        <f>VLOOKUP(F283,Input!C:M,10,0)</f>
        <v>#N/A</v>
      </c>
      <c r="M283" s="42" t="e">
        <f>VLOOKUP(F283,Input!C:M,11,0)</f>
        <v>#N/A</v>
      </c>
      <c r="N283" s="43" t="str">
        <f t="shared" si="4"/>
        <v>282,282,**</v>
      </c>
      <c r="O283" s="42">
        <v>282</v>
      </c>
    </row>
    <row r="284" spans="1:15" ht="14.25">
      <c r="A284" s="13" t="str">
        <f>IFERROR(VLOOKUP($F:$F,scan!$A:$B,2,0),"**")</f>
        <v>**</v>
      </c>
      <c r="B284" s="13" t="str">
        <f>IFERROR(VLOOKUP($F284,scan!A:C,3,0),"**")</f>
        <v>**</v>
      </c>
      <c r="C284" s="42">
        <v>283</v>
      </c>
      <c r="D284" s="42" t="s">
        <v>4936</v>
      </c>
      <c r="E284" s="42" t="s">
        <v>4937</v>
      </c>
      <c r="H284" s="42" t="s">
        <v>4936</v>
      </c>
      <c r="I284" s="42" t="s">
        <v>4938</v>
      </c>
      <c r="J284" s="42" t="s">
        <v>4939</v>
      </c>
      <c r="K284" s="42" t="e">
        <f>VLOOKUP(F284,Input!C:M,9,0)</f>
        <v>#N/A</v>
      </c>
      <c r="L284" s="42" t="e">
        <f>VLOOKUP(F284,Input!C:M,10,0)</f>
        <v>#N/A</v>
      </c>
      <c r="M284" s="42" t="e">
        <f>VLOOKUP(F284,Input!C:M,11,0)</f>
        <v>#N/A</v>
      </c>
      <c r="N284" s="43" t="str">
        <f t="shared" si="4"/>
        <v>283,283,**</v>
      </c>
      <c r="O284" s="42">
        <v>283</v>
      </c>
    </row>
    <row r="285" spans="1:15" ht="14.25">
      <c r="A285" s="13" t="str">
        <f>IFERROR(VLOOKUP($F:$F,scan!$A:$B,2,0),"**")</f>
        <v>**</v>
      </c>
      <c r="B285" s="13" t="str">
        <f>IFERROR(VLOOKUP($F285,scan!A:C,3,0),"**")</f>
        <v>**</v>
      </c>
      <c r="C285" s="42">
        <v>284</v>
      </c>
      <c r="D285" s="42" t="s">
        <v>4936</v>
      </c>
      <c r="E285" s="42" t="s">
        <v>4937</v>
      </c>
      <c r="H285" s="42" t="s">
        <v>4936</v>
      </c>
      <c r="I285" s="42" t="s">
        <v>4938</v>
      </c>
      <c r="J285" s="42" t="s">
        <v>4939</v>
      </c>
      <c r="K285" s="42" t="e">
        <f>VLOOKUP(F285,Input!C:M,9,0)</f>
        <v>#N/A</v>
      </c>
      <c r="L285" s="42" t="e">
        <f>VLOOKUP(F285,Input!C:M,10,0)</f>
        <v>#N/A</v>
      </c>
      <c r="M285" s="42" t="e">
        <f>VLOOKUP(F285,Input!C:M,11,0)</f>
        <v>#N/A</v>
      </c>
      <c r="N285" s="43" t="str">
        <f t="shared" si="4"/>
        <v>284,284,**</v>
      </c>
      <c r="O285" s="42">
        <v>284</v>
      </c>
    </row>
    <row r="286" spans="1:15" ht="14.25">
      <c r="A286" s="13" t="str">
        <f>IFERROR(VLOOKUP($F:$F,scan!$A:$B,2,0),"**")</f>
        <v>**</v>
      </c>
      <c r="B286" s="13" t="str">
        <f>IFERROR(VLOOKUP($F286,scan!A:C,3,0),"**")</f>
        <v>**</v>
      </c>
      <c r="C286" s="42">
        <v>285</v>
      </c>
      <c r="D286" s="42" t="s">
        <v>4936</v>
      </c>
      <c r="E286" s="42" t="s">
        <v>4937</v>
      </c>
      <c r="H286" s="42" t="s">
        <v>4936</v>
      </c>
      <c r="I286" s="42" t="s">
        <v>4938</v>
      </c>
      <c r="J286" s="42" t="s">
        <v>4939</v>
      </c>
      <c r="K286" s="42" t="e">
        <f>VLOOKUP(F286,Input!C:M,9,0)</f>
        <v>#N/A</v>
      </c>
      <c r="L286" s="42" t="e">
        <f>VLOOKUP(F286,Input!C:M,10,0)</f>
        <v>#N/A</v>
      </c>
      <c r="M286" s="42" t="e">
        <f>VLOOKUP(F286,Input!C:M,11,0)</f>
        <v>#N/A</v>
      </c>
      <c r="N286" s="43" t="str">
        <f t="shared" si="4"/>
        <v>285,285,**</v>
      </c>
      <c r="O286" s="42">
        <v>285</v>
      </c>
    </row>
    <row r="287" spans="1:15" ht="14.25">
      <c r="A287" s="13" t="str">
        <f>IFERROR(VLOOKUP($F:$F,scan!$A:$B,2,0),"**")</f>
        <v>**</v>
      </c>
      <c r="B287" s="13" t="str">
        <f>IFERROR(VLOOKUP($F287,scan!A:C,3,0),"**")</f>
        <v>**</v>
      </c>
      <c r="C287" s="42">
        <v>286</v>
      </c>
      <c r="D287" s="42" t="s">
        <v>4936</v>
      </c>
      <c r="E287" s="42" t="s">
        <v>4937</v>
      </c>
      <c r="H287" s="42" t="s">
        <v>4936</v>
      </c>
      <c r="I287" s="42" t="s">
        <v>4938</v>
      </c>
      <c r="J287" s="42" t="s">
        <v>4939</v>
      </c>
      <c r="K287" s="42" t="e">
        <f>VLOOKUP(F287,Input!C:M,9,0)</f>
        <v>#N/A</v>
      </c>
      <c r="L287" s="42" t="e">
        <f>VLOOKUP(F287,Input!C:M,10,0)</f>
        <v>#N/A</v>
      </c>
      <c r="M287" s="42" t="e">
        <f>VLOOKUP(F287,Input!C:M,11,0)</f>
        <v>#N/A</v>
      </c>
      <c r="N287" s="43" t="str">
        <f t="shared" si="4"/>
        <v>286,286,**</v>
      </c>
      <c r="O287" s="42">
        <v>286</v>
      </c>
    </row>
    <row r="288" spans="1:15" ht="14.25">
      <c r="A288" s="13" t="str">
        <f>IFERROR(VLOOKUP($F:$F,scan!$A:$B,2,0),"**")</f>
        <v>**</v>
      </c>
      <c r="B288" s="13" t="str">
        <f>IFERROR(VLOOKUP($F288,scan!A:C,3,0),"**")</f>
        <v>**</v>
      </c>
      <c r="C288" s="42">
        <v>287</v>
      </c>
      <c r="D288" s="42" t="s">
        <v>4936</v>
      </c>
      <c r="E288" s="42" t="s">
        <v>4937</v>
      </c>
      <c r="H288" s="42" t="s">
        <v>4936</v>
      </c>
      <c r="I288" s="42" t="s">
        <v>4938</v>
      </c>
      <c r="J288" s="42" t="s">
        <v>4939</v>
      </c>
      <c r="K288" s="42" t="e">
        <f>VLOOKUP(F288,Input!C:M,9,0)</f>
        <v>#N/A</v>
      </c>
      <c r="L288" s="42" t="e">
        <f>VLOOKUP(F288,Input!C:M,10,0)</f>
        <v>#N/A</v>
      </c>
      <c r="M288" s="42" t="e">
        <f>VLOOKUP(F288,Input!C:M,11,0)</f>
        <v>#N/A</v>
      </c>
      <c r="N288" s="43" t="str">
        <f t="shared" si="4"/>
        <v>287,287,**</v>
      </c>
      <c r="O288" s="42">
        <v>287</v>
      </c>
    </row>
    <row r="289" spans="1:15" ht="14.25">
      <c r="A289" s="13" t="str">
        <f>IFERROR(VLOOKUP($F:$F,scan!$A:$B,2,0),"**")</f>
        <v>**</v>
      </c>
      <c r="B289" s="13" t="str">
        <f>IFERROR(VLOOKUP($F289,scan!A:C,3,0),"**")</f>
        <v>**</v>
      </c>
      <c r="C289" s="42">
        <v>288</v>
      </c>
      <c r="D289" s="42" t="s">
        <v>4936</v>
      </c>
      <c r="E289" s="42" t="s">
        <v>4937</v>
      </c>
      <c r="H289" s="42" t="s">
        <v>4936</v>
      </c>
      <c r="I289" s="42" t="s">
        <v>4938</v>
      </c>
      <c r="J289" s="42" t="s">
        <v>4939</v>
      </c>
      <c r="K289" s="42" t="e">
        <f>VLOOKUP(F289,Input!C:M,9,0)</f>
        <v>#N/A</v>
      </c>
      <c r="L289" s="42" t="e">
        <f>VLOOKUP(F289,Input!C:M,10,0)</f>
        <v>#N/A</v>
      </c>
      <c r="M289" s="42" t="e">
        <f>VLOOKUP(F289,Input!C:M,11,0)</f>
        <v>#N/A</v>
      </c>
      <c r="N289" s="43" t="str">
        <f t="shared" si="4"/>
        <v>288,288,**</v>
      </c>
      <c r="O289" s="42">
        <v>288</v>
      </c>
    </row>
    <row r="290" spans="1:15" ht="14.25">
      <c r="A290" s="13" t="str">
        <f>IFERROR(VLOOKUP($F:$F,scan!$A:$B,2,0),"**")</f>
        <v>**</v>
      </c>
      <c r="B290" s="13" t="str">
        <f>IFERROR(VLOOKUP($F290,scan!A:C,3,0),"**")</f>
        <v>**</v>
      </c>
      <c r="C290" s="42">
        <v>289</v>
      </c>
      <c r="D290" s="42" t="s">
        <v>4936</v>
      </c>
      <c r="E290" s="42" t="s">
        <v>4937</v>
      </c>
      <c r="H290" s="42" t="s">
        <v>4936</v>
      </c>
      <c r="I290" s="42" t="s">
        <v>4938</v>
      </c>
      <c r="J290" s="42" t="s">
        <v>4939</v>
      </c>
      <c r="K290" s="42" t="e">
        <f>VLOOKUP(F290,Input!C:M,9,0)</f>
        <v>#N/A</v>
      </c>
      <c r="L290" s="42" t="e">
        <f>VLOOKUP(F290,Input!C:M,10,0)</f>
        <v>#N/A</v>
      </c>
      <c r="M290" s="42" t="e">
        <f>VLOOKUP(F290,Input!C:M,11,0)</f>
        <v>#N/A</v>
      </c>
      <c r="N290" s="43" t="str">
        <f t="shared" si="4"/>
        <v>289,289,**</v>
      </c>
      <c r="O290" s="42">
        <v>289</v>
      </c>
    </row>
    <row r="291" spans="1:15" ht="14.25">
      <c r="A291" s="13" t="str">
        <f>IFERROR(VLOOKUP($F:$F,scan!$A:$B,2,0),"**")</f>
        <v>**</v>
      </c>
      <c r="B291" s="13" t="str">
        <f>IFERROR(VLOOKUP($F291,scan!A:C,3,0),"**")</f>
        <v>**</v>
      </c>
      <c r="C291" s="42">
        <v>290</v>
      </c>
      <c r="D291" s="42" t="s">
        <v>4936</v>
      </c>
      <c r="E291" s="42" t="s">
        <v>4937</v>
      </c>
      <c r="H291" s="42" t="s">
        <v>4936</v>
      </c>
      <c r="I291" s="42" t="s">
        <v>4938</v>
      </c>
      <c r="J291" s="42" t="s">
        <v>4939</v>
      </c>
      <c r="K291" s="42" t="e">
        <f>VLOOKUP(F291,Input!C:M,9,0)</f>
        <v>#N/A</v>
      </c>
      <c r="L291" s="42" t="e">
        <f>VLOOKUP(F291,Input!C:M,10,0)</f>
        <v>#N/A</v>
      </c>
      <c r="M291" s="42" t="e">
        <f>VLOOKUP(F291,Input!C:M,11,0)</f>
        <v>#N/A</v>
      </c>
      <c r="N291" s="43" t="str">
        <f t="shared" si="4"/>
        <v>290,290,**</v>
      </c>
      <c r="O291" s="42">
        <v>290</v>
      </c>
    </row>
    <row r="292" spans="1:15" ht="14.25">
      <c r="A292" s="13" t="str">
        <f>IFERROR(VLOOKUP($F:$F,scan!$A:$B,2,0),"**")</f>
        <v>**</v>
      </c>
      <c r="B292" s="13" t="str">
        <f>IFERROR(VLOOKUP($F292,scan!A:C,3,0),"**")</f>
        <v>**</v>
      </c>
      <c r="C292" s="42">
        <v>291</v>
      </c>
      <c r="D292" s="42" t="s">
        <v>4936</v>
      </c>
      <c r="E292" s="42" t="s">
        <v>4937</v>
      </c>
      <c r="H292" s="42" t="s">
        <v>4936</v>
      </c>
      <c r="I292" s="42" t="s">
        <v>4938</v>
      </c>
      <c r="J292" s="42" t="s">
        <v>4939</v>
      </c>
      <c r="K292" s="42" t="e">
        <f>VLOOKUP(F292,Input!C:M,9,0)</f>
        <v>#N/A</v>
      </c>
      <c r="L292" s="42" t="e">
        <f>VLOOKUP(F292,Input!C:M,10,0)</f>
        <v>#N/A</v>
      </c>
      <c r="M292" s="42" t="e">
        <f>VLOOKUP(F292,Input!C:M,11,0)</f>
        <v>#N/A</v>
      </c>
      <c r="N292" s="43" t="str">
        <f t="shared" si="4"/>
        <v>291,291,**</v>
      </c>
      <c r="O292" s="42">
        <v>291</v>
      </c>
    </row>
    <row r="293" spans="1:15" ht="14.25">
      <c r="A293" s="13" t="str">
        <f>IFERROR(VLOOKUP($F:$F,scan!$A:$B,2,0),"**")</f>
        <v>**</v>
      </c>
      <c r="B293" s="13" t="str">
        <f>IFERROR(VLOOKUP($F293,scan!A:C,3,0),"**")</f>
        <v>**</v>
      </c>
      <c r="C293" s="42">
        <v>292</v>
      </c>
      <c r="D293" s="42" t="s">
        <v>4936</v>
      </c>
      <c r="E293" s="42" t="s">
        <v>4937</v>
      </c>
      <c r="H293" s="42" t="s">
        <v>4936</v>
      </c>
      <c r="I293" s="42" t="s">
        <v>4938</v>
      </c>
      <c r="J293" s="42" t="s">
        <v>4939</v>
      </c>
      <c r="K293" s="42" t="e">
        <f>VLOOKUP(F293,Input!C:M,9,0)</f>
        <v>#N/A</v>
      </c>
      <c r="L293" s="42" t="e">
        <f>VLOOKUP(F293,Input!C:M,10,0)</f>
        <v>#N/A</v>
      </c>
      <c r="M293" s="42" t="e">
        <f>VLOOKUP(F293,Input!C:M,11,0)</f>
        <v>#N/A</v>
      </c>
      <c r="N293" s="43" t="str">
        <f t="shared" si="4"/>
        <v>292,292,**</v>
      </c>
      <c r="O293" s="42">
        <v>292</v>
      </c>
    </row>
    <row r="294" spans="1:15" ht="14.25">
      <c r="A294" s="13" t="str">
        <f>IFERROR(VLOOKUP($F:$F,scan!$A:$B,2,0),"**")</f>
        <v>**</v>
      </c>
      <c r="B294" s="13" t="str">
        <f>IFERROR(VLOOKUP($F294,scan!A:C,3,0),"**")</f>
        <v>**</v>
      </c>
      <c r="C294" s="42">
        <v>293</v>
      </c>
      <c r="D294" s="42" t="s">
        <v>4936</v>
      </c>
      <c r="E294" s="42" t="s">
        <v>4937</v>
      </c>
      <c r="H294" s="42" t="s">
        <v>4936</v>
      </c>
      <c r="I294" s="42" t="s">
        <v>4938</v>
      </c>
      <c r="J294" s="42" t="s">
        <v>4939</v>
      </c>
      <c r="K294" s="42" t="e">
        <f>VLOOKUP(F294,Input!C:M,9,0)</f>
        <v>#N/A</v>
      </c>
      <c r="L294" s="42" t="e">
        <f>VLOOKUP(F294,Input!C:M,10,0)</f>
        <v>#N/A</v>
      </c>
      <c r="M294" s="42" t="e">
        <f>VLOOKUP(F294,Input!C:M,11,0)</f>
        <v>#N/A</v>
      </c>
      <c r="N294" s="43" t="str">
        <f t="shared" si="4"/>
        <v>293,293,**</v>
      </c>
      <c r="O294" s="42">
        <v>293</v>
      </c>
    </row>
    <row r="295" spans="1:15" ht="14.25">
      <c r="A295" s="13" t="str">
        <f>IFERROR(VLOOKUP($F:$F,scan!$A:$B,2,0),"**")</f>
        <v>**</v>
      </c>
      <c r="B295" s="13" t="str">
        <f>IFERROR(VLOOKUP($F295,scan!A:C,3,0),"**")</f>
        <v>**</v>
      </c>
      <c r="C295" s="42">
        <v>294</v>
      </c>
      <c r="D295" s="42" t="s">
        <v>4936</v>
      </c>
      <c r="E295" s="42" t="s">
        <v>4937</v>
      </c>
      <c r="H295" s="42" t="s">
        <v>4936</v>
      </c>
      <c r="I295" s="42" t="s">
        <v>4938</v>
      </c>
      <c r="J295" s="42" t="s">
        <v>4939</v>
      </c>
      <c r="K295" s="42" t="e">
        <f>VLOOKUP(F295,Input!C:M,9,0)</f>
        <v>#N/A</v>
      </c>
      <c r="L295" s="42" t="e">
        <f>VLOOKUP(F295,Input!C:M,10,0)</f>
        <v>#N/A</v>
      </c>
      <c r="M295" s="42" t="e">
        <f>VLOOKUP(F295,Input!C:M,11,0)</f>
        <v>#N/A</v>
      </c>
      <c r="N295" s="43" t="str">
        <f t="shared" si="4"/>
        <v>294,294,**</v>
      </c>
      <c r="O295" s="42">
        <v>294</v>
      </c>
    </row>
    <row r="296" spans="1:15" ht="14.25">
      <c r="A296" s="13" t="str">
        <f>IFERROR(VLOOKUP($F:$F,scan!$A:$B,2,0),"**")</f>
        <v>**</v>
      </c>
      <c r="B296" s="13" t="str">
        <f>IFERROR(VLOOKUP($F296,scan!A:C,3,0),"**")</f>
        <v>**</v>
      </c>
      <c r="C296" s="42">
        <v>295</v>
      </c>
      <c r="D296" s="42" t="s">
        <v>4936</v>
      </c>
      <c r="E296" s="42" t="s">
        <v>4937</v>
      </c>
      <c r="H296" s="42" t="s">
        <v>4936</v>
      </c>
      <c r="I296" s="42" t="s">
        <v>4938</v>
      </c>
      <c r="J296" s="42" t="s">
        <v>4939</v>
      </c>
      <c r="K296" s="42" t="e">
        <f>VLOOKUP(F296,Input!C:M,9,0)</f>
        <v>#N/A</v>
      </c>
      <c r="L296" s="42" t="e">
        <f>VLOOKUP(F296,Input!C:M,10,0)</f>
        <v>#N/A</v>
      </c>
      <c r="M296" s="42" t="e">
        <f>VLOOKUP(F296,Input!C:M,11,0)</f>
        <v>#N/A</v>
      </c>
      <c r="N296" s="43" t="str">
        <f t="shared" si="4"/>
        <v>295,295,**</v>
      </c>
      <c r="O296" s="42">
        <v>295</v>
      </c>
    </row>
    <row r="297" spans="1:15" ht="14.25">
      <c r="A297" s="13" t="str">
        <f>IFERROR(VLOOKUP($F:$F,scan!$A:$B,2,0),"**")</f>
        <v>**</v>
      </c>
      <c r="B297" s="13" t="str">
        <f>IFERROR(VLOOKUP($F297,scan!A:C,3,0),"**")</f>
        <v>**</v>
      </c>
      <c r="C297" s="42">
        <v>296</v>
      </c>
      <c r="D297" s="42" t="s">
        <v>4936</v>
      </c>
      <c r="E297" s="42" t="s">
        <v>4937</v>
      </c>
      <c r="H297" s="42" t="s">
        <v>4936</v>
      </c>
      <c r="I297" s="42" t="s">
        <v>4938</v>
      </c>
      <c r="J297" s="42" t="s">
        <v>4939</v>
      </c>
      <c r="K297" s="42" t="e">
        <f>VLOOKUP(F297,Input!C:M,9,0)</f>
        <v>#N/A</v>
      </c>
      <c r="L297" s="42" t="e">
        <f>VLOOKUP(F297,Input!C:M,10,0)</f>
        <v>#N/A</v>
      </c>
      <c r="M297" s="42" t="e">
        <f>VLOOKUP(F297,Input!C:M,11,0)</f>
        <v>#N/A</v>
      </c>
      <c r="N297" s="43" t="str">
        <f t="shared" si="4"/>
        <v>296,296,**</v>
      </c>
      <c r="O297" s="42">
        <v>296</v>
      </c>
    </row>
    <row r="298" spans="1:15" ht="14.25">
      <c r="A298" s="13" t="str">
        <f>IFERROR(VLOOKUP($F:$F,scan!$A:$B,2,0),"**")</f>
        <v>**</v>
      </c>
      <c r="B298" s="13" t="str">
        <f>IFERROR(VLOOKUP($F298,scan!A:C,3,0),"**")</f>
        <v>**</v>
      </c>
      <c r="C298" s="42">
        <v>297</v>
      </c>
      <c r="D298" s="42" t="s">
        <v>4936</v>
      </c>
      <c r="E298" s="42" t="s">
        <v>4937</v>
      </c>
      <c r="H298" s="42" t="s">
        <v>4936</v>
      </c>
      <c r="I298" s="42" t="s">
        <v>4938</v>
      </c>
      <c r="J298" s="42" t="s">
        <v>4939</v>
      </c>
      <c r="K298" s="42" t="e">
        <f>VLOOKUP(F298,Input!C:M,9,0)</f>
        <v>#N/A</v>
      </c>
      <c r="L298" s="42" t="e">
        <f>VLOOKUP(F298,Input!C:M,10,0)</f>
        <v>#N/A</v>
      </c>
      <c r="M298" s="42" t="e">
        <f>VLOOKUP(F298,Input!C:M,11,0)</f>
        <v>#N/A</v>
      </c>
      <c r="N298" s="43" t="str">
        <f t="shared" si="4"/>
        <v>297,297,**</v>
      </c>
      <c r="O298" s="42">
        <v>297</v>
      </c>
    </row>
    <row r="299" spans="1:15" ht="14.25">
      <c r="A299" s="13" t="str">
        <f>IFERROR(VLOOKUP($F:$F,scan!$A:$B,2,0),"**")</f>
        <v>**</v>
      </c>
      <c r="B299" s="13" t="str">
        <f>IFERROR(VLOOKUP($F299,scan!A:C,3,0),"**")</f>
        <v>**</v>
      </c>
      <c r="C299" s="42">
        <v>298</v>
      </c>
      <c r="D299" s="42" t="s">
        <v>4936</v>
      </c>
      <c r="E299" s="42" t="s">
        <v>4937</v>
      </c>
      <c r="H299" s="42" t="s">
        <v>4936</v>
      </c>
      <c r="I299" s="42" t="s">
        <v>4938</v>
      </c>
      <c r="J299" s="42" t="s">
        <v>4939</v>
      </c>
      <c r="K299" s="42" t="e">
        <f>VLOOKUP(F299,Input!C:M,9,0)</f>
        <v>#N/A</v>
      </c>
      <c r="L299" s="42" t="e">
        <f>VLOOKUP(F299,Input!C:M,10,0)</f>
        <v>#N/A</v>
      </c>
      <c r="M299" s="42" t="e">
        <f>VLOOKUP(F299,Input!C:M,11,0)</f>
        <v>#N/A</v>
      </c>
      <c r="N299" s="43" t="str">
        <f t="shared" si="4"/>
        <v>298,298,**</v>
      </c>
      <c r="O299" s="42">
        <v>298</v>
      </c>
    </row>
    <row r="300" spans="1:15" ht="14.25">
      <c r="A300" s="13" t="str">
        <f>IFERROR(VLOOKUP($F:$F,scan!$A:$B,2,0),"**")</f>
        <v>**</v>
      </c>
      <c r="B300" s="13" t="str">
        <f>IFERROR(VLOOKUP($F300,scan!A:C,3,0),"**")</f>
        <v>**</v>
      </c>
      <c r="C300" s="42">
        <v>299</v>
      </c>
      <c r="D300" s="42" t="s">
        <v>4936</v>
      </c>
      <c r="E300" s="42" t="s">
        <v>4937</v>
      </c>
      <c r="H300" s="42" t="s">
        <v>4936</v>
      </c>
      <c r="I300" s="42" t="s">
        <v>4938</v>
      </c>
      <c r="J300" s="42" t="s">
        <v>4939</v>
      </c>
      <c r="K300" s="42" t="e">
        <f>VLOOKUP(F300,Input!C:M,9,0)</f>
        <v>#N/A</v>
      </c>
      <c r="L300" s="42" t="e">
        <f>VLOOKUP(F300,Input!C:M,10,0)</f>
        <v>#N/A</v>
      </c>
      <c r="M300" s="42" t="e">
        <f>VLOOKUP(F300,Input!C:M,11,0)</f>
        <v>#N/A</v>
      </c>
      <c r="N300" s="43" t="str">
        <f t="shared" si="4"/>
        <v>299,299,**</v>
      </c>
      <c r="O300" s="42">
        <v>299</v>
      </c>
    </row>
    <row r="301" spans="1:15" ht="14.25">
      <c r="A301" s="13" t="str">
        <f>IFERROR(VLOOKUP($F:$F,scan!$A:$B,2,0),"**")</f>
        <v>**</v>
      </c>
      <c r="B301" s="13" t="str">
        <f>IFERROR(VLOOKUP($F301,scan!A:C,3,0),"**")</f>
        <v>**</v>
      </c>
      <c r="C301" s="42">
        <v>300</v>
      </c>
      <c r="D301" s="42" t="s">
        <v>4936</v>
      </c>
      <c r="E301" s="42" t="s">
        <v>4937</v>
      </c>
      <c r="H301" s="42" t="s">
        <v>4936</v>
      </c>
      <c r="I301" s="42" t="s">
        <v>4938</v>
      </c>
      <c r="J301" s="42" t="s">
        <v>4939</v>
      </c>
      <c r="K301" s="42" t="e">
        <f>VLOOKUP(F301,Input!C:M,9,0)</f>
        <v>#N/A</v>
      </c>
      <c r="L301" s="42" t="e">
        <f>VLOOKUP(F301,Input!C:M,10,0)</f>
        <v>#N/A</v>
      </c>
      <c r="M301" s="42" t="e">
        <f>VLOOKUP(F301,Input!C:M,11,0)</f>
        <v>#N/A</v>
      </c>
      <c r="N301" s="43" t="str">
        <f t="shared" si="4"/>
        <v>300,300,**</v>
      </c>
      <c r="O301" s="42">
        <v>300</v>
      </c>
    </row>
    <row r="302" spans="1:15" ht="14.25">
      <c r="A302" s="13" t="str">
        <f>IFERROR(VLOOKUP($F:$F,scan!$A:$B,2,0),"**")</f>
        <v>**</v>
      </c>
      <c r="B302" s="13" t="str">
        <f>IFERROR(VLOOKUP($F302,scan!A:C,3,0),"**")</f>
        <v>**</v>
      </c>
      <c r="C302" s="42">
        <v>301</v>
      </c>
      <c r="D302" s="42" t="s">
        <v>4936</v>
      </c>
      <c r="E302" s="42" t="s">
        <v>4937</v>
      </c>
      <c r="H302" s="42" t="s">
        <v>4936</v>
      </c>
      <c r="I302" s="42" t="s">
        <v>4938</v>
      </c>
      <c r="J302" s="42" t="s">
        <v>4939</v>
      </c>
      <c r="K302" s="42" t="e">
        <f>VLOOKUP(F302,Input!C:M,9,0)</f>
        <v>#N/A</v>
      </c>
      <c r="L302" s="42" t="e">
        <f>VLOOKUP(F302,Input!C:M,10,0)</f>
        <v>#N/A</v>
      </c>
      <c r="M302" s="42" t="e">
        <f>VLOOKUP(F302,Input!C:M,11,0)</f>
        <v>#N/A</v>
      </c>
      <c r="N302" s="43" t="str">
        <f t="shared" si="4"/>
        <v>301,301,**</v>
      </c>
      <c r="O302" s="42">
        <v>301</v>
      </c>
    </row>
    <row r="303" spans="1:15" ht="14.25">
      <c r="A303" s="13" t="str">
        <f>IFERROR(VLOOKUP($F:$F,scan!$A:$B,2,0),"**")</f>
        <v>**</v>
      </c>
      <c r="B303" s="13" t="str">
        <f>IFERROR(VLOOKUP($F303,scan!A:C,3,0),"**")</f>
        <v>**</v>
      </c>
      <c r="C303" s="42">
        <v>302</v>
      </c>
      <c r="D303" s="42" t="s">
        <v>4936</v>
      </c>
      <c r="E303" s="42" t="s">
        <v>4937</v>
      </c>
      <c r="H303" s="42" t="s">
        <v>4936</v>
      </c>
      <c r="I303" s="42" t="s">
        <v>4938</v>
      </c>
      <c r="J303" s="42" t="s">
        <v>4939</v>
      </c>
      <c r="K303" s="42" t="e">
        <f>VLOOKUP(F303,Input!C:M,9,0)</f>
        <v>#N/A</v>
      </c>
      <c r="L303" s="42" t="e">
        <f>VLOOKUP(F303,Input!C:M,10,0)</f>
        <v>#N/A</v>
      </c>
      <c r="M303" s="42" t="e">
        <f>VLOOKUP(F303,Input!C:M,11,0)</f>
        <v>#N/A</v>
      </c>
      <c r="N303" s="43" t="str">
        <f t="shared" si="4"/>
        <v>302,302,**</v>
      </c>
      <c r="O303" s="42">
        <v>302</v>
      </c>
    </row>
    <row r="304" spans="1:15" ht="14.25">
      <c r="A304" s="13" t="str">
        <f>IFERROR(VLOOKUP($F:$F,scan!$A:$B,2,0),"**")</f>
        <v>**</v>
      </c>
      <c r="B304" s="13" t="str">
        <f>IFERROR(VLOOKUP($F304,scan!A:C,3,0),"**")</f>
        <v>**</v>
      </c>
      <c r="C304" s="42">
        <v>303</v>
      </c>
      <c r="D304" s="42" t="s">
        <v>4936</v>
      </c>
      <c r="E304" s="42" t="s">
        <v>4937</v>
      </c>
      <c r="H304" s="42" t="s">
        <v>4936</v>
      </c>
      <c r="I304" s="42" t="s">
        <v>4938</v>
      </c>
      <c r="J304" s="42" t="s">
        <v>4939</v>
      </c>
      <c r="K304" s="42" t="e">
        <f>VLOOKUP(F304,Input!C:M,9,0)</f>
        <v>#N/A</v>
      </c>
      <c r="L304" s="42" t="e">
        <f>VLOOKUP(F304,Input!C:M,10,0)</f>
        <v>#N/A</v>
      </c>
      <c r="M304" s="42" t="e">
        <f>VLOOKUP(F304,Input!C:M,11,0)</f>
        <v>#N/A</v>
      </c>
      <c r="N304" s="43" t="str">
        <f t="shared" si="4"/>
        <v>303,303,**</v>
      </c>
      <c r="O304" s="42">
        <v>303</v>
      </c>
    </row>
    <row r="305" spans="1:15" ht="14.25">
      <c r="A305" s="13" t="str">
        <f>IFERROR(VLOOKUP($F:$F,scan!$A:$B,2,0),"**")</f>
        <v>**</v>
      </c>
      <c r="B305" s="13" t="str">
        <f>IFERROR(VLOOKUP($F305,scan!A:C,3,0),"**")</f>
        <v>**</v>
      </c>
      <c r="C305" s="42">
        <v>304</v>
      </c>
      <c r="D305" s="42" t="s">
        <v>4936</v>
      </c>
      <c r="E305" s="42" t="s">
        <v>4937</v>
      </c>
      <c r="H305" s="42" t="s">
        <v>4936</v>
      </c>
      <c r="I305" s="42" t="s">
        <v>4938</v>
      </c>
      <c r="J305" s="42" t="s">
        <v>4939</v>
      </c>
      <c r="K305" s="42" t="e">
        <f>VLOOKUP(F305,Input!C:M,9,0)</f>
        <v>#N/A</v>
      </c>
      <c r="L305" s="42" t="e">
        <f>VLOOKUP(F305,Input!C:M,10,0)</f>
        <v>#N/A</v>
      </c>
      <c r="M305" s="42" t="e">
        <f>VLOOKUP(F305,Input!C:M,11,0)</f>
        <v>#N/A</v>
      </c>
      <c r="N305" s="43" t="str">
        <f t="shared" si="4"/>
        <v>304,304,**</v>
      </c>
      <c r="O305" s="42">
        <v>304</v>
      </c>
    </row>
    <row r="306" spans="1:15" ht="14.25">
      <c r="A306" s="13" t="str">
        <f>IFERROR(VLOOKUP($F:$F,scan!$A:$B,2,0),"**")</f>
        <v>**</v>
      </c>
      <c r="B306" s="13" t="str">
        <f>IFERROR(VLOOKUP($F306,scan!A:C,3,0),"**")</f>
        <v>**</v>
      </c>
      <c r="C306" s="42">
        <v>305</v>
      </c>
      <c r="D306" s="42" t="s">
        <v>4936</v>
      </c>
      <c r="E306" s="42" t="s">
        <v>4937</v>
      </c>
      <c r="H306" s="42" t="s">
        <v>4936</v>
      </c>
      <c r="I306" s="42" t="s">
        <v>4938</v>
      </c>
      <c r="J306" s="42" t="s">
        <v>4939</v>
      </c>
      <c r="K306" s="42" t="e">
        <f>VLOOKUP(F306,Input!C:M,9,0)</f>
        <v>#N/A</v>
      </c>
      <c r="L306" s="42" t="e">
        <f>VLOOKUP(F306,Input!C:M,10,0)</f>
        <v>#N/A</v>
      </c>
      <c r="M306" s="42" t="e">
        <f>VLOOKUP(F306,Input!C:M,11,0)</f>
        <v>#N/A</v>
      </c>
      <c r="N306" s="43" t="str">
        <f t="shared" si="4"/>
        <v>305,305,**</v>
      </c>
      <c r="O306" s="42">
        <v>305</v>
      </c>
    </row>
    <row r="307" spans="1:15" ht="14.25">
      <c r="A307" s="13" t="str">
        <f>IFERROR(VLOOKUP($F:$F,scan!$A:$B,2,0),"**")</f>
        <v>**</v>
      </c>
      <c r="B307" s="13" t="str">
        <f>IFERROR(VLOOKUP($F307,scan!A:C,3,0),"**")</f>
        <v>**</v>
      </c>
      <c r="C307" s="42">
        <v>306</v>
      </c>
      <c r="D307" s="42" t="s">
        <v>4936</v>
      </c>
      <c r="E307" s="42" t="s">
        <v>4937</v>
      </c>
      <c r="H307" s="42" t="s">
        <v>4936</v>
      </c>
      <c r="I307" s="42" t="s">
        <v>4938</v>
      </c>
      <c r="J307" s="42" t="s">
        <v>4939</v>
      </c>
      <c r="K307" s="42" t="e">
        <f>VLOOKUP(F307,Input!C:M,9,0)</f>
        <v>#N/A</v>
      </c>
      <c r="L307" s="42" t="e">
        <f>VLOOKUP(F307,Input!C:M,10,0)</f>
        <v>#N/A</v>
      </c>
      <c r="M307" s="42" t="e">
        <f>VLOOKUP(F307,Input!C:M,11,0)</f>
        <v>#N/A</v>
      </c>
      <c r="N307" s="43" t="str">
        <f t="shared" si="4"/>
        <v>306,306,**</v>
      </c>
      <c r="O307" s="42">
        <v>306</v>
      </c>
    </row>
    <row r="308" spans="1:15" ht="14.25">
      <c r="A308" s="13" t="str">
        <f>IFERROR(VLOOKUP($F:$F,scan!$A:$B,2,0),"**")</f>
        <v>**</v>
      </c>
      <c r="B308" s="13" t="str">
        <f>IFERROR(VLOOKUP($F308,scan!A:C,3,0),"**")</f>
        <v>**</v>
      </c>
      <c r="C308" s="42">
        <v>307</v>
      </c>
      <c r="D308" s="42" t="s">
        <v>4936</v>
      </c>
      <c r="E308" s="42" t="s">
        <v>4937</v>
      </c>
      <c r="H308" s="42" t="s">
        <v>4936</v>
      </c>
      <c r="I308" s="42" t="s">
        <v>4938</v>
      </c>
      <c r="J308" s="42" t="s">
        <v>4939</v>
      </c>
      <c r="K308" s="42" t="e">
        <f>VLOOKUP(F308,Input!C:M,9,0)</f>
        <v>#N/A</v>
      </c>
      <c r="L308" s="42" t="e">
        <f>VLOOKUP(F308,Input!C:M,10,0)</f>
        <v>#N/A</v>
      </c>
      <c r="M308" s="42" t="e">
        <f>VLOOKUP(F308,Input!C:M,11,0)</f>
        <v>#N/A</v>
      </c>
      <c r="N308" s="43" t="str">
        <f t="shared" si="4"/>
        <v>307,307,**</v>
      </c>
      <c r="O308" s="42">
        <v>307</v>
      </c>
    </row>
    <row r="309" spans="1:15" ht="14.25">
      <c r="A309" s="13" t="str">
        <f>IFERROR(VLOOKUP($F:$F,scan!$A:$B,2,0),"**")</f>
        <v>**</v>
      </c>
      <c r="B309" s="13" t="str">
        <f>IFERROR(VLOOKUP($F309,scan!A:C,3,0),"**")</f>
        <v>**</v>
      </c>
      <c r="C309" s="42">
        <v>308</v>
      </c>
      <c r="D309" s="42" t="s">
        <v>4936</v>
      </c>
      <c r="E309" s="42" t="s">
        <v>4937</v>
      </c>
      <c r="H309" s="42" t="s">
        <v>4936</v>
      </c>
      <c r="I309" s="42" t="s">
        <v>4938</v>
      </c>
      <c r="J309" s="42" t="s">
        <v>4939</v>
      </c>
      <c r="K309" s="42" t="e">
        <f>VLOOKUP(F309,Input!C:M,9,0)</f>
        <v>#N/A</v>
      </c>
      <c r="L309" s="42" t="e">
        <f>VLOOKUP(F309,Input!C:M,10,0)</f>
        <v>#N/A</v>
      </c>
      <c r="M309" s="42" t="e">
        <f>VLOOKUP(F309,Input!C:M,11,0)</f>
        <v>#N/A</v>
      </c>
      <c r="N309" s="43" t="str">
        <f t="shared" si="4"/>
        <v>308,308,**</v>
      </c>
      <c r="O309" s="42">
        <v>308</v>
      </c>
    </row>
    <row r="310" spans="1:15" ht="14.25">
      <c r="A310" s="13" t="str">
        <f>IFERROR(VLOOKUP($F:$F,scan!$A:$B,2,0),"**")</f>
        <v>**</v>
      </c>
      <c r="B310" s="13" t="str">
        <f>IFERROR(VLOOKUP($F310,scan!A:C,3,0),"**")</f>
        <v>**</v>
      </c>
      <c r="C310" s="42">
        <v>309</v>
      </c>
      <c r="D310" s="42" t="s">
        <v>4936</v>
      </c>
      <c r="E310" s="42" t="s">
        <v>4937</v>
      </c>
      <c r="H310" s="42" t="s">
        <v>4936</v>
      </c>
      <c r="I310" s="42" t="s">
        <v>4938</v>
      </c>
      <c r="J310" s="42" t="s">
        <v>4939</v>
      </c>
      <c r="K310" s="42" t="e">
        <f>VLOOKUP(F310,Input!C:M,9,0)</f>
        <v>#N/A</v>
      </c>
      <c r="L310" s="42" t="e">
        <f>VLOOKUP(F310,Input!C:M,10,0)</f>
        <v>#N/A</v>
      </c>
      <c r="M310" s="42" t="e">
        <f>VLOOKUP(F310,Input!C:M,11,0)</f>
        <v>#N/A</v>
      </c>
      <c r="N310" s="43" t="str">
        <f t="shared" si="4"/>
        <v>309,309,**</v>
      </c>
      <c r="O310" s="42">
        <v>309</v>
      </c>
    </row>
    <row r="311" spans="1:15" ht="14.25">
      <c r="A311" s="13" t="str">
        <f>IFERROR(VLOOKUP($F:$F,scan!$A:$B,2,0),"**")</f>
        <v>**</v>
      </c>
      <c r="B311" s="13" t="str">
        <f>IFERROR(VLOOKUP($F311,scan!A:C,3,0),"**")</f>
        <v>**</v>
      </c>
      <c r="C311" s="42">
        <v>310</v>
      </c>
      <c r="D311" s="42" t="s">
        <v>4936</v>
      </c>
      <c r="E311" s="42" t="s">
        <v>4937</v>
      </c>
      <c r="H311" s="42" t="s">
        <v>4936</v>
      </c>
      <c r="I311" s="42" t="s">
        <v>4938</v>
      </c>
      <c r="J311" s="42" t="s">
        <v>4939</v>
      </c>
      <c r="K311" s="42" t="e">
        <f>VLOOKUP(F311,Input!C:M,9,0)</f>
        <v>#N/A</v>
      </c>
      <c r="L311" s="42" t="e">
        <f>VLOOKUP(F311,Input!C:M,10,0)</f>
        <v>#N/A</v>
      </c>
      <c r="M311" s="42" t="e">
        <f>VLOOKUP(F311,Input!C:M,11,0)</f>
        <v>#N/A</v>
      </c>
      <c r="N311" s="43" t="str">
        <f t="shared" si="4"/>
        <v>310,310,**</v>
      </c>
      <c r="O311" s="42">
        <v>310</v>
      </c>
    </row>
    <row r="312" spans="1:15" ht="14.25">
      <c r="A312" s="13" t="str">
        <f>IFERROR(VLOOKUP($F:$F,scan!$A:$B,2,0),"**")</f>
        <v>**</v>
      </c>
      <c r="B312" s="13" t="str">
        <f>IFERROR(VLOOKUP($F312,scan!A:C,3,0),"**")</f>
        <v>**</v>
      </c>
      <c r="C312" s="42">
        <v>311</v>
      </c>
      <c r="D312" s="42" t="s">
        <v>4936</v>
      </c>
      <c r="E312" s="42" t="s">
        <v>4937</v>
      </c>
      <c r="H312" s="42" t="s">
        <v>4936</v>
      </c>
      <c r="I312" s="42" t="s">
        <v>4938</v>
      </c>
      <c r="J312" s="42" t="s">
        <v>4939</v>
      </c>
      <c r="K312" s="42" t="e">
        <f>VLOOKUP(F312,Input!C:M,9,0)</f>
        <v>#N/A</v>
      </c>
      <c r="L312" s="42" t="e">
        <f>VLOOKUP(F312,Input!C:M,10,0)</f>
        <v>#N/A</v>
      </c>
      <c r="M312" s="42" t="e">
        <f>VLOOKUP(F312,Input!C:M,11,0)</f>
        <v>#N/A</v>
      </c>
      <c r="N312" s="43" t="str">
        <f t="shared" si="4"/>
        <v>311,311,**</v>
      </c>
      <c r="O312" s="42">
        <v>311</v>
      </c>
    </row>
    <row r="313" spans="1:15" ht="14.25">
      <c r="A313" s="13" t="str">
        <f>IFERROR(VLOOKUP($F:$F,scan!$A:$B,2,0),"**")</f>
        <v>**</v>
      </c>
      <c r="B313" s="13" t="str">
        <f>IFERROR(VLOOKUP($F313,scan!A:C,3,0),"**")</f>
        <v>**</v>
      </c>
      <c r="C313" s="42">
        <v>312</v>
      </c>
      <c r="D313" s="42" t="s">
        <v>4936</v>
      </c>
      <c r="E313" s="42" t="s">
        <v>4937</v>
      </c>
      <c r="H313" s="42" t="s">
        <v>4936</v>
      </c>
      <c r="I313" s="42" t="s">
        <v>4938</v>
      </c>
      <c r="J313" s="42" t="s">
        <v>4939</v>
      </c>
      <c r="K313" s="42" t="e">
        <f>VLOOKUP(F313,Input!C:M,9,0)</f>
        <v>#N/A</v>
      </c>
      <c r="L313" s="42" t="e">
        <f>VLOOKUP(F313,Input!C:M,10,0)</f>
        <v>#N/A</v>
      </c>
      <c r="M313" s="42" t="e">
        <f>VLOOKUP(F313,Input!C:M,11,0)</f>
        <v>#N/A</v>
      </c>
      <c r="N313" s="43" t="str">
        <f t="shared" si="4"/>
        <v>312,312,**</v>
      </c>
      <c r="O313" s="42">
        <v>312</v>
      </c>
    </row>
    <row r="314" spans="1:15" ht="14.25">
      <c r="A314" s="13" t="str">
        <f>IFERROR(VLOOKUP($F:$F,scan!$A:$B,2,0),"**")</f>
        <v>**</v>
      </c>
      <c r="B314" s="13" t="str">
        <f>IFERROR(VLOOKUP($F314,scan!A:C,3,0),"**")</f>
        <v>**</v>
      </c>
      <c r="C314" s="42">
        <v>313</v>
      </c>
      <c r="D314" s="42" t="s">
        <v>4936</v>
      </c>
      <c r="E314" s="42" t="s">
        <v>4937</v>
      </c>
      <c r="H314" s="42" t="s">
        <v>4936</v>
      </c>
      <c r="I314" s="42" t="s">
        <v>4938</v>
      </c>
      <c r="J314" s="42" t="s">
        <v>4939</v>
      </c>
      <c r="K314" s="42" t="e">
        <f>VLOOKUP(F314,Input!C:M,9,0)</f>
        <v>#N/A</v>
      </c>
      <c r="L314" s="42" t="e">
        <f>VLOOKUP(F314,Input!C:M,10,0)</f>
        <v>#N/A</v>
      </c>
      <c r="M314" s="42" t="e">
        <f>VLOOKUP(F314,Input!C:M,11,0)</f>
        <v>#N/A</v>
      </c>
      <c r="N314" s="43" t="str">
        <f t="shared" si="4"/>
        <v>313,313,**</v>
      </c>
      <c r="O314" s="42">
        <v>313</v>
      </c>
    </row>
    <row r="315" spans="1:15" ht="14.25">
      <c r="A315" s="13" t="str">
        <f>IFERROR(VLOOKUP($F:$F,scan!$A:$B,2,0),"**")</f>
        <v>**</v>
      </c>
      <c r="B315" s="13" t="str">
        <f>IFERROR(VLOOKUP($F315,scan!A:C,3,0),"**")</f>
        <v>**</v>
      </c>
      <c r="C315" s="42">
        <v>314</v>
      </c>
      <c r="D315" s="42" t="s">
        <v>4936</v>
      </c>
      <c r="E315" s="42" t="s">
        <v>4937</v>
      </c>
      <c r="H315" s="42" t="s">
        <v>4936</v>
      </c>
      <c r="I315" s="42" t="s">
        <v>4938</v>
      </c>
      <c r="J315" s="42" t="s">
        <v>4939</v>
      </c>
      <c r="K315" s="42" t="e">
        <f>VLOOKUP(F315,Input!C:M,9,0)</f>
        <v>#N/A</v>
      </c>
      <c r="L315" s="42" t="e">
        <f>VLOOKUP(F315,Input!C:M,10,0)</f>
        <v>#N/A</v>
      </c>
      <c r="M315" s="42" t="e">
        <f>VLOOKUP(F315,Input!C:M,11,0)</f>
        <v>#N/A</v>
      </c>
      <c r="N315" s="43" t="str">
        <f t="shared" si="4"/>
        <v>314,314,**</v>
      </c>
      <c r="O315" s="42">
        <v>314</v>
      </c>
    </row>
    <row r="316" spans="1:15" ht="14.25">
      <c r="A316" s="13" t="str">
        <f>IFERROR(VLOOKUP($F:$F,scan!$A:$B,2,0),"**")</f>
        <v>**</v>
      </c>
      <c r="B316" s="13" t="str">
        <f>IFERROR(VLOOKUP($F316,scan!A:C,3,0),"**")</f>
        <v>**</v>
      </c>
      <c r="C316" s="42">
        <v>315</v>
      </c>
      <c r="D316" s="42" t="s">
        <v>4936</v>
      </c>
      <c r="E316" s="42" t="s">
        <v>4937</v>
      </c>
      <c r="H316" s="42" t="s">
        <v>4936</v>
      </c>
      <c r="I316" s="42" t="s">
        <v>4938</v>
      </c>
      <c r="J316" s="42" t="s">
        <v>4939</v>
      </c>
      <c r="K316" s="42" t="e">
        <f>VLOOKUP(F316,Input!C:M,9,0)</f>
        <v>#N/A</v>
      </c>
      <c r="L316" s="42" t="e">
        <f>VLOOKUP(F316,Input!C:M,10,0)</f>
        <v>#N/A</v>
      </c>
      <c r="M316" s="42" t="e">
        <f>VLOOKUP(F316,Input!C:M,11,0)</f>
        <v>#N/A</v>
      </c>
      <c r="N316" s="43" t="str">
        <f t="shared" si="4"/>
        <v>315,315,**</v>
      </c>
      <c r="O316" s="42">
        <v>315</v>
      </c>
    </row>
    <row r="317" spans="1:15" ht="14.25">
      <c r="A317" s="13" t="str">
        <f>IFERROR(VLOOKUP($F:$F,scan!$A:$B,2,0),"**")</f>
        <v>**</v>
      </c>
      <c r="B317" s="13" t="str">
        <f>IFERROR(VLOOKUP($F317,scan!A:C,3,0),"**")</f>
        <v>**</v>
      </c>
      <c r="C317" s="42">
        <v>316</v>
      </c>
      <c r="D317" s="42" t="s">
        <v>4936</v>
      </c>
      <c r="E317" s="42" t="s">
        <v>4937</v>
      </c>
      <c r="H317" s="42" t="s">
        <v>4936</v>
      </c>
      <c r="I317" s="42" t="s">
        <v>4938</v>
      </c>
      <c r="J317" s="42" t="s">
        <v>4939</v>
      </c>
      <c r="K317" s="42" t="e">
        <f>VLOOKUP(F317,Input!C:M,9,0)</f>
        <v>#N/A</v>
      </c>
      <c r="L317" s="42" t="e">
        <f>VLOOKUP(F317,Input!C:M,10,0)</f>
        <v>#N/A</v>
      </c>
      <c r="M317" s="42" t="e">
        <f>VLOOKUP(F317,Input!C:M,11,0)</f>
        <v>#N/A</v>
      </c>
      <c r="N317" s="43" t="str">
        <f t="shared" si="4"/>
        <v>316,316,**</v>
      </c>
      <c r="O317" s="42">
        <v>316</v>
      </c>
    </row>
    <row r="318" spans="1:15" ht="14.25">
      <c r="A318" s="13" t="str">
        <f>IFERROR(VLOOKUP($F:$F,scan!$A:$B,2,0),"**")</f>
        <v>**</v>
      </c>
      <c r="B318" s="13" t="str">
        <f>IFERROR(VLOOKUP($F318,scan!A:C,3,0),"**")</f>
        <v>**</v>
      </c>
      <c r="C318" s="42">
        <v>317</v>
      </c>
      <c r="D318" s="42" t="s">
        <v>4936</v>
      </c>
      <c r="E318" s="42" t="s">
        <v>4937</v>
      </c>
      <c r="H318" s="42" t="s">
        <v>4936</v>
      </c>
      <c r="I318" s="42" t="s">
        <v>4938</v>
      </c>
      <c r="J318" s="42" t="s">
        <v>4939</v>
      </c>
      <c r="K318" s="42" t="e">
        <f>VLOOKUP(F318,Input!C:M,9,0)</f>
        <v>#N/A</v>
      </c>
      <c r="L318" s="42" t="e">
        <f>VLOOKUP(F318,Input!C:M,10,0)</f>
        <v>#N/A</v>
      </c>
      <c r="M318" s="42" t="e">
        <f>VLOOKUP(F318,Input!C:M,11,0)</f>
        <v>#N/A</v>
      </c>
      <c r="N318" s="43" t="str">
        <f t="shared" si="4"/>
        <v>317,317,**</v>
      </c>
      <c r="O318" s="42">
        <v>317</v>
      </c>
    </row>
    <row r="319" spans="1:15" ht="14.25">
      <c r="A319" s="13" t="str">
        <f>IFERROR(VLOOKUP($F:$F,scan!$A:$B,2,0),"**")</f>
        <v>**</v>
      </c>
      <c r="B319" s="13" t="str">
        <f>IFERROR(VLOOKUP($F319,scan!A:C,3,0),"**")</f>
        <v>**</v>
      </c>
      <c r="C319" s="42">
        <v>318</v>
      </c>
      <c r="D319" s="42" t="s">
        <v>4936</v>
      </c>
      <c r="E319" s="42" t="s">
        <v>4937</v>
      </c>
      <c r="H319" s="42" t="s">
        <v>4936</v>
      </c>
      <c r="I319" s="42" t="s">
        <v>4938</v>
      </c>
      <c r="J319" s="42" t="s">
        <v>4939</v>
      </c>
      <c r="K319" s="42" t="e">
        <f>VLOOKUP(F319,Input!C:M,9,0)</f>
        <v>#N/A</v>
      </c>
      <c r="L319" s="42" t="e">
        <f>VLOOKUP(F319,Input!C:M,10,0)</f>
        <v>#N/A</v>
      </c>
      <c r="M319" s="42" t="e">
        <f>VLOOKUP(F319,Input!C:M,11,0)</f>
        <v>#N/A</v>
      </c>
      <c r="N319" s="43" t="str">
        <f t="shared" si="4"/>
        <v>318,318,**</v>
      </c>
      <c r="O319" s="42">
        <v>318</v>
      </c>
    </row>
    <row r="320" spans="1:15" ht="14.25">
      <c r="A320" s="13" t="str">
        <f>IFERROR(VLOOKUP($F:$F,scan!$A:$B,2,0),"**")</f>
        <v>**</v>
      </c>
      <c r="B320" s="13" t="str">
        <f>IFERROR(VLOOKUP($F320,scan!A:C,3,0),"**")</f>
        <v>**</v>
      </c>
      <c r="C320" s="42">
        <v>319</v>
      </c>
      <c r="D320" s="42" t="s">
        <v>4936</v>
      </c>
      <c r="E320" s="42" t="s">
        <v>4937</v>
      </c>
      <c r="H320" s="42" t="s">
        <v>4936</v>
      </c>
      <c r="I320" s="42" t="s">
        <v>4938</v>
      </c>
      <c r="J320" s="42" t="s">
        <v>4939</v>
      </c>
      <c r="K320" s="42" t="e">
        <f>VLOOKUP(F320,Input!C:M,9,0)</f>
        <v>#N/A</v>
      </c>
      <c r="L320" s="42" t="e">
        <f>VLOOKUP(F320,Input!C:M,10,0)</f>
        <v>#N/A</v>
      </c>
      <c r="M320" s="42" t="e">
        <f>VLOOKUP(F320,Input!C:M,11,0)</f>
        <v>#N/A</v>
      </c>
      <c r="N320" s="43" t="str">
        <f t="shared" si="4"/>
        <v>319,319,**</v>
      </c>
      <c r="O320" s="42">
        <v>319</v>
      </c>
    </row>
    <row r="321" spans="1:15" ht="14.25">
      <c r="A321" s="13" t="str">
        <f>IFERROR(VLOOKUP($F:$F,scan!$A:$B,2,0),"**")</f>
        <v>**</v>
      </c>
      <c r="B321" s="13" t="str">
        <f>IFERROR(VLOOKUP($F321,scan!A:C,3,0),"**")</f>
        <v>**</v>
      </c>
      <c r="C321" s="42">
        <v>320</v>
      </c>
      <c r="D321" s="42" t="s">
        <v>4936</v>
      </c>
      <c r="E321" s="42" t="s">
        <v>4937</v>
      </c>
      <c r="H321" s="42" t="s">
        <v>4936</v>
      </c>
      <c r="I321" s="42" t="s">
        <v>4938</v>
      </c>
      <c r="J321" s="42" t="s">
        <v>4939</v>
      </c>
      <c r="K321" s="42" t="e">
        <f>VLOOKUP(F321,Input!C:M,9,0)</f>
        <v>#N/A</v>
      </c>
      <c r="L321" s="42" t="e">
        <f>VLOOKUP(F321,Input!C:M,10,0)</f>
        <v>#N/A</v>
      </c>
      <c r="M321" s="42" t="e">
        <f>VLOOKUP(F321,Input!C:M,11,0)</f>
        <v>#N/A</v>
      </c>
      <c r="N321" s="43" t="str">
        <f t="shared" si="4"/>
        <v>320,320,**</v>
      </c>
      <c r="O321" s="42">
        <v>320</v>
      </c>
    </row>
    <row r="322" spans="1:15" ht="14.25">
      <c r="A322" s="13" t="str">
        <f>IFERROR(VLOOKUP($F:$F,scan!$A:$B,2,0),"**")</f>
        <v>**</v>
      </c>
      <c r="B322" s="13" t="str">
        <f>IFERROR(VLOOKUP($F322,scan!A:C,3,0),"**")</f>
        <v>**</v>
      </c>
      <c r="C322" s="42">
        <v>321</v>
      </c>
      <c r="D322" s="42" t="s">
        <v>4936</v>
      </c>
      <c r="E322" s="42" t="s">
        <v>4937</v>
      </c>
      <c r="H322" s="42" t="s">
        <v>4936</v>
      </c>
      <c r="I322" s="42" t="s">
        <v>4938</v>
      </c>
      <c r="J322" s="42" t="s">
        <v>4939</v>
      </c>
      <c r="K322" s="42" t="e">
        <f>VLOOKUP(F322,Input!C:M,9,0)</f>
        <v>#N/A</v>
      </c>
      <c r="L322" s="42" t="e">
        <f>VLOOKUP(F322,Input!C:M,10,0)</f>
        <v>#N/A</v>
      </c>
      <c r="M322" s="42" t="e">
        <f>VLOOKUP(F322,Input!C:M,11,0)</f>
        <v>#N/A</v>
      </c>
      <c r="N322" s="43" t="str">
        <f t="shared" si="4"/>
        <v>321,321,**</v>
      </c>
      <c r="O322" s="42">
        <v>321</v>
      </c>
    </row>
    <row r="323" spans="1:15" ht="14.25">
      <c r="A323" s="13" t="str">
        <f>IFERROR(VLOOKUP($F:$F,scan!$A:$B,2,0),"**")</f>
        <v>**</v>
      </c>
      <c r="B323" s="13" t="str">
        <f>IFERROR(VLOOKUP($F323,scan!A:C,3,0),"**")</f>
        <v>**</v>
      </c>
      <c r="C323" s="42">
        <v>322</v>
      </c>
      <c r="D323" s="42" t="s">
        <v>4936</v>
      </c>
      <c r="E323" s="42" t="s">
        <v>4937</v>
      </c>
      <c r="H323" s="42" t="s">
        <v>4936</v>
      </c>
      <c r="I323" s="42" t="s">
        <v>4938</v>
      </c>
      <c r="J323" s="42" t="s">
        <v>4939</v>
      </c>
      <c r="K323" s="42" t="e">
        <f>VLOOKUP(F323,Input!C:M,9,0)</f>
        <v>#N/A</v>
      </c>
      <c r="L323" s="42" t="e">
        <f>VLOOKUP(F323,Input!C:M,10,0)</f>
        <v>#N/A</v>
      </c>
      <c r="M323" s="42" t="e">
        <f>VLOOKUP(F323,Input!C:M,11,0)</f>
        <v>#N/A</v>
      </c>
      <c r="N323" s="43" t="str">
        <f t="shared" ref="N323:N386" si="5">O323&amp;","&amp;C323&amp;","&amp;B323</f>
        <v>322,322,**</v>
      </c>
      <c r="O323" s="42">
        <v>322</v>
      </c>
    </row>
    <row r="324" spans="1:15" ht="14.25">
      <c r="A324" s="13" t="str">
        <f>IFERROR(VLOOKUP($F:$F,scan!$A:$B,2,0),"**")</f>
        <v>**</v>
      </c>
      <c r="B324" s="13" t="str">
        <f>IFERROR(VLOOKUP($F324,scan!A:C,3,0),"**")</f>
        <v>**</v>
      </c>
      <c r="C324" s="42">
        <v>323</v>
      </c>
      <c r="D324" s="42" t="s">
        <v>4936</v>
      </c>
      <c r="E324" s="42" t="s">
        <v>4937</v>
      </c>
      <c r="H324" s="42" t="s">
        <v>4936</v>
      </c>
      <c r="I324" s="42" t="s">
        <v>4938</v>
      </c>
      <c r="J324" s="42" t="s">
        <v>4939</v>
      </c>
      <c r="K324" s="42" t="e">
        <f>VLOOKUP(F324,Input!C:M,9,0)</f>
        <v>#N/A</v>
      </c>
      <c r="L324" s="42" t="e">
        <f>VLOOKUP(F324,Input!C:M,10,0)</f>
        <v>#N/A</v>
      </c>
      <c r="M324" s="42" t="e">
        <f>VLOOKUP(F324,Input!C:M,11,0)</f>
        <v>#N/A</v>
      </c>
      <c r="N324" s="43" t="str">
        <f t="shared" si="5"/>
        <v>323,323,**</v>
      </c>
      <c r="O324" s="42">
        <v>323</v>
      </c>
    </row>
    <row r="325" spans="1:15" ht="14.25">
      <c r="A325" s="13" t="str">
        <f>IFERROR(VLOOKUP($F:$F,scan!$A:$B,2,0),"**")</f>
        <v>**</v>
      </c>
      <c r="B325" s="13" t="str">
        <f>IFERROR(VLOOKUP($F325,scan!A:C,3,0),"**")</f>
        <v>**</v>
      </c>
      <c r="C325" s="42">
        <v>324</v>
      </c>
      <c r="D325" s="42" t="s">
        <v>4936</v>
      </c>
      <c r="E325" s="42" t="s">
        <v>4937</v>
      </c>
      <c r="H325" s="42" t="s">
        <v>4936</v>
      </c>
      <c r="I325" s="42" t="s">
        <v>4938</v>
      </c>
      <c r="J325" s="42" t="s">
        <v>4939</v>
      </c>
      <c r="K325" s="42" t="e">
        <f>VLOOKUP(F325,Input!C:M,9,0)</f>
        <v>#N/A</v>
      </c>
      <c r="L325" s="42" t="e">
        <f>VLOOKUP(F325,Input!C:M,10,0)</f>
        <v>#N/A</v>
      </c>
      <c r="M325" s="42" t="e">
        <f>VLOOKUP(F325,Input!C:M,11,0)</f>
        <v>#N/A</v>
      </c>
      <c r="N325" s="43" t="str">
        <f t="shared" si="5"/>
        <v>324,324,**</v>
      </c>
      <c r="O325" s="42">
        <v>324</v>
      </c>
    </row>
    <row r="326" spans="1:15" ht="14.25">
      <c r="A326" s="13" t="str">
        <f>IFERROR(VLOOKUP($F:$F,scan!$A:$B,2,0),"**")</f>
        <v>**</v>
      </c>
      <c r="B326" s="13" t="str">
        <f>IFERROR(VLOOKUP($F326,scan!A:C,3,0),"**")</f>
        <v>**</v>
      </c>
      <c r="C326" s="42">
        <v>325</v>
      </c>
      <c r="D326" s="42" t="s">
        <v>4936</v>
      </c>
      <c r="E326" s="42" t="s">
        <v>4937</v>
      </c>
      <c r="H326" s="42" t="s">
        <v>4936</v>
      </c>
      <c r="I326" s="42" t="s">
        <v>4938</v>
      </c>
      <c r="J326" s="42" t="s">
        <v>4939</v>
      </c>
      <c r="K326" s="42" t="e">
        <f>VLOOKUP(F326,Input!C:M,9,0)</f>
        <v>#N/A</v>
      </c>
      <c r="L326" s="42" t="e">
        <f>VLOOKUP(F326,Input!C:M,10,0)</f>
        <v>#N/A</v>
      </c>
      <c r="M326" s="42" t="e">
        <f>VLOOKUP(F326,Input!C:M,11,0)</f>
        <v>#N/A</v>
      </c>
      <c r="N326" s="43" t="str">
        <f t="shared" si="5"/>
        <v>325,325,**</v>
      </c>
      <c r="O326" s="42">
        <v>325</v>
      </c>
    </row>
    <row r="327" spans="1:15" ht="14.25">
      <c r="A327" s="13" t="str">
        <f>IFERROR(VLOOKUP($F:$F,scan!$A:$B,2,0),"**")</f>
        <v>**</v>
      </c>
      <c r="B327" s="13" t="str">
        <f>IFERROR(VLOOKUP($F327,scan!A:C,3,0),"**")</f>
        <v>**</v>
      </c>
      <c r="C327" s="42">
        <v>326</v>
      </c>
      <c r="D327" s="42" t="s">
        <v>4936</v>
      </c>
      <c r="E327" s="42" t="s">
        <v>4937</v>
      </c>
      <c r="H327" s="42" t="s">
        <v>4936</v>
      </c>
      <c r="I327" s="42" t="s">
        <v>4938</v>
      </c>
      <c r="J327" s="42" t="s">
        <v>4939</v>
      </c>
      <c r="K327" s="42" t="e">
        <f>VLOOKUP(F327,Input!C:M,9,0)</f>
        <v>#N/A</v>
      </c>
      <c r="L327" s="42" t="e">
        <f>VLOOKUP(F327,Input!C:M,10,0)</f>
        <v>#N/A</v>
      </c>
      <c r="M327" s="42" t="e">
        <f>VLOOKUP(F327,Input!C:M,11,0)</f>
        <v>#N/A</v>
      </c>
      <c r="N327" s="43" t="str">
        <f t="shared" si="5"/>
        <v>326,326,**</v>
      </c>
      <c r="O327" s="42">
        <v>326</v>
      </c>
    </row>
    <row r="328" spans="1:15" ht="14.25">
      <c r="A328" s="13" t="str">
        <f>IFERROR(VLOOKUP($F:$F,scan!$A:$B,2,0),"**")</f>
        <v>**</v>
      </c>
      <c r="B328" s="13" t="str">
        <f>IFERROR(VLOOKUP($F328,scan!A:C,3,0),"**")</f>
        <v>**</v>
      </c>
      <c r="C328" s="42">
        <v>327</v>
      </c>
      <c r="D328" s="42" t="s">
        <v>4936</v>
      </c>
      <c r="E328" s="42" t="s">
        <v>4937</v>
      </c>
      <c r="H328" s="42" t="s">
        <v>4936</v>
      </c>
      <c r="I328" s="42" t="s">
        <v>4938</v>
      </c>
      <c r="J328" s="42" t="s">
        <v>4939</v>
      </c>
      <c r="K328" s="42" t="e">
        <f>VLOOKUP(F328,Input!C:M,9,0)</f>
        <v>#N/A</v>
      </c>
      <c r="L328" s="42" t="e">
        <f>VLOOKUP(F328,Input!C:M,10,0)</f>
        <v>#N/A</v>
      </c>
      <c r="M328" s="42" t="e">
        <f>VLOOKUP(F328,Input!C:M,11,0)</f>
        <v>#N/A</v>
      </c>
      <c r="N328" s="43" t="str">
        <f t="shared" si="5"/>
        <v>327,327,**</v>
      </c>
      <c r="O328" s="42">
        <v>327</v>
      </c>
    </row>
    <row r="329" spans="1:15" ht="14.25">
      <c r="A329" s="13" t="str">
        <f>IFERROR(VLOOKUP($F:$F,scan!$A:$B,2,0),"**")</f>
        <v>**</v>
      </c>
      <c r="B329" s="13" t="str">
        <f>IFERROR(VLOOKUP($F329,scan!A:C,3,0),"**")</f>
        <v>**</v>
      </c>
      <c r="C329" s="42">
        <v>328</v>
      </c>
      <c r="D329" s="42" t="s">
        <v>4936</v>
      </c>
      <c r="E329" s="42" t="s">
        <v>4937</v>
      </c>
      <c r="H329" s="42" t="s">
        <v>4936</v>
      </c>
      <c r="I329" s="42" t="s">
        <v>4938</v>
      </c>
      <c r="J329" s="42" t="s">
        <v>4939</v>
      </c>
      <c r="K329" s="42" t="e">
        <f>VLOOKUP(F329,Input!C:M,9,0)</f>
        <v>#N/A</v>
      </c>
      <c r="L329" s="42" t="e">
        <f>VLOOKUP(F329,Input!C:M,10,0)</f>
        <v>#N/A</v>
      </c>
      <c r="M329" s="42" t="e">
        <f>VLOOKUP(F329,Input!C:M,11,0)</f>
        <v>#N/A</v>
      </c>
      <c r="N329" s="43" t="str">
        <f t="shared" si="5"/>
        <v>328,328,**</v>
      </c>
      <c r="O329" s="42">
        <v>328</v>
      </c>
    </row>
    <row r="330" spans="1:15" ht="14.25">
      <c r="A330" s="13" t="str">
        <f>IFERROR(VLOOKUP($F:$F,scan!$A:$B,2,0),"**")</f>
        <v>**</v>
      </c>
      <c r="B330" s="13" t="str">
        <f>IFERROR(VLOOKUP($F330,scan!A:C,3,0),"**")</f>
        <v>**</v>
      </c>
      <c r="C330" s="42">
        <v>329</v>
      </c>
      <c r="D330" s="42" t="s">
        <v>4936</v>
      </c>
      <c r="E330" s="42" t="s">
        <v>4937</v>
      </c>
      <c r="H330" s="42" t="s">
        <v>4936</v>
      </c>
      <c r="I330" s="42" t="s">
        <v>4938</v>
      </c>
      <c r="J330" s="42" t="s">
        <v>4939</v>
      </c>
      <c r="K330" s="42" t="e">
        <f>VLOOKUP(F330,Input!C:M,9,0)</f>
        <v>#N/A</v>
      </c>
      <c r="L330" s="42" t="e">
        <f>VLOOKUP(F330,Input!C:M,10,0)</f>
        <v>#N/A</v>
      </c>
      <c r="M330" s="42" t="e">
        <f>VLOOKUP(F330,Input!C:M,11,0)</f>
        <v>#N/A</v>
      </c>
      <c r="N330" s="43" t="str">
        <f t="shared" si="5"/>
        <v>329,329,**</v>
      </c>
      <c r="O330" s="42">
        <v>329</v>
      </c>
    </row>
    <row r="331" spans="1:15" ht="14.25">
      <c r="A331" s="13" t="str">
        <f>IFERROR(VLOOKUP($F:$F,scan!$A:$B,2,0),"**")</f>
        <v>**</v>
      </c>
      <c r="B331" s="13" t="str">
        <f>IFERROR(VLOOKUP($F331,scan!A:C,3,0),"**")</f>
        <v>**</v>
      </c>
      <c r="C331" s="42">
        <v>330</v>
      </c>
      <c r="D331" s="42" t="s">
        <v>4936</v>
      </c>
      <c r="E331" s="42" t="s">
        <v>4937</v>
      </c>
      <c r="H331" s="42" t="s">
        <v>4936</v>
      </c>
      <c r="I331" s="42" t="s">
        <v>4938</v>
      </c>
      <c r="J331" s="42" t="s">
        <v>4939</v>
      </c>
      <c r="K331" s="42" t="e">
        <f>VLOOKUP(F331,Input!C:M,9,0)</f>
        <v>#N/A</v>
      </c>
      <c r="L331" s="42" t="e">
        <f>VLOOKUP(F331,Input!C:M,10,0)</f>
        <v>#N/A</v>
      </c>
      <c r="M331" s="42" t="e">
        <f>VLOOKUP(F331,Input!C:M,11,0)</f>
        <v>#N/A</v>
      </c>
      <c r="N331" s="43" t="str">
        <f t="shared" si="5"/>
        <v>330,330,**</v>
      </c>
      <c r="O331" s="42">
        <v>330</v>
      </c>
    </row>
    <row r="332" spans="1:15" ht="14.25">
      <c r="A332" s="13" t="str">
        <f>IFERROR(VLOOKUP($F:$F,scan!$A:$B,2,0),"**")</f>
        <v>**</v>
      </c>
      <c r="B332" s="13" t="str">
        <f>IFERROR(VLOOKUP($F332,scan!A:C,3,0),"**")</f>
        <v>**</v>
      </c>
      <c r="C332" s="42">
        <v>331</v>
      </c>
      <c r="D332" s="42" t="s">
        <v>4936</v>
      </c>
      <c r="E332" s="42" t="s">
        <v>4937</v>
      </c>
      <c r="H332" s="42" t="s">
        <v>4936</v>
      </c>
      <c r="I332" s="42" t="s">
        <v>4938</v>
      </c>
      <c r="J332" s="42" t="s">
        <v>4939</v>
      </c>
      <c r="K332" s="42" t="e">
        <f>VLOOKUP(F332,Input!C:M,9,0)</f>
        <v>#N/A</v>
      </c>
      <c r="L332" s="42" t="e">
        <f>VLOOKUP(F332,Input!C:M,10,0)</f>
        <v>#N/A</v>
      </c>
      <c r="M332" s="42" t="e">
        <f>VLOOKUP(F332,Input!C:M,11,0)</f>
        <v>#N/A</v>
      </c>
      <c r="N332" s="43" t="str">
        <f t="shared" si="5"/>
        <v>331,331,**</v>
      </c>
      <c r="O332" s="42">
        <v>331</v>
      </c>
    </row>
    <row r="333" spans="1:15" ht="14.25">
      <c r="A333" s="13" t="str">
        <f>IFERROR(VLOOKUP($F:$F,scan!$A:$B,2,0),"**")</f>
        <v>**</v>
      </c>
      <c r="B333" s="13" t="str">
        <f>IFERROR(VLOOKUP($F333,scan!A:C,3,0),"**")</f>
        <v>**</v>
      </c>
      <c r="C333" s="42">
        <v>332</v>
      </c>
      <c r="D333" s="42" t="s">
        <v>4936</v>
      </c>
      <c r="E333" s="42" t="s">
        <v>4937</v>
      </c>
      <c r="H333" s="42" t="s">
        <v>4936</v>
      </c>
      <c r="I333" s="42" t="s">
        <v>4938</v>
      </c>
      <c r="J333" s="42" t="s">
        <v>4939</v>
      </c>
      <c r="K333" s="42" t="e">
        <f>VLOOKUP(F333,Input!C:M,9,0)</f>
        <v>#N/A</v>
      </c>
      <c r="L333" s="42" t="e">
        <f>VLOOKUP(F333,Input!C:M,10,0)</f>
        <v>#N/A</v>
      </c>
      <c r="M333" s="42" t="e">
        <f>VLOOKUP(F333,Input!C:M,11,0)</f>
        <v>#N/A</v>
      </c>
      <c r="N333" s="43" t="str">
        <f t="shared" si="5"/>
        <v>332,332,**</v>
      </c>
      <c r="O333" s="42">
        <v>332</v>
      </c>
    </row>
    <row r="334" spans="1:15" ht="14.25">
      <c r="A334" s="13" t="str">
        <f>IFERROR(VLOOKUP($F:$F,scan!$A:$B,2,0),"**")</f>
        <v>**</v>
      </c>
      <c r="B334" s="13" t="str">
        <f>IFERROR(VLOOKUP($F334,scan!A:C,3,0),"**")</f>
        <v>**</v>
      </c>
      <c r="C334" s="42">
        <v>333</v>
      </c>
      <c r="D334" s="42" t="s">
        <v>4936</v>
      </c>
      <c r="E334" s="42" t="s">
        <v>4937</v>
      </c>
      <c r="H334" s="42" t="s">
        <v>4936</v>
      </c>
      <c r="I334" s="42" t="s">
        <v>4938</v>
      </c>
      <c r="J334" s="42" t="s">
        <v>4939</v>
      </c>
      <c r="K334" s="42" t="e">
        <f>VLOOKUP(F334,Input!C:M,9,0)</f>
        <v>#N/A</v>
      </c>
      <c r="L334" s="42" t="e">
        <f>VLOOKUP(F334,Input!C:M,10,0)</f>
        <v>#N/A</v>
      </c>
      <c r="M334" s="42" t="e">
        <f>VLOOKUP(F334,Input!C:M,11,0)</f>
        <v>#N/A</v>
      </c>
      <c r="N334" s="43" t="str">
        <f t="shared" si="5"/>
        <v>333,333,**</v>
      </c>
      <c r="O334" s="42">
        <v>333</v>
      </c>
    </row>
    <row r="335" spans="1:15" ht="14.25">
      <c r="A335" s="13" t="str">
        <f>IFERROR(VLOOKUP($F:$F,scan!$A:$B,2,0),"**")</f>
        <v>**</v>
      </c>
      <c r="B335" s="13" t="str">
        <f>IFERROR(VLOOKUP($F335,scan!A:C,3,0),"**")</f>
        <v>**</v>
      </c>
      <c r="C335" s="42">
        <v>334</v>
      </c>
      <c r="D335" s="42" t="s">
        <v>4936</v>
      </c>
      <c r="E335" s="42" t="s">
        <v>4937</v>
      </c>
      <c r="H335" s="42" t="s">
        <v>4936</v>
      </c>
      <c r="I335" s="42" t="s">
        <v>4938</v>
      </c>
      <c r="J335" s="42" t="s">
        <v>4939</v>
      </c>
      <c r="K335" s="42" t="e">
        <f>VLOOKUP(F335,Input!C:M,9,0)</f>
        <v>#N/A</v>
      </c>
      <c r="L335" s="42" t="e">
        <f>VLOOKUP(F335,Input!C:M,10,0)</f>
        <v>#N/A</v>
      </c>
      <c r="M335" s="42" t="e">
        <f>VLOOKUP(F335,Input!C:M,11,0)</f>
        <v>#N/A</v>
      </c>
      <c r="N335" s="43" t="str">
        <f t="shared" si="5"/>
        <v>334,334,**</v>
      </c>
      <c r="O335" s="42">
        <v>334</v>
      </c>
    </row>
    <row r="336" spans="1:15" ht="14.25">
      <c r="A336" s="13" t="str">
        <f>IFERROR(VLOOKUP($F:$F,scan!$A:$B,2,0),"**")</f>
        <v>**</v>
      </c>
      <c r="B336" s="13" t="str">
        <f>IFERROR(VLOOKUP($F336,scan!A:C,3,0),"**")</f>
        <v>**</v>
      </c>
      <c r="C336" s="42">
        <v>335</v>
      </c>
      <c r="D336" s="42" t="s">
        <v>4936</v>
      </c>
      <c r="E336" s="42" t="s">
        <v>4937</v>
      </c>
      <c r="H336" s="42" t="s">
        <v>4936</v>
      </c>
      <c r="I336" s="42" t="s">
        <v>4938</v>
      </c>
      <c r="J336" s="42" t="s">
        <v>4939</v>
      </c>
      <c r="K336" s="42" t="e">
        <f>VLOOKUP(F336,Input!C:M,9,0)</f>
        <v>#N/A</v>
      </c>
      <c r="L336" s="42" t="e">
        <f>VLOOKUP(F336,Input!C:M,10,0)</f>
        <v>#N/A</v>
      </c>
      <c r="M336" s="42" t="e">
        <f>VLOOKUP(F336,Input!C:M,11,0)</f>
        <v>#N/A</v>
      </c>
      <c r="N336" s="43" t="str">
        <f t="shared" si="5"/>
        <v>335,335,**</v>
      </c>
      <c r="O336" s="42">
        <v>335</v>
      </c>
    </row>
    <row r="337" spans="1:15" ht="14.25">
      <c r="A337" s="13" t="str">
        <f>IFERROR(VLOOKUP($F:$F,scan!$A:$B,2,0),"**")</f>
        <v>**</v>
      </c>
      <c r="B337" s="13" t="str">
        <f>IFERROR(VLOOKUP($F337,scan!A:C,3,0),"**")</f>
        <v>**</v>
      </c>
      <c r="C337" s="42">
        <v>336</v>
      </c>
      <c r="D337" s="42" t="s">
        <v>4936</v>
      </c>
      <c r="E337" s="42" t="s">
        <v>4937</v>
      </c>
      <c r="H337" s="42" t="s">
        <v>4936</v>
      </c>
      <c r="I337" s="42" t="s">
        <v>4938</v>
      </c>
      <c r="J337" s="42" t="s">
        <v>4939</v>
      </c>
      <c r="K337" s="42" t="e">
        <f>VLOOKUP(F337,Input!C:M,9,0)</f>
        <v>#N/A</v>
      </c>
      <c r="L337" s="42" t="e">
        <f>VLOOKUP(F337,Input!C:M,10,0)</f>
        <v>#N/A</v>
      </c>
      <c r="M337" s="42" t="e">
        <f>VLOOKUP(F337,Input!C:M,11,0)</f>
        <v>#N/A</v>
      </c>
      <c r="N337" s="43" t="str">
        <f t="shared" si="5"/>
        <v>336,336,**</v>
      </c>
      <c r="O337" s="42">
        <v>336</v>
      </c>
    </row>
    <row r="338" spans="1:15" ht="14.25">
      <c r="A338" s="13" t="str">
        <f>IFERROR(VLOOKUP($F:$F,scan!$A:$B,2,0),"**")</f>
        <v>**</v>
      </c>
      <c r="B338" s="13" t="str">
        <f>IFERROR(VLOOKUP($F338,scan!A:C,3,0),"**")</f>
        <v>**</v>
      </c>
      <c r="C338" s="42">
        <v>337</v>
      </c>
      <c r="D338" s="42" t="s">
        <v>4936</v>
      </c>
      <c r="E338" s="42" t="s">
        <v>4937</v>
      </c>
      <c r="H338" s="42" t="s">
        <v>4936</v>
      </c>
      <c r="I338" s="42" t="s">
        <v>4938</v>
      </c>
      <c r="J338" s="42" t="s">
        <v>4939</v>
      </c>
      <c r="K338" s="42" t="e">
        <f>VLOOKUP(F338,Input!C:M,9,0)</f>
        <v>#N/A</v>
      </c>
      <c r="L338" s="42" t="e">
        <f>VLOOKUP(F338,Input!C:M,10,0)</f>
        <v>#N/A</v>
      </c>
      <c r="M338" s="42" t="e">
        <f>VLOOKUP(F338,Input!C:M,11,0)</f>
        <v>#N/A</v>
      </c>
      <c r="N338" s="43" t="str">
        <f t="shared" si="5"/>
        <v>337,337,**</v>
      </c>
      <c r="O338" s="42">
        <v>337</v>
      </c>
    </row>
    <row r="339" spans="1:15" ht="14.25">
      <c r="A339" s="13" t="str">
        <f>IFERROR(VLOOKUP($F:$F,scan!$A:$B,2,0),"**")</f>
        <v>**</v>
      </c>
      <c r="B339" s="13" t="str">
        <f>IFERROR(VLOOKUP($F339,scan!A:C,3,0),"**")</f>
        <v>**</v>
      </c>
      <c r="C339" s="42">
        <v>338</v>
      </c>
      <c r="D339" s="42" t="s">
        <v>4936</v>
      </c>
      <c r="E339" s="42" t="s">
        <v>4937</v>
      </c>
      <c r="H339" s="42" t="s">
        <v>4936</v>
      </c>
      <c r="I339" s="42" t="s">
        <v>4938</v>
      </c>
      <c r="J339" s="42" t="s">
        <v>4939</v>
      </c>
      <c r="K339" s="42" t="e">
        <f>VLOOKUP(F339,Input!C:M,9,0)</f>
        <v>#N/A</v>
      </c>
      <c r="L339" s="42" t="e">
        <f>VLOOKUP(F339,Input!C:M,10,0)</f>
        <v>#N/A</v>
      </c>
      <c r="M339" s="42" t="e">
        <f>VLOOKUP(F339,Input!C:M,11,0)</f>
        <v>#N/A</v>
      </c>
      <c r="N339" s="43" t="str">
        <f t="shared" si="5"/>
        <v>338,338,**</v>
      </c>
      <c r="O339" s="42">
        <v>338</v>
      </c>
    </row>
    <row r="340" spans="1:15" ht="14.25">
      <c r="A340" s="13" t="str">
        <f>IFERROR(VLOOKUP($F:$F,scan!$A:$B,2,0),"**")</f>
        <v>**</v>
      </c>
      <c r="B340" s="13" t="str">
        <f>IFERROR(VLOOKUP($F340,scan!A:C,3,0),"**")</f>
        <v>**</v>
      </c>
      <c r="C340" s="42">
        <v>339</v>
      </c>
      <c r="D340" s="42" t="s">
        <v>4936</v>
      </c>
      <c r="E340" s="42" t="s">
        <v>4937</v>
      </c>
      <c r="H340" s="42" t="s">
        <v>4936</v>
      </c>
      <c r="I340" s="42" t="s">
        <v>4938</v>
      </c>
      <c r="J340" s="42" t="s">
        <v>4939</v>
      </c>
      <c r="K340" s="42" t="e">
        <f>VLOOKUP(F340,Input!C:M,9,0)</f>
        <v>#N/A</v>
      </c>
      <c r="L340" s="42" t="e">
        <f>VLOOKUP(F340,Input!C:M,10,0)</f>
        <v>#N/A</v>
      </c>
      <c r="M340" s="42" t="e">
        <f>VLOOKUP(F340,Input!C:M,11,0)</f>
        <v>#N/A</v>
      </c>
      <c r="N340" s="43" t="str">
        <f t="shared" si="5"/>
        <v>339,339,**</v>
      </c>
      <c r="O340" s="42">
        <v>339</v>
      </c>
    </row>
    <row r="341" spans="1:15" ht="14.25">
      <c r="A341" s="13" t="str">
        <f>IFERROR(VLOOKUP($F:$F,scan!$A:$B,2,0),"**")</f>
        <v>**</v>
      </c>
      <c r="B341" s="13" t="str">
        <f>IFERROR(VLOOKUP($F341,scan!A:C,3,0),"**")</f>
        <v>**</v>
      </c>
      <c r="C341" s="42">
        <v>340</v>
      </c>
      <c r="D341" s="42" t="s">
        <v>4936</v>
      </c>
      <c r="E341" s="42" t="s">
        <v>4937</v>
      </c>
      <c r="H341" s="42" t="s">
        <v>4936</v>
      </c>
      <c r="I341" s="42" t="s">
        <v>4938</v>
      </c>
      <c r="J341" s="42" t="s">
        <v>4939</v>
      </c>
      <c r="K341" s="42" t="e">
        <f>VLOOKUP(F341,Input!C:M,9,0)</f>
        <v>#N/A</v>
      </c>
      <c r="L341" s="42" t="e">
        <f>VLOOKUP(F341,Input!C:M,10,0)</f>
        <v>#N/A</v>
      </c>
      <c r="M341" s="42" t="e">
        <f>VLOOKUP(F341,Input!C:M,11,0)</f>
        <v>#N/A</v>
      </c>
      <c r="N341" s="43" t="str">
        <f t="shared" si="5"/>
        <v>340,340,**</v>
      </c>
      <c r="O341" s="42">
        <v>340</v>
      </c>
    </row>
    <row r="342" spans="1:15" ht="14.25">
      <c r="A342" s="13" t="str">
        <f>IFERROR(VLOOKUP($F:$F,scan!$A:$B,2,0),"**")</f>
        <v>**</v>
      </c>
      <c r="B342" s="13" t="str">
        <f>IFERROR(VLOOKUP($F342,scan!A:C,3,0),"**")</f>
        <v>**</v>
      </c>
      <c r="C342" s="42">
        <v>341</v>
      </c>
      <c r="D342" s="42" t="s">
        <v>4936</v>
      </c>
      <c r="E342" s="42" t="s">
        <v>4937</v>
      </c>
      <c r="H342" s="42" t="s">
        <v>4936</v>
      </c>
      <c r="I342" s="42" t="s">
        <v>4938</v>
      </c>
      <c r="J342" s="42" t="s">
        <v>4939</v>
      </c>
      <c r="K342" s="42" t="e">
        <f>VLOOKUP(F342,Input!C:M,9,0)</f>
        <v>#N/A</v>
      </c>
      <c r="L342" s="42" t="e">
        <f>VLOOKUP(F342,Input!C:M,10,0)</f>
        <v>#N/A</v>
      </c>
      <c r="M342" s="42" t="e">
        <f>VLOOKUP(F342,Input!C:M,11,0)</f>
        <v>#N/A</v>
      </c>
      <c r="N342" s="43" t="str">
        <f t="shared" si="5"/>
        <v>341,341,**</v>
      </c>
      <c r="O342" s="42">
        <v>341</v>
      </c>
    </row>
    <row r="343" spans="1:15" ht="14.25">
      <c r="A343" s="13" t="str">
        <f>IFERROR(VLOOKUP($F:$F,scan!$A:$B,2,0),"**")</f>
        <v>**</v>
      </c>
      <c r="B343" s="13" t="str">
        <f>IFERROR(VLOOKUP($F343,scan!A:C,3,0),"**")</f>
        <v>**</v>
      </c>
      <c r="C343" s="42">
        <v>342</v>
      </c>
      <c r="D343" s="42" t="s">
        <v>4936</v>
      </c>
      <c r="E343" s="42" t="s">
        <v>4937</v>
      </c>
      <c r="H343" s="42" t="s">
        <v>4936</v>
      </c>
      <c r="I343" s="42" t="s">
        <v>4938</v>
      </c>
      <c r="J343" s="42" t="s">
        <v>4939</v>
      </c>
      <c r="K343" s="42" t="e">
        <f>VLOOKUP(F343,Input!C:M,9,0)</f>
        <v>#N/A</v>
      </c>
      <c r="L343" s="42" t="e">
        <f>VLOOKUP(F343,Input!C:M,10,0)</f>
        <v>#N/A</v>
      </c>
      <c r="M343" s="42" t="e">
        <f>VLOOKUP(F343,Input!C:M,11,0)</f>
        <v>#N/A</v>
      </c>
      <c r="N343" s="43" t="str">
        <f t="shared" si="5"/>
        <v>342,342,**</v>
      </c>
      <c r="O343" s="42">
        <v>342</v>
      </c>
    </row>
    <row r="344" spans="1:15" ht="14.25">
      <c r="A344" s="13" t="str">
        <f>IFERROR(VLOOKUP($F:$F,scan!$A:$B,2,0),"**")</f>
        <v>**</v>
      </c>
      <c r="B344" s="13" t="str">
        <f>IFERROR(VLOOKUP($F344,scan!A:C,3,0),"**")</f>
        <v>**</v>
      </c>
      <c r="C344" s="42">
        <v>343</v>
      </c>
      <c r="D344" s="42" t="s">
        <v>4936</v>
      </c>
      <c r="E344" s="42" t="s">
        <v>4937</v>
      </c>
      <c r="H344" s="42" t="s">
        <v>4936</v>
      </c>
      <c r="I344" s="42" t="s">
        <v>4938</v>
      </c>
      <c r="J344" s="42" t="s">
        <v>4939</v>
      </c>
      <c r="K344" s="42" t="e">
        <f>VLOOKUP(F344,Input!C:M,9,0)</f>
        <v>#N/A</v>
      </c>
      <c r="L344" s="42" t="e">
        <f>VLOOKUP(F344,Input!C:M,10,0)</f>
        <v>#N/A</v>
      </c>
      <c r="M344" s="42" t="e">
        <f>VLOOKUP(F344,Input!C:M,11,0)</f>
        <v>#N/A</v>
      </c>
      <c r="N344" s="43" t="str">
        <f t="shared" si="5"/>
        <v>343,343,**</v>
      </c>
      <c r="O344" s="42">
        <v>343</v>
      </c>
    </row>
    <row r="345" spans="1:15" ht="14.25">
      <c r="A345" s="13" t="str">
        <f>IFERROR(VLOOKUP($F:$F,scan!$A:$B,2,0),"**")</f>
        <v>**</v>
      </c>
      <c r="B345" s="13" t="str">
        <f>IFERROR(VLOOKUP($F345,scan!A:C,3,0),"**")</f>
        <v>**</v>
      </c>
      <c r="C345" s="42">
        <v>344</v>
      </c>
      <c r="D345" s="42" t="s">
        <v>4936</v>
      </c>
      <c r="E345" s="42" t="s">
        <v>4937</v>
      </c>
      <c r="H345" s="42" t="s">
        <v>4936</v>
      </c>
      <c r="I345" s="42" t="s">
        <v>4938</v>
      </c>
      <c r="J345" s="42" t="s">
        <v>4939</v>
      </c>
      <c r="K345" s="42" t="e">
        <f>VLOOKUP(F345,Input!C:M,9,0)</f>
        <v>#N/A</v>
      </c>
      <c r="L345" s="42" t="e">
        <f>VLOOKUP(F345,Input!C:M,10,0)</f>
        <v>#N/A</v>
      </c>
      <c r="M345" s="42" t="e">
        <f>VLOOKUP(F345,Input!C:M,11,0)</f>
        <v>#N/A</v>
      </c>
      <c r="N345" s="43" t="str">
        <f t="shared" si="5"/>
        <v>344,344,**</v>
      </c>
      <c r="O345" s="42">
        <v>344</v>
      </c>
    </row>
    <row r="346" spans="1:15" ht="14.25">
      <c r="A346" s="13" t="str">
        <f>IFERROR(VLOOKUP($F:$F,scan!$A:$B,2,0),"**")</f>
        <v>**</v>
      </c>
      <c r="B346" s="13" t="str">
        <f>IFERROR(VLOOKUP($F346,scan!A:C,3,0),"**")</f>
        <v>**</v>
      </c>
      <c r="C346" s="42">
        <v>345</v>
      </c>
      <c r="D346" s="42" t="s">
        <v>4936</v>
      </c>
      <c r="E346" s="42" t="s">
        <v>4937</v>
      </c>
      <c r="H346" s="42" t="s">
        <v>4936</v>
      </c>
      <c r="I346" s="42" t="s">
        <v>4938</v>
      </c>
      <c r="J346" s="42" t="s">
        <v>4939</v>
      </c>
      <c r="K346" s="42" t="e">
        <f>VLOOKUP(F346,Input!C:M,9,0)</f>
        <v>#N/A</v>
      </c>
      <c r="L346" s="42" t="e">
        <f>VLOOKUP(F346,Input!C:M,10,0)</f>
        <v>#N/A</v>
      </c>
      <c r="M346" s="42" t="e">
        <f>VLOOKUP(F346,Input!C:M,11,0)</f>
        <v>#N/A</v>
      </c>
      <c r="N346" s="43" t="str">
        <f t="shared" si="5"/>
        <v>345,345,**</v>
      </c>
      <c r="O346" s="42">
        <v>345</v>
      </c>
    </row>
    <row r="347" spans="1:15" ht="14.25">
      <c r="A347" s="13" t="str">
        <f>IFERROR(VLOOKUP($F:$F,scan!$A:$B,2,0),"**")</f>
        <v>**</v>
      </c>
      <c r="B347" s="13" t="str">
        <f>IFERROR(VLOOKUP($F347,scan!A:C,3,0),"**")</f>
        <v>**</v>
      </c>
      <c r="C347" s="42">
        <v>346</v>
      </c>
      <c r="D347" s="42" t="s">
        <v>4936</v>
      </c>
      <c r="E347" s="42" t="s">
        <v>4937</v>
      </c>
      <c r="H347" s="42" t="s">
        <v>4936</v>
      </c>
      <c r="I347" s="42" t="s">
        <v>4938</v>
      </c>
      <c r="J347" s="42" t="s">
        <v>4939</v>
      </c>
      <c r="K347" s="42" t="e">
        <f>VLOOKUP(F347,Input!C:M,9,0)</f>
        <v>#N/A</v>
      </c>
      <c r="L347" s="42" t="e">
        <f>VLOOKUP(F347,Input!C:M,10,0)</f>
        <v>#N/A</v>
      </c>
      <c r="M347" s="42" t="e">
        <f>VLOOKUP(F347,Input!C:M,11,0)</f>
        <v>#N/A</v>
      </c>
      <c r="N347" s="43" t="str">
        <f t="shared" si="5"/>
        <v>346,346,**</v>
      </c>
      <c r="O347" s="42">
        <v>346</v>
      </c>
    </row>
    <row r="348" spans="1:15" ht="14.25">
      <c r="A348" s="13" t="str">
        <f>IFERROR(VLOOKUP($F:$F,scan!$A:$B,2,0),"**")</f>
        <v>**</v>
      </c>
      <c r="B348" s="13" t="str">
        <f>IFERROR(VLOOKUP($F348,scan!A:C,3,0),"**")</f>
        <v>**</v>
      </c>
      <c r="C348" s="42">
        <v>347</v>
      </c>
      <c r="D348" s="42" t="s">
        <v>4936</v>
      </c>
      <c r="E348" s="42" t="s">
        <v>4937</v>
      </c>
      <c r="H348" s="42" t="s">
        <v>4936</v>
      </c>
      <c r="I348" s="42" t="s">
        <v>4938</v>
      </c>
      <c r="J348" s="42" t="s">
        <v>4939</v>
      </c>
      <c r="K348" s="42" t="e">
        <f>VLOOKUP(F348,Input!C:M,9,0)</f>
        <v>#N/A</v>
      </c>
      <c r="L348" s="42" t="e">
        <f>VLOOKUP(F348,Input!C:M,10,0)</f>
        <v>#N/A</v>
      </c>
      <c r="M348" s="42" t="e">
        <f>VLOOKUP(F348,Input!C:M,11,0)</f>
        <v>#N/A</v>
      </c>
      <c r="N348" s="43" t="str">
        <f t="shared" si="5"/>
        <v>347,347,**</v>
      </c>
      <c r="O348" s="42">
        <v>347</v>
      </c>
    </row>
    <row r="349" spans="1:15" ht="14.25">
      <c r="A349" s="13" t="str">
        <f>IFERROR(VLOOKUP($F:$F,scan!$A:$B,2,0),"**")</f>
        <v>**</v>
      </c>
      <c r="B349" s="13" t="str">
        <f>IFERROR(VLOOKUP($F349,scan!A:C,3,0),"**")</f>
        <v>**</v>
      </c>
      <c r="C349" s="42">
        <v>348</v>
      </c>
      <c r="D349" s="42" t="s">
        <v>4936</v>
      </c>
      <c r="E349" s="42" t="s">
        <v>4937</v>
      </c>
      <c r="H349" s="42" t="s">
        <v>4936</v>
      </c>
      <c r="I349" s="42" t="s">
        <v>4938</v>
      </c>
      <c r="J349" s="42" t="s">
        <v>4939</v>
      </c>
      <c r="K349" s="42" t="e">
        <f>VLOOKUP(F349,Input!C:M,9,0)</f>
        <v>#N/A</v>
      </c>
      <c r="L349" s="42" t="e">
        <f>VLOOKUP(F349,Input!C:M,10,0)</f>
        <v>#N/A</v>
      </c>
      <c r="M349" s="42" t="e">
        <f>VLOOKUP(F349,Input!C:M,11,0)</f>
        <v>#N/A</v>
      </c>
      <c r="N349" s="43" t="str">
        <f t="shared" si="5"/>
        <v>348,348,**</v>
      </c>
      <c r="O349" s="42">
        <v>348</v>
      </c>
    </row>
    <row r="350" spans="1:15" ht="14.25">
      <c r="A350" s="13" t="str">
        <f>IFERROR(VLOOKUP($F:$F,scan!$A:$B,2,0),"**")</f>
        <v>**</v>
      </c>
      <c r="B350" s="13" t="str">
        <f>IFERROR(VLOOKUP($F350,scan!A:C,3,0),"**")</f>
        <v>**</v>
      </c>
      <c r="C350" s="42">
        <v>349</v>
      </c>
      <c r="D350" s="42" t="s">
        <v>4936</v>
      </c>
      <c r="E350" s="42" t="s">
        <v>4937</v>
      </c>
      <c r="H350" s="42" t="s">
        <v>4936</v>
      </c>
      <c r="I350" s="42" t="s">
        <v>4938</v>
      </c>
      <c r="J350" s="42" t="s">
        <v>4939</v>
      </c>
      <c r="K350" s="42" t="e">
        <f>VLOOKUP(F350,Input!C:M,9,0)</f>
        <v>#N/A</v>
      </c>
      <c r="L350" s="42" t="e">
        <f>VLOOKUP(F350,Input!C:M,10,0)</f>
        <v>#N/A</v>
      </c>
      <c r="M350" s="42" t="e">
        <f>VLOOKUP(F350,Input!C:M,11,0)</f>
        <v>#N/A</v>
      </c>
      <c r="N350" s="43" t="str">
        <f t="shared" si="5"/>
        <v>349,349,**</v>
      </c>
      <c r="O350" s="42">
        <v>349</v>
      </c>
    </row>
    <row r="351" spans="1:15" ht="14.25">
      <c r="A351" s="13" t="str">
        <f>IFERROR(VLOOKUP($F:$F,scan!$A:$B,2,0),"**")</f>
        <v>**</v>
      </c>
      <c r="B351" s="13" t="str">
        <f>IFERROR(VLOOKUP($F351,scan!A:C,3,0),"**")</f>
        <v>**</v>
      </c>
      <c r="C351" s="42">
        <v>350</v>
      </c>
      <c r="D351" s="42" t="s">
        <v>4936</v>
      </c>
      <c r="E351" s="42" t="s">
        <v>4937</v>
      </c>
      <c r="H351" s="42" t="s">
        <v>4936</v>
      </c>
      <c r="I351" s="42" t="s">
        <v>4938</v>
      </c>
      <c r="J351" s="42" t="s">
        <v>4939</v>
      </c>
      <c r="K351" s="42" t="e">
        <f>VLOOKUP(F351,Input!C:M,9,0)</f>
        <v>#N/A</v>
      </c>
      <c r="L351" s="42" t="e">
        <f>VLOOKUP(F351,Input!C:M,10,0)</f>
        <v>#N/A</v>
      </c>
      <c r="M351" s="42" t="e">
        <f>VLOOKUP(F351,Input!C:M,11,0)</f>
        <v>#N/A</v>
      </c>
      <c r="N351" s="43" t="str">
        <f t="shared" si="5"/>
        <v>350,350,**</v>
      </c>
      <c r="O351" s="42">
        <v>350</v>
      </c>
    </row>
    <row r="352" spans="1:15" ht="14.25">
      <c r="A352" s="13" t="str">
        <f>IFERROR(VLOOKUP($F:$F,scan!$A:$B,2,0),"**")</f>
        <v>**</v>
      </c>
      <c r="B352" s="13" t="str">
        <f>IFERROR(VLOOKUP($F352,scan!A:C,3,0),"**")</f>
        <v>**</v>
      </c>
      <c r="C352" s="42">
        <v>351</v>
      </c>
      <c r="D352" s="42" t="s">
        <v>4936</v>
      </c>
      <c r="E352" s="42" t="s">
        <v>4937</v>
      </c>
      <c r="H352" s="42" t="s">
        <v>4936</v>
      </c>
      <c r="I352" s="42" t="s">
        <v>4938</v>
      </c>
      <c r="J352" s="42" t="s">
        <v>4939</v>
      </c>
      <c r="K352" s="42" t="e">
        <f>VLOOKUP(F352,Input!C:M,9,0)</f>
        <v>#N/A</v>
      </c>
      <c r="L352" s="42" t="e">
        <f>VLOOKUP(F352,Input!C:M,10,0)</f>
        <v>#N/A</v>
      </c>
      <c r="M352" s="42" t="e">
        <f>VLOOKUP(F352,Input!C:M,11,0)</f>
        <v>#N/A</v>
      </c>
      <c r="N352" s="43" t="str">
        <f t="shared" si="5"/>
        <v>351,351,**</v>
      </c>
      <c r="O352" s="42">
        <v>351</v>
      </c>
    </row>
    <row r="353" spans="1:15" ht="14.25">
      <c r="A353" s="13" t="str">
        <f>IFERROR(VLOOKUP($F:$F,scan!$A:$B,2,0),"**")</f>
        <v>**</v>
      </c>
      <c r="B353" s="13" t="str">
        <f>IFERROR(VLOOKUP($F353,scan!A:C,3,0),"**")</f>
        <v>**</v>
      </c>
      <c r="C353" s="42">
        <v>352</v>
      </c>
      <c r="D353" s="42" t="s">
        <v>4936</v>
      </c>
      <c r="E353" s="42" t="s">
        <v>4937</v>
      </c>
      <c r="H353" s="42" t="s">
        <v>4936</v>
      </c>
      <c r="I353" s="42" t="s">
        <v>4938</v>
      </c>
      <c r="J353" s="42" t="s">
        <v>4939</v>
      </c>
      <c r="K353" s="42" t="e">
        <f>VLOOKUP(F353,Input!C:M,9,0)</f>
        <v>#N/A</v>
      </c>
      <c r="L353" s="42" t="e">
        <f>VLOOKUP(F353,Input!C:M,10,0)</f>
        <v>#N/A</v>
      </c>
      <c r="M353" s="42" t="e">
        <f>VLOOKUP(F353,Input!C:M,11,0)</f>
        <v>#N/A</v>
      </c>
      <c r="N353" s="43" t="str">
        <f t="shared" si="5"/>
        <v>352,352,**</v>
      </c>
      <c r="O353" s="42">
        <v>352</v>
      </c>
    </row>
    <row r="354" spans="1:15" ht="14.25">
      <c r="A354" s="13" t="str">
        <f>IFERROR(VLOOKUP($F:$F,scan!$A:$B,2,0),"**")</f>
        <v>**</v>
      </c>
      <c r="B354" s="13" t="str">
        <f>IFERROR(VLOOKUP($F354,scan!A:C,3,0),"**")</f>
        <v>**</v>
      </c>
      <c r="C354" s="42">
        <v>353</v>
      </c>
      <c r="D354" s="42" t="s">
        <v>4936</v>
      </c>
      <c r="E354" s="42" t="s">
        <v>4937</v>
      </c>
      <c r="H354" s="42" t="s">
        <v>4936</v>
      </c>
      <c r="I354" s="42" t="s">
        <v>4938</v>
      </c>
      <c r="J354" s="42" t="s">
        <v>4939</v>
      </c>
      <c r="K354" s="42" t="e">
        <f>VLOOKUP(F354,Input!C:M,9,0)</f>
        <v>#N/A</v>
      </c>
      <c r="L354" s="42" t="e">
        <f>VLOOKUP(F354,Input!C:M,10,0)</f>
        <v>#N/A</v>
      </c>
      <c r="M354" s="42" t="e">
        <f>VLOOKUP(F354,Input!C:M,11,0)</f>
        <v>#N/A</v>
      </c>
      <c r="N354" s="43" t="str">
        <f t="shared" si="5"/>
        <v>353,353,**</v>
      </c>
      <c r="O354" s="42">
        <v>353</v>
      </c>
    </row>
    <row r="355" spans="1:15" ht="14.25">
      <c r="A355" s="13" t="str">
        <f>IFERROR(VLOOKUP($F:$F,scan!$A:$B,2,0),"**")</f>
        <v>**</v>
      </c>
      <c r="B355" s="13" t="str">
        <f>IFERROR(VLOOKUP($F355,scan!A:C,3,0),"**")</f>
        <v>**</v>
      </c>
      <c r="C355" s="42">
        <v>354</v>
      </c>
      <c r="D355" s="42" t="s">
        <v>4936</v>
      </c>
      <c r="E355" s="42" t="s">
        <v>4937</v>
      </c>
      <c r="H355" s="42" t="s">
        <v>4936</v>
      </c>
      <c r="I355" s="42" t="s">
        <v>4938</v>
      </c>
      <c r="J355" s="42" t="s">
        <v>4939</v>
      </c>
      <c r="K355" s="42" t="e">
        <f>VLOOKUP(F355,Input!C:M,9,0)</f>
        <v>#N/A</v>
      </c>
      <c r="L355" s="42" t="e">
        <f>VLOOKUP(F355,Input!C:M,10,0)</f>
        <v>#N/A</v>
      </c>
      <c r="M355" s="42" t="e">
        <f>VLOOKUP(F355,Input!C:M,11,0)</f>
        <v>#N/A</v>
      </c>
      <c r="N355" s="43" t="str">
        <f t="shared" si="5"/>
        <v>354,354,**</v>
      </c>
      <c r="O355" s="42">
        <v>354</v>
      </c>
    </row>
    <row r="356" spans="1:15" ht="14.25">
      <c r="A356" s="13" t="str">
        <f>IFERROR(VLOOKUP($F:$F,scan!$A:$B,2,0),"**")</f>
        <v>**</v>
      </c>
      <c r="B356" s="13" t="str">
        <f>IFERROR(VLOOKUP($F356,scan!A:C,3,0),"**")</f>
        <v>**</v>
      </c>
      <c r="C356" s="42">
        <v>355</v>
      </c>
      <c r="D356" s="42" t="s">
        <v>4936</v>
      </c>
      <c r="E356" s="42" t="s">
        <v>4937</v>
      </c>
      <c r="H356" s="42" t="s">
        <v>4936</v>
      </c>
      <c r="I356" s="42" t="s">
        <v>4938</v>
      </c>
      <c r="J356" s="42" t="s">
        <v>4939</v>
      </c>
      <c r="K356" s="42" t="e">
        <f>VLOOKUP(F356,Input!C:M,9,0)</f>
        <v>#N/A</v>
      </c>
      <c r="L356" s="42" t="e">
        <f>VLOOKUP(F356,Input!C:M,10,0)</f>
        <v>#N/A</v>
      </c>
      <c r="M356" s="42" t="e">
        <f>VLOOKUP(F356,Input!C:M,11,0)</f>
        <v>#N/A</v>
      </c>
      <c r="N356" s="43" t="str">
        <f t="shared" si="5"/>
        <v>355,355,**</v>
      </c>
      <c r="O356" s="42">
        <v>355</v>
      </c>
    </row>
    <row r="357" spans="1:15" ht="14.25">
      <c r="A357" s="13" t="str">
        <f>IFERROR(VLOOKUP($F:$F,scan!$A:$B,2,0),"**")</f>
        <v>**</v>
      </c>
      <c r="B357" s="13" t="str">
        <f>IFERROR(VLOOKUP($F357,scan!A:C,3,0),"**")</f>
        <v>**</v>
      </c>
      <c r="C357" s="42">
        <v>356</v>
      </c>
      <c r="D357" s="42" t="s">
        <v>4936</v>
      </c>
      <c r="E357" s="42" t="s">
        <v>4937</v>
      </c>
      <c r="H357" s="42" t="s">
        <v>4936</v>
      </c>
      <c r="I357" s="42" t="s">
        <v>4938</v>
      </c>
      <c r="J357" s="42" t="s">
        <v>4939</v>
      </c>
      <c r="K357" s="42" t="e">
        <f>VLOOKUP(F357,Input!C:M,9,0)</f>
        <v>#N/A</v>
      </c>
      <c r="L357" s="42" t="e">
        <f>VLOOKUP(F357,Input!C:M,10,0)</f>
        <v>#N/A</v>
      </c>
      <c r="M357" s="42" t="e">
        <f>VLOOKUP(F357,Input!C:M,11,0)</f>
        <v>#N/A</v>
      </c>
      <c r="N357" s="43" t="str">
        <f t="shared" si="5"/>
        <v>356,356,**</v>
      </c>
      <c r="O357" s="42">
        <v>356</v>
      </c>
    </row>
    <row r="358" spans="1:15" ht="14.25">
      <c r="A358" s="13" t="str">
        <f>IFERROR(VLOOKUP($F:$F,scan!$A:$B,2,0),"**")</f>
        <v>**</v>
      </c>
      <c r="B358" s="13" t="str">
        <f>IFERROR(VLOOKUP($F358,scan!A:C,3,0),"**")</f>
        <v>**</v>
      </c>
      <c r="C358" s="42">
        <v>357</v>
      </c>
      <c r="D358" s="42" t="s">
        <v>4936</v>
      </c>
      <c r="E358" s="42" t="s">
        <v>4937</v>
      </c>
      <c r="H358" s="42" t="s">
        <v>4936</v>
      </c>
      <c r="I358" s="42" t="s">
        <v>4938</v>
      </c>
      <c r="J358" s="42" t="s">
        <v>4939</v>
      </c>
      <c r="K358" s="42" t="e">
        <f>VLOOKUP(F358,Input!C:M,9,0)</f>
        <v>#N/A</v>
      </c>
      <c r="L358" s="42" t="e">
        <f>VLOOKUP(F358,Input!C:M,10,0)</f>
        <v>#N/A</v>
      </c>
      <c r="M358" s="42" t="e">
        <f>VLOOKUP(F358,Input!C:M,11,0)</f>
        <v>#N/A</v>
      </c>
      <c r="N358" s="43" t="str">
        <f t="shared" si="5"/>
        <v>357,357,**</v>
      </c>
      <c r="O358" s="42">
        <v>357</v>
      </c>
    </row>
    <row r="359" spans="1:15" ht="14.25">
      <c r="A359" s="13" t="str">
        <f>IFERROR(VLOOKUP($F:$F,scan!$A:$B,2,0),"**")</f>
        <v>**</v>
      </c>
      <c r="B359" s="13" t="str">
        <f>IFERROR(VLOOKUP($F359,scan!A:C,3,0),"**")</f>
        <v>**</v>
      </c>
      <c r="C359" s="42">
        <v>358</v>
      </c>
      <c r="D359" s="42" t="s">
        <v>4936</v>
      </c>
      <c r="E359" s="42" t="s">
        <v>4937</v>
      </c>
      <c r="H359" s="42" t="s">
        <v>4936</v>
      </c>
      <c r="I359" s="42" t="s">
        <v>4938</v>
      </c>
      <c r="J359" s="42" t="s">
        <v>4939</v>
      </c>
      <c r="K359" s="42" t="e">
        <f>VLOOKUP(F359,Input!C:M,9,0)</f>
        <v>#N/A</v>
      </c>
      <c r="L359" s="42" t="e">
        <f>VLOOKUP(F359,Input!C:M,10,0)</f>
        <v>#N/A</v>
      </c>
      <c r="M359" s="42" t="e">
        <f>VLOOKUP(F359,Input!C:M,11,0)</f>
        <v>#N/A</v>
      </c>
      <c r="N359" s="43" t="str">
        <f t="shared" si="5"/>
        <v>358,358,**</v>
      </c>
      <c r="O359" s="42">
        <v>358</v>
      </c>
    </row>
    <row r="360" spans="1:15" ht="14.25">
      <c r="A360" s="13" t="str">
        <f>IFERROR(VLOOKUP($F:$F,scan!$A:$B,2,0),"**")</f>
        <v>**</v>
      </c>
      <c r="B360" s="13" t="str">
        <f>IFERROR(VLOOKUP($F360,scan!A:C,3,0),"**")</f>
        <v>**</v>
      </c>
      <c r="C360" s="42">
        <v>359</v>
      </c>
      <c r="D360" s="42" t="s">
        <v>4936</v>
      </c>
      <c r="E360" s="42" t="s">
        <v>4937</v>
      </c>
      <c r="H360" s="42" t="s">
        <v>4936</v>
      </c>
      <c r="I360" s="42" t="s">
        <v>4938</v>
      </c>
      <c r="J360" s="42" t="s">
        <v>4939</v>
      </c>
      <c r="K360" s="42" t="e">
        <f>VLOOKUP(F360,Input!C:M,9,0)</f>
        <v>#N/A</v>
      </c>
      <c r="L360" s="42" t="e">
        <f>VLOOKUP(F360,Input!C:M,10,0)</f>
        <v>#N/A</v>
      </c>
      <c r="M360" s="42" t="e">
        <f>VLOOKUP(F360,Input!C:M,11,0)</f>
        <v>#N/A</v>
      </c>
      <c r="N360" s="43" t="str">
        <f t="shared" si="5"/>
        <v>359,359,**</v>
      </c>
      <c r="O360" s="42">
        <v>359</v>
      </c>
    </row>
    <row r="361" spans="1:15" ht="14.25">
      <c r="A361" s="13" t="str">
        <f>IFERROR(VLOOKUP($F:$F,scan!$A:$B,2,0),"**")</f>
        <v>**</v>
      </c>
      <c r="B361" s="13" t="str">
        <f>IFERROR(VLOOKUP($F361,scan!A:C,3,0),"**")</f>
        <v>**</v>
      </c>
      <c r="C361" s="42">
        <v>360</v>
      </c>
      <c r="D361" s="42" t="s">
        <v>4936</v>
      </c>
      <c r="E361" s="42" t="s">
        <v>4937</v>
      </c>
      <c r="H361" s="42" t="s">
        <v>4936</v>
      </c>
      <c r="I361" s="42" t="s">
        <v>4938</v>
      </c>
      <c r="J361" s="42" t="s">
        <v>4939</v>
      </c>
      <c r="K361" s="42" t="e">
        <f>VLOOKUP(F361,Input!C:M,9,0)</f>
        <v>#N/A</v>
      </c>
      <c r="L361" s="42" t="e">
        <f>VLOOKUP(F361,Input!C:M,10,0)</f>
        <v>#N/A</v>
      </c>
      <c r="M361" s="42" t="e">
        <f>VLOOKUP(F361,Input!C:M,11,0)</f>
        <v>#N/A</v>
      </c>
      <c r="N361" s="43" t="str">
        <f t="shared" si="5"/>
        <v>360,360,**</v>
      </c>
      <c r="O361" s="42">
        <v>360</v>
      </c>
    </row>
    <row r="362" spans="1:15" ht="14.25">
      <c r="A362" s="13" t="str">
        <f>IFERROR(VLOOKUP($F:$F,scan!$A:$B,2,0),"**")</f>
        <v>**</v>
      </c>
      <c r="B362" s="13" t="str">
        <f>IFERROR(VLOOKUP($F362,scan!A:C,3,0),"**")</f>
        <v>**</v>
      </c>
      <c r="C362" s="42">
        <v>361</v>
      </c>
      <c r="D362" s="42" t="s">
        <v>4936</v>
      </c>
      <c r="E362" s="42" t="s">
        <v>4937</v>
      </c>
      <c r="H362" s="42" t="s">
        <v>4936</v>
      </c>
      <c r="I362" s="42" t="s">
        <v>4938</v>
      </c>
      <c r="J362" s="42" t="s">
        <v>4939</v>
      </c>
      <c r="K362" s="42" t="e">
        <f>VLOOKUP(F362,Input!C:M,9,0)</f>
        <v>#N/A</v>
      </c>
      <c r="L362" s="42" t="e">
        <f>VLOOKUP(F362,Input!C:M,10,0)</f>
        <v>#N/A</v>
      </c>
      <c r="M362" s="42" t="e">
        <f>VLOOKUP(F362,Input!C:M,11,0)</f>
        <v>#N/A</v>
      </c>
      <c r="N362" s="43" t="str">
        <f t="shared" si="5"/>
        <v>361,361,**</v>
      </c>
      <c r="O362" s="42">
        <v>361</v>
      </c>
    </row>
    <row r="363" spans="1:15" ht="14.25">
      <c r="A363" s="13" t="str">
        <f>IFERROR(VLOOKUP($F:$F,scan!$A:$B,2,0),"**")</f>
        <v>**</v>
      </c>
      <c r="B363" s="13" t="str">
        <f>IFERROR(VLOOKUP($F363,scan!A:C,3,0),"**")</f>
        <v>**</v>
      </c>
      <c r="C363" s="42">
        <v>362</v>
      </c>
      <c r="D363" s="42" t="s">
        <v>4936</v>
      </c>
      <c r="E363" s="42" t="s">
        <v>4937</v>
      </c>
      <c r="H363" s="42" t="s">
        <v>4936</v>
      </c>
      <c r="I363" s="42" t="s">
        <v>4938</v>
      </c>
      <c r="J363" s="42" t="s">
        <v>4939</v>
      </c>
      <c r="K363" s="42" t="e">
        <f>VLOOKUP(F363,Input!C:M,9,0)</f>
        <v>#N/A</v>
      </c>
      <c r="L363" s="42" t="e">
        <f>VLOOKUP(F363,Input!C:M,10,0)</f>
        <v>#N/A</v>
      </c>
      <c r="M363" s="42" t="e">
        <f>VLOOKUP(F363,Input!C:M,11,0)</f>
        <v>#N/A</v>
      </c>
      <c r="N363" s="43" t="str">
        <f t="shared" si="5"/>
        <v>362,362,**</v>
      </c>
      <c r="O363" s="42">
        <v>362</v>
      </c>
    </row>
    <row r="364" spans="1:15" ht="14.25">
      <c r="A364" s="13" t="str">
        <f>IFERROR(VLOOKUP($F:$F,scan!$A:$B,2,0),"**")</f>
        <v>**</v>
      </c>
      <c r="B364" s="13" t="str">
        <f>IFERROR(VLOOKUP($F364,scan!A:C,3,0),"**")</f>
        <v>**</v>
      </c>
      <c r="C364" s="42">
        <v>363</v>
      </c>
      <c r="D364" s="42" t="s">
        <v>4936</v>
      </c>
      <c r="E364" s="42" t="s">
        <v>4937</v>
      </c>
      <c r="H364" s="42" t="s">
        <v>4936</v>
      </c>
      <c r="I364" s="42" t="s">
        <v>4938</v>
      </c>
      <c r="J364" s="42" t="s">
        <v>4939</v>
      </c>
      <c r="K364" s="42" t="e">
        <f>VLOOKUP(F364,Input!C:M,9,0)</f>
        <v>#N/A</v>
      </c>
      <c r="L364" s="42" t="e">
        <f>VLOOKUP(F364,Input!C:M,10,0)</f>
        <v>#N/A</v>
      </c>
      <c r="M364" s="42" t="e">
        <f>VLOOKUP(F364,Input!C:M,11,0)</f>
        <v>#N/A</v>
      </c>
      <c r="N364" s="43" t="str">
        <f t="shared" si="5"/>
        <v>363,363,**</v>
      </c>
      <c r="O364" s="42">
        <v>363</v>
      </c>
    </row>
    <row r="365" spans="1:15" ht="14.25">
      <c r="A365" s="13" t="str">
        <f>IFERROR(VLOOKUP($F:$F,scan!$A:$B,2,0),"**")</f>
        <v>**</v>
      </c>
      <c r="B365" s="13" t="str">
        <f>IFERROR(VLOOKUP($F365,scan!A:C,3,0),"**")</f>
        <v>**</v>
      </c>
      <c r="C365" s="42">
        <v>364</v>
      </c>
      <c r="D365" s="42" t="s">
        <v>4936</v>
      </c>
      <c r="E365" s="42" t="s">
        <v>4937</v>
      </c>
      <c r="H365" s="42" t="s">
        <v>4936</v>
      </c>
      <c r="I365" s="42" t="s">
        <v>4938</v>
      </c>
      <c r="J365" s="42" t="s">
        <v>4939</v>
      </c>
      <c r="K365" s="42" t="e">
        <f>VLOOKUP(F365,Input!C:M,9,0)</f>
        <v>#N/A</v>
      </c>
      <c r="L365" s="42" t="e">
        <f>VLOOKUP(F365,Input!C:M,10,0)</f>
        <v>#N/A</v>
      </c>
      <c r="M365" s="42" t="e">
        <f>VLOOKUP(F365,Input!C:M,11,0)</f>
        <v>#N/A</v>
      </c>
      <c r="N365" s="43" t="str">
        <f t="shared" si="5"/>
        <v>364,364,**</v>
      </c>
      <c r="O365" s="42">
        <v>364</v>
      </c>
    </row>
    <row r="366" spans="1:15" ht="14.25">
      <c r="A366" s="13" t="str">
        <f>IFERROR(VLOOKUP($F:$F,scan!$A:$B,2,0),"**")</f>
        <v>**</v>
      </c>
      <c r="B366" s="13" t="str">
        <f>IFERROR(VLOOKUP($F366,scan!A:C,3,0),"**")</f>
        <v>**</v>
      </c>
      <c r="C366" s="42">
        <v>365</v>
      </c>
      <c r="D366" s="42" t="s">
        <v>4936</v>
      </c>
      <c r="E366" s="42" t="s">
        <v>4937</v>
      </c>
      <c r="H366" s="42" t="s">
        <v>4936</v>
      </c>
      <c r="I366" s="42" t="s">
        <v>4938</v>
      </c>
      <c r="J366" s="42" t="s">
        <v>4939</v>
      </c>
      <c r="K366" s="42" t="e">
        <f>VLOOKUP(F366,Input!C:M,9,0)</f>
        <v>#N/A</v>
      </c>
      <c r="L366" s="42" t="e">
        <f>VLOOKUP(F366,Input!C:M,10,0)</f>
        <v>#N/A</v>
      </c>
      <c r="M366" s="42" t="e">
        <f>VLOOKUP(F366,Input!C:M,11,0)</f>
        <v>#N/A</v>
      </c>
      <c r="N366" s="43" t="str">
        <f t="shared" si="5"/>
        <v>365,365,**</v>
      </c>
      <c r="O366" s="42">
        <v>365</v>
      </c>
    </row>
    <row r="367" spans="1:15" ht="14.25">
      <c r="A367" s="13" t="str">
        <f>IFERROR(VLOOKUP($F:$F,scan!$A:$B,2,0),"**")</f>
        <v>**</v>
      </c>
      <c r="B367" s="13" t="str">
        <f>IFERROR(VLOOKUP($F367,scan!A:C,3,0),"**")</f>
        <v>**</v>
      </c>
      <c r="C367" s="42">
        <v>366</v>
      </c>
      <c r="D367" s="42" t="s">
        <v>4936</v>
      </c>
      <c r="E367" s="42" t="s">
        <v>4937</v>
      </c>
      <c r="H367" s="42" t="s">
        <v>4936</v>
      </c>
      <c r="I367" s="42" t="s">
        <v>4938</v>
      </c>
      <c r="J367" s="42" t="s">
        <v>4939</v>
      </c>
      <c r="K367" s="42" t="e">
        <f>VLOOKUP(F367,Input!C:M,9,0)</f>
        <v>#N/A</v>
      </c>
      <c r="L367" s="42" t="e">
        <f>VLOOKUP(F367,Input!C:M,10,0)</f>
        <v>#N/A</v>
      </c>
      <c r="M367" s="42" t="e">
        <f>VLOOKUP(F367,Input!C:M,11,0)</f>
        <v>#N/A</v>
      </c>
      <c r="N367" s="43" t="str">
        <f t="shared" si="5"/>
        <v>366,366,**</v>
      </c>
      <c r="O367" s="42">
        <v>366</v>
      </c>
    </row>
    <row r="368" spans="1:15" ht="14.25">
      <c r="A368" s="13" t="str">
        <f>IFERROR(VLOOKUP($F:$F,scan!$A:$B,2,0),"**")</f>
        <v>**</v>
      </c>
      <c r="B368" s="13" t="str">
        <f>IFERROR(VLOOKUP($F368,scan!A:C,3,0),"**")</f>
        <v>**</v>
      </c>
      <c r="C368" s="42">
        <v>367</v>
      </c>
      <c r="D368" s="42" t="s">
        <v>4936</v>
      </c>
      <c r="E368" s="42" t="s">
        <v>4937</v>
      </c>
      <c r="H368" s="42" t="s">
        <v>4936</v>
      </c>
      <c r="I368" s="42" t="s">
        <v>4938</v>
      </c>
      <c r="J368" s="42" t="s">
        <v>4939</v>
      </c>
      <c r="K368" s="42" t="e">
        <f>VLOOKUP(F368,Input!C:M,9,0)</f>
        <v>#N/A</v>
      </c>
      <c r="L368" s="42" t="e">
        <f>VLOOKUP(F368,Input!C:M,10,0)</f>
        <v>#N/A</v>
      </c>
      <c r="M368" s="42" t="e">
        <f>VLOOKUP(F368,Input!C:M,11,0)</f>
        <v>#N/A</v>
      </c>
      <c r="N368" s="43" t="str">
        <f t="shared" si="5"/>
        <v>367,367,**</v>
      </c>
      <c r="O368" s="42">
        <v>367</v>
      </c>
    </row>
    <row r="369" spans="1:15" ht="14.25">
      <c r="A369" s="13" t="str">
        <f>IFERROR(VLOOKUP($F:$F,scan!$A:$B,2,0),"**")</f>
        <v>**</v>
      </c>
      <c r="B369" s="13" t="str">
        <f>IFERROR(VLOOKUP($F369,scan!A:C,3,0),"**")</f>
        <v>**</v>
      </c>
      <c r="C369" s="42">
        <v>368</v>
      </c>
      <c r="D369" s="42" t="s">
        <v>4936</v>
      </c>
      <c r="E369" s="42" t="s">
        <v>4937</v>
      </c>
      <c r="H369" s="42" t="s">
        <v>4936</v>
      </c>
      <c r="I369" s="42" t="s">
        <v>4938</v>
      </c>
      <c r="J369" s="42" t="s">
        <v>4939</v>
      </c>
      <c r="K369" s="42" t="e">
        <f>VLOOKUP(F369,Input!C:M,9,0)</f>
        <v>#N/A</v>
      </c>
      <c r="L369" s="42" t="e">
        <f>VLOOKUP(F369,Input!C:M,10,0)</f>
        <v>#N/A</v>
      </c>
      <c r="M369" s="42" t="e">
        <f>VLOOKUP(F369,Input!C:M,11,0)</f>
        <v>#N/A</v>
      </c>
      <c r="N369" s="43" t="str">
        <f t="shared" si="5"/>
        <v>368,368,**</v>
      </c>
      <c r="O369" s="42">
        <v>368</v>
      </c>
    </row>
    <row r="370" spans="1:15" ht="14.25">
      <c r="A370" s="13" t="str">
        <f>IFERROR(VLOOKUP($F:$F,scan!$A:$B,2,0),"**")</f>
        <v>**</v>
      </c>
      <c r="B370" s="13" t="str">
        <f>IFERROR(VLOOKUP($F370,scan!A:C,3,0),"**")</f>
        <v>**</v>
      </c>
      <c r="C370" s="42">
        <v>369</v>
      </c>
      <c r="D370" s="42" t="s">
        <v>4936</v>
      </c>
      <c r="E370" s="42" t="s">
        <v>4937</v>
      </c>
      <c r="H370" s="42" t="s">
        <v>4936</v>
      </c>
      <c r="I370" s="42" t="s">
        <v>4938</v>
      </c>
      <c r="J370" s="42" t="s">
        <v>4939</v>
      </c>
      <c r="K370" s="42" t="e">
        <f>VLOOKUP(F370,Input!C:M,9,0)</f>
        <v>#N/A</v>
      </c>
      <c r="L370" s="42" t="e">
        <f>VLOOKUP(F370,Input!C:M,10,0)</f>
        <v>#N/A</v>
      </c>
      <c r="M370" s="42" t="e">
        <f>VLOOKUP(F370,Input!C:M,11,0)</f>
        <v>#N/A</v>
      </c>
      <c r="N370" s="43" t="str">
        <f t="shared" si="5"/>
        <v>369,369,**</v>
      </c>
      <c r="O370" s="42">
        <v>369</v>
      </c>
    </row>
    <row r="371" spans="1:15" ht="14.25">
      <c r="A371" s="13" t="str">
        <f>IFERROR(VLOOKUP($F:$F,scan!$A:$B,2,0),"**")</f>
        <v>**</v>
      </c>
      <c r="B371" s="13" t="str">
        <f>IFERROR(VLOOKUP($F371,scan!A:C,3,0),"**")</f>
        <v>**</v>
      </c>
      <c r="C371" s="42">
        <v>370</v>
      </c>
      <c r="D371" s="42" t="s">
        <v>4936</v>
      </c>
      <c r="E371" s="42" t="s">
        <v>4937</v>
      </c>
      <c r="H371" s="42" t="s">
        <v>4936</v>
      </c>
      <c r="I371" s="42" t="s">
        <v>4938</v>
      </c>
      <c r="J371" s="42" t="s">
        <v>4939</v>
      </c>
      <c r="K371" s="42" t="e">
        <f>VLOOKUP(F371,Input!C:M,9,0)</f>
        <v>#N/A</v>
      </c>
      <c r="L371" s="42" t="e">
        <f>VLOOKUP(F371,Input!C:M,10,0)</f>
        <v>#N/A</v>
      </c>
      <c r="M371" s="42" t="e">
        <f>VLOOKUP(F371,Input!C:M,11,0)</f>
        <v>#N/A</v>
      </c>
      <c r="N371" s="43" t="str">
        <f t="shared" si="5"/>
        <v>370,370,**</v>
      </c>
      <c r="O371" s="42">
        <v>370</v>
      </c>
    </row>
    <row r="372" spans="1:15" ht="14.25">
      <c r="A372" s="13" t="str">
        <f>IFERROR(VLOOKUP($F:$F,scan!$A:$B,2,0),"**")</f>
        <v>**</v>
      </c>
      <c r="B372" s="13" t="str">
        <f>IFERROR(VLOOKUP($F372,scan!A:C,3,0),"**")</f>
        <v>**</v>
      </c>
      <c r="C372" s="42">
        <v>371</v>
      </c>
      <c r="D372" s="42" t="s">
        <v>4936</v>
      </c>
      <c r="E372" s="42" t="s">
        <v>4937</v>
      </c>
      <c r="H372" s="42" t="s">
        <v>4936</v>
      </c>
      <c r="I372" s="42" t="s">
        <v>4938</v>
      </c>
      <c r="J372" s="42" t="s">
        <v>4939</v>
      </c>
      <c r="K372" s="42" t="e">
        <f>VLOOKUP(F372,Input!C:M,9,0)</f>
        <v>#N/A</v>
      </c>
      <c r="L372" s="42" t="e">
        <f>VLOOKUP(F372,Input!C:M,10,0)</f>
        <v>#N/A</v>
      </c>
      <c r="M372" s="42" t="e">
        <f>VLOOKUP(F372,Input!C:M,11,0)</f>
        <v>#N/A</v>
      </c>
      <c r="N372" s="43" t="str">
        <f t="shared" si="5"/>
        <v>371,371,**</v>
      </c>
      <c r="O372" s="42">
        <v>371</v>
      </c>
    </row>
    <row r="373" spans="1:15" ht="14.25">
      <c r="A373" s="13" t="str">
        <f>IFERROR(VLOOKUP($F:$F,scan!$A:$B,2,0),"**")</f>
        <v>**</v>
      </c>
      <c r="B373" s="13" t="str">
        <f>IFERROR(VLOOKUP($F373,scan!A:C,3,0),"**")</f>
        <v>**</v>
      </c>
      <c r="C373" s="42">
        <v>372</v>
      </c>
      <c r="D373" s="42" t="s">
        <v>4936</v>
      </c>
      <c r="E373" s="42" t="s">
        <v>4937</v>
      </c>
      <c r="H373" s="42" t="s">
        <v>4936</v>
      </c>
      <c r="I373" s="42" t="s">
        <v>4938</v>
      </c>
      <c r="J373" s="42" t="s">
        <v>4939</v>
      </c>
      <c r="K373" s="42" t="e">
        <f>VLOOKUP(F373,Input!C:M,9,0)</f>
        <v>#N/A</v>
      </c>
      <c r="L373" s="42" t="e">
        <f>VLOOKUP(F373,Input!C:M,10,0)</f>
        <v>#N/A</v>
      </c>
      <c r="M373" s="42" t="e">
        <f>VLOOKUP(F373,Input!C:M,11,0)</f>
        <v>#N/A</v>
      </c>
      <c r="N373" s="43" t="str">
        <f t="shared" si="5"/>
        <v>372,372,**</v>
      </c>
      <c r="O373" s="42">
        <v>372</v>
      </c>
    </row>
    <row r="374" spans="1:15" ht="14.25">
      <c r="A374" s="13" t="str">
        <f>IFERROR(VLOOKUP($F:$F,scan!$A:$B,2,0),"**")</f>
        <v>**</v>
      </c>
      <c r="B374" s="13" t="str">
        <f>IFERROR(VLOOKUP($F374,scan!A:C,3,0),"**")</f>
        <v>**</v>
      </c>
      <c r="C374" s="42">
        <v>373</v>
      </c>
      <c r="D374" s="42" t="s">
        <v>4936</v>
      </c>
      <c r="E374" s="42" t="s">
        <v>4937</v>
      </c>
      <c r="H374" s="42" t="s">
        <v>4936</v>
      </c>
      <c r="I374" s="42" t="s">
        <v>4938</v>
      </c>
      <c r="J374" s="42" t="s">
        <v>4939</v>
      </c>
      <c r="K374" s="42" t="e">
        <f>VLOOKUP(F374,Input!C:M,9,0)</f>
        <v>#N/A</v>
      </c>
      <c r="L374" s="42" t="e">
        <f>VLOOKUP(F374,Input!C:M,10,0)</f>
        <v>#N/A</v>
      </c>
      <c r="M374" s="42" t="e">
        <f>VLOOKUP(F374,Input!C:M,11,0)</f>
        <v>#N/A</v>
      </c>
      <c r="N374" s="43" t="str">
        <f t="shared" si="5"/>
        <v>373,373,**</v>
      </c>
      <c r="O374" s="42">
        <v>373</v>
      </c>
    </row>
    <row r="375" spans="1:15" ht="14.25">
      <c r="A375" s="13" t="str">
        <f>IFERROR(VLOOKUP($F:$F,scan!$A:$B,2,0),"**")</f>
        <v>**</v>
      </c>
      <c r="B375" s="13" t="str">
        <f>IFERROR(VLOOKUP($F375,scan!A:C,3,0),"**")</f>
        <v>**</v>
      </c>
      <c r="C375" s="42">
        <v>374</v>
      </c>
      <c r="D375" s="42" t="s">
        <v>4936</v>
      </c>
      <c r="E375" s="42" t="s">
        <v>4937</v>
      </c>
      <c r="H375" s="42" t="s">
        <v>4936</v>
      </c>
      <c r="I375" s="42" t="s">
        <v>4938</v>
      </c>
      <c r="J375" s="42" t="s">
        <v>4939</v>
      </c>
      <c r="K375" s="42" t="e">
        <f>VLOOKUP(F375,Input!C:M,9,0)</f>
        <v>#N/A</v>
      </c>
      <c r="L375" s="42" t="e">
        <f>VLOOKUP(F375,Input!C:M,10,0)</f>
        <v>#N/A</v>
      </c>
      <c r="M375" s="42" t="e">
        <f>VLOOKUP(F375,Input!C:M,11,0)</f>
        <v>#N/A</v>
      </c>
      <c r="N375" s="43" t="str">
        <f t="shared" si="5"/>
        <v>374,374,**</v>
      </c>
      <c r="O375" s="42">
        <v>374</v>
      </c>
    </row>
    <row r="376" spans="1:15" ht="14.25">
      <c r="A376" s="13" t="str">
        <f>IFERROR(VLOOKUP($F:$F,scan!$A:$B,2,0),"**")</f>
        <v>**</v>
      </c>
      <c r="B376" s="13" t="str">
        <f>IFERROR(VLOOKUP($F376,scan!A:C,3,0),"**")</f>
        <v>**</v>
      </c>
      <c r="C376" s="42">
        <v>375</v>
      </c>
      <c r="D376" s="42" t="s">
        <v>4936</v>
      </c>
      <c r="E376" s="42" t="s">
        <v>4937</v>
      </c>
      <c r="H376" s="42" t="s">
        <v>4936</v>
      </c>
      <c r="I376" s="42" t="s">
        <v>4938</v>
      </c>
      <c r="J376" s="42" t="s">
        <v>4939</v>
      </c>
      <c r="K376" s="42" t="e">
        <f>VLOOKUP(F376,Input!C:M,9,0)</f>
        <v>#N/A</v>
      </c>
      <c r="L376" s="42" t="e">
        <f>VLOOKUP(F376,Input!C:M,10,0)</f>
        <v>#N/A</v>
      </c>
      <c r="M376" s="42" t="e">
        <f>VLOOKUP(F376,Input!C:M,11,0)</f>
        <v>#N/A</v>
      </c>
      <c r="N376" s="43" t="str">
        <f t="shared" si="5"/>
        <v>375,375,**</v>
      </c>
      <c r="O376" s="42">
        <v>375</v>
      </c>
    </row>
    <row r="377" spans="1:15" ht="14.25">
      <c r="A377" s="13" t="str">
        <f>IFERROR(VLOOKUP($F:$F,scan!$A:$B,2,0),"**")</f>
        <v>**</v>
      </c>
      <c r="B377" s="13" t="str">
        <f>IFERROR(VLOOKUP($F377,scan!A:C,3,0),"**")</f>
        <v>**</v>
      </c>
      <c r="C377" s="42">
        <v>376</v>
      </c>
      <c r="D377" s="42" t="s">
        <v>4936</v>
      </c>
      <c r="E377" s="42" t="s">
        <v>4937</v>
      </c>
      <c r="H377" s="42" t="s">
        <v>4936</v>
      </c>
      <c r="I377" s="42" t="s">
        <v>4938</v>
      </c>
      <c r="J377" s="42" t="s">
        <v>4939</v>
      </c>
      <c r="K377" s="42" t="e">
        <f>VLOOKUP(F377,Input!C:M,9,0)</f>
        <v>#N/A</v>
      </c>
      <c r="L377" s="42" t="e">
        <f>VLOOKUP(F377,Input!C:M,10,0)</f>
        <v>#N/A</v>
      </c>
      <c r="M377" s="42" t="e">
        <f>VLOOKUP(F377,Input!C:M,11,0)</f>
        <v>#N/A</v>
      </c>
      <c r="N377" s="43" t="str">
        <f t="shared" si="5"/>
        <v>376,376,**</v>
      </c>
      <c r="O377" s="42">
        <v>376</v>
      </c>
    </row>
    <row r="378" spans="1:15" ht="14.25">
      <c r="A378" s="13" t="str">
        <f>IFERROR(VLOOKUP($F:$F,scan!$A:$B,2,0),"**")</f>
        <v>**</v>
      </c>
      <c r="B378" s="13" t="str">
        <f>IFERROR(VLOOKUP($F378,scan!A:C,3,0),"**")</f>
        <v>**</v>
      </c>
      <c r="C378" s="42">
        <v>377</v>
      </c>
      <c r="D378" s="42" t="s">
        <v>4936</v>
      </c>
      <c r="E378" s="42" t="s">
        <v>4937</v>
      </c>
      <c r="H378" s="42" t="s">
        <v>4936</v>
      </c>
      <c r="I378" s="42" t="s">
        <v>4938</v>
      </c>
      <c r="J378" s="42" t="s">
        <v>4939</v>
      </c>
      <c r="K378" s="42" t="e">
        <f>VLOOKUP(F378,Input!C:M,9,0)</f>
        <v>#N/A</v>
      </c>
      <c r="L378" s="42" t="e">
        <f>VLOOKUP(F378,Input!C:M,10,0)</f>
        <v>#N/A</v>
      </c>
      <c r="M378" s="42" t="e">
        <f>VLOOKUP(F378,Input!C:M,11,0)</f>
        <v>#N/A</v>
      </c>
      <c r="N378" s="43" t="str">
        <f t="shared" si="5"/>
        <v>377,377,**</v>
      </c>
      <c r="O378" s="42">
        <v>377</v>
      </c>
    </row>
    <row r="379" spans="1:15" ht="14.25">
      <c r="A379" s="13" t="str">
        <f>IFERROR(VLOOKUP($F:$F,scan!$A:$B,2,0),"**")</f>
        <v>**</v>
      </c>
      <c r="B379" s="13" t="str">
        <f>IFERROR(VLOOKUP($F379,scan!A:C,3,0),"**")</f>
        <v>**</v>
      </c>
      <c r="C379" s="42">
        <v>378</v>
      </c>
      <c r="D379" s="42" t="s">
        <v>4936</v>
      </c>
      <c r="E379" s="42" t="s">
        <v>4937</v>
      </c>
      <c r="H379" s="42" t="s">
        <v>4936</v>
      </c>
      <c r="I379" s="42" t="s">
        <v>4938</v>
      </c>
      <c r="J379" s="42" t="s">
        <v>4939</v>
      </c>
      <c r="K379" s="42" t="e">
        <f>VLOOKUP(F379,Input!C:M,9,0)</f>
        <v>#N/A</v>
      </c>
      <c r="L379" s="42" t="e">
        <f>VLOOKUP(F379,Input!C:M,10,0)</f>
        <v>#N/A</v>
      </c>
      <c r="M379" s="42" t="e">
        <f>VLOOKUP(F379,Input!C:M,11,0)</f>
        <v>#N/A</v>
      </c>
      <c r="N379" s="43" t="str">
        <f t="shared" si="5"/>
        <v>378,378,**</v>
      </c>
      <c r="O379" s="42">
        <v>378</v>
      </c>
    </row>
    <row r="380" spans="1:15" ht="14.25">
      <c r="A380" s="13" t="str">
        <f>IFERROR(VLOOKUP($F:$F,scan!$A:$B,2,0),"**")</f>
        <v>**</v>
      </c>
      <c r="B380" s="13" t="str">
        <f>IFERROR(VLOOKUP($F380,scan!A:C,3,0),"**")</f>
        <v>**</v>
      </c>
      <c r="C380" s="42">
        <v>379</v>
      </c>
      <c r="D380" s="42" t="s">
        <v>4936</v>
      </c>
      <c r="E380" s="42" t="s">
        <v>4937</v>
      </c>
      <c r="H380" s="42" t="s">
        <v>4936</v>
      </c>
      <c r="I380" s="42" t="s">
        <v>4938</v>
      </c>
      <c r="J380" s="42" t="s">
        <v>4939</v>
      </c>
      <c r="K380" s="42" t="e">
        <f>VLOOKUP(F380,Input!C:M,9,0)</f>
        <v>#N/A</v>
      </c>
      <c r="L380" s="42" t="e">
        <f>VLOOKUP(F380,Input!C:M,10,0)</f>
        <v>#N/A</v>
      </c>
      <c r="M380" s="42" t="e">
        <f>VLOOKUP(F380,Input!C:M,11,0)</f>
        <v>#N/A</v>
      </c>
      <c r="N380" s="43" t="str">
        <f t="shared" si="5"/>
        <v>379,379,**</v>
      </c>
      <c r="O380" s="42">
        <v>379</v>
      </c>
    </row>
    <row r="381" spans="1:15" ht="14.25">
      <c r="A381" s="13" t="str">
        <f>IFERROR(VLOOKUP($F:$F,scan!$A:$B,2,0),"**")</f>
        <v>**</v>
      </c>
      <c r="B381" s="13" t="str">
        <f>IFERROR(VLOOKUP($F381,scan!A:C,3,0),"**")</f>
        <v>**</v>
      </c>
      <c r="C381" s="42">
        <v>380</v>
      </c>
      <c r="D381" s="42" t="s">
        <v>4936</v>
      </c>
      <c r="E381" s="42" t="s">
        <v>4937</v>
      </c>
      <c r="H381" s="42" t="s">
        <v>4936</v>
      </c>
      <c r="I381" s="42" t="s">
        <v>4938</v>
      </c>
      <c r="J381" s="42" t="s">
        <v>4939</v>
      </c>
      <c r="K381" s="42" t="e">
        <f>VLOOKUP(F381,Input!C:M,9,0)</f>
        <v>#N/A</v>
      </c>
      <c r="L381" s="42" t="e">
        <f>VLOOKUP(F381,Input!C:M,10,0)</f>
        <v>#N/A</v>
      </c>
      <c r="M381" s="42" t="e">
        <f>VLOOKUP(F381,Input!C:M,11,0)</f>
        <v>#N/A</v>
      </c>
      <c r="N381" s="43" t="str">
        <f t="shared" si="5"/>
        <v>380,380,**</v>
      </c>
      <c r="O381" s="42">
        <v>380</v>
      </c>
    </row>
    <row r="382" spans="1:15" ht="14.25">
      <c r="A382" s="13" t="str">
        <f>IFERROR(VLOOKUP($F:$F,scan!$A:$B,2,0),"**")</f>
        <v>**</v>
      </c>
      <c r="B382" s="13" t="str">
        <f>IFERROR(VLOOKUP($F382,scan!A:C,3,0),"**")</f>
        <v>**</v>
      </c>
      <c r="C382" s="42">
        <v>381</v>
      </c>
      <c r="D382" s="42" t="s">
        <v>4936</v>
      </c>
      <c r="E382" s="42" t="s">
        <v>4937</v>
      </c>
      <c r="H382" s="42" t="s">
        <v>4936</v>
      </c>
      <c r="I382" s="42" t="s">
        <v>4938</v>
      </c>
      <c r="J382" s="42" t="s">
        <v>4939</v>
      </c>
      <c r="K382" s="42" t="e">
        <f>VLOOKUP(F382,Input!C:M,9,0)</f>
        <v>#N/A</v>
      </c>
      <c r="L382" s="42" t="e">
        <f>VLOOKUP(F382,Input!C:M,10,0)</f>
        <v>#N/A</v>
      </c>
      <c r="M382" s="42" t="e">
        <f>VLOOKUP(F382,Input!C:M,11,0)</f>
        <v>#N/A</v>
      </c>
      <c r="N382" s="43" t="str">
        <f t="shared" si="5"/>
        <v>381,381,**</v>
      </c>
      <c r="O382" s="42">
        <v>381</v>
      </c>
    </row>
    <row r="383" spans="1:15" ht="14.25">
      <c r="A383" s="13" t="str">
        <f>IFERROR(VLOOKUP($F:$F,scan!$A:$B,2,0),"**")</f>
        <v>**</v>
      </c>
      <c r="B383" s="13" t="str">
        <f>IFERROR(VLOOKUP($F383,scan!A:C,3,0),"**")</f>
        <v>**</v>
      </c>
      <c r="C383" s="42">
        <v>382</v>
      </c>
      <c r="D383" s="42" t="s">
        <v>4936</v>
      </c>
      <c r="E383" s="42" t="s">
        <v>4937</v>
      </c>
      <c r="H383" s="42" t="s">
        <v>4936</v>
      </c>
      <c r="I383" s="42" t="s">
        <v>4938</v>
      </c>
      <c r="J383" s="42" t="s">
        <v>4939</v>
      </c>
      <c r="K383" s="42" t="e">
        <f>VLOOKUP(F383,Input!C:M,9,0)</f>
        <v>#N/A</v>
      </c>
      <c r="L383" s="42" t="e">
        <f>VLOOKUP(F383,Input!C:M,10,0)</f>
        <v>#N/A</v>
      </c>
      <c r="M383" s="42" t="e">
        <f>VLOOKUP(F383,Input!C:M,11,0)</f>
        <v>#N/A</v>
      </c>
      <c r="N383" s="43" t="str">
        <f t="shared" si="5"/>
        <v>382,382,**</v>
      </c>
      <c r="O383" s="42">
        <v>382</v>
      </c>
    </row>
    <row r="384" spans="1:15" ht="14.25">
      <c r="A384" s="13" t="str">
        <f>IFERROR(VLOOKUP($F:$F,scan!$A:$B,2,0),"**")</f>
        <v>**</v>
      </c>
      <c r="B384" s="13" t="str">
        <f>IFERROR(VLOOKUP($F384,scan!A:C,3,0),"**")</f>
        <v>**</v>
      </c>
      <c r="C384" s="42">
        <v>383</v>
      </c>
      <c r="D384" s="42" t="s">
        <v>4936</v>
      </c>
      <c r="E384" s="42" t="s">
        <v>4937</v>
      </c>
      <c r="H384" s="42" t="s">
        <v>4936</v>
      </c>
      <c r="I384" s="42" t="s">
        <v>4938</v>
      </c>
      <c r="J384" s="42" t="s">
        <v>4939</v>
      </c>
      <c r="K384" s="42" t="e">
        <f>VLOOKUP(F384,Input!C:M,9,0)</f>
        <v>#N/A</v>
      </c>
      <c r="L384" s="42" t="e">
        <f>VLOOKUP(F384,Input!C:M,10,0)</f>
        <v>#N/A</v>
      </c>
      <c r="M384" s="42" t="e">
        <f>VLOOKUP(F384,Input!C:M,11,0)</f>
        <v>#N/A</v>
      </c>
      <c r="N384" s="43" t="str">
        <f t="shared" si="5"/>
        <v>383,383,**</v>
      </c>
      <c r="O384" s="42">
        <v>383</v>
      </c>
    </row>
    <row r="385" spans="1:15" ht="14.25">
      <c r="A385" s="13" t="str">
        <f>IFERROR(VLOOKUP($F:$F,scan!$A:$B,2,0),"**")</f>
        <v>**</v>
      </c>
      <c r="B385" s="13" t="str">
        <f>IFERROR(VLOOKUP($F385,scan!A:C,3,0),"**")</f>
        <v>**</v>
      </c>
      <c r="C385" s="42">
        <v>384</v>
      </c>
      <c r="D385" s="42" t="s">
        <v>4936</v>
      </c>
      <c r="E385" s="42" t="s">
        <v>4937</v>
      </c>
      <c r="H385" s="42" t="s">
        <v>4936</v>
      </c>
      <c r="I385" s="42" t="s">
        <v>4938</v>
      </c>
      <c r="J385" s="42" t="s">
        <v>4939</v>
      </c>
      <c r="K385" s="42" t="e">
        <f>VLOOKUP(F385,Input!C:M,9,0)</f>
        <v>#N/A</v>
      </c>
      <c r="L385" s="42" t="e">
        <f>VLOOKUP(F385,Input!C:M,10,0)</f>
        <v>#N/A</v>
      </c>
      <c r="M385" s="42" t="e">
        <f>VLOOKUP(F385,Input!C:M,11,0)</f>
        <v>#N/A</v>
      </c>
      <c r="N385" s="43" t="str">
        <f t="shared" si="5"/>
        <v>384,384,**</v>
      </c>
      <c r="O385" s="42">
        <v>384</v>
      </c>
    </row>
    <row r="386" spans="1:15" ht="14.25">
      <c r="A386" s="13" t="str">
        <f>IFERROR(VLOOKUP($F:$F,scan!$A:$B,2,0),"**")</f>
        <v>**</v>
      </c>
      <c r="B386" s="13" t="str">
        <f>IFERROR(VLOOKUP($F386,scan!A:C,3,0),"**")</f>
        <v>**</v>
      </c>
      <c r="C386" s="42">
        <v>385</v>
      </c>
      <c r="D386" s="42" t="s">
        <v>4936</v>
      </c>
      <c r="E386" s="42" t="s">
        <v>4937</v>
      </c>
      <c r="H386" s="42" t="s">
        <v>4936</v>
      </c>
      <c r="I386" s="42" t="s">
        <v>4938</v>
      </c>
      <c r="J386" s="42" t="s">
        <v>4939</v>
      </c>
      <c r="K386" s="42" t="e">
        <f>VLOOKUP(F386,Input!C:M,9,0)</f>
        <v>#N/A</v>
      </c>
      <c r="L386" s="42" t="e">
        <f>VLOOKUP(F386,Input!C:M,10,0)</f>
        <v>#N/A</v>
      </c>
      <c r="M386" s="42" t="e">
        <f>VLOOKUP(F386,Input!C:M,11,0)</f>
        <v>#N/A</v>
      </c>
      <c r="N386" s="43" t="str">
        <f t="shared" si="5"/>
        <v>385,385,**</v>
      </c>
      <c r="O386" s="42">
        <v>385</v>
      </c>
    </row>
    <row r="387" spans="1:15" ht="14.25">
      <c r="A387" s="13" t="str">
        <f>IFERROR(VLOOKUP($F:$F,scan!$A:$B,2,0),"**")</f>
        <v>**</v>
      </c>
      <c r="B387" s="13" t="str">
        <f>IFERROR(VLOOKUP($F387,scan!A:C,3,0),"**")</f>
        <v>**</v>
      </c>
      <c r="C387" s="42">
        <v>386</v>
      </c>
      <c r="D387" s="42" t="s">
        <v>4936</v>
      </c>
      <c r="E387" s="42" t="s">
        <v>4937</v>
      </c>
      <c r="H387" s="42" t="s">
        <v>4936</v>
      </c>
      <c r="I387" s="42" t="s">
        <v>4938</v>
      </c>
      <c r="J387" s="42" t="s">
        <v>4939</v>
      </c>
      <c r="K387" s="42" t="e">
        <f>VLOOKUP(F387,Input!C:M,9,0)</f>
        <v>#N/A</v>
      </c>
      <c r="L387" s="42" t="e">
        <f>VLOOKUP(F387,Input!C:M,10,0)</f>
        <v>#N/A</v>
      </c>
      <c r="M387" s="42" t="e">
        <f>VLOOKUP(F387,Input!C:M,11,0)</f>
        <v>#N/A</v>
      </c>
      <c r="N387" s="43" t="str">
        <f t="shared" ref="N387:N450" si="6">O387&amp;","&amp;C387&amp;","&amp;B387</f>
        <v>386,386,**</v>
      </c>
      <c r="O387" s="42">
        <v>386</v>
      </c>
    </row>
    <row r="388" spans="1:15" ht="14.25">
      <c r="A388" s="13" t="str">
        <f>IFERROR(VLOOKUP($F:$F,scan!$A:$B,2,0),"**")</f>
        <v>**</v>
      </c>
      <c r="B388" s="13" t="str">
        <f>IFERROR(VLOOKUP($F388,scan!A:C,3,0),"**")</f>
        <v>**</v>
      </c>
      <c r="C388" s="42">
        <v>387</v>
      </c>
      <c r="D388" s="42" t="s">
        <v>4936</v>
      </c>
      <c r="E388" s="42" t="s">
        <v>4937</v>
      </c>
      <c r="H388" s="42" t="s">
        <v>4936</v>
      </c>
      <c r="I388" s="42" t="s">
        <v>4938</v>
      </c>
      <c r="J388" s="42" t="s">
        <v>4939</v>
      </c>
      <c r="K388" s="42" t="e">
        <f>VLOOKUP(F388,Input!C:M,9,0)</f>
        <v>#N/A</v>
      </c>
      <c r="L388" s="42" t="e">
        <f>VLOOKUP(F388,Input!C:M,10,0)</f>
        <v>#N/A</v>
      </c>
      <c r="M388" s="42" t="e">
        <f>VLOOKUP(F388,Input!C:M,11,0)</f>
        <v>#N/A</v>
      </c>
      <c r="N388" s="43" t="str">
        <f t="shared" si="6"/>
        <v>387,387,**</v>
      </c>
      <c r="O388" s="42">
        <v>387</v>
      </c>
    </row>
    <row r="389" spans="1:15" ht="14.25">
      <c r="A389" s="13" t="str">
        <f>IFERROR(VLOOKUP($F:$F,scan!$A:$B,2,0),"**")</f>
        <v>**</v>
      </c>
      <c r="B389" s="13" t="str">
        <f>IFERROR(VLOOKUP($F389,scan!A:C,3,0),"**")</f>
        <v>**</v>
      </c>
      <c r="C389" s="42">
        <v>388</v>
      </c>
      <c r="D389" s="42" t="s">
        <v>4936</v>
      </c>
      <c r="E389" s="42" t="s">
        <v>4937</v>
      </c>
      <c r="H389" s="42" t="s">
        <v>4936</v>
      </c>
      <c r="I389" s="42" t="s">
        <v>4938</v>
      </c>
      <c r="J389" s="42" t="s">
        <v>4939</v>
      </c>
      <c r="K389" s="42" t="e">
        <f>VLOOKUP(F389,Input!C:M,9,0)</f>
        <v>#N/A</v>
      </c>
      <c r="L389" s="42" t="e">
        <f>VLOOKUP(F389,Input!C:M,10,0)</f>
        <v>#N/A</v>
      </c>
      <c r="M389" s="42" t="e">
        <f>VLOOKUP(F389,Input!C:M,11,0)</f>
        <v>#N/A</v>
      </c>
      <c r="N389" s="43" t="str">
        <f t="shared" si="6"/>
        <v>388,388,**</v>
      </c>
      <c r="O389" s="42">
        <v>388</v>
      </c>
    </row>
    <row r="390" spans="1:15" ht="14.25">
      <c r="A390" s="13" t="str">
        <f>IFERROR(VLOOKUP($F:$F,scan!$A:$B,2,0),"**")</f>
        <v>**</v>
      </c>
      <c r="B390" s="13" t="str">
        <f>IFERROR(VLOOKUP($F390,scan!A:C,3,0),"**")</f>
        <v>**</v>
      </c>
      <c r="C390" s="42">
        <v>389</v>
      </c>
      <c r="D390" s="42" t="s">
        <v>4936</v>
      </c>
      <c r="E390" s="42" t="s">
        <v>4937</v>
      </c>
      <c r="H390" s="42" t="s">
        <v>4936</v>
      </c>
      <c r="I390" s="42" t="s">
        <v>4938</v>
      </c>
      <c r="J390" s="42" t="s">
        <v>4939</v>
      </c>
      <c r="K390" s="42" t="e">
        <f>VLOOKUP(F390,Input!C:M,9,0)</f>
        <v>#N/A</v>
      </c>
      <c r="L390" s="42" t="e">
        <f>VLOOKUP(F390,Input!C:M,10,0)</f>
        <v>#N/A</v>
      </c>
      <c r="M390" s="42" t="e">
        <f>VLOOKUP(F390,Input!C:M,11,0)</f>
        <v>#N/A</v>
      </c>
      <c r="N390" s="43" t="str">
        <f t="shared" si="6"/>
        <v>389,389,**</v>
      </c>
      <c r="O390" s="42">
        <v>389</v>
      </c>
    </row>
    <row r="391" spans="1:15" ht="14.25">
      <c r="A391" s="13" t="str">
        <f>IFERROR(VLOOKUP($F:$F,scan!$A:$B,2,0),"**")</f>
        <v>**</v>
      </c>
      <c r="B391" s="13" t="str">
        <f>IFERROR(VLOOKUP($F391,scan!A:C,3,0),"**")</f>
        <v>**</v>
      </c>
      <c r="C391" s="42">
        <v>390</v>
      </c>
      <c r="D391" s="42" t="s">
        <v>4936</v>
      </c>
      <c r="E391" s="42" t="s">
        <v>4937</v>
      </c>
      <c r="H391" s="42" t="s">
        <v>4936</v>
      </c>
      <c r="I391" s="42" t="s">
        <v>4938</v>
      </c>
      <c r="J391" s="42" t="s">
        <v>4939</v>
      </c>
      <c r="K391" s="42" t="e">
        <f>VLOOKUP(F391,Input!C:M,9,0)</f>
        <v>#N/A</v>
      </c>
      <c r="L391" s="42" t="e">
        <f>VLOOKUP(F391,Input!C:M,10,0)</f>
        <v>#N/A</v>
      </c>
      <c r="M391" s="42" t="e">
        <f>VLOOKUP(F391,Input!C:M,11,0)</f>
        <v>#N/A</v>
      </c>
      <c r="N391" s="43" t="str">
        <f t="shared" si="6"/>
        <v>390,390,**</v>
      </c>
      <c r="O391" s="42">
        <v>390</v>
      </c>
    </row>
    <row r="392" spans="1:15" ht="14.25">
      <c r="A392" s="13" t="str">
        <f>IFERROR(VLOOKUP($F:$F,scan!$A:$B,2,0),"**")</f>
        <v>**</v>
      </c>
      <c r="B392" s="13" t="str">
        <f>IFERROR(VLOOKUP($F392,scan!A:C,3,0),"**")</f>
        <v>**</v>
      </c>
      <c r="C392" s="42">
        <v>391</v>
      </c>
      <c r="D392" s="42" t="s">
        <v>4936</v>
      </c>
      <c r="E392" s="42" t="s">
        <v>4937</v>
      </c>
      <c r="H392" s="42" t="s">
        <v>4936</v>
      </c>
      <c r="I392" s="42" t="s">
        <v>4938</v>
      </c>
      <c r="J392" s="42" t="s">
        <v>4939</v>
      </c>
      <c r="K392" s="42" t="e">
        <f>VLOOKUP(F392,Input!C:M,9,0)</f>
        <v>#N/A</v>
      </c>
      <c r="L392" s="42" t="e">
        <f>VLOOKUP(F392,Input!C:M,10,0)</f>
        <v>#N/A</v>
      </c>
      <c r="M392" s="42" t="e">
        <f>VLOOKUP(F392,Input!C:M,11,0)</f>
        <v>#N/A</v>
      </c>
      <c r="N392" s="43" t="str">
        <f t="shared" si="6"/>
        <v>391,391,**</v>
      </c>
      <c r="O392" s="42">
        <v>391</v>
      </c>
    </row>
    <row r="393" spans="1:15" ht="14.25">
      <c r="A393" s="13" t="str">
        <f>IFERROR(VLOOKUP($F:$F,scan!$A:$B,2,0),"**")</f>
        <v>**</v>
      </c>
      <c r="B393" s="13" t="str">
        <f>IFERROR(VLOOKUP($F393,scan!A:C,3,0),"**")</f>
        <v>**</v>
      </c>
      <c r="C393" s="42">
        <v>392</v>
      </c>
      <c r="D393" s="42" t="s">
        <v>4936</v>
      </c>
      <c r="E393" s="42" t="s">
        <v>4937</v>
      </c>
      <c r="H393" s="42" t="s">
        <v>4936</v>
      </c>
      <c r="I393" s="42" t="s">
        <v>4938</v>
      </c>
      <c r="J393" s="42" t="s">
        <v>4939</v>
      </c>
      <c r="K393" s="42" t="e">
        <f>VLOOKUP(F393,Input!C:M,9,0)</f>
        <v>#N/A</v>
      </c>
      <c r="L393" s="42" t="e">
        <f>VLOOKUP(F393,Input!C:M,10,0)</f>
        <v>#N/A</v>
      </c>
      <c r="M393" s="42" t="e">
        <f>VLOOKUP(F393,Input!C:M,11,0)</f>
        <v>#N/A</v>
      </c>
      <c r="N393" s="43" t="str">
        <f t="shared" si="6"/>
        <v>392,392,**</v>
      </c>
      <c r="O393" s="42">
        <v>392</v>
      </c>
    </row>
    <row r="394" spans="1:15" ht="14.25">
      <c r="A394" s="13" t="str">
        <f>IFERROR(VLOOKUP($F:$F,scan!$A:$B,2,0),"**")</f>
        <v>**</v>
      </c>
      <c r="B394" s="13" t="str">
        <f>IFERROR(VLOOKUP($F394,scan!A:C,3,0),"**")</f>
        <v>**</v>
      </c>
      <c r="C394" s="42">
        <v>393</v>
      </c>
      <c r="D394" s="42" t="s">
        <v>4936</v>
      </c>
      <c r="E394" s="42" t="s">
        <v>4937</v>
      </c>
      <c r="H394" s="42" t="s">
        <v>4936</v>
      </c>
      <c r="I394" s="42" t="s">
        <v>4938</v>
      </c>
      <c r="J394" s="42" t="s">
        <v>4939</v>
      </c>
      <c r="K394" s="42" t="e">
        <f>VLOOKUP(F394,Input!C:M,9,0)</f>
        <v>#N/A</v>
      </c>
      <c r="L394" s="42" t="e">
        <f>VLOOKUP(F394,Input!C:M,10,0)</f>
        <v>#N/A</v>
      </c>
      <c r="M394" s="42" t="e">
        <f>VLOOKUP(F394,Input!C:M,11,0)</f>
        <v>#N/A</v>
      </c>
      <c r="N394" s="43" t="str">
        <f t="shared" si="6"/>
        <v>393,393,**</v>
      </c>
      <c r="O394" s="42">
        <v>393</v>
      </c>
    </row>
    <row r="395" spans="1:15" ht="14.25">
      <c r="A395" s="13" t="str">
        <f>IFERROR(VLOOKUP($F:$F,scan!$A:$B,2,0),"**")</f>
        <v>**</v>
      </c>
      <c r="B395" s="13" t="str">
        <f>IFERROR(VLOOKUP($F395,scan!A:C,3,0),"**")</f>
        <v>**</v>
      </c>
      <c r="C395" s="42">
        <v>394</v>
      </c>
      <c r="D395" s="42" t="s">
        <v>4936</v>
      </c>
      <c r="E395" s="42" t="s">
        <v>4937</v>
      </c>
      <c r="H395" s="42" t="s">
        <v>4936</v>
      </c>
      <c r="I395" s="42" t="s">
        <v>4938</v>
      </c>
      <c r="J395" s="42" t="s">
        <v>4939</v>
      </c>
      <c r="K395" s="42" t="e">
        <f>VLOOKUP(F395,Input!C:M,9,0)</f>
        <v>#N/A</v>
      </c>
      <c r="L395" s="42" t="e">
        <f>VLOOKUP(F395,Input!C:M,10,0)</f>
        <v>#N/A</v>
      </c>
      <c r="M395" s="42" t="e">
        <f>VLOOKUP(F395,Input!C:M,11,0)</f>
        <v>#N/A</v>
      </c>
      <c r="N395" s="43" t="str">
        <f t="shared" si="6"/>
        <v>394,394,**</v>
      </c>
      <c r="O395" s="42">
        <v>394</v>
      </c>
    </row>
    <row r="396" spans="1:15" ht="14.25">
      <c r="A396" s="13" t="str">
        <f>IFERROR(VLOOKUP($F:$F,scan!$A:$B,2,0),"**")</f>
        <v>**</v>
      </c>
      <c r="B396" s="13" t="str">
        <f>IFERROR(VLOOKUP($F396,scan!A:C,3,0),"**")</f>
        <v>**</v>
      </c>
      <c r="C396" s="42">
        <v>395</v>
      </c>
      <c r="D396" s="42" t="s">
        <v>4936</v>
      </c>
      <c r="E396" s="42" t="s">
        <v>4937</v>
      </c>
      <c r="H396" s="42" t="s">
        <v>4936</v>
      </c>
      <c r="I396" s="42" t="s">
        <v>4938</v>
      </c>
      <c r="J396" s="42" t="s">
        <v>4939</v>
      </c>
      <c r="K396" s="42" t="e">
        <f>VLOOKUP(F396,Input!C:M,9,0)</f>
        <v>#N/A</v>
      </c>
      <c r="L396" s="42" t="e">
        <f>VLOOKUP(F396,Input!C:M,10,0)</f>
        <v>#N/A</v>
      </c>
      <c r="M396" s="42" t="e">
        <f>VLOOKUP(F396,Input!C:M,11,0)</f>
        <v>#N/A</v>
      </c>
      <c r="N396" s="43" t="str">
        <f t="shared" si="6"/>
        <v>395,395,**</v>
      </c>
      <c r="O396" s="42">
        <v>395</v>
      </c>
    </row>
    <row r="397" spans="1:15" ht="14.25">
      <c r="A397" s="13" t="str">
        <f>IFERROR(VLOOKUP($F:$F,scan!$A:$B,2,0),"**")</f>
        <v>**</v>
      </c>
      <c r="B397" s="13" t="str">
        <f>IFERROR(VLOOKUP($F397,scan!A:C,3,0),"**")</f>
        <v>**</v>
      </c>
      <c r="C397" s="42">
        <v>396</v>
      </c>
      <c r="D397" s="42" t="s">
        <v>4936</v>
      </c>
      <c r="E397" s="42" t="s">
        <v>4937</v>
      </c>
      <c r="H397" s="42" t="s">
        <v>4936</v>
      </c>
      <c r="I397" s="42" t="s">
        <v>4938</v>
      </c>
      <c r="J397" s="42" t="s">
        <v>4939</v>
      </c>
      <c r="K397" s="42" t="e">
        <f>VLOOKUP(F397,Input!C:M,9,0)</f>
        <v>#N/A</v>
      </c>
      <c r="L397" s="42" t="e">
        <f>VLOOKUP(F397,Input!C:M,10,0)</f>
        <v>#N/A</v>
      </c>
      <c r="M397" s="42" t="e">
        <f>VLOOKUP(F397,Input!C:M,11,0)</f>
        <v>#N/A</v>
      </c>
      <c r="N397" s="43" t="str">
        <f t="shared" si="6"/>
        <v>396,396,**</v>
      </c>
      <c r="O397" s="42">
        <v>396</v>
      </c>
    </row>
    <row r="398" spans="1:15" ht="14.25">
      <c r="A398" s="13" t="str">
        <f>IFERROR(VLOOKUP($F:$F,scan!$A:$B,2,0),"**")</f>
        <v>**</v>
      </c>
      <c r="B398" s="13" t="str">
        <f>IFERROR(VLOOKUP($F398,scan!A:C,3,0),"**")</f>
        <v>**</v>
      </c>
      <c r="C398" s="42">
        <v>397</v>
      </c>
      <c r="D398" s="42" t="s">
        <v>4936</v>
      </c>
      <c r="E398" s="42" t="s">
        <v>4937</v>
      </c>
      <c r="H398" s="42" t="s">
        <v>4936</v>
      </c>
      <c r="I398" s="42" t="s">
        <v>4938</v>
      </c>
      <c r="J398" s="42" t="s">
        <v>4939</v>
      </c>
      <c r="K398" s="42" t="e">
        <f>VLOOKUP(F398,Input!C:M,9,0)</f>
        <v>#N/A</v>
      </c>
      <c r="L398" s="42" t="e">
        <f>VLOOKUP(F398,Input!C:M,10,0)</f>
        <v>#N/A</v>
      </c>
      <c r="M398" s="42" t="e">
        <f>VLOOKUP(F398,Input!C:M,11,0)</f>
        <v>#N/A</v>
      </c>
      <c r="N398" s="43" t="str">
        <f t="shared" si="6"/>
        <v>397,397,**</v>
      </c>
      <c r="O398" s="42">
        <v>397</v>
      </c>
    </row>
    <row r="399" spans="1:15" ht="14.25">
      <c r="A399" s="13" t="str">
        <f>IFERROR(VLOOKUP($F:$F,scan!$A:$B,2,0),"**")</f>
        <v>**</v>
      </c>
      <c r="B399" s="13" t="str">
        <f>IFERROR(VLOOKUP($F399,scan!A:C,3,0),"**")</f>
        <v>**</v>
      </c>
      <c r="C399" s="42">
        <v>398</v>
      </c>
      <c r="D399" s="42" t="s">
        <v>4936</v>
      </c>
      <c r="E399" s="42" t="s">
        <v>4937</v>
      </c>
      <c r="H399" s="42" t="s">
        <v>4936</v>
      </c>
      <c r="I399" s="42" t="s">
        <v>4938</v>
      </c>
      <c r="J399" s="42" t="s">
        <v>4939</v>
      </c>
      <c r="K399" s="42" t="e">
        <f>VLOOKUP(F399,Input!C:M,9,0)</f>
        <v>#N/A</v>
      </c>
      <c r="L399" s="42" t="e">
        <f>VLOOKUP(F399,Input!C:M,10,0)</f>
        <v>#N/A</v>
      </c>
      <c r="M399" s="42" t="e">
        <f>VLOOKUP(F399,Input!C:M,11,0)</f>
        <v>#N/A</v>
      </c>
      <c r="N399" s="43" t="str">
        <f t="shared" si="6"/>
        <v>398,398,**</v>
      </c>
      <c r="O399" s="42">
        <v>398</v>
      </c>
    </row>
    <row r="400" spans="1:15" ht="14.25">
      <c r="A400" s="13" t="str">
        <f>IFERROR(VLOOKUP($F:$F,scan!$A:$B,2,0),"**")</f>
        <v>**</v>
      </c>
      <c r="B400" s="13" t="str">
        <f>IFERROR(VLOOKUP($F400,scan!A:C,3,0),"**")</f>
        <v>**</v>
      </c>
      <c r="C400" s="42">
        <v>399</v>
      </c>
      <c r="D400" s="42" t="s">
        <v>4936</v>
      </c>
      <c r="E400" s="42" t="s">
        <v>4937</v>
      </c>
      <c r="H400" s="42" t="s">
        <v>4936</v>
      </c>
      <c r="I400" s="42" t="s">
        <v>4938</v>
      </c>
      <c r="J400" s="42" t="s">
        <v>4939</v>
      </c>
      <c r="K400" s="42" t="e">
        <f>VLOOKUP(F400,Input!C:M,9,0)</f>
        <v>#N/A</v>
      </c>
      <c r="L400" s="42" t="e">
        <f>VLOOKUP(F400,Input!C:M,10,0)</f>
        <v>#N/A</v>
      </c>
      <c r="M400" s="42" t="e">
        <f>VLOOKUP(F400,Input!C:M,11,0)</f>
        <v>#N/A</v>
      </c>
      <c r="N400" s="43" t="str">
        <f t="shared" si="6"/>
        <v>399,399,**</v>
      </c>
      <c r="O400" s="42">
        <v>399</v>
      </c>
    </row>
    <row r="401" spans="1:15" ht="14.25">
      <c r="A401" s="13" t="str">
        <f>IFERROR(VLOOKUP($F:$F,scan!$A:$B,2,0),"**")</f>
        <v>**</v>
      </c>
      <c r="B401" s="13" t="str">
        <f>IFERROR(VLOOKUP($F401,scan!A:C,3,0),"**")</f>
        <v>**</v>
      </c>
      <c r="C401" s="42">
        <v>400</v>
      </c>
      <c r="D401" s="42" t="s">
        <v>4936</v>
      </c>
      <c r="E401" s="42" t="s">
        <v>4937</v>
      </c>
      <c r="H401" s="42" t="s">
        <v>4936</v>
      </c>
      <c r="I401" s="42" t="s">
        <v>4938</v>
      </c>
      <c r="J401" s="42" t="s">
        <v>4939</v>
      </c>
      <c r="K401" s="42" t="e">
        <f>VLOOKUP(F401,Input!C:M,9,0)</f>
        <v>#N/A</v>
      </c>
      <c r="L401" s="42" t="e">
        <f>VLOOKUP(F401,Input!C:M,10,0)</f>
        <v>#N/A</v>
      </c>
      <c r="M401" s="42" t="e">
        <f>VLOOKUP(F401,Input!C:M,11,0)</f>
        <v>#N/A</v>
      </c>
      <c r="N401" s="43" t="str">
        <f t="shared" si="6"/>
        <v>400,400,**</v>
      </c>
      <c r="O401" s="42">
        <v>400</v>
      </c>
    </row>
    <row r="402" spans="1:15" ht="14.25">
      <c r="A402" s="13" t="str">
        <f>IFERROR(VLOOKUP($F:$F,scan!$A:$B,2,0),"**")</f>
        <v>**</v>
      </c>
      <c r="B402" s="13" t="str">
        <f>IFERROR(VLOOKUP($F402,scan!A:C,3,0),"**")</f>
        <v>**</v>
      </c>
      <c r="C402" s="42">
        <v>401</v>
      </c>
      <c r="D402" s="42" t="s">
        <v>4936</v>
      </c>
      <c r="E402" s="42" t="s">
        <v>4937</v>
      </c>
      <c r="H402" s="42" t="s">
        <v>4936</v>
      </c>
      <c r="I402" s="42" t="s">
        <v>4938</v>
      </c>
      <c r="J402" s="42" t="s">
        <v>4939</v>
      </c>
      <c r="K402" s="42" t="e">
        <f>VLOOKUP(F402,Input!C:M,9,0)</f>
        <v>#N/A</v>
      </c>
      <c r="L402" s="42" t="e">
        <f>VLOOKUP(F402,Input!C:M,10,0)</f>
        <v>#N/A</v>
      </c>
      <c r="M402" s="42" t="e">
        <f>VLOOKUP(F402,Input!C:M,11,0)</f>
        <v>#N/A</v>
      </c>
      <c r="N402" s="43" t="str">
        <f t="shared" si="6"/>
        <v>401,401,**</v>
      </c>
      <c r="O402" s="42">
        <v>401</v>
      </c>
    </row>
    <row r="403" spans="1:15" ht="14.25">
      <c r="A403" s="13" t="str">
        <f>IFERROR(VLOOKUP($F:$F,scan!$A:$B,2,0),"**")</f>
        <v>**</v>
      </c>
      <c r="B403" s="13" t="str">
        <f>IFERROR(VLOOKUP($F403,scan!A:C,3,0),"**")</f>
        <v>**</v>
      </c>
      <c r="C403" s="42">
        <v>402</v>
      </c>
      <c r="D403" s="42" t="s">
        <v>4936</v>
      </c>
      <c r="E403" s="42" t="s">
        <v>4937</v>
      </c>
      <c r="H403" s="42" t="s">
        <v>4936</v>
      </c>
      <c r="I403" s="42" t="s">
        <v>4938</v>
      </c>
      <c r="J403" s="42" t="s">
        <v>4939</v>
      </c>
      <c r="K403" s="42" t="e">
        <f>VLOOKUP(F403,Input!C:M,9,0)</f>
        <v>#N/A</v>
      </c>
      <c r="L403" s="42" t="e">
        <f>VLOOKUP(F403,Input!C:M,10,0)</f>
        <v>#N/A</v>
      </c>
      <c r="M403" s="42" t="e">
        <f>VLOOKUP(F403,Input!C:M,11,0)</f>
        <v>#N/A</v>
      </c>
      <c r="N403" s="43" t="str">
        <f t="shared" si="6"/>
        <v>402,402,**</v>
      </c>
      <c r="O403" s="42">
        <v>402</v>
      </c>
    </row>
    <row r="404" spans="1:15" ht="14.25">
      <c r="A404" s="13" t="str">
        <f>IFERROR(VLOOKUP($F:$F,scan!$A:$B,2,0),"**")</f>
        <v>**</v>
      </c>
      <c r="B404" s="13" t="str">
        <f>IFERROR(VLOOKUP($F404,scan!A:C,3,0),"**")</f>
        <v>**</v>
      </c>
      <c r="C404" s="42">
        <v>403</v>
      </c>
      <c r="D404" s="42" t="s">
        <v>4936</v>
      </c>
      <c r="E404" s="42" t="s">
        <v>4937</v>
      </c>
      <c r="H404" s="42" t="s">
        <v>4936</v>
      </c>
      <c r="I404" s="42" t="s">
        <v>4938</v>
      </c>
      <c r="J404" s="42" t="s">
        <v>4939</v>
      </c>
      <c r="K404" s="42" t="e">
        <f>VLOOKUP(F404,Input!C:M,9,0)</f>
        <v>#N/A</v>
      </c>
      <c r="L404" s="42" t="e">
        <f>VLOOKUP(F404,Input!C:M,10,0)</f>
        <v>#N/A</v>
      </c>
      <c r="M404" s="42" t="e">
        <f>VLOOKUP(F404,Input!C:M,11,0)</f>
        <v>#N/A</v>
      </c>
      <c r="N404" s="43" t="str">
        <f t="shared" si="6"/>
        <v>403,403,**</v>
      </c>
      <c r="O404" s="42">
        <v>403</v>
      </c>
    </row>
    <row r="405" spans="1:15" ht="14.25">
      <c r="A405" s="13" t="str">
        <f>IFERROR(VLOOKUP($F:$F,scan!$A:$B,2,0),"**")</f>
        <v>**</v>
      </c>
      <c r="B405" s="13" t="str">
        <f>IFERROR(VLOOKUP($F405,scan!A:C,3,0),"**")</f>
        <v>**</v>
      </c>
      <c r="C405" s="42">
        <v>404</v>
      </c>
      <c r="D405" s="42" t="s">
        <v>4936</v>
      </c>
      <c r="E405" s="42" t="s">
        <v>4937</v>
      </c>
      <c r="H405" s="42" t="s">
        <v>4936</v>
      </c>
      <c r="I405" s="42" t="s">
        <v>4938</v>
      </c>
      <c r="J405" s="42" t="s">
        <v>4939</v>
      </c>
      <c r="K405" s="42" t="e">
        <f>VLOOKUP(F405,Input!C:M,9,0)</f>
        <v>#N/A</v>
      </c>
      <c r="L405" s="42" t="e">
        <f>VLOOKUP(F405,Input!C:M,10,0)</f>
        <v>#N/A</v>
      </c>
      <c r="M405" s="42" t="e">
        <f>VLOOKUP(F405,Input!C:M,11,0)</f>
        <v>#N/A</v>
      </c>
      <c r="N405" s="43" t="str">
        <f t="shared" si="6"/>
        <v>404,404,**</v>
      </c>
      <c r="O405" s="42">
        <v>404</v>
      </c>
    </row>
    <row r="406" spans="1:15" ht="14.25">
      <c r="A406" s="13" t="str">
        <f>IFERROR(VLOOKUP($F:$F,scan!$A:$B,2,0),"**")</f>
        <v>**</v>
      </c>
      <c r="B406" s="13" t="str">
        <f>IFERROR(VLOOKUP($F406,scan!A:C,3,0),"**")</f>
        <v>**</v>
      </c>
      <c r="C406" s="42">
        <v>405</v>
      </c>
      <c r="D406" s="42" t="s">
        <v>4936</v>
      </c>
      <c r="E406" s="42" t="s">
        <v>4937</v>
      </c>
      <c r="H406" s="42" t="s">
        <v>4936</v>
      </c>
      <c r="I406" s="42" t="s">
        <v>4938</v>
      </c>
      <c r="J406" s="42" t="s">
        <v>4939</v>
      </c>
      <c r="K406" s="42" t="e">
        <f>VLOOKUP(F406,Input!C:M,9,0)</f>
        <v>#N/A</v>
      </c>
      <c r="L406" s="42" t="e">
        <f>VLOOKUP(F406,Input!C:M,10,0)</f>
        <v>#N/A</v>
      </c>
      <c r="M406" s="42" t="e">
        <f>VLOOKUP(F406,Input!C:M,11,0)</f>
        <v>#N/A</v>
      </c>
      <c r="N406" s="43" t="str">
        <f t="shared" si="6"/>
        <v>405,405,**</v>
      </c>
      <c r="O406" s="42">
        <v>405</v>
      </c>
    </row>
    <row r="407" spans="1:15" ht="14.25">
      <c r="A407" s="13" t="str">
        <f>IFERROR(VLOOKUP($F:$F,scan!$A:$B,2,0),"**")</f>
        <v>**</v>
      </c>
      <c r="B407" s="13" t="str">
        <f>IFERROR(VLOOKUP($F407,scan!A:C,3,0),"**")</f>
        <v>**</v>
      </c>
      <c r="C407" s="42">
        <v>406</v>
      </c>
      <c r="D407" s="42" t="s">
        <v>4936</v>
      </c>
      <c r="E407" s="42" t="s">
        <v>4937</v>
      </c>
      <c r="H407" s="42" t="s">
        <v>4936</v>
      </c>
      <c r="I407" s="42" t="s">
        <v>4938</v>
      </c>
      <c r="J407" s="42" t="s">
        <v>4939</v>
      </c>
      <c r="K407" s="42" t="e">
        <f>VLOOKUP(F407,Input!C:M,9,0)</f>
        <v>#N/A</v>
      </c>
      <c r="L407" s="42" t="e">
        <f>VLOOKUP(F407,Input!C:M,10,0)</f>
        <v>#N/A</v>
      </c>
      <c r="M407" s="42" t="e">
        <f>VLOOKUP(F407,Input!C:M,11,0)</f>
        <v>#N/A</v>
      </c>
      <c r="N407" s="43" t="str">
        <f t="shared" si="6"/>
        <v>406,406,**</v>
      </c>
      <c r="O407" s="42">
        <v>406</v>
      </c>
    </row>
    <row r="408" spans="1:15" ht="14.25">
      <c r="A408" s="13" t="str">
        <f>IFERROR(VLOOKUP($F:$F,scan!$A:$B,2,0),"**")</f>
        <v>**</v>
      </c>
      <c r="B408" s="13" t="str">
        <f>IFERROR(VLOOKUP($F408,scan!A:C,3,0),"**")</f>
        <v>**</v>
      </c>
      <c r="C408" s="42">
        <v>407</v>
      </c>
      <c r="D408" s="42" t="s">
        <v>4936</v>
      </c>
      <c r="E408" s="42" t="s">
        <v>4937</v>
      </c>
      <c r="H408" s="42" t="s">
        <v>4936</v>
      </c>
      <c r="I408" s="42" t="s">
        <v>4938</v>
      </c>
      <c r="J408" s="42" t="s">
        <v>4939</v>
      </c>
      <c r="K408" s="42" t="e">
        <f>VLOOKUP(F408,Input!C:M,9,0)</f>
        <v>#N/A</v>
      </c>
      <c r="L408" s="42" t="e">
        <f>VLOOKUP(F408,Input!C:M,10,0)</f>
        <v>#N/A</v>
      </c>
      <c r="M408" s="42" t="e">
        <f>VLOOKUP(F408,Input!C:M,11,0)</f>
        <v>#N/A</v>
      </c>
      <c r="N408" s="43" t="str">
        <f t="shared" si="6"/>
        <v>407,407,**</v>
      </c>
      <c r="O408" s="42">
        <v>407</v>
      </c>
    </row>
    <row r="409" spans="1:15" ht="14.25">
      <c r="A409" s="13" t="str">
        <f>IFERROR(VLOOKUP($F:$F,scan!$A:$B,2,0),"**")</f>
        <v>**</v>
      </c>
      <c r="B409" s="13" t="str">
        <f>IFERROR(VLOOKUP($F409,scan!A:C,3,0),"**")</f>
        <v>**</v>
      </c>
      <c r="C409" s="42">
        <v>408</v>
      </c>
      <c r="D409" s="42" t="s">
        <v>4936</v>
      </c>
      <c r="E409" s="42" t="s">
        <v>4937</v>
      </c>
      <c r="H409" s="42" t="s">
        <v>4936</v>
      </c>
      <c r="I409" s="42" t="s">
        <v>4938</v>
      </c>
      <c r="J409" s="42" t="s">
        <v>4939</v>
      </c>
      <c r="K409" s="42" t="e">
        <f>VLOOKUP(F409,Input!C:M,9,0)</f>
        <v>#N/A</v>
      </c>
      <c r="L409" s="42" t="e">
        <f>VLOOKUP(F409,Input!C:M,10,0)</f>
        <v>#N/A</v>
      </c>
      <c r="M409" s="42" t="e">
        <f>VLOOKUP(F409,Input!C:M,11,0)</f>
        <v>#N/A</v>
      </c>
      <c r="N409" s="43" t="str">
        <f t="shared" si="6"/>
        <v>408,408,**</v>
      </c>
      <c r="O409" s="42">
        <v>408</v>
      </c>
    </row>
    <row r="410" spans="1:15" ht="14.25">
      <c r="A410" s="13" t="str">
        <f>IFERROR(VLOOKUP($F:$F,scan!$A:$B,2,0),"**")</f>
        <v>**</v>
      </c>
      <c r="B410" s="13" t="str">
        <f>IFERROR(VLOOKUP($F410,scan!A:C,3,0),"**")</f>
        <v>**</v>
      </c>
      <c r="C410" s="42">
        <v>409</v>
      </c>
      <c r="D410" s="42" t="s">
        <v>4936</v>
      </c>
      <c r="E410" s="42" t="s">
        <v>4937</v>
      </c>
      <c r="H410" s="42" t="s">
        <v>4936</v>
      </c>
      <c r="I410" s="42" t="s">
        <v>4938</v>
      </c>
      <c r="J410" s="42" t="s">
        <v>4939</v>
      </c>
      <c r="K410" s="42" t="e">
        <f>VLOOKUP(F410,Input!C:M,9,0)</f>
        <v>#N/A</v>
      </c>
      <c r="L410" s="42" t="e">
        <f>VLOOKUP(F410,Input!C:M,10,0)</f>
        <v>#N/A</v>
      </c>
      <c r="M410" s="42" t="e">
        <f>VLOOKUP(F410,Input!C:M,11,0)</f>
        <v>#N/A</v>
      </c>
      <c r="N410" s="43" t="str">
        <f t="shared" si="6"/>
        <v>409,409,**</v>
      </c>
      <c r="O410" s="42">
        <v>409</v>
      </c>
    </row>
    <row r="411" spans="1:15" ht="14.25">
      <c r="A411" s="13" t="str">
        <f>IFERROR(VLOOKUP($F:$F,scan!$A:$B,2,0),"**")</f>
        <v>**</v>
      </c>
      <c r="B411" s="13" t="str">
        <f>IFERROR(VLOOKUP($F411,scan!A:C,3,0),"**")</f>
        <v>**</v>
      </c>
      <c r="C411" s="42">
        <v>410</v>
      </c>
      <c r="D411" s="42" t="s">
        <v>4936</v>
      </c>
      <c r="E411" s="42" t="s">
        <v>4937</v>
      </c>
      <c r="H411" s="42" t="s">
        <v>4936</v>
      </c>
      <c r="I411" s="42" t="s">
        <v>4938</v>
      </c>
      <c r="J411" s="42" t="s">
        <v>4939</v>
      </c>
      <c r="K411" s="42" t="e">
        <f>VLOOKUP(F411,Input!C:M,9,0)</f>
        <v>#N/A</v>
      </c>
      <c r="L411" s="42" t="e">
        <f>VLOOKUP(F411,Input!C:M,10,0)</f>
        <v>#N/A</v>
      </c>
      <c r="M411" s="42" t="e">
        <f>VLOOKUP(F411,Input!C:M,11,0)</f>
        <v>#N/A</v>
      </c>
      <c r="N411" s="43" t="str">
        <f t="shared" si="6"/>
        <v>410,410,**</v>
      </c>
      <c r="O411" s="42">
        <v>410</v>
      </c>
    </row>
    <row r="412" spans="1:15" ht="14.25">
      <c r="A412" s="13" t="str">
        <f>IFERROR(VLOOKUP($F:$F,scan!$A:$B,2,0),"**")</f>
        <v>**</v>
      </c>
      <c r="B412" s="13" t="str">
        <f>IFERROR(VLOOKUP($F412,scan!A:C,3,0),"**")</f>
        <v>**</v>
      </c>
      <c r="C412" s="42">
        <v>411</v>
      </c>
      <c r="D412" s="42" t="s">
        <v>4936</v>
      </c>
      <c r="E412" s="42" t="s">
        <v>4937</v>
      </c>
      <c r="H412" s="42" t="s">
        <v>4936</v>
      </c>
      <c r="I412" s="42" t="s">
        <v>4938</v>
      </c>
      <c r="J412" s="42" t="s">
        <v>4939</v>
      </c>
      <c r="K412" s="42" t="e">
        <f>VLOOKUP(F412,Input!C:M,9,0)</f>
        <v>#N/A</v>
      </c>
      <c r="L412" s="42" t="e">
        <f>VLOOKUP(F412,Input!C:M,10,0)</f>
        <v>#N/A</v>
      </c>
      <c r="M412" s="42" t="e">
        <f>VLOOKUP(F412,Input!C:M,11,0)</f>
        <v>#N/A</v>
      </c>
      <c r="N412" s="43" t="str">
        <f t="shared" si="6"/>
        <v>411,411,**</v>
      </c>
      <c r="O412" s="42">
        <v>411</v>
      </c>
    </row>
    <row r="413" spans="1:15" ht="14.25">
      <c r="A413" s="13" t="str">
        <f>IFERROR(VLOOKUP($F:$F,scan!$A:$B,2,0),"**")</f>
        <v>**</v>
      </c>
      <c r="B413" s="13" t="str">
        <f>IFERROR(VLOOKUP($F413,scan!A:C,3,0),"**")</f>
        <v>**</v>
      </c>
      <c r="C413" s="42">
        <v>412</v>
      </c>
      <c r="D413" s="42" t="s">
        <v>4936</v>
      </c>
      <c r="E413" s="42" t="s">
        <v>4937</v>
      </c>
      <c r="H413" s="42" t="s">
        <v>4936</v>
      </c>
      <c r="I413" s="42" t="s">
        <v>4938</v>
      </c>
      <c r="J413" s="42" t="s">
        <v>4939</v>
      </c>
      <c r="K413" s="42" t="e">
        <f>VLOOKUP(F413,Input!C:M,9,0)</f>
        <v>#N/A</v>
      </c>
      <c r="L413" s="42" t="e">
        <f>VLOOKUP(F413,Input!C:M,10,0)</f>
        <v>#N/A</v>
      </c>
      <c r="M413" s="42" t="e">
        <f>VLOOKUP(F413,Input!C:M,11,0)</f>
        <v>#N/A</v>
      </c>
      <c r="N413" s="43" t="str">
        <f t="shared" si="6"/>
        <v>412,412,**</v>
      </c>
      <c r="O413" s="42">
        <v>412</v>
      </c>
    </row>
    <row r="414" spans="1:15" ht="14.25">
      <c r="A414" s="13" t="str">
        <f>IFERROR(VLOOKUP($F:$F,scan!$A:$B,2,0),"**")</f>
        <v>**</v>
      </c>
      <c r="B414" s="13" t="str">
        <f>IFERROR(VLOOKUP($F414,scan!A:C,3,0),"**")</f>
        <v>**</v>
      </c>
      <c r="C414" s="42">
        <v>413</v>
      </c>
      <c r="D414" s="42" t="s">
        <v>4936</v>
      </c>
      <c r="E414" s="42" t="s">
        <v>4937</v>
      </c>
      <c r="H414" s="42" t="s">
        <v>4936</v>
      </c>
      <c r="I414" s="42" t="s">
        <v>4938</v>
      </c>
      <c r="J414" s="42" t="s">
        <v>4939</v>
      </c>
      <c r="K414" s="42" t="e">
        <f>VLOOKUP(F414,Input!C:M,9,0)</f>
        <v>#N/A</v>
      </c>
      <c r="L414" s="42" t="e">
        <f>VLOOKUP(F414,Input!C:M,10,0)</f>
        <v>#N/A</v>
      </c>
      <c r="M414" s="42" t="e">
        <f>VLOOKUP(F414,Input!C:M,11,0)</f>
        <v>#N/A</v>
      </c>
      <c r="N414" s="43" t="str">
        <f t="shared" si="6"/>
        <v>413,413,**</v>
      </c>
      <c r="O414" s="42">
        <v>413</v>
      </c>
    </row>
    <row r="415" spans="1:15" ht="14.25">
      <c r="A415" s="13" t="str">
        <f>IFERROR(VLOOKUP($F:$F,scan!$A:$B,2,0),"**")</f>
        <v>**</v>
      </c>
      <c r="B415" s="13" t="str">
        <f>IFERROR(VLOOKUP($F415,scan!A:C,3,0),"**")</f>
        <v>**</v>
      </c>
      <c r="C415" s="42">
        <v>414</v>
      </c>
      <c r="D415" s="42" t="s">
        <v>4936</v>
      </c>
      <c r="E415" s="42" t="s">
        <v>4937</v>
      </c>
      <c r="H415" s="42" t="s">
        <v>4936</v>
      </c>
      <c r="I415" s="42" t="s">
        <v>4938</v>
      </c>
      <c r="J415" s="42" t="s">
        <v>4939</v>
      </c>
      <c r="K415" s="42" t="e">
        <f>VLOOKUP(F415,Input!C:M,9,0)</f>
        <v>#N/A</v>
      </c>
      <c r="L415" s="42" t="e">
        <f>VLOOKUP(F415,Input!C:M,10,0)</f>
        <v>#N/A</v>
      </c>
      <c r="M415" s="42" t="e">
        <f>VLOOKUP(F415,Input!C:M,11,0)</f>
        <v>#N/A</v>
      </c>
      <c r="N415" s="43" t="str">
        <f t="shared" si="6"/>
        <v>414,414,**</v>
      </c>
      <c r="O415" s="42">
        <v>414</v>
      </c>
    </row>
    <row r="416" spans="1:15" ht="14.25">
      <c r="A416" s="13" t="str">
        <f>IFERROR(VLOOKUP($F:$F,scan!$A:$B,2,0),"**")</f>
        <v>**</v>
      </c>
      <c r="B416" s="13" t="str">
        <f>IFERROR(VLOOKUP($F416,scan!A:C,3,0),"**")</f>
        <v>**</v>
      </c>
      <c r="C416" s="42">
        <v>415</v>
      </c>
      <c r="D416" s="42" t="s">
        <v>4936</v>
      </c>
      <c r="E416" s="42" t="s">
        <v>4937</v>
      </c>
      <c r="H416" s="42" t="s">
        <v>4936</v>
      </c>
      <c r="I416" s="42" t="s">
        <v>4938</v>
      </c>
      <c r="J416" s="42" t="s">
        <v>4939</v>
      </c>
      <c r="K416" s="42" t="e">
        <f>VLOOKUP(F416,Input!C:M,9,0)</f>
        <v>#N/A</v>
      </c>
      <c r="L416" s="42" t="e">
        <f>VLOOKUP(F416,Input!C:M,10,0)</f>
        <v>#N/A</v>
      </c>
      <c r="M416" s="42" t="e">
        <f>VLOOKUP(F416,Input!C:M,11,0)</f>
        <v>#N/A</v>
      </c>
      <c r="N416" s="43" t="str">
        <f t="shared" si="6"/>
        <v>415,415,**</v>
      </c>
      <c r="O416" s="42">
        <v>415</v>
      </c>
    </row>
    <row r="417" spans="1:15" ht="14.25">
      <c r="A417" s="13" t="str">
        <f>IFERROR(VLOOKUP($F:$F,scan!$A:$B,2,0),"**")</f>
        <v>**</v>
      </c>
      <c r="B417" s="13" t="str">
        <f>IFERROR(VLOOKUP($F417,scan!A:C,3,0),"**")</f>
        <v>**</v>
      </c>
      <c r="C417" s="42">
        <v>416</v>
      </c>
      <c r="D417" s="42" t="s">
        <v>4936</v>
      </c>
      <c r="E417" s="42" t="s">
        <v>4937</v>
      </c>
      <c r="H417" s="42" t="s">
        <v>4936</v>
      </c>
      <c r="I417" s="42" t="s">
        <v>4938</v>
      </c>
      <c r="J417" s="42" t="s">
        <v>4939</v>
      </c>
      <c r="K417" s="42" t="e">
        <f>VLOOKUP(F417,Input!C:M,9,0)</f>
        <v>#N/A</v>
      </c>
      <c r="L417" s="42" t="e">
        <f>VLOOKUP(F417,Input!C:M,10,0)</f>
        <v>#N/A</v>
      </c>
      <c r="M417" s="42" t="e">
        <f>VLOOKUP(F417,Input!C:M,11,0)</f>
        <v>#N/A</v>
      </c>
      <c r="N417" s="43" t="str">
        <f t="shared" si="6"/>
        <v>416,416,**</v>
      </c>
      <c r="O417" s="42">
        <v>416</v>
      </c>
    </row>
    <row r="418" spans="1:15" ht="14.25">
      <c r="A418" s="13" t="str">
        <f>IFERROR(VLOOKUP($F:$F,scan!$A:$B,2,0),"**")</f>
        <v>**</v>
      </c>
      <c r="B418" s="13" t="str">
        <f>IFERROR(VLOOKUP($F418,scan!A:C,3,0),"**")</f>
        <v>**</v>
      </c>
      <c r="C418" s="42">
        <v>417</v>
      </c>
      <c r="D418" s="42" t="s">
        <v>4936</v>
      </c>
      <c r="E418" s="42" t="s">
        <v>4937</v>
      </c>
      <c r="H418" s="42" t="s">
        <v>4936</v>
      </c>
      <c r="I418" s="42" t="s">
        <v>4938</v>
      </c>
      <c r="J418" s="42" t="s">
        <v>4939</v>
      </c>
      <c r="K418" s="42" t="e">
        <f>VLOOKUP(F418,Input!C:M,9,0)</f>
        <v>#N/A</v>
      </c>
      <c r="L418" s="42" t="e">
        <f>VLOOKUP(F418,Input!C:M,10,0)</f>
        <v>#N/A</v>
      </c>
      <c r="M418" s="42" t="e">
        <f>VLOOKUP(F418,Input!C:M,11,0)</f>
        <v>#N/A</v>
      </c>
      <c r="N418" s="43" t="str">
        <f t="shared" si="6"/>
        <v>417,417,**</v>
      </c>
      <c r="O418" s="42">
        <v>417</v>
      </c>
    </row>
    <row r="419" spans="1:15" ht="14.25">
      <c r="A419" s="13" t="str">
        <f>IFERROR(VLOOKUP($F:$F,scan!$A:$B,2,0),"**")</f>
        <v>**</v>
      </c>
      <c r="B419" s="13" t="str">
        <f>IFERROR(VLOOKUP($F419,scan!A:C,3,0),"**")</f>
        <v>**</v>
      </c>
      <c r="C419" s="42">
        <v>418</v>
      </c>
      <c r="D419" s="42" t="s">
        <v>4936</v>
      </c>
      <c r="E419" s="42" t="s">
        <v>4937</v>
      </c>
      <c r="H419" s="42" t="s">
        <v>4936</v>
      </c>
      <c r="I419" s="42" t="s">
        <v>4938</v>
      </c>
      <c r="J419" s="42" t="s">
        <v>4939</v>
      </c>
      <c r="K419" s="42" t="e">
        <f>VLOOKUP(F419,Input!C:M,9,0)</f>
        <v>#N/A</v>
      </c>
      <c r="L419" s="42" t="e">
        <f>VLOOKUP(F419,Input!C:M,10,0)</f>
        <v>#N/A</v>
      </c>
      <c r="M419" s="42" t="e">
        <f>VLOOKUP(F419,Input!C:M,11,0)</f>
        <v>#N/A</v>
      </c>
      <c r="N419" s="43" t="str">
        <f t="shared" si="6"/>
        <v>418,418,**</v>
      </c>
      <c r="O419" s="42">
        <v>418</v>
      </c>
    </row>
    <row r="420" spans="1:15" ht="14.25">
      <c r="A420" s="13" t="str">
        <f>IFERROR(VLOOKUP($F:$F,scan!$A:$B,2,0),"**")</f>
        <v>**</v>
      </c>
      <c r="B420" s="13" t="str">
        <f>IFERROR(VLOOKUP($F420,scan!A:C,3,0),"**")</f>
        <v>**</v>
      </c>
      <c r="C420" s="42">
        <v>419</v>
      </c>
      <c r="D420" s="42" t="s">
        <v>4936</v>
      </c>
      <c r="E420" s="42" t="s">
        <v>4937</v>
      </c>
      <c r="H420" s="42" t="s">
        <v>4936</v>
      </c>
      <c r="I420" s="42" t="s">
        <v>4938</v>
      </c>
      <c r="J420" s="42" t="s">
        <v>4939</v>
      </c>
      <c r="K420" s="42" t="e">
        <f>VLOOKUP(F420,Input!C:M,9,0)</f>
        <v>#N/A</v>
      </c>
      <c r="L420" s="42" t="e">
        <f>VLOOKUP(F420,Input!C:M,10,0)</f>
        <v>#N/A</v>
      </c>
      <c r="M420" s="42" t="e">
        <f>VLOOKUP(F420,Input!C:M,11,0)</f>
        <v>#N/A</v>
      </c>
      <c r="N420" s="43" t="str">
        <f t="shared" si="6"/>
        <v>419,419,**</v>
      </c>
      <c r="O420" s="42">
        <v>419</v>
      </c>
    </row>
    <row r="421" spans="1:15" ht="14.25">
      <c r="A421" s="13" t="str">
        <f>IFERROR(VLOOKUP($F:$F,scan!$A:$B,2,0),"**")</f>
        <v>**</v>
      </c>
      <c r="B421" s="13" t="str">
        <f>IFERROR(VLOOKUP($F421,scan!A:C,3,0),"**")</f>
        <v>**</v>
      </c>
      <c r="C421" s="42">
        <v>420</v>
      </c>
      <c r="D421" s="42" t="s">
        <v>4936</v>
      </c>
      <c r="E421" s="42" t="s">
        <v>4937</v>
      </c>
      <c r="H421" s="42" t="s">
        <v>4936</v>
      </c>
      <c r="I421" s="42" t="s">
        <v>4938</v>
      </c>
      <c r="J421" s="42" t="s">
        <v>4939</v>
      </c>
      <c r="K421" s="42" t="e">
        <f>VLOOKUP(F421,Input!C:M,9,0)</f>
        <v>#N/A</v>
      </c>
      <c r="L421" s="42" t="e">
        <f>VLOOKUP(F421,Input!C:M,10,0)</f>
        <v>#N/A</v>
      </c>
      <c r="M421" s="42" t="e">
        <f>VLOOKUP(F421,Input!C:M,11,0)</f>
        <v>#N/A</v>
      </c>
      <c r="N421" s="43" t="str">
        <f t="shared" si="6"/>
        <v>420,420,**</v>
      </c>
      <c r="O421" s="42">
        <v>420</v>
      </c>
    </row>
    <row r="422" spans="1:15" ht="14.25">
      <c r="A422" s="13" t="str">
        <f>IFERROR(VLOOKUP($F:$F,scan!$A:$B,2,0),"**")</f>
        <v>**</v>
      </c>
      <c r="B422" s="13" t="str">
        <f>IFERROR(VLOOKUP($F422,scan!A:C,3,0),"**")</f>
        <v>**</v>
      </c>
      <c r="C422" s="42">
        <v>421</v>
      </c>
      <c r="D422" s="42" t="s">
        <v>4936</v>
      </c>
      <c r="E422" s="42" t="s">
        <v>4937</v>
      </c>
      <c r="H422" s="42" t="s">
        <v>4936</v>
      </c>
      <c r="I422" s="42" t="s">
        <v>4938</v>
      </c>
      <c r="J422" s="42" t="s">
        <v>4939</v>
      </c>
      <c r="K422" s="42" t="e">
        <f>VLOOKUP(F422,Input!C:M,9,0)</f>
        <v>#N/A</v>
      </c>
      <c r="L422" s="42" t="e">
        <f>VLOOKUP(F422,Input!C:M,10,0)</f>
        <v>#N/A</v>
      </c>
      <c r="M422" s="42" t="e">
        <f>VLOOKUP(F422,Input!C:M,11,0)</f>
        <v>#N/A</v>
      </c>
      <c r="N422" s="43" t="str">
        <f t="shared" si="6"/>
        <v>421,421,**</v>
      </c>
      <c r="O422" s="42">
        <v>421</v>
      </c>
    </row>
    <row r="423" spans="1:15" ht="14.25">
      <c r="A423" s="13" t="str">
        <f>IFERROR(VLOOKUP($F:$F,scan!$A:$B,2,0),"**")</f>
        <v>**</v>
      </c>
      <c r="B423" s="13" t="str">
        <f>IFERROR(VLOOKUP($F423,scan!A:C,3,0),"**")</f>
        <v>**</v>
      </c>
      <c r="C423" s="42">
        <v>422</v>
      </c>
      <c r="D423" s="42" t="s">
        <v>4936</v>
      </c>
      <c r="E423" s="42" t="s">
        <v>4937</v>
      </c>
      <c r="H423" s="42" t="s">
        <v>4936</v>
      </c>
      <c r="I423" s="42" t="s">
        <v>4938</v>
      </c>
      <c r="J423" s="42" t="s">
        <v>4939</v>
      </c>
      <c r="K423" s="42" t="e">
        <f>VLOOKUP(F423,Input!C:M,9,0)</f>
        <v>#N/A</v>
      </c>
      <c r="L423" s="42" t="e">
        <f>VLOOKUP(F423,Input!C:M,10,0)</f>
        <v>#N/A</v>
      </c>
      <c r="M423" s="42" t="e">
        <f>VLOOKUP(F423,Input!C:M,11,0)</f>
        <v>#N/A</v>
      </c>
      <c r="N423" s="43" t="str">
        <f t="shared" si="6"/>
        <v>422,422,**</v>
      </c>
      <c r="O423" s="42">
        <v>422</v>
      </c>
    </row>
    <row r="424" spans="1:15" ht="14.25">
      <c r="A424" s="13" t="str">
        <f>IFERROR(VLOOKUP($F:$F,scan!$A:$B,2,0),"**")</f>
        <v>**</v>
      </c>
      <c r="B424" s="13" t="str">
        <f>IFERROR(VLOOKUP($F424,scan!A:C,3,0),"**")</f>
        <v>**</v>
      </c>
      <c r="C424" s="42">
        <v>423</v>
      </c>
      <c r="D424" s="42" t="s">
        <v>4936</v>
      </c>
      <c r="E424" s="42" t="s">
        <v>4937</v>
      </c>
      <c r="H424" s="42" t="s">
        <v>4936</v>
      </c>
      <c r="I424" s="42" t="s">
        <v>4938</v>
      </c>
      <c r="J424" s="42" t="s">
        <v>4939</v>
      </c>
      <c r="K424" s="42" t="e">
        <f>VLOOKUP(F424,Input!C:M,9,0)</f>
        <v>#N/A</v>
      </c>
      <c r="L424" s="42" t="e">
        <f>VLOOKUP(F424,Input!C:M,10,0)</f>
        <v>#N/A</v>
      </c>
      <c r="M424" s="42" t="e">
        <f>VLOOKUP(F424,Input!C:M,11,0)</f>
        <v>#N/A</v>
      </c>
      <c r="N424" s="43" t="str">
        <f t="shared" si="6"/>
        <v>423,423,**</v>
      </c>
      <c r="O424" s="42">
        <v>423</v>
      </c>
    </row>
    <row r="425" spans="1:15" ht="14.25">
      <c r="A425" s="13" t="str">
        <f>IFERROR(VLOOKUP($F:$F,scan!$A:$B,2,0),"**")</f>
        <v>**</v>
      </c>
      <c r="B425" s="13" t="str">
        <f>IFERROR(VLOOKUP($F425,scan!A:C,3,0),"**")</f>
        <v>**</v>
      </c>
      <c r="C425" s="42">
        <v>424</v>
      </c>
      <c r="D425" s="42" t="s">
        <v>4936</v>
      </c>
      <c r="E425" s="42" t="s">
        <v>4937</v>
      </c>
      <c r="H425" s="42" t="s">
        <v>4936</v>
      </c>
      <c r="I425" s="42" t="s">
        <v>4938</v>
      </c>
      <c r="J425" s="42" t="s">
        <v>4939</v>
      </c>
      <c r="K425" s="42" t="e">
        <f>VLOOKUP(F425,Input!C:M,9,0)</f>
        <v>#N/A</v>
      </c>
      <c r="L425" s="42" t="e">
        <f>VLOOKUP(F425,Input!C:M,10,0)</f>
        <v>#N/A</v>
      </c>
      <c r="M425" s="42" t="e">
        <f>VLOOKUP(F425,Input!C:M,11,0)</f>
        <v>#N/A</v>
      </c>
      <c r="N425" s="43" t="str">
        <f t="shared" si="6"/>
        <v>424,424,**</v>
      </c>
      <c r="O425" s="42">
        <v>424</v>
      </c>
    </row>
    <row r="426" spans="1:15" ht="14.25">
      <c r="A426" s="13" t="str">
        <f>IFERROR(VLOOKUP($F:$F,scan!$A:$B,2,0),"**")</f>
        <v>**</v>
      </c>
      <c r="B426" s="13" t="str">
        <f>IFERROR(VLOOKUP($F426,scan!A:C,3,0),"**")</f>
        <v>**</v>
      </c>
      <c r="C426" s="42">
        <v>425</v>
      </c>
      <c r="D426" s="42" t="s">
        <v>4936</v>
      </c>
      <c r="E426" s="42" t="s">
        <v>4937</v>
      </c>
      <c r="H426" s="42" t="s">
        <v>4936</v>
      </c>
      <c r="I426" s="42" t="s">
        <v>4938</v>
      </c>
      <c r="J426" s="42" t="s">
        <v>4939</v>
      </c>
      <c r="K426" s="42" t="e">
        <f>VLOOKUP(F426,Input!C:M,9,0)</f>
        <v>#N/A</v>
      </c>
      <c r="L426" s="42" t="e">
        <f>VLOOKUP(F426,Input!C:M,10,0)</f>
        <v>#N/A</v>
      </c>
      <c r="M426" s="42" t="e">
        <f>VLOOKUP(F426,Input!C:M,11,0)</f>
        <v>#N/A</v>
      </c>
      <c r="N426" s="43" t="str">
        <f t="shared" si="6"/>
        <v>425,425,**</v>
      </c>
      <c r="O426" s="42">
        <v>425</v>
      </c>
    </row>
    <row r="427" spans="1:15" ht="14.25">
      <c r="A427" s="13" t="str">
        <f>IFERROR(VLOOKUP($F:$F,scan!$A:$B,2,0),"**")</f>
        <v>**</v>
      </c>
      <c r="B427" s="13" t="str">
        <f>IFERROR(VLOOKUP($F427,scan!A:C,3,0),"**")</f>
        <v>**</v>
      </c>
      <c r="C427" s="42">
        <v>426</v>
      </c>
      <c r="D427" s="42" t="s">
        <v>4936</v>
      </c>
      <c r="E427" s="42" t="s">
        <v>4937</v>
      </c>
      <c r="H427" s="42" t="s">
        <v>4936</v>
      </c>
      <c r="I427" s="42" t="s">
        <v>4938</v>
      </c>
      <c r="J427" s="42" t="s">
        <v>4939</v>
      </c>
      <c r="K427" s="42" t="e">
        <f>VLOOKUP(F427,Input!C:M,9,0)</f>
        <v>#N/A</v>
      </c>
      <c r="L427" s="42" t="e">
        <f>VLOOKUP(F427,Input!C:M,10,0)</f>
        <v>#N/A</v>
      </c>
      <c r="M427" s="42" t="e">
        <f>VLOOKUP(F427,Input!C:M,11,0)</f>
        <v>#N/A</v>
      </c>
      <c r="N427" s="43" t="str">
        <f t="shared" si="6"/>
        <v>426,426,**</v>
      </c>
      <c r="O427" s="42">
        <v>426</v>
      </c>
    </row>
    <row r="428" spans="1:15" ht="14.25">
      <c r="A428" s="13" t="str">
        <f>IFERROR(VLOOKUP($F:$F,scan!$A:$B,2,0),"**")</f>
        <v>**</v>
      </c>
      <c r="B428" s="13" t="str">
        <f>IFERROR(VLOOKUP($F428,scan!A:C,3,0),"**")</f>
        <v>**</v>
      </c>
      <c r="C428" s="42">
        <v>427</v>
      </c>
      <c r="D428" s="42" t="s">
        <v>4936</v>
      </c>
      <c r="E428" s="42" t="s">
        <v>4937</v>
      </c>
      <c r="H428" s="42" t="s">
        <v>4936</v>
      </c>
      <c r="I428" s="42" t="s">
        <v>4938</v>
      </c>
      <c r="J428" s="42" t="s">
        <v>4939</v>
      </c>
      <c r="K428" s="42" t="e">
        <f>VLOOKUP(F428,Input!C:M,9,0)</f>
        <v>#N/A</v>
      </c>
      <c r="L428" s="42" t="e">
        <f>VLOOKUP(F428,Input!C:M,10,0)</f>
        <v>#N/A</v>
      </c>
      <c r="M428" s="42" t="e">
        <f>VLOOKUP(F428,Input!C:M,11,0)</f>
        <v>#N/A</v>
      </c>
      <c r="N428" s="43" t="str">
        <f t="shared" si="6"/>
        <v>427,427,**</v>
      </c>
      <c r="O428" s="42">
        <v>427</v>
      </c>
    </row>
    <row r="429" spans="1:15" ht="14.25">
      <c r="A429" s="13" t="str">
        <f>IFERROR(VLOOKUP($F:$F,scan!$A:$B,2,0),"**")</f>
        <v>**</v>
      </c>
      <c r="B429" s="13" t="str">
        <f>IFERROR(VLOOKUP($F429,scan!A:C,3,0),"**")</f>
        <v>**</v>
      </c>
      <c r="C429" s="42">
        <v>428</v>
      </c>
      <c r="D429" s="42" t="s">
        <v>4936</v>
      </c>
      <c r="E429" s="42" t="s">
        <v>4937</v>
      </c>
      <c r="H429" s="42" t="s">
        <v>4936</v>
      </c>
      <c r="I429" s="42" t="s">
        <v>4938</v>
      </c>
      <c r="J429" s="42" t="s">
        <v>4939</v>
      </c>
      <c r="K429" s="42" t="e">
        <f>VLOOKUP(F429,Input!C:M,9,0)</f>
        <v>#N/A</v>
      </c>
      <c r="L429" s="42" t="e">
        <f>VLOOKUP(F429,Input!C:M,10,0)</f>
        <v>#N/A</v>
      </c>
      <c r="M429" s="42" t="e">
        <f>VLOOKUP(F429,Input!C:M,11,0)</f>
        <v>#N/A</v>
      </c>
      <c r="N429" s="43" t="str">
        <f t="shared" si="6"/>
        <v>428,428,**</v>
      </c>
      <c r="O429" s="42">
        <v>428</v>
      </c>
    </row>
    <row r="430" spans="1:15" ht="14.25">
      <c r="A430" s="13" t="str">
        <f>IFERROR(VLOOKUP($F:$F,scan!$A:$B,2,0),"**")</f>
        <v>**</v>
      </c>
      <c r="B430" s="13" t="str">
        <f>IFERROR(VLOOKUP($F430,scan!A:C,3,0),"**")</f>
        <v>**</v>
      </c>
      <c r="C430" s="42">
        <v>429</v>
      </c>
      <c r="D430" s="42" t="s">
        <v>4936</v>
      </c>
      <c r="E430" s="42" t="s">
        <v>4937</v>
      </c>
      <c r="H430" s="42" t="s">
        <v>4936</v>
      </c>
      <c r="I430" s="42" t="s">
        <v>4938</v>
      </c>
      <c r="J430" s="42" t="s">
        <v>4939</v>
      </c>
      <c r="K430" s="42" t="e">
        <f>VLOOKUP(F430,Input!C:M,9,0)</f>
        <v>#N/A</v>
      </c>
      <c r="L430" s="42" t="e">
        <f>VLOOKUP(F430,Input!C:M,10,0)</f>
        <v>#N/A</v>
      </c>
      <c r="M430" s="42" t="e">
        <f>VLOOKUP(F430,Input!C:M,11,0)</f>
        <v>#N/A</v>
      </c>
      <c r="N430" s="43" t="str">
        <f t="shared" si="6"/>
        <v>429,429,**</v>
      </c>
      <c r="O430" s="42">
        <v>429</v>
      </c>
    </row>
    <row r="431" spans="1:15" ht="14.25">
      <c r="A431" s="13" t="str">
        <f>IFERROR(VLOOKUP($F:$F,scan!$A:$B,2,0),"**")</f>
        <v>**</v>
      </c>
      <c r="B431" s="13" t="str">
        <f>IFERROR(VLOOKUP($F431,scan!A:C,3,0),"**")</f>
        <v>**</v>
      </c>
      <c r="C431" s="42">
        <v>430</v>
      </c>
      <c r="D431" s="42" t="s">
        <v>4936</v>
      </c>
      <c r="E431" s="42" t="s">
        <v>4937</v>
      </c>
      <c r="H431" s="42" t="s">
        <v>4936</v>
      </c>
      <c r="I431" s="42" t="s">
        <v>4938</v>
      </c>
      <c r="J431" s="42" t="s">
        <v>4939</v>
      </c>
      <c r="K431" s="42" t="e">
        <f>VLOOKUP(F431,Input!C:M,9,0)</f>
        <v>#N/A</v>
      </c>
      <c r="L431" s="42" t="e">
        <f>VLOOKUP(F431,Input!C:M,10,0)</f>
        <v>#N/A</v>
      </c>
      <c r="M431" s="42" t="e">
        <f>VLOOKUP(F431,Input!C:M,11,0)</f>
        <v>#N/A</v>
      </c>
      <c r="N431" s="43" t="str">
        <f t="shared" si="6"/>
        <v>430,430,**</v>
      </c>
      <c r="O431" s="42">
        <v>430</v>
      </c>
    </row>
    <row r="432" spans="1:15" ht="14.25">
      <c r="A432" s="13" t="str">
        <f>IFERROR(VLOOKUP($F:$F,scan!$A:$B,2,0),"**")</f>
        <v>**</v>
      </c>
      <c r="B432" s="13" t="str">
        <f>IFERROR(VLOOKUP($F432,scan!A:C,3,0),"**")</f>
        <v>**</v>
      </c>
      <c r="C432" s="42">
        <v>431</v>
      </c>
      <c r="D432" s="42" t="s">
        <v>4936</v>
      </c>
      <c r="E432" s="42" t="s">
        <v>4937</v>
      </c>
      <c r="H432" s="42" t="s">
        <v>4936</v>
      </c>
      <c r="I432" s="42" t="s">
        <v>4938</v>
      </c>
      <c r="J432" s="42" t="s">
        <v>4939</v>
      </c>
      <c r="K432" s="42" t="e">
        <f>VLOOKUP(F432,Input!C:M,9,0)</f>
        <v>#N/A</v>
      </c>
      <c r="L432" s="42" t="e">
        <f>VLOOKUP(F432,Input!C:M,10,0)</f>
        <v>#N/A</v>
      </c>
      <c r="M432" s="42" t="e">
        <f>VLOOKUP(F432,Input!C:M,11,0)</f>
        <v>#N/A</v>
      </c>
      <c r="N432" s="43" t="str">
        <f t="shared" si="6"/>
        <v>431,431,**</v>
      </c>
      <c r="O432" s="42">
        <v>431</v>
      </c>
    </row>
    <row r="433" spans="1:15" ht="14.25">
      <c r="A433" s="13" t="str">
        <f>IFERROR(VLOOKUP($F:$F,scan!$A:$B,2,0),"**")</f>
        <v>**</v>
      </c>
      <c r="B433" s="13" t="str">
        <f>IFERROR(VLOOKUP($F433,scan!A:C,3,0),"**")</f>
        <v>**</v>
      </c>
      <c r="C433" s="42">
        <v>432</v>
      </c>
      <c r="D433" s="42" t="s">
        <v>4936</v>
      </c>
      <c r="E433" s="42" t="s">
        <v>4937</v>
      </c>
      <c r="H433" s="42" t="s">
        <v>4936</v>
      </c>
      <c r="I433" s="42" t="s">
        <v>4938</v>
      </c>
      <c r="J433" s="42" t="s">
        <v>4939</v>
      </c>
      <c r="K433" s="42" t="e">
        <f>VLOOKUP(F433,Input!C:M,9,0)</f>
        <v>#N/A</v>
      </c>
      <c r="L433" s="42" t="e">
        <f>VLOOKUP(F433,Input!C:M,10,0)</f>
        <v>#N/A</v>
      </c>
      <c r="M433" s="42" t="e">
        <f>VLOOKUP(F433,Input!C:M,11,0)</f>
        <v>#N/A</v>
      </c>
      <c r="N433" s="43" t="str">
        <f t="shared" si="6"/>
        <v>432,432,**</v>
      </c>
      <c r="O433" s="42">
        <v>432</v>
      </c>
    </row>
    <row r="434" spans="1:15" ht="14.25">
      <c r="A434" s="13" t="str">
        <f>IFERROR(VLOOKUP($F:$F,scan!$A:$B,2,0),"**")</f>
        <v>**</v>
      </c>
      <c r="B434" s="13" t="str">
        <f>IFERROR(VLOOKUP($F434,scan!A:C,3,0),"**")</f>
        <v>**</v>
      </c>
      <c r="C434" s="42">
        <v>433</v>
      </c>
      <c r="D434" s="42" t="s">
        <v>4936</v>
      </c>
      <c r="E434" s="42" t="s">
        <v>4937</v>
      </c>
      <c r="H434" s="42" t="s">
        <v>4936</v>
      </c>
      <c r="I434" s="42" t="s">
        <v>4938</v>
      </c>
      <c r="J434" s="42" t="s">
        <v>4939</v>
      </c>
      <c r="K434" s="42" t="e">
        <f>VLOOKUP(F434,Input!C:M,9,0)</f>
        <v>#N/A</v>
      </c>
      <c r="L434" s="42" t="e">
        <f>VLOOKUP(F434,Input!C:M,10,0)</f>
        <v>#N/A</v>
      </c>
      <c r="M434" s="42" t="e">
        <f>VLOOKUP(F434,Input!C:M,11,0)</f>
        <v>#N/A</v>
      </c>
      <c r="N434" s="43" t="str">
        <f t="shared" si="6"/>
        <v>433,433,**</v>
      </c>
      <c r="O434" s="42">
        <v>433</v>
      </c>
    </row>
    <row r="435" spans="1:15" ht="14.25">
      <c r="A435" s="13" t="str">
        <f>IFERROR(VLOOKUP($F:$F,scan!$A:$B,2,0),"**")</f>
        <v>**</v>
      </c>
      <c r="B435" s="13" t="str">
        <f>IFERROR(VLOOKUP($F435,scan!A:C,3,0),"**")</f>
        <v>**</v>
      </c>
      <c r="C435" s="42">
        <v>434</v>
      </c>
      <c r="D435" s="42" t="s">
        <v>4936</v>
      </c>
      <c r="E435" s="42" t="s">
        <v>4937</v>
      </c>
      <c r="H435" s="42" t="s">
        <v>4936</v>
      </c>
      <c r="I435" s="42" t="s">
        <v>4938</v>
      </c>
      <c r="J435" s="42" t="s">
        <v>4939</v>
      </c>
      <c r="K435" s="42" t="e">
        <f>VLOOKUP(F435,Input!C:M,9,0)</f>
        <v>#N/A</v>
      </c>
      <c r="L435" s="42" t="e">
        <f>VLOOKUP(F435,Input!C:M,10,0)</f>
        <v>#N/A</v>
      </c>
      <c r="M435" s="42" t="e">
        <f>VLOOKUP(F435,Input!C:M,11,0)</f>
        <v>#N/A</v>
      </c>
      <c r="N435" s="43" t="str">
        <f t="shared" si="6"/>
        <v>434,434,**</v>
      </c>
      <c r="O435" s="42">
        <v>434</v>
      </c>
    </row>
    <row r="436" spans="1:15" ht="14.25">
      <c r="A436" s="13" t="str">
        <f>IFERROR(VLOOKUP($F:$F,scan!$A:$B,2,0),"**")</f>
        <v>**</v>
      </c>
      <c r="B436" s="13" t="str">
        <f>IFERROR(VLOOKUP($F436,scan!A:C,3,0),"**")</f>
        <v>**</v>
      </c>
      <c r="C436" s="42">
        <v>435</v>
      </c>
      <c r="D436" s="42" t="s">
        <v>4936</v>
      </c>
      <c r="E436" s="42" t="s">
        <v>4937</v>
      </c>
      <c r="H436" s="42" t="s">
        <v>4936</v>
      </c>
      <c r="I436" s="42" t="s">
        <v>4938</v>
      </c>
      <c r="J436" s="42" t="s">
        <v>4939</v>
      </c>
      <c r="K436" s="42" t="e">
        <f>VLOOKUP(F436,Input!C:M,9,0)</f>
        <v>#N/A</v>
      </c>
      <c r="L436" s="42" t="e">
        <f>VLOOKUP(F436,Input!C:M,10,0)</f>
        <v>#N/A</v>
      </c>
      <c r="M436" s="42" t="e">
        <f>VLOOKUP(F436,Input!C:M,11,0)</f>
        <v>#N/A</v>
      </c>
      <c r="N436" s="43" t="str">
        <f t="shared" si="6"/>
        <v>435,435,**</v>
      </c>
      <c r="O436" s="42">
        <v>435</v>
      </c>
    </row>
    <row r="437" spans="1:15" ht="14.25">
      <c r="A437" s="13" t="str">
        <f>IFERROR(VLOOKUP($F:$F,scan!$A:$B,2,0),"**")</f>
        <v>**</v>
      </c>
      <c r="B437" s="13" t="str">
        <f>IFERROR(VLOOKUP($F437,scan!A:C,3,0),"**")</f>
        <v>**</v>
      </c>
      <c r="C437" s="42">
        <v>436</v>
      </c>
      <c r="D437" s="42" t="s">
        <v>4936</v>
      </c>
      <c r="E437" s="42" t="s">
        <v>4937</v>
      </c>
      <c r="H437" s="42" t="s">
        <v>4936</v>
      </c>
      <c r="I437" s="42" t="s">
        <v>4938</v>
      </c>
      <c r="J437" s="42" t="s">
        <v>4939</v>
      </c>
      <c r="K437" s="42" t="e">
        <f>VLOOKUP(F437,Input!C:M,9,0)</f>
        <v>#N/A</v>
      </c>
      <c r="L437" s="42" t="e">
        <f>VLOOKUP(F437,Input!C:M,10,0)</f>
        <v>#N/A</v>
      </c>
      <c r="M437" s="42" t="e">
        <f>VLOOKUP(F437,Input!C:M,11,0)</f>
        <v>#N/A</v>
      </c>
      <c r="N437" s="43" t="str">
        <f t="shared" si="6"/>
        <v>436,436,**</v>
      </c>
      <c r="O437" s="42">
        <v>436</v>
      </c>
    </row>
    <row r="438" spans="1:15" ht="14.25">
      <c r="A438" s="13" t="str">
        <f>IFERROR(VLOOKUP($F:$F,scan!$A:$B,2,0),"**")</f>
        <v>**</v>
      </c>
      <c r="B438" s="13" t="str">
        <f>IFERROR(VLOOKUP($F438,scan!A:C,3,0),"**")</f>
        <v>**</v>
      </c>
      <c r="C438" s="42">
        <v>437</v>
      </c>
      <c r="D438" s="42" t="s">
        <v>4936</v>
      </c>
      <c r="E438" s="42" t="s">
        <v>4937</v>
      </c>
      <c r="H438" s="42" t="s">
        <v>4936</v>
      </c>
      <c r="I438" s="42" t="s">
        <v>4938</v>
      </c>
      <c r="J438" s="42" t="s">
        <v>4939</v>
      </c>
      <c r="K438" s="42" t="e">
        <f>VLOOKUP(F438,Input!C:M,9,0)</f>
        <v>#N/A</v>
      </c>
      <c r="L438" s="42" t="e">
        <f>VLOOKUP(F438,Input!C:M,10,0)</f>
        <v>#N/A</v>
      </c>
      <c r="M438" s="42" t="e">
        <f>VLOOKUP(F438,Input!C:M,11,0)</f>
        <v>#N/A</v>
      </c>
      <c r="N438" s="43" t="str">
        <f t="shared" si="6"/>
        <v>437,437,**</v>
      </c>
      <c r="O438" s="42">
        <v>437</v>
      </c>
    </row>
    <row r="439" spans="1:15" ht="14.25">
      <c r="A439" s="13" t="str">
        <f>IFERROR(VLOOKUP($F:$F,scan!$A:$B,2,0),"**")</f>
        <v>**</v>
      </c>
      <c r="B439" s="13" t="str">
        <f>IFERROR(VLOOKUP($F439,scan!A:C,3,0),"**")</f>
        <v>**</v>
      </c>
      <c r="C439" s="42">
        <v>438</v>
      </c>
      <c r="D439" s="42" t="s">
        <v>4936</v>
      </c>
      <c r="E439" s="42" t="s">
        <v>4937</v>
      </c>
      <c r="H439" s="42" t="s">
        <v>4936</v>
      </c>
      <c r="I439" s="42" t="s">
        <v>4938</v>
      </c>
      <c r="J439" s="42" t="s">
        <v>4939</v>
      </c>
      <c r="K439" s="42" t="e">
        <f>VLOOKUP(F439,Input!C:M,9,0)</f>
        <v>#N/A</v>
      </c>
      <c r="L439" s="42" t="e">
        <f>VLOOKUP(F439,Input!C:M,10,0)</f>
        <v>#N/A</v>
      </c>
      <c r="M439" s="42" t="e">
        <f>VLOOKUP(F439,Input!C:M,11,0)</f>
        <v>#N/A</v>
      </c>
      <c r="N439" s="43" t="str">
        <f t="shared" si="6"/>
        <v>438,438,**</v>
      </c>
      <c r="O439" s="42">
        <v>438</v>
      </c>
    </row>
    <row r="440" spans="1:15" ht="14.25">
      <c r="A440" s="13" t="str">
        <f>IFERROR(VLOOKUP($F:$F,scan!$A:$B,2,0),"**")</f>
        <v>**</v>
      </c>
      <c r="B440" s="13" t="str">
        <f>IFERROR(VLOOKUP($F440,scan!A:C,3,0),"**")</f>
        <v>**</v>
      </c>
      <c r="C440" s="42">
        <v>439</v>
      </c>
      <c r="D440" s="42" t="s">
        <v>4936</v>
      </c>
      <c r="E440" s="42" t="s">
        <v>4937</v>
      </c>
      <c r="H440" s="42" t="s">
        <v>4936</v>
      </c>
      <c r="I440" s="42" t="s">
        <v>4938</v>
      </c>
      <c r="J440" s="42" t="s">
        <v>4939</v>
      </c>
      <c r="K440" s="42" t="e">
        <f>VLOOKUP(F440,Input!C:M,9,0)</f>
        <v>#N/A</v>
      </c>
      <c r="L440" s="42" t="e">
        <f>VLOOKUP(F440,Input!C:M,10,0)</f>
        <v>#N/A</v>
      </c>
      <c r="M440" s="42" t="e">
        <f>VLOOKUP(F440,Input!C:M,11,0)</f>
        <v>#N/A</v>
      </c>
      <c r="N440" s="43" t="str">
        <f t="shared" si="6"/>
        <v>439,439,**</v>
      </c>
      <c r="O440" s="42">
        <v>439</v>
      </c>
    </row>
    <row r="441" spans="1:15" ht="14.25">
      <c r="A441" s="13" t="str">
        <f>IFERROR(VLOOKUP($F:$F,scan!$A:$B,2,0),"**")</f>
        <v>**</v>
      </c>
      <c r="B441" s="13" t="str">
        <f>IFERROR(VLOOKUP($F441,scan!A:C,3,0),"**")</f>
        <v>**</v>
      </c>
      <c r="C441" s="42">
        <v>440</v>
      </c>
      <c r="D441" s="42" t="s">
        <v>4936</v>
      </c>
      <c r="E441" s="42" t="s">
        <v>4937</v>
      </c>
      <c r="H441" s="42" t="s">
        <v>4936</v>
      </c>
      <c r="I441" s="42" t="s">
        <v>4938</v>
      </c>
      <c r="J441" s="42" t="s">
        <v>4939</v>
      </c>
      <c r="K441" s="42" t="e">
        <f>VLOOKUP(F441,Input!C:M,9,0)</f>
        <v>#N/A</v>
      </c>
      <c r="L441" s="42" t="e">
        <f>VLOOKUP(F441,Input!C:M,10,0)</f>
        <v>#N/A</v>
      </c>
      <c r="M441" s="42" t="e">
        <f>VLOOKUP(F441,Input!C:M,11,0)</f>
        <v>#N/A</v>
      </c>
      <c r="N441" s="43" t="str">
        <f t="shared" si="6"/>
        <v>440,440,**</v>
      </c>
      <c r="O441" s="42">
        <v>440</v>
      </c>
    </row>
    <row r="442" spans="1:15" ht="14.25">
      <c r="A442" s="13" t="str">
        <f>IFERROR(VLOOKUP($F:$F,scan!$A:$B,2,0),"**")</f>
        <v>**</v>
      </c>
      <c r="B442" s="13" t="str">
        <f>IFERROR(VLOOKUP($F442,scan!A:C,3,0),"**")</f>
        <v>**</v>
      </c>
      <c r="C442" s="42">
        <v>441</v>
      </c>
      <c r="D442" s="42" t="s">
        <v>4936</v>
      </c>
      <c r="E442" s="42" t="s">
        <v>4937</v>
      </c>
      <c r="H442" s="42" t="s">
        <v>4936</v>
      </c>
      <c r="I442" s="42" t="s">
        <v>4938</v>
      </c>
      <c r="J442" s="42" t="s">
        <v>4939</v>
      </c>
      <c r="K442" s="42" t="e">
        <f>VLOOKUP(F442,Input!C:M,9,0)</f>
        <v>#N/A</v>
      </c>
      <c r="L442" s="42" t="e">
        <f>VLOOKUP(F442,Input!C:M,10,0)</f>
        <v>#N/A</v>
      </c>
      <c r="M442" s="42" t="e">
        <f>VLOOKUP(F442,Input!C:M,11,0)</f>
        <v>#N/A</v>
      </c>
      <c r="N442" s="43" t="str">
        <f t="shared" si="6"/>
        <v>441,441,**</v>
      </c>
      <c r="O442" s="42">
        <v>441</v>
      </c>
    </row>
    <row r="443" spans="1:15" ht="14.25">
      <c r="A443" s="13" t="str">
        <f>IFERROR(VLOOKUP($F:$F,scan!$A:$B,2,0),"**")</f>
        <v>**</v>
      </c>
      <c r="B443" s="13" t="str">
        <f>IFERROR(VLOOKUP($F443,scan!A:C,3,0),"**")</f>
        <v>**</v>
      </c>
      <c r="C443" s="42">
        <v>442</v>
      </c>
      <c r="D443" s="42" t="s">
        <v>4936</v>
      </c>
      <c r="E443" s="42" t="s">
        <v>4937</v>
      </c>
      <c r="H443" s="42" t="s">
        <v>4936</v>
      </c>
      <c r="I443" s="42" t="s">
        <v>4938</v>
      </c>
      <c r="J443" s="42" t="s">
        <v>4939</v>
      </c>
      <c r="K443" s="42" t="e">
        <f>VLOOKUP(F443,Input!C:M,9,0)</f>
        <v>#N/A</v>
      </c>
      <c r="L443" s="42" t="e">
        <f>VLOOKUP(F443,Input!C:M,10,0)</f>
        <v>#N/A</v>
      </c>
      <c r="M443" s="42" t="e">
        <f>VLOOKUP(F443,Input!C:M,11,0)</f>
        <v>#N/A</v>
      </c>
      <c r="N443" s="43" t="str">
        <f t="shared" si="6"/>
        <v>442,442,**</v>
      </c>
      <c r="O443" s="42">
        <v>442</v>
      </c>
    </row>
    <row r="444" spans="1:15" ht="14.25">
      <c r="A444" s="13" t="str">
        <f>IFERROR(VLOOKUP($F:$F,scan!$A:$B,2,0),"**")</f>
        <v>**</v>
      </c>
      <c r="B444" s="13" t="str">
        <f>IFERROR(VLOOKUP($F444,scan!A:C,3,0),"**")</f>
        <v>**</v>
      </c>
      <c r="C444" s="42">
        <v>443</v>
      </c>
      <c r="D444" s="42" t="s">
        <v>4936</v>
      </c>
      <c r="E444" s="42" t="s">
        <v>4937</v>
      </c>
      <c r="H444" s="42" t="s">
        <v>4936</v>
      </c>
      <c r="I444" s="42" t="s">
        <v>4938</v>
      </c>
      <c r="J444" s="42" t="s">
        <v>4939</v>
      </c>
      <c r="K444" s="42" t="e">
        <f>VLOOKUP(F444,Input!C:M,9,0)</f>
        <v>#N/A</v>
      </c>
      <c r="L444" s="42" t="e">
        <f>VLOOKUP(F444,Input!C:M,10,0)</f>
        <v>#N/A</v>
      </c>
      <c r="M444" s="42" t="e">
        <f>VLOOKUP(F444,Input!C:M,11,0)</f>
        <v>#N/A</v>
      </c>
      <c r="N444" s="43" t="str">
        <f t="shared" si="6"/>
        <v>443,443,**</v>
      </c>
      <c r="O444" s="42">
        <v>443</v>
      </c>
    </row>
    <row r="445" spans="1:15" ht="14.25">
      <c r="A445" s="13" t="str">
        <f>IFERROR(VLOOKUP($F:$F,scan!$A:$B,2,0),"**")</f>
        <v>**</v>
      </c>
      <c r="B445" s="13" t="str">
        <f>IFERROR(VLOOKUP($F445,scan!A:C,3,0),"**")</f>
        <v>**</v>
      </c>
      <c r="C445" s="42">
        <v>444</v>
      </c>
      <c r="D445" s="42" t="s">
        <v>4936</v>
      </c>
      <c r="E445" s="42" t="s">
        <v>4937</v>
      </c>
      <c r="H445" s="42" t="s">
        <v>4936</v>
      </c>
      <c r="I445" s="42" t="s">
        <v>4938</v>
      </c>
      <c r="J445" s="42" t="s">
        <v>4939</v>
      </c>
      <c r="K445" s="42" t="e">
        <f>VLOOKUP(F445,Input!C:M,9,0)</f>
        <v>#N/A</v>
      </c>
      <c r="L445" s="42" t="e">
        <f>VLOOKUP(F445,Input!C:M,10,0)</f>
        <v>#N/A</v>
      </c>
      <c r="M445" s="42" t="e">
        <f>VLOOKUP(F445,Input!C:M,11,0)</f>
        <v>#N/A</v>
      </c>
      <c r="N445" s="43" t="str">
        <f t="shared" si="6"/>
        <v>444,444,**</v>
      </c>
      <c r="O445" s="42">
        <v>444</v>
      </c>
    </row>
    <row r="446" spans="1:15" ht="14.25">
      <c r="A446" s="13" t="str">
        <f>IFERROR(VLOOKUP($F:$F,scan!$A:$B,2,0),"**")</f>
        <v>**</v>
      </c>
      <c r="B446" s="13" t="str">
        <f>IFERROR(VLOOKUP($F446,scan!A:C,3,0),"**")</f>
        <v>**</v>
      </c>
      <c r="C446" s="42">
        <v>445</v>
      </c>
      <c r="D446" s="42" t="s">
        <v>4936</v>
      </c>
      <c r="E446" s="42" t="s">
        <v>4937</v>
      </c>
      <c r="H446" s="42" t="s">
        <v>4936</v>
      </c>
      <c r="I446" s="42" t="s">
        <v>4938</v>
      </c>
      <c r="J446" s="42" t="s">
        <v>4939</v>
      </c>
      <c r="K446" s="42" t="e">
        <f>VLOOKUP(F446,Input!C:M,9,0)</f>
        <v>#N/A</v>
      </c>
      <c r="L446" s="42" t="e">
        <f>VLOOKUP(F446,Input!C:M,10,0)</f>
        <v>#N/A</v>
      </c>
      <c r="M446" s="42" t="e">
        <f>VLOOKUP(F446,Input!C:M,11,0)</f>
        <v>#N/A</v>
      </c>
      <c r="N446" s="43" t="str">
        <f t="shared" si="6"/>
        <v>445,445,**</v>
      </c>
      <c r="O446" s="42">
        <v>445</v>
      </c>
    </row>
    <row r="447" spans="1:15" ht="14.25">
      <c r="A447" s="13" t="str">
        <f>IFERROR(VLOOKUP($F:$F,scan!$A:$B,2,0),"**")</f>
        <v>**</v>
      </c>
      <c r="B447" s="13" t="str">
        <f>IFERROR(VLOOKUP($F447,scan!A:C,3,0),"**")</f>
        <v>**</v>
      </c>
      <c r="C447" s="42">
        <v>446</v>
      </c>
      <c r="D447" s="42" t="s">
        <v>4936</v>
      </c>
      <c r="E447" s="42" t="s">
        <v>4937</v>
      </c>
      <c r="H447" s="42" t="s">
        <v>4936</v>
      </c>
      <c r="I447" s="42" t="s">
        <v>4938</v>
      </c>
      <c r="J447" s="42" t="s">
        <v>4939</v>
      </c>
      <c r="K447" s="42" t="e">
        <f>VLOOKUP(F447,Input!C:M,9,0)</f>
        <v>#N/A</v>
      </c>
      <c r="L447" s="42" t="e">
        <f>VLOOKUP(F447,Input!C:M,10,0)</f>
        <v>#N/A</v>
      </c>
      <c r="M447" s="42" t="e">
        <f>VLOOKUP(F447,Input!C:M,11,0)</f>
        <v>#N/A</v>
      </c>
      <c r="N447" s="43" t="str">
        <f t="shared" si="6"/>
        <v>446,446,**</v>
      </c>
      <c r="O447" s="42">
        <v>446</v>
      </c>
    </row>
    <row r="448" spans="1:15" ht="14.25">
      <c r="A448" s="13" t="str">
        <f>IFERROR(VLOOKUP($F:$F,scan!$A:$B,2,0),"**")</f>
        <v>**</v>
      </c>
      <c r="B448" s="13" t="str">
        <f>IFERROR(VLOOKUP($F448,scan!A:C,3,0),"**")</f>
        <v>**</v>
      </c>
      <c r="C448" s="42">
        <v>447</v>
      </c>
      <c r="D448" s="42" t="s">
        <v>4936</v>
      </c>
      <c r="E448" s="42" t="s">
        <v>4937</v>
      </c>
      <c r="H448" s="42" t="s">
        <v>4936</v>
      </c>
      <c r="I448" s="42" t="s">
        <v>4938</v>
      </c>
      <c r="J448" s="42" t="s">
        <v>4939</v>
      </c>
      <c r="K448" s="42" t="e">
        <f>VLOOKUP(F448,Input!C:M,9,0)</f>
        <v>#N/A</v>
      </c>
      <c r="L448" s="42" t="e">
        <f>VLOOKUP(F448,Input!C:M,10,0)</f>
        <v>#N/A</v>
      </c>
      <c r="M448" s="42" t="e">
        <f>VLOOKUP(F448,Input!C:M,11,0)</f>
        <v>#N/A</v>
      </c>
      <c r="N448" s="43" t="str">
        <f t="shared" si="6"/>
        <v>447,447,**</v>
      </c>
      <c r="O448" s="42">
        <v>447</v>
      </c>
    </row>
    <row r="449" spans="1:15" ht="14.25">
      <c r="A449" s="13" t="str">
        <f>IFERROR(VLOOKUP($F:$F,scan!$A:$B,2,0),"**")</f>
        <v>**</v>
      </c>
      <c r="B449" s="13" t="str">
        <f>IFERROR(VLOOKUP($F449,scan!A:C,3,0),"**")</f>
        <v>**</v>
      </c>
      <c r="C449" s="42">
        <v>448</v>
      </c>
      <c r="D449" s="42" t="s">
        <v>4936</v>
      </c>
      <c r="E449" s="42" t="s">
        <v>4937</v>
      </c>
      <c r="H449" s="42" t="s">
        <v>4936</v>
      </c>
      <c r="I449" s="42" t="s">
        <v>4938</v>
      </c>
      <c r="J449" s="42" t="s">
        <v>4939</v>
      </c>
      <c r="K449" s="42" t="e">
        <f>VLOOKUP(F449,Input!C:M,9,0)</f>
        <v>#N/A</v>
      </c>
      <c r="L449" s="42" t="e">
        <f>VLOOKUP(F449,Input!C:M,10,0)</f>
        <v>#N/A</v>
      </c>
      <c r="M449" s="42" t="e">
        <f>VLOOKUP(F449,Input!C:M,11,0)</f>
        <v>#N/A</v>
      </c>
      <c r="N449" s="43" t="str">
        <f t="shared" si="6"/>
        <v>448,448,**</v>
      </c>
      <c r="O449" s="42">
        <v>448</v>
      </c>
    </row>
    <row r="450" spans="1:15" ht="14.25">
      <c r="A450" s="13" t="str">
        <f>IFERROR(VLOOKUP($F:$F,scan!$A:$B,2,0),"**")</f>
        <v>**</v>
      </c>
      <c r="B450" s="13" t="str">
        <f>IFERROR(VLOOKUP($F450,scan!A:C,3,0),"**")</f>
        <v>**</v>
      </c>
      <c r="C450" s="42">
        <v>449</v>
      </c>
      <c r="D450" s="42" t="s">
        <v>4936</v>
      </c>
      <c r="E450" s="42" t="s">
        <v>4937</v>
      </c>
      <c r="H450" s="42" t="s">
        <v>4936</v>
      </c>
      <c r="I450" s="42" t="s">
        <v>4938</v>
      </c>
      <c r="J450" s="42" t="s">
        <v>4939</v>
      </c>
      <c r="K450" s="42" t="e">
        <f>VLOOKUP(F450,Input!C:M,9,0)</f>
        <v>#N/A</v>
      </c>
      <c r="L450" s="42" t="e">
        <f>VLOOKUP(F450,Input!C:M,10,0)</f>
        <v>#N/A</v>
      </c>
      <c r="M450" s="42" t="e">
        <f>VLOOKUP(F450,Input!C:M,11,0)</f>
        <v>#N/A</v>
      </c>
      <c r="N450" s="43" t="str">
        <f t="shared" si="6"/>
        <v>449,449,**</v>
      </c>
      <c r="O450" s="42">
        <v>449</v>
      </c>
    </row>
    <row r="451" spans="1:15" ht="14.25">
      <c r="A451" s="13" t="str">
        <f>IFERROR(VLOOKUP($F:$F,scan!$A:$B,2,0),"**")</f>
        <v>**</v>
      </c>
      <c r="B451" s="13" t="str">
        <f>IFERROR(VLOOKUP($F451,scan!A:C,3,0),"**")</f>
        <v>**</v>
      </c>
      <c r="C451" s="42">
        <v>450</v>
      </c>
      <c r="D451" s="42" t="s">
        <v>4936</v>
      </c>
      <c r="E451" s="42" t="s">
        <v>4937</v>
      </c>
      <c r="H451" s="42" t="s">
        <v>4936</v>
      </c>
      <c r="I451" s="42" t="s">
        <v>4938</v>
      </c>
      <c r="J451" s="42" t="s">
        <v>4939</v>
      </c>
      <c r="K451" s="42" t="e">
        <f>VLOOKUP(F451,Input!C:M,9,0)</f>
        <v>#N/A</v>
      </c>
      <c r="L451" s="42" t="e">
        <f>VLOOKUP(F451,Input!C:M,10,0)</f>
        <v>#N/A</v>
      </c>
      <c r="M451" s="42" t="e">
        <f>VLOOKUP(F451,Input!C:M,11,0)</f>
        <v>#N/A</v>
      </c>
      <c r="N451" s="43" t="str">
        <f t="shared" ref="N451:N514" si="7">O451&amp;","&amp;C451&amp;","&amp;B451</f>
        <v>450,450,**</v>
      </c>
      <c r="O451" s="42">
        <v>450</v>
      </c>
    </row>
    <row r="452" spans="1:15" ht="14.25">
      <c r="A452" s="13" t="str">
        <f>IFERROR(VLOOKUP($F:$F,scan!$A:$B,2,0),"**")</f>
        <v>**</v>
      </c>
      <c r="B452" s="13" t="str">
        <f>IFERROR(VLOOKUP($F452,scan!A:C,3,0),"**")</f>
        <v>**</v>
      </c>
      <c r="C452" s="42">
        <v>451</v>
      </c>
      <c r="D452" s="42" t="s">
        <v>4936</v>
      </c>
      <c r="E452" s="42" t="s">
        <v>4937</v>
      </c>
      <c r="H452" s="42" t="s">
        <v>4936</v>
      </c>
      <c r="I452" s="42" t="s">
        <v>4938</v>
      </c>
      <c r="J452" s="42" t="s">
        <v>4939</v>
      </c>
      <c r="K452" s="42" t="e">
        <f>VLOOKUP(F452,Input!C:M,9,0)</f>
        <v>#N/A</v>
      </c>
      <c r="L452" s="42" t="e">
        <f>VLOOKUP(F452,Input!C:M,10,0)</f>
        <v>#N/A</v>
      </c>
      <c r="M452" s="42" t="e">
        <f>VLOOKUP(F452,Input!C:M,11,0)</f>
        <v>#N/A</v>
      </c>
      <c r="N452" s="43" t="str">
        <f t="shared" si="7"/>
        <v>451,451,**</v>
      </c>
      <c r="O452" s="42">
        <v>451</v>
      </c>
    </row>
    <row r="453" spans="1:15" ht="14.25">
      <c r="A453" s="13" t="str">
        <f>IFERROR(VLOOKUP($F:$F,scan!$A:$B,2,0),"**")</f>
        <v>**</v>
      </c>
      <c r="B453" s="13" t="str">
        <f>IFERROR(VLOOKUP($F453,scan!A:C,3,0),"**")</f>
        <v>**</v>
      </c>
      <c r="C453" s="42">
        <v>452</v>
      </c>
      <c r="D453" s="42" t="s">
        <v>4936</v>
      </c>
      <c r="E453" s="42" t="s">
        <v>4937</v>
      </c>
      <c r="H453" s="42" t="s">
        <v>4936</v>
      </c>
      <c r="I453" s="42" t="s">
        <v>4938</v>
      </c>
      <c r="J453" s="42" t="s">
        <v>4939</v>
      </c>
      <c r="K453" s="42" t="e">
        <f>VLOOKUP(F453,Input!C:M,9,0)</f>
        <v>#N/A</v>
      </c>
      <c r="L453" s="42" t="e">
        <f>VLOOKUP(F453,Input!C:M,10,0)</f>
        <v>#N/A</v>
      </c>
      <c r="M453" s="42" t="e">
        <f>VLOOKUP(F453,Input!C:M,11,0)</f>
        <v>#N/A</v>
      </c>
      <c r="N453" s="43" t="str">
        <f t="shared" si="7"/>
        <v>452,452,**</v>
      </c>
      <c r="O453" s="42">
        <v>452</v>
      </c>
    </row>
    <row r="454" spans="1:15" ht="14.25">
      <c r="A454" s="13" t="str">
        <f>IFERROR(VLOOKUP($F:$F,scan!$A:$B,2,0),"**")</f>
        <v>**</v>
      </c>
      <c r="B454" s="13" t="str">
        <f>IFERROR(VLOOKUP($F454,scan!A:C,3,0),"**")</f>
        <v>**</v>
      </c>
      <c r="C454" s="42">
        <v>453</v>
      </c>
      <c r="D454" s="42" t="s">
        <v>4936</v>
      </c>
      <c r="E454" s="42" t="s">
        <v>4937</v>
      </c>
      <c r="H454" s="42" t="s">
        <v>4936</v>
      </c>
      <c r="I454" s="42" t="s">
        <v>4938</v>
      </c>
      <c r="J454" s="42" t="s">
        <v>4939</v>
      </c>
      <c r="K454" s="42" t="e">
        <f>VLOOKUP(F454,Input!C:M,9,0)</f>
        <v>#N/A</v>
      </c>
      <c r="L454" s="42" t="e">
        <f>VLOOKUP(F454,Input!C:M,10,0)</f>
        <v>#N/A</v>
      </c>
      <c r="M454" s="42" t="e">
        <f>VLOOKUP(F454,Input!C:M,11,0)</f>
        <v>#N/A</v>
      </c>
      <c r="N454" s="43" t="str">
        <f t="shared" si="7"/>
        <v>453,453,**</v>
      </c>
      <c r="O454" s="42">
        <v>453</v>
      </c>
    </row>
    <row r="455" spans="1:15" ht="14.25">
      <c r="A455" s="13" t="str">
        <f>IFERROR(VLOOKUP($F:$F,scan!$A:$B,2,0),"**")</f>
        <v>**</v>
      </c>
      <c r="B455" s="13" t="str">
        <f>IFERROR(VLOOKUP($F455,scan!A:C,3,0),"**")</f>
        <v>**</v>
      </c>
      <c r="C455" s="42">
        <v>454</v>
      </c>
      <c r="D455" s="42" t="s">
        <v>4936</v>
      </c>
      <c r="E455" s="42" t="s">
        <v>4937</v>
      </c>
      <c r="H455" s="42" t="s">
        <v>4936</v>
      </c>
      <c r="I455" s="42" t="s">
        <v>4938</v>
      </c>
      <c r="J455" s="42" t="s">
        <v>4939</v>
      </c>
      <c r="K455" s="42" t="e">
        <f>VLOOKUP(F455,Input!C:M,9,0)</f>
        <v>#N/A</v>
      </c>
      <c r="L455" s="42" t="e">
        <f>VLOOKUP(F455,Input!C:M,10,0)</f>
        <v>#N/A</v>
      </c>
      <c r="M455" s="42" t="e">
        <f>VLOOKUP(F455,Input!C:M,11,0)</f>
        <v>#N/A</v>
      </c>
      <c r="N455" s="43" t="str">
        <f t="shared" si="7"/>
        <v>454,454,**</v>
      </c>
      <c r="O455" s="42">
        <v>454</v>
      </c>
    </row>
    <row r="456" spans="1:15" ht="14.25">
      <c r="A456" s="13" t="str">
        <f>IFERROR(VLOOKUP($F:$F,scan!$A:$B,2,0),"**")</f>
        <v>**</v>
      </c>
      <c r="B456" s="13" t="str">
        <f>IFERROR(VLOOKUP($F456,scan!A:C,3,0),"**")</f>
        <v>**</v>
      </c>
      <c r="C456" s="42">
        <v>455</v>
      </c>
      <c r="D456" s="42" t="s">
        <v>4936</v>
      </c>
      <c r="E456" s="42" t="s">
        <v>4937</v>
      </c>
      <c r="H456" s="42" t="s">
        <v>4936</v>
      </c>
      <c r="I456" s="42" t="s">
        <v>4938</v>
      </c>
      <c r="J456" s="42" t="s">
        <v>4939</v>
      </c>
      <c r="K456" s="42" t="e">
        <f>VLOOKUP(F456,Input!C:M,9,0)</f>
        <v>#N/A</v>
      </c>
      <c r="L456" s="42" t="e">
        <f>VLOOKUP(F456,Input!C:M,10,0)</f>
        <v>#N/A</v>
      </c>
      <c r="M456" s="42" t="e">
        <f>VLOOKUP(F456,Input!C:M,11,0)</f>
        <v>#N/A</v>
      </c>
      <c r="N456" s="43" t="str">
        <f t="shared" si="7"/>
        <v>455,455,**</v>
      </c>
      <c r="O456" s="42">
        <v>455</v>
      </c>
    </row>
    <row r="457" spans="1:15" ht="14.25">
      <c r="A457" s="13" t="str">
        <f>IFERROR(VLOOKUP($F:$F,scan!$A:$B,2,0),"**")</f>
        <v>**</v>
      </c>
      <c r="B457" s="13" t="str">
        <f>IFERROR(VLOOKUP($F457,scan!A:C,3,0),"**")</f>
        <v>**</v>
      </c>
      <c r="C457" s="42">
        <v>456</v>
      </c>
      <c r="D457" s="42" t="s">
        <v>4936</v>
      </c>
      <c r="E457" s="42" t="s">
        <v>4937</v>
      </c>
      <c r="H457" s="42" t="s">
        <v>4936</v>
      </c>
      <c r="I457" s="42" t="s">
        <v>4938</v>
      </c>
      <c r="J457" s="42" t="s">
        <v>4939</v>
      </c>
      <c r="K457" s="42" t="e">
        <f>VLOOKUP(F457,Input!C:M,9,0)</f>
        <v>#N/A</v>
      </c>
      <c r="L457" s="42" t="e">
        <f>VLOOKUP(F457,Input!C:M,10,0)</f>
        <v>#N/A</v>
      </c>
      <c r="M457" s="42" t="e">
        <f>VLOOKUP(F457,Input!C:M,11,0)</f>
        <v>#N/A</v>
      </c>
      <c r="N457" s="43" t="str">
        <f t="shared" si="7"/>
        <v>456,456,**</v>
      </c>
      <c r="O457" s="42">
        <v>456</v>
      </c>
    </row>
    <row r="458" spans="1:15" ht="14.25">
      <c r="A458" s="13" t="str">
        <f>IFERROR(VLOOKUP($F:$F,scan!$A:$B,2,0),"**")</f>
        <v>**</v>
      </c>
      <c r="B458" s="13" t="str">
        <f>IFERROR(VLOOKUP($F458,scan!A:C,3,0),"**")</f>
        <v>**</v>
      </c>
      <c r="C458" s="42">
        <v>457</v>
      </c>
      <c r="D458" s="42" t="s">
        <v>4936</v>
      </c>
      <c r="E458" s="42" t="s">
        <v>4937</v>
      </c>
      <c r="H458" s="42" t="s">
        <v>4936</v>
      </c>
      <c r="I458" s="42" t="s">
        <v>4938</v>
      </c>
      <c r="J458" s="42" t="s">
        <v>4939</v>
      </c>
      <c r="K458" s="42" t="e">
        <f>VLOOKUP(F458,Input!C:M,9,0)</f>
        <v>#N/A</v>
      </c>
      <c r="L458" s="42" t="e">
        <f>VLOOKUP(F458,Input!C:M,10,0)</f>
        <v>#N/A</v>
      </c>
      <c r="M458" s="42" t="e">
        <f>VLOOKUP(F458,Input!C:M,11,0)</f>
        <v>#N/A</v>
      </c>
      <c r="N458" s="43" t="str">
        <f t="shared" si="7"/>
        <v>457,457,**</v>
      </c>
      <c r="O458" s="42">
        <v>457</v>
      </c>
    </row>
    <row r="459" spans="1:15" ht="14.25">
      <c r="A459" s="13" t="str">
        <f>IFERROR(VLOOKUP($F:$F,scan!$A:$B,2,0),"**")</f>
        <v>**</v>
      </c>
      <c r="B459" s="13" t="str">
        <f>IFERROR(VLOOKUP($F459,scan!A:C,3,0),"**")</f>
        <v>**</v>
      </c>
      <c r="C459" s="42">
        <v>458</v>
      </c>
      <c r="D459" s="42" t="s">
        <v>4936</v>
      </c>
      <c r="E459" s="42" t="s">
        <v>4937</v>
      </c>
      <c r="H459" s="42" t="s">
        <v>4936</v>
      </c>
      <c r="I459" s="42" t="s">
        <v>4938</v>
      </c>
      <c r="J459" s="42" t="s">
        <v>4939</v>
      </c>
      <c r="K459" s="42" t="e">
        <f>VLOOKUP(F459,Input!C:M,9,0)</f>
        <v>#N/A</v>
      </c>
      <c r="L459" s="42" t="e">
        <f>VLOOKUP(F459,Input!C:M,10,0)</f>
        <v>#N/A</v>
      </c>
      <c r="M459" s="42" t="e">
        <f>VLOOKUP(F459,Input!C:M,11,0)</f>
        <v>#N/A</v>
      </c>
      <c r="N459" s="43" t="str">
        <f t="shared" si="7"/>
        <v>458,458,**</v>
      </c>
      <c r="O459" s="42">
        <v>458</v>
      </c>
    </row>
    <row r="460" spans="1:15" ht="14.25">
      <c r="A460" s="13" t="str">
        <f>IFERROR(VLOOKUP($F:$F,scan!$A:$B,2,0),"**")</f>
        <v>**</v>
      </c>
      <c r="B460" s="13" t="str">
        <f>IFERROR(VLOOKUP($F460,scan!A:C,3,0),"**")</f>
        <v>**</v>
      </c>
      <c r="C460" s="42">
        <v>459</v>
      </c>
      <c r="D460" s="42" t="s">
        <v>4936</v>
      </c>
      <c r="E460" s="42" t="s">
        <v>4937</v>
      </c>
      <c r="H460" s="42" t="s">
        <v>4936</v>
      </c>
      <c r="I460" s="42" t="s">
        <v>4938</v>
      </c>
      <c r="J460" s="42" t="s">
        <v>4939</v>
      </c>
      <c r="K460" s="42" t="e">
        <f>VLOOKUP(F460,Input!C:M,9,0)</f>
        <v>#N/A</v>
      </c>
      <c r="L460" s="42" t="e">
        <f>VLOOKUP(F460,Input!C:M,10,0)</f>
        <v>#N/A</v>
      </c>
      <c r="M460" s="42" t="e">
        <f>VLOOKUP(F460,Input!C:M,11,0)</f>
        <v>#N/A</v>
      </c>
      <c r="N460" s="43" t="str">
        <f t="shared" si="7"/>
        <v>459,459,**</v>
      </c>
      <c r="O460" s="42">
        <v>459</v>
      </c>
    </row>
    <row r="461" spans="1:15" ht="14.25">
      <c r="A461" s="13" t="str">
        <f>IFERROR(VLOOKUP($F:$F,scan!$A:$B,2,0),"**")</f>
        <v>**</v>
      </c>
      <c r="B461" s="13" t="str">
        <f>IFERROR(VLOOKUP($F461,scan!A:C,3,0),"**")</f>
        <v>**</v>
      </c>
      <c r="C461" s="42">
        <v>460</v>
      </c>
      <c r="D461" s="42" t="s">
        <v>4936</v>
      </c>
      <c r="E461" s="42" t="s">
        <v>4937</v>
      </c>
      <c r="H461" s="42" t="s">
        <v>4936</v>
      </c>
      <c r="I461" s="42" t="s">
        <v>4938</v>
      </c>
      <c r="J461" s="42" t="s">
        <v>4939</v>
      </c>
      <c r="K461" s="42" t="e">
        <f>VLOOKUP(F461,Input!C:M,9,0)</f>
        <v>#N/A</v>
      </c>
      <c r="L461" s="42" t="e">
        <f>VLOOKUP(F461,Input!C:M,10,0)</f>
        <v>#N/A</v>
      </c>
      <c r="M461" s="42" t="e">
        <f>VLOOKUP(F461,Input!C:M,11,0)</f>
        <v>#N/A</v>
      </c>
      <c r="N461" s="43" t="str">
        <f t="shared" si="7"/>
        <v>460,460,**</v>
      </c>
      <c r="O461" s="42">
        <v>460</v>
      </c>
    </row>
    <row r="462" spans="1:15" ht="14.25">
      <c r="A462" s="13" t="str">
        <f>IFERROR(VLOOKUP($F:$F,scan!$A:$B,2,0),"**")</f>
        <v>**</v>
      </c>
      <c r="B462" s="13" t="str">
        <f>IFERROR(VLOOKUP($F462,scan!A:C,3,0),"**")</f>
        <v>**</v>
      </c>
      <c r="C462" s="42">
        <v>461</v>
      </c>
      <c r="D462" s="42" t="s">
        <v>4936</v>
      </c>
      <c r="E462" s="42" t="s">
        <v>4937</v>
      </c>
      <c r="H462" s="42" t="s">
        <v>4936</v>
      </c>
      <c r="I462" s="42" t="s">
        <v>4938</v>
      </c>
      <c r="J462" s="42" t="s">
        <v>4939</v>
      </c>
      <c r="K462" s="42" t="e">
        <f>VLOOKUP(F462,Input!C:M,9,0)</f>
        <v>#N/A</v>
      </c>
      <c r="L462" s="42" t="e">
        <f>VLOOKUP(F462,Input!C:M,10,0)</f>
        <v>#N/A</v>
      </c>
      <c r="M462" s="42" t="e">
        <f>VLOOKUP(F462,Input!C:M,11,0)</f>
        <v>#N/A</v>
      </c>
      <c r="N462" s="43" t="str">
        <f t="shared" si="7"/>
        <v>461,461,**</v>
      </c>
      <c r="O462" s="42">
        <v>461</v>
      </c>
    </row>
    <row r="463" spans="1:15" ht="14.25">
      <c r="A463" s="13" t="str">
        <f>IFERROR(VLOOKUP($F:$F,scan!$A:$B,2,0),"**")</f>
        <v>**</v>
      </c>
      <c r="B463" s="13" t="str">
        <f>IFERROR(VLOOKUP($F463,scan!A:C,3,0),"**")</f>
        <v>**</v>
      </c>
      <c r="C463" s="42">
        <v>462</v>
      </c>
      <c r="D463" s="42" t="s">
        <v>4936</v>
      </c>
      <c r="E463" s="42" t="s">
        <v>4937</v>
      </c>
      <c r="H463" s="42" t="s">
        <v>4936</v>
      </c>
      <c r="I463" s="42" t="s">
        <v>4938</v>
      </c>
      <c r="J463" s="42" t="s">
        <v>4939</v>
      </c>
      <c r="K463" s="42" t="e">
        <f>VLOOKUP(F463,Input!C:M,9,0)</f>
        <v>#N/A</v>
      </c>
      <c r="L463" s="42" t="e">
        <f>VLOOKUP(F463,Input!C:M,10,0)</f>
        <v>#N/A</v>
      </c>
      <c r="M463" s="42" t="e">
        <f>VLOOKUP(F463,Input!C:M,11,0)</f>
        <v>#N/A</v>
      </c>
      <c r="N463" s="43" t="str">
        <f t="shared" si="7"/>
        <v>462,462,**</v>
      </c>
      <c r="O463" s="42">
        <v>462</v>
      </c>
    </row>
    <row r="464" spans="1:15" ht="14.25">
      <c r="A464" s="13" t="str">
        <f>IFERROR(VLOOKUP($F:$F,scan!$A:$B,2,0),"**")</f>
        <v>**</v>
      </c>
      <c r="B464" s="13" t="str">
        <f>IFERROR(VLOOKUP($F464,scan!A:C,3,0),"**")</f>
        <v>**</v>
      </c>
      <c r="C464" s="42">
        <v>463</v>
      </c>
      <c r="D464" s="42" t="s">
        <v>4936</v>
      </c>
      <c r="E464" s="42" t="s">
        <v>4937</v>
      </c>
      <c r="H464" s="42" t="s">
        <v>4936</v>
      </c>
      <c r="I464" s="42" t="s">
        <v>4938</v>
      </c>
      <c r="J464" s="42" t="s">
        <v>4939</v>
      </c>
      <c r="K464" s="42" t="e">
        <f>VLOOKUP(F464,Input!C:M,9,0)</f>
        <v>#N/A</v>
      </c>
      <c r="L464" s="42" t="e">
        <f>VLOOKUP(F464,Input!C:M,10,0)</f>
        <v>#N/A</v>
      </c>
      <c r="M464" s="42" t="e">
        <f>VLOOKUP(F464,Input!C:M,11,0)</f>
        <v>#N/A</v>
      </c>
      <c r="N464" s="43" t="str">
        <f t="shared" si="7"/>
        <v>463,463,**</v>
      </c>
      <c r="O464" s="42">
        <v>463</v>
      </c>
    </row>
    <row r="465" spans="1:15" ht="14.25">
      <c r="A465" s="13" t="str">
        <f>IFERROR(VLOOKUP($F:$F,scan!$A:$B,2,0),"**")</f>
        <v>**</v>
      </c>
      <c r="B465" s="13" t="str">
        <f>IFERROR(VLOOKUP($F465,scan!A:C,3,0),"**")</f>
        <v>**</v>
      </c>
      <c r="C465" s="42">
        <v>464</v>
      </c>
      <c r="D465" s="42" t="s">
        <v>4936</v>
      </c>
      <c r="E465" s="42" t="s">
        <v>4937</v>
      </c>
      <c r="H465" s="42" t="s">
        <v>4936</v>
      </c>
      <c r="I465" s="42" t="s">
        <v>4938</v>
      </c>
      <c r="J465" s="42" t="s">
        <v>4939</v>
      </c>
      <c r="K465" s="42" t="e">
        <f>VLOOKUP(F465,Input!C:M,9,0)</f>
        <v>#N/A</v>
      </c>
      <c r="L465" s="42" t="e">
        <f>VLOOKUP(F465,Input!C:M,10,0)</f>
        <v>#N/A</v>
      </c>
      <c r="M465" s="42" t="e">
        <f>VLOOKUP(F465,Input!C:M,11,0)</f>
        <v>#N/A</v>
      </c>
      <c r="N465" s="43" t="str">
        <f t="shared" si="7"/>
        <v>464,464,**</v>
      </c>
      <c r="O465" s="42">
        <v>464</v>
      </c>
    </row>
    <row r="466" spans="1:15" ht="14.25">
      <c r="A466" s="13" t="str">
        <f>IFERROR(VLOOKUP($F:$F,scan!$A:$B,2,0),"**")</f>
        <v>**</v>
      </c>
      <c r="B466" s="13" t="str">
        <f>IFERROR(VLOOKUP($F466,scan!A:C,3,0),"**")</f>
        <v>**</v>
      </c>
      <c r="C466" s="42">
        <v>465</v>
      </c>
      <c r="D466" s="42" t="s">
        <v>4936</v>
      </c>
      <c r="E466" s="42" t="s">
        <v>4937</v>
      </c>
      <c r="H466" s="42" t="s">
        <v>4936</v>
      </c>
      <c r="I466" s="42" t="s">
        <v>4938</v>
      </c>
      <c r="J466" s="42" t="s">
        <v>4939</v>
      </c>
      <c r="K466" s="42" t="e">
        <f>VLOOKUP(F466,Input!C:M,9,0)</f>
        <v>#N/A</v>
      </c>
      <c r="L466" s="42" t="e">
        <f>VLOOKUP(F466,Input!C:M,10,0)</f>
        <v>#N/A</v>
      </c>
      <c r="M466" s="42" t="e">
        <f>VLOOKUP(F466,Input!C:M,11,0)</f>
        <v>#N/A</v>
      </c>
      <c r="N466" s="43" t="str">
        <f t="shared" si="7"/>
        <v>465,465,**</v>
      </c>
      <c r="O466" s="42">
        <v>465</v>
      </c>
    </row>
    <row r="467" spans="1:15" ht="14.25">
      <c r="A467" s="13" t="str">
        <f>IFERROR(VLOOKUP($F:$F,scan!$A:$B,2,0),"**")</f>
        <v>**</v>
      </c>
      <c r="B467" s="13" t="str">
        <f>IFERROR(VLOOKUP($F467,scan!A:C,3,0),"**")</f>
        <v>**</v>
      </c>
      <c r="C467" s="42">
        <v>466</v>
      </c>
      <c r="D467" s="42" t="s">
        <v>4936</v>
      </c>
      <c r="E467" s="42" t="s">
        <v>4937</v>
      </c>
      <c r="H467" s="42" t="s">
        <v>4936</v>
      </c>
      <c r="I467" s="42" t="s">
        <v>4938</v>
      </c>
      <c r="J467" s="42" t="s">
        <v>4939</v>
      </c>
      <c r="K467" s="42" t="e">
        <f>VLOOKUP(F467,Input!C:M,9,0)</f>
        <v>#N/A</v>
      </c>
      <c r="L467" s="42" t="e">
        <f>VLOOKUP(F467,Input!C:M,10,0)</f>
        <v>#N/A</v>
      </c>
      <c r="M467" s="42" t="e">
        <f>VLOOKUP(F467,Input!C:M,11,0)</f>
        <v>#N/A</v>
      </c>
      <c r="N467" s="43" t="str">
        <f t="shared" si="7"/>
        <v>466,466,**</v>
      </c>
      <c r="O467" s="42">
        <v>466</v>
      </c>
    </row>
    <row r="468" spans="1:15" ht="14.25">
      <c r="A468" s="13" t="str">
        <f>IFERROR(VLOOKUP($F:$F,scan!$A:$B,2,0),"**")</f>
        <v>**</v>
      </c>
      <c r="B468" s="13" t="str">
        <f>IFERROR(VLOOKUP($F468,scan!A:C,3,0),"**")</f>
        <v>**</v>
      </c>
      <c r="C468" s="42">
        <v>467</v>
      </c>
      <c r="D468" s="42" t="s">
        <v>4936</v>
      </c>
      <c r="E468" s="42" t="s">
        <v>4937</v>
      </c>
      <c r="H468" s="42" t="s">
        <v>4936</v>
      </c>
      <c r="I468" s="42" t="s">
        <v>4938</v>
      </c>
      <c r="J468" s="42" t="s">
        <v>4939</v>
      </c>
      <c r="K468" s="42" t="e">
        <f>VLOOKUP(F468,Input!C:M,9,0)</f>
        <v>#N/A</v>
      </c>
      <c r="L468" s="42" t="e">
        <f>VLOOKUP(F468,Input!C:M,10,0)</f>
        <v>#N/A</v>
      </c>
      <c r="M468" s="42" t="e">
        <f>VLOOKUP(F468,Input!C:M,11,0)</f>
        <v>#N/A</v>
      </c>
      <c r="N468" s="43" t="str">
        <f t="shared" si="7"/>
        <v>467,467,**</v>
      </c>
      <c r="O468" s="42">
        <v>467</v>
      </c>
    </row>
    <row r="469" spans="1:15" ht="14.25">
      <c r="A469" s="13" t="str">
        <f>IFERROR(VLOOKUP($F:$F,scan!$A:$B,2,0),"**")</f>
        <v>**</v>
      </c>
      <c r="B469" s="13" t="str">
        <f>IFERROR(VLOOKUP($F469,scan!A:C,3,0),"**")</f>
        <v>**</v>
      </c>
      <c r="C469" s="42">
        <v>468</v>
      </c>
      <c r="D469" s="42" t="s">
        <v>4936</v>
      </c>
      <c r="E469" s="42" t="s">
        <v>4937</v>
      </c>
      <c r="H469" s="42" t="s">
        <v>4936</v>
      </c>
      <c r="I469" s="42" t="s">
        <v>4938</v>
      </c>
      <c r="J469" s="42" t="s">
        <v>4939</v>
      </c>
      <c r="K469" s="42" t="e">
        <f>VLOOKUP(F469,Input!C:M,9,0)</f>
        <v>#N/A</v>
      </c>
      <c r="L469" s="42" t="e">
        <f>VLOOKUP(F469,Input!C:M,10,0)</f>
        <v>#N/A</v>
      </c>
      <c r="M469" s="42" t="e">
        <f>VLOOKUP(F469,Input!C:M,11,0)</f>
        <v>#N/A</v>
      </c>
      <c r="N469" s="43" t="str">
        <f t="shared" si="7"/>
        <v>468,468,**</v>
      </c>
      <c r="O469" s="42">
        <v>468</v>
      </c>
    </row>
    <row r="470" spans="1:15" ht="14.25">
      <c r="A470" s="13" t="str">
        <f>IFERROR(VLOOKUP($F:$F,scan!$A:$B,2,0),"**")</f>
        <v>**</v>
      </c>
      <c r="B470" s="13" t="str">
        <f>IFERROR(VLOOKUP($F470,scan!A:C,3,0),"**")</f>
        <v>**</v>
      </c>
      <c r="C470" s="42">
        <v>469</v>
      </c>
      <c r="D470" s="42" t="s">
        <v>4936</v>
      </c>
      <c r="E470" s="42" t="s">
        <v>4937</v>
      </c>
      <c r="H470" s="42" t="s">
        <v>4936</v>
      </c>
      <c r="I470" s="42" t="s">
        <v>4938</v>
      </c>
      <c r="J470" s="42" t="s">
        <v>4939</v>
      </c>
      <c r="K470" s="42" t="e">
        <f>VLOOKUP(F470,Input!C:M,9,0)</f>
        <v>#N/A</v>
      </c>
      <c r="L470" s="42" t="e">
        <f>VLOOKUP(F470,Input!C:M,10,0)</f>
        <v>#N/A</v>
      </c>
      <c r="M470" s="42" t="e">
        <f>VLOOKUP(F470,Input!C:M,11,0)</f>
        <v>#N/A</v>
      </c>
      <c r="N470" s="43" t="str">
        <f t="shared" si="7"/>
        <v>469,469,**</v>
      </c>
      <c r="O470" s="42">
        <v>469</v>
      </c>
    </row>
    <row r="471" spans="1:15" ht="14.25">
      <c r="A471" s="13" t="str">
        <f>IFERROR(VLOOKUP($F:$F,scan!$A:$B,2,0),"**")</f>
        <v>**</v>
      </c>
      <c r="B471" s="13" t="str">
        <f>IFERROR(VLOOKUP($F471,scan!A:C,3,0),"**")</f>
        <v>**</v>
      </c>
      <c r="C471" s="42">
        <v>470</v>
      </c>
      <c r="D471" s="42" t="s">
        <v>4936</v>
      </c>
      <c r="E471" s="42" t="s">
        <v>4937</v>
      </c>
      <c r="H471" s="42" t="s">
        <v>4936</v>
      </c>
      <c r="I471" s="42" t="s">
        <v>4938</v>
      </c>
      <c r="J471" s="42" t="s">
        <v>4939</v>
      </c>
      <c r="K471" s="42" t="e">
        <f>VLOOKUP(F471,Input!C:M,9,0)</f>
        <v>#N/A</v>
      </c>
      <c r="L471" s="42" t="e">
        <f>VLOOKUP(F471,Input!C:M,10,0)</f>
        <v>#N/A</v>
      </c>
      <c r="M471" s="42" t="e">
        <f>VLOOKUP(F471,Input!C:M,11,0)</f>
        <v>#N/A</v>
      </c>
      <c r="N471" s="43" t="str">
        <f t="shared" si="7"/>
        <v>470,470,**</v>
      </c>
      <c r="O471" s="42">
        <v>470</v>
      </c>
    </row>
    <row r="472" spans="1:15" ht="14.25">
      <c r="A472" s="13" t="str">
        <f>IFERROR(VLOOKUP($F:$F,scan!$A:$B,2,0),"**")</f>
        <v>**</v>
      </c>
      <c r="B472" s="13" t="str">
        <f>IFERROR(VLOOKUP($F472,scan!A:C,3,0),"**")</f>
        <v>**</v>
      </c>
      <c r="C472" s="42">
        <v>471</v>
      </c>
      <c r="D472" s="42" t="s">
        <v>4936</v>
      </c>
      <c r="E472" s="42" t="s">
        <v>4937</v>
      </c>
      <c r="H472" s="42" t="s">
        <v>4936</v>
      </c>
      <c r="I472" s="42" t="s">
        <v>4938</v>
      </c>
      <c r="J472" s="42" t="s">
        <v>4939</v>
      </c>
      <c r="K472" s="42" t="e">
        <f>VLOOKUP(F472,Input!C:M,9,0)</f>
        <v>#N/A</v>
      </c>
      <c r="L472" s="42" t="e">
        <f>VLOOKUP(F472,Input!C:M,10,0)</f>
        <v>#N/A</v>
      </c>
      <c r="M472" s="42" t="e">
        <f>VLOOKUP(F472,Input!C:M,11,0)</f>
        <v>#N/A</v>
      </c>
      <c r="N472" s="43" t="str">
        <f t="shared" si="7"/>
        <v>471,471,**</v>
      </c>
      <c r="O472" s="42">
        <v>471</v>
      </c>
    </row>
    <row r="473" spans="1:15" ht="14.25">
      <c r="A473" s="13" t="str">
        <f>IFERROR(VLOOKUP($F:$F,scan!$A:$B,2,0),"**")</f>
        <v>**</v>
      </c>
      <c r="B473" s="13" t="str">
        <f>IFERROR(VLOOKUP($F473,scan!A:C,3,0),"**")</f>
        <v>**</v>
      </c>
      <c r="C473" s="42">
        <v>472</v>
      </c>
      <c r="D473" s="42" t="s">
        <v>4936</v>
      </c>
      <c r="E473" s="42" t="s">
        <v>4937</v>
      </c>
      <c r="H473" s="42" t="s">
        <v>4936</v>
      </c>
      <c r="I473" s="42" t="s">
        <v>4938</v>
      </c>
      <c r="J473" s="42" t="s">
        <v>4939</v>
      </c>
      <c r="K473" s="42" t="e">
        <f>VLOOKUP(F473,Input!C:M,9,0)</f>
        <v>#N/A</v>
      </c>
      <c r="L473" s="42" t="e">
        <f>VLOOKUP(F473,Input!C:M,10,0)</f>
        <v>#N/A</v>
      </c>
      <c r="M473" s="42" t="e">
        <f>VLOOKUP(F473,Input!C:M,11,0)</f>
        <v>#N/A</v>
      </c>
      <c r="N473" s="43" t="str">
        <f t="shared" si="7"/>
        <v>472,472,**</v>
      </c>
      <c r="O473" s="42">
        <v>472</v>
      </c>
    </row>
    <row r="474" spans="1:15" ht="14.25">
      <c r="A474" s="13" t="str">
        <f>IFERROR(VLOOKUP($F:$F,scan!$A:$B,2,0),"**")</f>
        <v>**</v>
      </c>
      <c r="B474" s="13" t="str">
        <f>IFERROR(VLOOKUP($F474,scan!A:C,3,0),"**")</f>
        <v>**</v>
      </c>
      <c r="C474" s="42">
        <v>473</v>
      </c>
      <c r="D474" s="42" t="s">
        <v>4936</v>
      </c>
      <c r="E474" s="42" t="s">
        <v>4937</v>
      </c>
      <c r="H474" s="42" t="s">
        <v>4936</v>
      </c>
      <c r="I474" s="42" t="s">
        <v>4938</v>
      </c>
      <c r="J474" s="42" t="s">
        <v>4939</v>
      </c>
      <c r="K474" s="42" t="e">
        <f>VLOOKUP(F474,Input!C:M,9,0)</f>
        <v>#N/A</v>
      </c>
      <c r="L474" s="42" t="e">
        <f>VLOOKUP(F474,Input!C:M,10,0)</f>
        <v>#N/A</v>
      </c>
      <c r="M474" s="42" t="e">
        <f>VLOOKUP(F474,Input!C:M,11,0)</f>
        <v>#N/A</v>
      </c>
      <c r="N474" s="43" t="str">
        <f t="shared" si="7"/>
        <v>473,473,**</v>
      </c>
      <c r="O474" s="42">
        <v>473</v>
      </c>
    </row>
    <row r="475" spans="1:15" ht="14.25">
      <c r="A475" s="13" t="str">
        <f>IFERROR(VLOOKUP($F:$F,scan!$A:$B,2,0),"**")</f>
        <v>**</v>
      </c>
      <c r="B475" s="13" t="str">
        <f>IFERROR(VLOOKUP($F475,scan!A:C,3,0),"**")</f>
        <v>**</v>
      </c>
      <c r="C475" s="42">
        <v>474</v>
      </c>
      <c r="D475" s="42" t="s">
        <v>4936</v>
      </c>
      <c r="E475" s="42" t="s">
        <v>4937</v>
      </c>
      <c r="H475" s="42" t="s">
        <v>4936</v>
      </c>
      <c r="I475" s="42" t="s">
        <v>4938</v>
      </c>
      <c r="J475" s="42" t="s">
        <v>4939</v>
      </c>
      <c r="K475" s="42" t="e">
        <f>VLOOKUP(F475,Input!C:M,9,0)</f>
        <v>#N/A</v>
      </c>
      <c r="L475" s="42" t="e">
        <f>VLOOKUP(F475,Input!C:M,10,0)</f>
        <v>#N/A</v>
      </c>
      <c r="M475" s="42" t="e">
        <f>VLOOKUP(F475,Input!C:M,11,0)</f>
        <v>#N/A</v>
      </c>
      <c r="N475" s="43" t="str">
        <f t="shared" si="7"/>
        <v>474,474,**</v>
      </c>
      <c r="O475" s="42">
        <v>474</v>
      </c>
    </row>
    <row r="476" spans="1:15" ht="14.25">
      <c r="A476" s="13" t="str">
        <f>IFERROR(VLOOKUP($F:$F,scan!$A:$B,2,0),"**")</f>
        <v>**</v>
      </c>
      <c r="B476" s="13" t="str">
        <f>IFERROR(VLOOKUP($F476,scan!A:C,3,0),"**")</f>
        <v>**</v>
      </c>
      <c r="C476" s="42">
        <v>475</v>
      </c>
      <c r="D476" s="42" t="s">
        <v>4936</v>
      </c>
      <c r="E476" s="42" t="s">
        <v>4937</v>
      </c>
      <c r="H476" s="42" t="s">
        <v>4936</v>
      </c>
      <c r="I476" s="42" t="s">
        <v>4938</v>
      </c>
      <c r="J476" s="42" t="s">
        <v>4939</v>
      </c>
      <c r="K476" s="42" t="e">
        <f>VLOOKUP(F476,Input!C:M,9,0)</f>
        <v>#N/A</v>
      </c>
      <c r="L476" s="42" t="e">
        <f>VLOOKUP(F476,Input!C:M,10,0)</f>
        <v>#N/A</v>
      </c>
      <c r="M476" s="42" t="e">
        <f>VLOOKUP(F476,Input!C:M,11,0)</f>
        <v>#N/A</v>
      </c>
      <c r="N476" s="43" t="str">
        <f t="shared" si="7"/>
        <v>475,475,**</v>
      </c>
      <c r="O476" s="42">
        <v>475</v>
      </c>
    </row>
    <row r="477" spans="1:15" ht="14.25">
      <c r="A477" s="13" t="str">
        <f>IFERROR(VLOOKUP($F:$F,scan!$A:$B,2,0),"**")</f>
        <v>**</v>
      </c>
      <c r="B477" s="13" t="str">
        <f>IFERROR(VLOOKUP($F477,scan!A:C,3,0),"**")</f>
        <v>**</v>
      </c>
      <c r="C477" s="42">
        <v>476</v>
      </c>
      <c r="D477" s="42" t="s">
        <v>4936</v>
      </c>
      <c r="E477" s="42" t="s">
        <v>4937</v>
      </c>
      <c r="H477" s="42" t="s">
        <v>4936</v>
      </c>
      <c r="I477" s="42" t="s">
        <v>4938</v>
      </c>
      <c r="J477" s="42" t="s">
        <v>4939</v>
      </c>
      <c r="K477" s="42" t="e">
        <f>VLOOKUP(F477,Input!C:M,9,0)</f>
        <v>#N/A</v>
      </c>
      <c r="L477" s="42" t="e">
        <f>VLOOKUP(F477,Input!C:M,10,0)</f>
        <v>#N/A</v>
      </c>
      <c r="M477" s="42" t="e">
        <f>VLOOKUP(F477,Input!C:M,11,0)</f>
        <v>#N/A</v>
      </c>
      <c r="N477" s="43" t="str">
        <f t="shared" si="7"/>
        <v>476,476,**</v>
      </c>
      <c r="O477" s="42">
        <v>476</v>
      </c>
    </row>
    <row r="478" spans="1:15" ht="14.25">
      <c r="A478" s="13" t="str">
        <f>IFERROR(VLOOKUP($F:$F,scan!$A:$B,2,0),"**")</f>
        <v>**</v>
      </c>
      <c r="B478" s="13" t="str">
        <f>IFERROR(VLOOKUP($F478,scan!A:C,3,0),"**")</f>
        <v>**</v>
      </c>
      <c r="C478" s="42">
        <v>477</v>
      </c>
      <c r="D478" s="42" t="s">
        <v>4936</v>
      </c>
      <c r="E478" s="42" t="s">
        <v>4937</v>
      </c>
      <c r="H478" s="42" t="s">
        <v>4936</v>
      </c>
      <c r="I478" s="42" t="s">
        <v>4938</v>
      </c>
      <c r="J478" s="42" t="s">
        <v>4939</v>
      </c>
      <c r="K478" s="42" t="e">
        <f>VLOOKUP(F478,Input!C:M,9,0)</f>
        <v>#N/A</v>
      </c>
      <c r="L478" s="42" t="e">
        <f>VLOOKUP(F478,Input!C:M,10,0)</f>
        <v>#N/A</v>
      </c>
      <c r="M478" s="42" t="e">
        <f>VLOOKUP(F478,Input!C:M,11,0)</f>
        <v>#N/A</v>
      </c>
      <c r="N478" s="43" t="str">
        <f t="shared" si="7"/>
        <v>477,477,**</v>
      </c>
      <c r="O478" s="42">
        <v>477</v>
      </c>
    </row>
    <row r="479" spans="1:15" ht="14.25">
      <c r="A479" s="13" t="str">
        <f>IFERROR(VLOOKUP($F:$F,scan!$A:$B,2,0),"**")</f>
        <v>**</v>
      </c>
      <c r="B479" s="13" t="str">
        <f>IFERROR(VLOOKUP($F479,scan!A:C,3,0),"**")</f>
        <v>**</v>
      </c>
      <c r="C479" s="42">
        <v>478</v>
      </c>
      <c r="D479" s="42" t="s">
        <v>4936</v>
      </c>
      <c r="E479" s="42" t="s">
        <v>4937</v>
      </c>
      <c r="H479" s="42" t="s">
        <v>4936</v>
      </c>
      <c r="I479" s="42" t="s">
        <v>4938</v>
      </c>
      <c r="J479" s="42" t="s">
        <v>4939</v>
      </c>
      <c r="K479" s="42" t="e">
        <f>VLOOKUP(F479,Input!C:M,9,0)</f>
        <v>#N/A</v>
      </c>
      <c r="L479" s="42" t="e">
        <f>VLOOKUP(F479,Input!C:M,10,0)</f>
        <v>#N/A</v>
      </c>
      <c r="M479" s="42" t="e">
        <f>VLOOKUP(F479,Input!C:M,11,0)</f>
        <v>#N/A</v>
      </c>
      <c r="N479" s="43" t="str">
        <f t="shared" si="7"/>
        <v>478,478,**</v>
      </c>
      <c r="O479" s="42">
        <v>478</v>
      </c>
    </row>
    <row r="480" spans="1:15" ht="14.25">
      <c r="A480" s="13" t="str">
        <f>IFERROR(VLOOKUP($F:$F,scan!$A:$B,2,0),"**")</f>
        <v>**</v>
      </c>
      <c r="B480" s="13" t="str">
        <f>IFERROR(VLOOKUP($F480,scan!A:C,3,0),"**")</f>
        <v>**</v>
      </c>
      <c r="C480" s="42">
        <v>479</v>
      </c>
      <c r="D480" s="42" t="s">
        <v>4936</v>
      </c>
      <c r="E480" s="42" t="s">
        <v>4937</v>
      </c>
      <c r="H480" s="42" t="s">
        <v>4936</v>
      </c>
      <c r="I480" s="42" t="s">
        <v>4938</v>
      </c>
      <c r="J480" s="42" t="s">
        <v>4939</v>
      </c>
      <c r="K480" s="42" t="e">
        <f>VLOOKUP(F480,Input!C:M,9,0)</f>
        <v>#N/A</v>
      </c>
      <c r="L480" s="42" t="e">
        <f>VLOOKUP(F480,Input!C:M,10,0)</f>
        <v>#N/A</v>
      </c>
      <c r="M480" s="42" t="e">
        <f>VLOOKUP(F480,Input!C:M,11,0)</f>
        <v>#N/A</v>
      </c>
      <c r="N480" s="43" t="str">
        <f t="shared" si="7"/>
        <v>479,479,**</v>
      </c>
      <c r="O480" s="42">
        <v>479</v>
      </c>
    </row>
    <row r="481" spans="1:15" ht="14.25">
      <c r="A481" s="13" t="str">
        <f>IFERROR(VLOOKUP($F:$F,scan!$A:$B,2,0),"**")</f>
        <v>**</v>
      </c>
      <c r="B481" s="13" t="str">
        <f>IFERROR(VLOOKUP($F481,scan!A:C,3,0),"**")</f>
        <v>**</v>
      </c>
      <c r="C481" s="42">
        <v>480</v>
      </c>
      <c r="D481" s="42" t="s">
        <v>4936</v>
      </c>
      <c r="E481" s="42" t="s">
        <v>4937</v>
      </c>
      <c r="H481" s="42" t="s">
        <v>4936</v>
      </c>
      <c r="I481" s="42" t="s">
        <v>4938</v>
      </c>
      <c r="J481" s="42" t="s">
        <v>4939</v>
      </c>
      <c r="K481" s="42" t="e">
        <f>VLOOKUP(F481,Input!C:M,9,0)</f>
        <v>#N/A</v>
      </c>
      <c r="L481" s="42" t="e">
        <f>VLOOKUP(F481,Input!C:M,10,0)</f>
        <v>#N/A</v>
      </c>
      <c r="M481" s="42" t="e">
        <f>VLOOKUP(F481,Input!C:M,11,0)</f>
        <v>#N/A</v>
      </c>
      <c r="N481" s="43" t="str">
        <f t="shared" si="7"/>
        <v>480,480,**</v>
      </c>
      <c r="O481" s="42">
        <v>480</v>
      </c>
    </row>
    <row r="482" spans="1:15" ht="14.25">
      <c r="A482" s="13" t="str">
        <f>IFERROR(VLOOKUP($F:$F,scan!$A:$B,2,0),"**")</f>
        <v>**</v>
      </c>
      <c r="B482" s="13" t="str">
        <f>IFERROR(VLOOKUP($F482,scan!A:C,3,0),"**")</f>
        <v>**</v>
      </c>
      <c r="C482" s="42">
        <v>481</v>
      </c>
      <c r="D482" s="42" t="s">
        <v>4936</v>
      </c>
      <c r="E482" s="42" t="s">
        <v>4937</v>
      </c>
      <c r="H482" s="42" t="s">
        <v>4936</v>
      </c>
      <c r="I482" s="42" t="s">
        <v>4938</v>
      </c>
      <c r="J482" s="42" t="s">
        <v>4939</v>
      </c>
      <c r="K482" s="42" t="e">
        <f>VLOOKUP(F482,Input!C:M,9,0)</f>
        <v>#N/A</v>
      </c>
      <c r="L482" s="42" t="e">
        <f>VLOOKUP(F482,Input!C:M,10,0)</f>
        <v>#N/A</v>
      </c>
      <c r="M482" s="42" t="e">
        <f>VLOOKUP(F482,Input!C:M,11,0)</f>
        <v>#N/A</v>
      </c>
      <c r="N482" s="43" t="str">
        <f t="shared" si="7"/>
        <v>481,481,**</v>
      </c>
      <c r="O482" s="42">
        <v>481</v>
      </c>
    </row>
    <row r="483" spans="1:15" ht="14.25">
      <c r="A483" s="13" t="str">
        <f>IFERROR(VLOOKUP($F:$F,scan!$A:$B,2,0),"**")</f>
        <v>**</v>
      </c>
      <c r="B483" s="13" t="str">
        <f>IFERROR(VLOOKUP($F483,scan!A:C,3,0),"**")</f>
        <v>**</v>
      </c>
      <c r="C483" s="42">
        <v>482</v>
      </c>
      <c r="D483" s="42" t="s">
        <v>4936</v>
      </c>
      <c r="E483" s="42" t="s">
        <v>4937</v>
      </c>
      <c r="H483" s="42" t="s">
        <v>4936</v>
      </c>
      <c r="I483" s="42" t="s">
        <v>4938</v>
      </c>
      <c r="J483" s="42" t="s">
        <v>4939</v>
      </c>
      <c r="K483" s="42" t="e">
        <f>VLOOKUP(F483,Input!C:M,9,0)</f>
        <v>#N/A</v>
      </c>
      <c r="L483" s="42" t="e">
        <f>VLOOKUP(F483,Input!C:M,10,0)</f>
        <v>#N/A</v>
      </c>
      <c r="M483" s="42" t="e">
        <f>VLOOKUP(F483,Input!C:M,11,0)</f>
        <v>#N/A</v>
      </c>
      <c r="N483" s="43" t="str">
        <f t="shared" si="7"/>
        <v>482,482,**</v>
      </c>
      <c r="O483" s="42">
        <v>482</v>
      </c>
    </row>
    <row r="484" spans="1:15" ht="14.25">
      <c r="A484" s="13" t="str">
        <f>IFERROR(VLOOKUP($F:$F,scan!$A:$B,2,0),"**")</f>
        <v>**</v>
      </c>
      <c r="B484" s="13" t="str">
        <f>IFERROR(VLOOKUP($F484,scan!A:C,3,0),"**")</f>
        <v>**</v>
      </c>
      <c r="C484" s="42">
        <v>483</v>
      </c>
      <c r="D484" s="42" t="s">
        <v>4936</v>
      </c>
      <c r="E484" s="42" t="s">
        <v>4937</v>
      </c>
      <c r="H484" s="42" t="s">
        <v>4936</v>
      </c>
      <c r="I484" s="42" t="s">
        <v>4938</v>
      </c>
      <c r="J484" s="42" t="s">
        <v>4939</v>
      </c>
      <c r="K484" s="42" t="e">
        <f>VLOOKUP(F484,Input!C:M,9,0)</f>
        <v>#N/A</v>
      </c>
      <c r="L484" s="42" t="e">
        <f>VLOOKUP(F484,Input!C:M,10,0)</f>
        <v>#N/A</v>
      </c>
      <c r="M484" s="42" t="e">
        <f>VLOOKUP(F484,Input!C:M,11,0)</f>
        <v>#N/A</v>
      </c>
      <c r="N484" s="43" t="str">
        <f t="shared" si="7"/>
        <v>483,483,**</v>
      </c>
      <c r="O484" s="42">
        <v>483</v>
      </c>
    </row>
    <row r="485" spans="1:15" ht="14.25">
      <c r="A485" s="13" t="str">
        <f>IFERROR(VLOOKUP($F:$F,scan!$A:$B,2,0),"**")</f>
        <v>**</v>
      </c>
      <c r="B485" s="13" t="str">
        <f>IFERROR(VLOOKUP($F485,scan!A:C,3,0),"**")</f>
        <v>**</v>
      </c>
      <c r="C485" s="42">
        <v>484</v>
      </c>
      <c r="D485" s="42" t="s">
        <v>4936</v>
      </c>
      <c r="E485" s="42" t="s">
        <v>4937</v>
      </c>
      <c r="H485" s="42" t="s">
        <v>4936</v>
      </c>
      <c r="I485" s="42" t="s">
        <v>4938</v>
      </c>
      <c r="J485" s="42" t="s">
        <v>4939</v>
      </c>
      <c r="K485" s="42" t="e">
        <f>VLOOKUP(F485,Input!C:M,9,0)</f>
        <v>#N/A</v>
      </c>
      <c r="L485" s="42" t="e">
        <f>VLOOKUP(F485,Input!C:M,10,0)</f>
        <v>#N/A</v>
      </c>
      <c r="M485" s="42" t="e">
        <f>VLOOKUP(F485,Input!C:M,11,0)</f>
        <v>#N/A</v>
      </c>
      <c r="N485" s="43" t="str">
        <f t="shared" si="7"/>
        <v>484,484,**</v>
      </c>
      <c r="O485" s="42">
        <v>484</v>
      </c>
    </row>
    <row r="486" spans="1:15" ht="14.25">
      <c r="A486" s="13" t="str">
        <f>IFERROR(VLOOKUP($F:$F,scan!$A:$B,2,0),"**")</f>
        <v>**</v>
      </c>
      <c r="B486" s="13" t="str">
        <f>IFERROR(VLOOKUP($F486,scan!A:C,3,0),"**")</f>
        <v>**</v>
      </c>
      <c r="C486" s="42">
        <v>485</v>
      </c>
      <c r="D486" s="42" t="s">
        <v>4936</v>
      </c>
      <c r="E486" s="42" t="s">
        <v>4937</v>
      </c>
      <c r="H486" s="42" t="s">
        <v>4936</v>
      </c>
      <c r="I486" s="42" t="s">
        <v>4938</v>
      </c>
      <c r="J486" s="42" t="s">
        <v>4939</v>
      </c>
      <c r="K486" s="42" t="e">
        <f>VLOOKUP(F486,Input!C:M,9,0)</f>
        <v>#N/A</v>
      </c>
      <c r="L486" s="42" t="e">
        <f>VLOOKUP(F486,Input!C:M,10,0)</f>
        <v>#N/A</v>
      </c>
      <c r="M486" s="42" t="e">
        <f>VLOOKUP(F486,Input!C:M,11,0)</f>
        <v>#N/A</v>
      </c>
      <c r="N486" s="43" t="str">
        <f t="shared" si="7"/>
        <v>485,485,**</v>
      </c>
      <c r="O486" s="42">
        <v>485</v>
      </c>
    </row>
    <row r="487" spans="1:15" ht="14.25">
      <c r="A487" s="13" t="str">
        <f>IFERROR(VLOOKUP($F:$F,scan!$A:$B,2,0),"**")</f>
        <v>**</v>
      </c>
      <c r="B487" s="13" t="str">
        <f>IFERROR(VLOOKUP($F487,scan!A:C,3,0),"**")</f>
        <v>**</v>
      </c>
      <c r="C487" s="42">
        <v>486</v>
      </c>
      <c r="D487" s="42" t="s">
        <v>4936</v>
      </c>
      <c r="E487" s="42" t="s">
        <v>4937</v>
      </c>
      <c r="H487" s="42" t="s">
        <v>4936</v>
      </c>
      <c r="I487" s="42" t="s">
        <v>4938</v>
      </c>
      <c r="J487" s="42" t="s">
        <v>4939</v>
      </c>
      <c r="K487" s="42" t="e">
        <f>VLOOKUP(F487,Input!C:M,9,0)</f>
        <v>#N/A</v>
      </c>
      <c r="L487" s="42" t="e">
        <f>VLOOKUP(F487,Input!C:M,10,0)</f>
        <v>#N/A</v>
      </c>
      <c r="M487" s="42" t="e">
        <f>VLOOKUP(F487,Input!C:M,11,0)</f>
        <v>#N/A</v>
      </c>
      <c r="N487" s="43" t="str">
        <f t="shared" si="7"/>
        <v>486,486,**</v>
      </c>
      <c r="O487" s="42">
        <v>486</v>
      </c>
    </row>
    <row r="488" spans="1:15" ht="14.25">
      <c r="A488" s="13" t="str">
        <f>IFERROR(VLOOKUP($F:$F,scan!$A:$B,2,0),"**")</f>
        <v>**</v>
      </c>
      <c r="B488" s="13" t="str">
        <f>IFERROR(VLOOKUP($F488,scan!A:C,3,0),"**")</f>
        <v>**</v>
      </c>
      <c r="C488" s="42">
        <v>487</v>
      </c>
      <c r="D488" s="42" t="s">
        <v>4936</v>
      </c>
      <c r="E488" s="42" t="s">
        <v>4937</v>
      </c>
      <c r="H488" s="42" t="s">
        <v>4936</v>
      </c>
      <c r="I488" s="42" t="s">
        <v>4938</v>
      </c>
      <c r="J488" s="42" t="s">
        <v>4939</v>
      </c>
      <c r="K488" s="42" t="e">
        <f>VLOOKUP(F488,Input!C:M,9,0)</f>
        <v>#N/A</v>
      </c>
      <c r="L488" s="42" t="e">
        <f>VLOOKUP(F488,Input!C:M,10,0)</f>
        <v>#N/A</v>
      </c>
      <c r="M488" s="42" t="e">
        <f>VLOOKUP(F488,Input!C:M,11,0)</f>
        <v>#N/A</v>
      </c>
      <c r="N488" s="43" t="str">
        <f t="shared" si="7"/>
        <v>487,487,**</v>
      </c>
      <c r="O488" s="42">
        <v>487</v>
      </c>
    </row>
    <row r="489" spans="1:15" ht="14.25">
      <c r="A489" s="13" t="str">
        <f>IFERROR(VLOOKUP($F:$F,scan!$A:$B,2,0),"**")</f>
        <v>**</v>
      </c>
      <c r="B489" s="13" t="str">
        <f>IFERROR(VLOOKUP($F489,scan!A:C,3,0),"**")</f>
        <v>**</v>
      </c>
      <c r="C489" s="42">
        <v>488</v>
      </c>
      <c r="D489" s="42" t="s">
        <v>4936</v>
      </c>
      <c r="E489" s="42" t="s">
        <v>4937</v>
      </c>
      <c r="H489" s="42" t="s">
        <v>4936</v>
      </c>
      <c r="I489" s="42" t="s">
        <v>4938</v>
      </c>
      <c r="J489" s="42" t="s">
        <v>4939</v>
      </c>
      <c r="K489" s="42" t="e">
        <f>VLOOKUP(F489,Input!C:M,9,0)</f>
        <v>#N/A</v>
      </c>
      <c r="L489" s="42" t="e">
        <f>VLOOKUP(F489,Input!C:M,10,0)</f>
        <v>#N/A</v>
      </c>
      <c r="M489" s="42" t="e">
        <f>VLOOKUP(F489,Input!C:M,11,0)</f>
        <v>#N/A</v>
      </c>
      <c r="N489" s="43" t="str">
        <f t="shared" si="7"/>
        <v>488,488,**</v>
      </c>
      <c r="O489" s="42">
        <v>488</v>
      </c>
    </row>
    <row r="490" spans="1:15" ht="14.25">
      <c r="A490" s="13" t="str">
        <f>IFERROR(VLOOKUP($F:$F,scan!$A:$B,2,0),"**")</f>
        <v>**</v>
      </c>
      <c r="B490" s="13" t="str">
        <f>IFERROR(VLOOKUP($F490,scan!A:C,3,0),"**")</f>
        <v>**</v>
      </c>
      <c r="C490" s="42">
        <v>489</v>
      </c>
      <c r="D490" s="42" t="s">
        <v>4936</v>
      </c>
      <c r="E490" s="42" t="s">
        <v>4937</v>
      </c>
      <c r="H490" s="42" t="s">
        <v>4936</v>
      </c>
      <c r="I490" s="42" t="s">
        <v>4938</v>
      </c>
      <c r="J490" s="42" t="s">
        <v>4939</v>
      </c>
      <c r="K490" s="42" t="e">
        <f>VLOOKUP(F490,Input!C:M,9,0)</f>
        <v>#N/A</v>
      </c>
      <c r="L490" s="42" t="e">
        <f>VLOOKUP(F490,Input!C:M,10,0)</f>
        <v>#N/A</v>
      </c>
      <c r="M490" s="42" t="e">
        <f>VLOOKUP(F490,Input!C:M,11,0)</f>
        <v>#N/A</v>
      </c>
      <c r="N490" s="43" t="str">
        <f t="shared" si="7"/>
        <v>489,489,**</v>
      </c>
      <c r="O490" s="42">
        <v>489</v>
      </c>
    </row>
    <row r="491" spans="1:15" ht="14.25">
      <c r="A491" s="13" t="str">
        <f>IFERROR(VLOOKUP($F:$F,scan!$A:$B,2,0),"**")</f>
        <v>**</v>
      </c>
      <c r="B491" s="13" t="str">
        <f>IFERROR(VLOOKUP($F491,scan!A:C,3,0),"**")</f>
        <v>**</v>
      </c>
      <c r="C491" s="42">
        <v>490</v>
      </c>
      <c r="D491" s="42" t="s">
        <v>4936</v>
      </c>
      <c r="E491" s="42" t="s">
        <v>4937</v>
      </c>
      <c r="H491" s="42" t="s">
        <v>4936</v>
      </c>
      <c r="I491" s="42" t="s">
        <v>4938</v>
      </c>
      <c r="J491" s="42" t="s">
        <v>4939</v>
      </c>
      <c r="K491" s="42" t="e">
        <f>VLOOKUP(F491,Input!C:M,9,0)</f>
        <v>#N/A</v>
      </c>
      <c r="L491" s="42" t="e">
        <f>VLOOKUP(F491,Input!C:M,10,0)</f>
        <v>#N/A</v>
      </c>
      <c r="M491" s="42" t="e">
        <f>VLOOKUP(F491,Input!C:M,11,0)</f>
        <v>#N/A</v>
      </c>
      <c r="N491" s="43" t="str">
        <f t="shared" si="7"/>
        <v>490,490,**</v>
      </c>
      <c r="O491" s="42">
        <v>490</v>
      </c>
    </row>
    <row r="492" spans="1:15" ht="14.25">
      <c r="A492" s="13" t="str">
        <f>IFERROR(VLOOKUP($F:$F,scan!$A:$B,2,0),"**")</f>
        <v>**</v>
      </c>
      <c r="B492" s="13" t="str">
        <f>IFERROR(VLOOKUP($F492,scan!A:C,3,0),"**")</f>
        <v>**</v>
      </c>
      <c r="C492" s="42">
        <v>491</v>
      </c>
      <c r="D492" s="42" t="s">
        <v>4936</v>
      </c>
      <c r="E492" s="42" t="s">
        <v>4937</v>
      </c>
      <c r="H492" s="42" t="s">
        <v>4936</v>
      </c>
      <c r="I492" s="42" t="s">
        <v>4938</v>
      </c>
      <c r="J492" s="42" t="s">
        <v>4939</v>
      </c>
      <c r="K492" s="42" t="e">
        <f>VLOOKUP(F492,Input!C:M,9,0)</f>
        <v>#N/A</v>
      </c>
      <c r="L492" s="42" t="e">
        <f>VLOOKUP(F492,Input!C:M,10,0)</f>
        <v>#N/A</v>
      </c>
      <c r="M492" s="42" t="e">
        <f>VLOOKUP(F492,Input!C:M,11,0)</f>
        <v>#N/A</v>
      </c>
      <c r="N492" s="43" t="str">
        <f t="shared" si="7"/>
        <v>491,491,**</v>
      </c>
      <c r="O492" s="42">
        <v>491</v>
      </c>
    </row>
    <row r="493" spans="1:15" ht="14.25">
      <c r="A493" s="13" t="str">
        <f>IFERROR(VLOOKUP($F:$F,scan!$A:$B,2,0),"**")</f>
        <v>**</v>
      </c>
      <c r="B493" s="13" t="str">
        <f>IFERROR(VLOOKUP($F493,scan!A:C,3,0),"**")</f>
        <v>**</v>
      </c>
      <c r="C493" s="42">
        <v>492</v>
      </c>
      <c r="D493" s="42" t="s">
        <v>4936</v>
      </c>
      <c r="E493" s="42" t="s">
        <v>4937</v>
      </c>
      <c r="H493" s="42" t="s">
        <v>4936</v>
      </c>
      <c r="I493" s="42" t="s">
        <v>4938</v>
      </c>
      <c r="J493" s="42" t="s">
        <v>4939</v>
      </c>
      <c r="K493" s="42" t="e">
        <f>VLOOKUP(F493,Input!C:M,9,0)</f>
        <v>#N/A</v>
      </c>
      <c r="L493" s="42" t="e">
        <f>VLOOKUP(F493,Input!C:M,10,0)</f>
        <v>#N/A</v>
      </c>
      <c r="M493" s="42" t="e">
        <f>VLOOKUP(F493,Input!C:M,11,0)</f>
        <v>#N/A</v>
      </c>
      <c r="N493" s="43" t="str">
        <f t="shared" si="7"/>
        <v>492,492,**</v>
      </c>
      <c r="O493" s="42">
        <v>492</v>
      </c>
    </row>
    <row r="494" spans="1:15" ht="14.25">
      <c r="A494" s="13" t="str">
        <f>IFERROR(VLOOKUP($F:$F,scan!$A:$B,2,0),"**")</f>
        <v>**</v>
      </c>
      <c r="B494" s="13" t="str">
        <f>IFERROR(VLOOKUP($F494,scan!A:C,3,0),"**")</f>
        <v>**</v>
      </c>
      <c r="C494" s="42">
        <v>493</v>
      </c>
      <c r="D494" s="42" t="s">
        <v>4936</v>
      </c>
      <c r="E494" s="42" t="s">
        <v>4937</v>
      </c>
      <c r="H494" s="42" t="s">
        <v>4936</v>
      </c>
      <c r="I494" s="42" t="s">
        <v>4938</v>
      </c>
      <c r="J494" s="42" t="s">
        <v>4939</v>
      </c>
      <c r="K494" s="42" t="e">
        <f>VLOOKUP(F494,Input!C:M,9,0)</f>
        <v>#N/A</v>
      </c>
      <c r="L494" s="42" t="e">
        <f>VLOOKUP(F494,Input!C:M,10,0)</f>
        <v>#N/A</v>
      </c>
      <c r="M494" s="42" t="e">
        <f>VLOOKUP(F494,Input!C:M,11,0)</f>
        <v>#N/A</v>
      </c>
      <c r="N494" s="43" t="str">
        <f t="shared" si="7"/>
        <v>493,493,**</v>
      </c>
      <c r="O494" s="42">
        <v>493</v>
      </c>
    </row>
    <row r="495" spans="1:15" ht="14.25">
      <c r="A495" s="13" t="str">
        <f>IFERROR(VLOOKUP($F:$F,scan!$A:$B,2,0),"**")</f>
        <v>**</v>
      </c>
      <c r="B495" s="13" t="str">
        <f>IFERROR(VLOOKUP($F495,scan!A:C,3,0),"**")</f>
        <v>**</v>
      </c>
      <c r="C495" s="42">
        <v>494</v>
      </c>
      <c r="D495" s="42" t="s">
        <v>4936</v>
      </c>
      <c r="E495" s="42" t="s">
        <v>4937</v>
      </c>
      <c r="H495" s="42" t="s">
        <v>4936</v>
      </c>
      <c r="I495" s="42" t="s">
        <v>4938</v>
      </c>
      <c r="J495" s="42" t="s">
        <v>4939</v>
      </c>
      <c r="K495" s="42" t="e">
        <f>VLOOKUP(F495,Input!C:M,9,0)</f>
        <v>#N/A</v>
      </c>
      <c r="L495" s="42" t="e">
        <f>VLOOKUP(F495,Input!C:M,10,0)</f>
        <v>#N/A</v>
      </c>
      <c r="M495" s="42" t="e">
        <f>VLOOKUP(F495,Input!C:M,11,0)</f>
        <v>#N/A</v>
      </c>
      <c r="N495" s="43" t="str">
        <f t="shared" si="7"/>
        <v>494,494,**</v>
      </c>
      <c r="O495" s="42">
        <v>494</v>
      </c>
    </row>
    <row r="496" spans="1:15" ht="14.25">
      <c r="A496" s="13" t="str">
        <f>IFERROR(VLOOKUP($F:$F,scan!$A:$B,2,0),"**")</f>
        <v>**</v>
      </c>
      <c r="B496" s="13" t="str">
        <f>IFERROR(VLOOKUP($F496,scan!A:C,3,0),"**")</f>
        <v>**</v>
      </c>
      <c r="C496" s="42">
        <v>495</v>
      </c>
      <c r="D496" s="42" t="s">
        <v>4936</v>
      </c>
      <c r="E496" s="42" t="s">
        <v>4937</v>
      </c>
      <c r="H496" s="42" t="s">
        <v>4936</v>
      </c>
      <c r="I496" s="42" t="s">
        <v>4938</v>
      </c>
      <c r="J496" s="42" t="s">
        <v>4939</v>
      </c>
      <c r="K496" s="42" t="e">
        <f>VLOOKUP(F496,Input!C:M,9,0)</f>
        <v>#N/A</v>
      </c>
      <c r="L496" s="42" t="e">
        <f>VLOOKUP(F496,Input!C:M,10,0)</f>
        <v>#N/A</v>
      </c>
      <c r="M496" s="42" t="e">
        <f>VLOOKUP(F496,Input!C:M,11,0)</f>
        <v>#N/A</v>
      </c>
      <c r="N496" s="43" t="str">
        <f t="shared" si="7"/>
        <v>495,495,**</v>
      </c>
      <c r="O496" s="42">
        <v>495</v>
      </c>
    </row>
    <row r="497" spans="1:15" ht="14.25">
      <c r="A497" s="13" t="str">
        <f>IFERROR(VLOOKUP($F:$F,scan!$A:$B,2,0),"**")</f>
        <v>**</v>
      </c>
      <c r="B497" s="13" t="str">
        <f>IFERROR(VLOOKUP($F497,scan!A:C,3,0),"**")</f>
        <v>**</v>
      </c>
      <c r="C497" s="42">
        <v>496</v>
      </c>
      <c r="D497" s="42" t="s">
        <v>4936</v>
      </c>
      <c r="E497" s="42" t="s">
        <v>4937</v>
      </c>
      <c r="H497" s="42" t="s">
        <v>4936</v>
      </c>
      <c r="I497" s="42" t="s">
        <v>4938</v>
      </c>
      <c r="J497" s="42" t="s">
        <v>4939</v>
      </c>
      <c r="K497" s="42" t="e">
        <f>VLOOKUP(F497,Input!C:M,9,0)</f>
        <v>#N/A</v>
      </c>
      <c r="L497" s="42" t="e">
        <f>VLOOKUP(F497,Input!C:M,10,0)</f>
        <v>#N/A</v>
      </c>
      <c r="M497" s="42" t="e">
        <f>VLOOKUP(F497,Input!C:M,11,0)</f>
        <v>#N/A</v>
      </c>
      <c r="N497" s="43" t="str">
        <f t="shared" si="7"/>
        <v>496,496,**</v>
      </c>
      <c r="O497" s="42">
        <v>496</v>
      </c>
    </row>
    <row r="498" spans="1:15" ht="14.25">
      <c r="A498" s="13" t="str">
        <f>IFERROR(VLOOKUP($F:$F,scan!$A:$B,2,0),"**")</f>
        <v>**</v>
      </c>
      <c r="B498" s="13" t="str">
        <f>IFERROR(VLOOKUP($F498,scan!A:C,3,0),"**")</f>
        <v>**</v>
      </c>
      <c r="C498" s="42">
        <v>497</v>
      </c>
      <c r="D498" s="42" t="s">
        <v>4936</v>
      </c>
      <c r="E498" s="42" t="s">
        <v>4937</v>
      </c>
      <c r="H498" s="42" t="s">
        <v>4936</v>
      </c>
      <c r="I498" s="42" t="s">
        <v>4938</v>
      </c>
      <c r="J498" s="42" t="s">
        <v>4939</v>
      </c>
      <c r="K498" s="42" t="e">
        <f>VLOOKUP(F498,Input!C:M,9,0)</f>
        <v>#N/A</v>
      </c>
      <c r="L498" s="42" t="e">
        <f>VLOOKUP(F498,Input!C:M,10,0)</f>
        <v>#N/A</v>
      </c>
      <c r="M498" s="42" t="e">
        <f>VLOOKUP(F498,Input!C:M,11,0)</f>
        <v>#N/A</v>
      </c>
      <c r="N498" s="43" t="str">
        <f t="shared" si="7"/>
        <v>497,497,**</v>
      </c>
      <c r="O498" s="42">
        <v>497</v>
      </c>
    </row>
    <row r="499" spans="1:15" ht="14.25">
      <c r="A499" s="13" t="str">
        <f>IFERROR(VLOOKUP($F:$F,scan!$A:$B,2,0),"**")</f>
        <v>**</v>
      </c>
      <c r="B499" s="13" t="str">
        <f>IFERROR(VLOOKUP($F499,scan!A:C,3,0),"**")</f>
        <v>**</v>
      </c>
      <c r="C499" s="42">
        <v>498</v>
      </c>
      <c r="D499" s="42" t="s">
        <v>4936</v>
      </c>
      <c r="E499" s="42" t="s">
        <v>4937</v>
      </c>
      <c r="H499" s="42" t="s">
        <v>4936</v>
      </c>
      <c r="I499" s="42" t="s">
        <v>4938</v>
      </c>
      <c r="J499" s="42" t="s">
        <v>4939</v>
      </c>
      <c r="K499" s="42" t="e">
        <f>VLOOKUP(F499,Input!C:M,9,0)</f>
        <v>#N/A</v>
      </c>
      <c r="L499" s="42" t="e">
        <f>VLOOKUP(F499,Input!C:M,10,0)</f>
        <v>#N/A</v>
      </c>
      <c r="M499" s="42" t="e">
        <f>VLOOKUP(F499,Input!C:M,11,0)</f>
        <v>#N/A</v>
      </c>
      <c r="N499" s="43" t="str">
        <f t="shared" si="7"/>
        <v>498,498,**</v>
      </c>
      <c r="O499" s="42">
        <v>498</v>
      </c>
    </row>
    <row r="500" spans="1:15" ht="14.25">
      <c r="A500" s="13" t="str">
        <f>IFERROR(VLOOKUP($F:$F,scan!$A:$B,2,0),"**")</f>
        <v>**</v>
      </c>
      <c r="B500" s="13" t="str">
        <f>IFERROR(VLOOKUP($F500,scan!A:C,3,0),"**")</f>
        <v>**</v>
      </c>
      <c r="C500" s="42">
        <v>499</v>
      </c>
      <c r="D500" s="42" t="s">
        <v>4936</v>
      </c>
      <c r="E500" s="42" t="s">
        <v>4937</v>
      </c>
      <c r="H500" s="42" t="s">
        <v>4936</v>
      </c>
      <c r="I500" s="42" t="s">
        <v>4938</v>
      </c>
      <c r="J500" s="42" t="s">
        <v>4939</v>
      </c>
      <c r="K500" s="42" t="e">
        <f>VLOOKUP(F500,Input!C:M,9,0)</f>
        <v>#N/A</v>
      </c>
      <c r="L500" s="42" t="e">
        <f>VLOOKUP(F500,Input!C:M,10,0)</f>
        <v>#N/A</v>
      </c>
      <c r="M500" s="42" t="e">
        <f>VLOOKUP(F500,Input!C:M,11,0)</f>
        <v>#N/A</v>
      </c>
      <c r="N500" s="43" t="str">
        <f t="shared" si="7"/>
        <v>499,499,**</v>
      </c>
      <c r="O500" s="42">
        <v>499</v>
      </c>
    </row>
    <row r="501" spans="1:15" ht="14.25">
      <c r="A501" s="13" t="str">
        <f>IFERROR(VLOOKUP($F:$F,scan!$A:$B,2,0),"**")</f>
        <v>**</v>
      </c>
      <c r="B501" s="13" t="str">
        <f>IFERROR(VLOOKUP($F501,scan!A:C,3,0),"**")</f>
        <v>**</v>
      </c>
      <c r="C501" s="42">
        <v>500</v>
      </c>
      <c r="D501" s="42" t="s">
        <v>4936</v>
      </c>
      <c r="E501" s="42" t="s">
        <v>4937</v>
      </c>
      <c r="H501" s="42" t="s">
        <v>4936</v>
      </c>
      <c r="I501" s="42" t="s">
        <v>4938</v>
      </c>
      <c r="J501" s="42" t="s">
        <v>4939</v>
      </c>
      <c r="K501" s="42" t="e">
        <f>VLOOKUP(F501,Input!C:M,9,0)</f>
        <v>#N/A</v>
      </c>
      <c r="L501" s="42" t="e">
        <f>VLOOKUP(F501,Input!C:M,10,0)</f>
        <v>#N/A</v>
      </c>
      <c r="M501" s="42" t="e">
        <f>VLOOKUP(F501,Input!C:M,11,0)</f>
        <v>#N/A</v>
      </c>
      <c r="N501" s="43" t="str">
        <f t="shared" si="7"/>
        <v>500,500,**</v>
      </c>
      <c r="O501" s="42">
        <v>500</v>
      </c>
    </row>
    <row r="502" spans="1:15" ht="14.25">
      <c r="A502" s="13" t="str">
        <f>IFERROR(VLOOKUP($F:$F,scan!$A:$B,2,0),"**")</f>
        <v>**</v>
      </c>
      <c r="B502" s="13" t="str">
        <f>IFERROR(VLOOKUP($F502,scan!A:C,3,0),"**")</f>
        <v>**</v>
      </c>
      <c r="C502" s="42">
        <v>501</v>
      </c>
      <c r="D502" s="42" t="s">
        <v>4936</v>
      </c>
      <c r="E502" s="42" t="s">
        <v>4937</v>
      </c>
      <c r="H502" s="42" t="s">
        <v>4936</v>
      </c>
      <c r="I502" s="42" t="s">
        <v>4938</v>
      </c>
      <c r="J502" s="42" t="s">
        <v>4939</v>
      </c>
      <c r="K502" s="42" t="e">
        <f>VLOOKUP(F502,Input!C:M,9,0)</f>
        <v>#N/A</v>
      </c>
      <c r="L502" s="42" t="e">
        <f>VLOOKUP(F502,Input!C:M,10,0)</f>
        <v>#N/A</v>
      </c>
      <c r="M502" s="42" t="e">
        <f>VLOOKUP(F502,Input!C:M,11,0)</f>
        <v>#N/A</v>
      </c>
      <c r="N502" s="43" t="str">
        <f t="shared" si="7"/>
        <v>501,501,**</v>
      </c>
      <c r="O502" s="42">
        <v>501</v>
      </c>
    </row>
    <row r="503" spans="1:15" ht="14.25">
      <c r="A503" s="13" t="str">
        <f>IFERROR(VLOOKUP($F:$F,scan!$A:$B,2,0),"**")</f>
        <v>**</v>
      </c>
      <c r="B503" s="13" t="str">
        <f>IFERROR(VLOOKUP($F503,scan!A:C,3,0),"**")</f>
        <v>**</v>
      </c>
      <c r="C503" s="42">
        <v>502</v>
      </c>
      <c r="D503" s="42" t="s">
        <v>4936</v>
      </c>
      <c r="E503" s="42" t="s">
        <v>4937</v>
      </c>
      <c r="H503" s="42" t="s">
        <v>4936</v>
      </c>
      <c r="I503" s="42" t="s">
        <v>4938</v>
      </c>
      <c r="J503" s="42" t="s">
        <v>4939</v>
      </c>
      <c r="K503" s="42" t="e">
        <f>VLOOKUP(F503,Input!C:M,9,0)</f>
        <v>#N/A</v>
      </c>
      <c r="L503" s="42" t="e">
        <f>VLOOKUP(F503,Input!C:M,10,0)</f>
        <v>#N/A</v>
      </c>
      <c r="M503" s="42" t="e">
        <f>VLOOKUP(F503,Input!C:M,11,0)</f>
        <v>#N/A</v>
      </c>
      <c r="N503" s="43" t="str">
        <f t="shared" si="7"/>
        <v>502,502,**</v>
      </c>
      <c r="O503" s="42">
        <v>502</v>
      </c>
    </row>
    <row r="504" spans="1:15" ht="14.25">
      <c r="A504" s="13" t="str">
        <f>IFERROR(VLOOKUP($F:$F,scan!$A:$B,2,0),"**")</f>
        <v>**</v>
      </c>
      <c r="B504" s="13" t="str">
        <f>IFERROR(VLOOKUP($F504,scan!A:C,3,0),"**")</f>
        <v>**</v>
      </c>
      <c r="C504" s="42">
        <v>503</v>
      </c>
      <c r="D504" s="42" t="s">
        <v>4936</v>
      </c>
      <c r="E504" s="42" t="s">
        <v>4937</v>
      </c>
      <c r="H504" s="42" t="s">
        <v>4936</v>
      </c>
      <c r="I504" s="42" t="s">
        <v>4938</v>
      </c>
      <c r="J504" s="42" t="s">
        <v>4939</v>
      </c>
      <c r="K504" s="42" t="e">
        <f>VLOOKUP(F504,Input!C:M,9,0)</f>
        <v>#N/A</v>
      </c>
      <c r="L504" s="42" t="e">
        <f>VLOOKUP(F504,Input!C:M,10,0)</f>
        <v>#N/A</v>
      </c>
      <c r="M504" s="42" t="e">
        <f>VLOOKUP(F504,Input!C:M,11,0)</f>
        <v>#N/A</v>
      </c>
      <c r="N504" s="43" t="str">
        <f t="shared" si="7"/>
        <v>503,503,**</v>
      </c>
      <c r="O504" s="42">
        <v>503</v>
      </c>
    </row>
    <row r="505" spans="1:15" ht="14.25">
      <c r="A505" s="13" t="str">
        <f>IFERROR(VLOOKUP($F:$F,scan!$A:$B,2,0),"**")</f>
        <v>**</v>
      </c>
      <c r="B505" s="13" t="str">
        <f>IFERROR(VLOOKUP($F505,scan!A:C,3,0),"**")</f>
        <v>**</v>
      </c>
      <c r="C505" s="42">
        <v>504</v>
      </c>
      <c r="D505" s="42" t="s">
        <v>4936</v>
      </c>
      <c r="E505" s="42" t="s">
        <v>4937</v>
      </c>
      <c r="H505" s="42" t="s">
        <v>4936</v>
      </c>
      <c r="I505" s="42" t="s">
        <v>4938</v>
      </c>
      <c r="J505" s="42" t="s">
        <v>4939</v>
      </c>
      <c r="K505" s="42" t="e">
        <f>VLOOKUP(F505,Input!C:M,9,0)</f>
        <v>#N/A</v>
      </c>
      <c r="L505" s="42" t="e">
        <f>VLOOKUP(F505,Input!C:M,10,0)</f>
        <v>#N/A</v>
      </c>
      <c r="M505" s="42" t="e">
        <f>VLOOKUP(F505,Input!C:M,11,0)</f>
        <v>#N/A</v>
      </c>
      <c r="N505" s="43" t="str">
        <f t="shared" si="7"/>
        <v>504,504,**</v>
      </c>
      <c r="O505" s="42">
        <v>504</v>
      </c>
    </row>
    <row r="506" spans="1:15" ht="14.25">
      <c r="A506" s="13" t="str">
        <f>IFERROR(VLOOKUP($F:$F,scan!$A:$B,2,0),"**")</f>
        <v>**</v>
      </c>
      <c r="B506" s="13" t="str">
        <f>IFERROR(VLOOKUP($F506,scan!A:C,3,0),"**")</f>
        <v>**</v>
      </c>
      <c r="C506" s="42">
        <v>505</v>
      </c>
      <c r="D506" s="42" t="s">
        <v>4936</v>
      </c>
      <c r="E506" s="42" t="s">
        <v>4937</v>
      </c>
      <c r="H506" s="42" t="s">
        <v>4936</v>
      </c>
      <c r="I506" s="42" t="s">
        <v>4938</v>
      </c>
      <c r="J506" s="42" t="s">
        <v>4939</v>
      </c>
      <c r="K506" s="42" t="e">
        <f>VLOOKUP(F506,Input!C:M,9,0)</f>
        <v>#N/A</v>
      </c>
      <c r="L506" s="42" t="e">
        <f>VLOOKUP(F506,Input!C:M,10,0)</f>
        <v>#N/A</v>
      </c>
      <c r="M506" s="42" t="e">
        <f>VLOOKUP(F506,Input!C:M,11,0)</f>
        <v>#N/A</v>
      </c>
      <c r="N506" s="43" t="str">
        <f t="shared" si="7"/>
        <v>505,505,**</v>
      </c>
      <c r="O506" s="42">
        <v>505</v>
      </c>
    </row>
    <row r="507" spans="1:15" ht="14.25">
      <c r="A507" s="13" t="str">
        <f>IFERROR(VLOOKUP($F:$F,scan!$A:$B,2,0),"**")</f>
        <v>**</v>
      </c>
      <c r="B507" s="13" t="str">
        <f>IFERROR(VLOOKUP($F507,scan!A:C,3,0),"**")</f>
        <v>**</v>
      </c>
      <c r="C507" s="42">
        <v>506</v>
      </c>
      <c r="D507" s="42" t="s">
        <v>4936</v>
      </c>
      <c r="E507" s="42" t="s">
        <v>4937</v>
      </c>
      <c r="H507" s="42" t="s">
        <v>4936</v>
      </c>
      <c r="I507" s="42" t="s">
        <v>4938</v>
      </c>
      <c r="J507" s="42" t="s">
        <v>4939</v>
      </c>
      <c r="K507" s="42" t="e">
        <f>VLOOKUP(F507,Input!C:M,9,0)</f>
        <v>#N/A</v>
      </c>
      <c r="L507" s="42" t="e">
        <f>VLOOKUP(F507,Input!C:M,10,0)</f>
        <v>#N/A</v>
      </c>
      <c r="M507" s="42" t="e">
        <f>VLOOKUP(F507,Input!C:M,11,0)</f>
        <v>#N/A</v>
      </c>
      <c r="N507" s="43" t="str">
        <f t="shared" si="7"/>
        <v>506,506,**</v>
      </c>
      <c r="O507" s="42">
        <v>506</v>
      </c>
    </row>
    <row r="508" spans="1:15" ht="14.25">
      <c r="A508" s="13" t="str">
        <f>IFERROR(VLOOKUP($F:$F,scan!$A:$B,2,0),"**")</f>
        <v>**</v>
      </c>
      <c r="B508" s="13" t="str">
        <f>IFERROR(VLOOKUP($F508,scan!A:C,3,0),"**")</f>
        <v>**</v>
      </c>
      <c r="C508" s="42">
        <v>507</v>
      </c>
      <c r="D508" s="42" t="s">
        <v>4936</v>
      </c>
      <c r="E508" s="42" t="s">
        <v>4937</v>
      </c>
      <c r="H508" s="42" t="s">
        <v>4936</v>
      </c>
      <c r="I508" s="42" t="s">
        <v>4938</v>
      </c>
      <c r="J508" s="42" t="s">
        <v>4939</v>
      </c>
      <c r="K508" s="42" t="e">
        <f>VLOOKUP(F508,Input!C:M,9,0)</f>
        <v>#N/A</v>
      </c>
      <c r="L508" s="42" t="e">
        <f>VLOOKUP(F508,Input!C:M,10,0)</f>
        <v>#N/A</v>
      </c>
      <c r="M508" s="42" t="e">
        <f>VLOOKUP(F508,Input!C:M,11,0)</f>
        <v>#N/A</v>
      </c>
      <c r="N508" s="43" t="str">
        <f t="shared" si="7"/>
        <v>507,507,**</v>
      </c>
      <c r="O508" s="42">
        <v>507</v>
      </c>
    </row>
    <row r="509" spans="1:15" ht="14.25">
      <c r="A509" s="13" t="str">
        <f>IFERROR(VLOOKUP($F:$F,scan!$A:$B,2,0),"**")</f>
        <v>**</v>
      </c>
      <c r="B509" s="13" t="str">
        <f>IFERROR(VLOOKUP($F509,scan!A:C,3,0),"**")</f>
        <v>**</v>
      </c>
      <c r="C509" s="42">
        <v>508</v>
      </c>
      <c r="D509" s="42" t="s">
        <v>4936</v>
      </c>
      <c r="E509" s="42" t="s">
        <v>4937</v>
      </c>
      <c r="H509" s="42" t="s">
        <v>4936</v>
      </c>
      <c r="I509" s="42" t="s">
        <v>4938</v>
      </c>
      <c r="J509" s="42" t="s">
        <v>4939</v>
      </c>
      <c r="K509" s="42" t="e">
        <f>VLOOKUP(F509,Input!C:M,9,0)</f>
        <v>#N/A</v>
      </c>
      <c r="L509" s="42" t="e">
        <f>VLOOKUP(F509,Input!C:M,10,0)</f>
        <v>#N/A</v>
      </c>
      <c r="M509" s="42" t="e">
        <f>VLOOKUP(F509,Input!C:M,11,0)</f>
        <v>#N/A</v>
      </c>
      <c r="N509" s="43" t="str">
        <f t="shared" si="7"/>
        <v>508,508,**</v>
      </c>
      <c r="O509" s="42">
        <v>508</v>
      </c>
    </row>
    <row r="510" spans="1:15" ht="14.25">
      <c r="A510" s="13" t="str">
        <f>IFERROR(VLOOKUP($F:$F,scan!$A:$B,2,0),"**")</f>
        <v>**</v>
      </c>
      <c r="B510" s="13" t="str">
        <f>IFERROR(VLOOKUP($F510,scan!A:C,3,0),"**")</f>
        <v>**</v>
      </c>
      <c r="C510" s="42">
        <v>509</v>
      </c>
      <c r="D510" s="42" t="s">
        <v>4936</v>
      </c>
      <c r="E510" s="42" t="s">
        <v>4937</v>
      </c>
      <c r="H510" s="42" t="s">
        <v>4936</v>
      </c>
      <c r="I510" s="42" t="s">
        <v>4938</v>
      </c>
      <c r="J510" s="42" t="s">
        <v>4939</v>
      </c>
      <c r="K510" s="42" t="e">
        <f>VLOOKUP(F510,Input!C:M,9,0)</f>
        <v>#N/A</v>
      </c>
      <c r="L510" s="42" t="e">
        <f>VLOOKUP(F510,Input!C:M,10,0)</f>
        <v>#N/A</v>
      </c>
      <c r="M510" s="42" t="e">
        <f>VLOOKUP(F510,Input!C:M,11,0)</f>
        <v>#N/A</v>
      </c>
      <c r="N510" s="43" t="str">
        <f t="shared" si="7"/>
        <v>509,509,**</v>
      </c>
      <c r="O510" s="42">
        <v>509</v>
      </c>
    </row>
    <row r="511" spans="1:15" ht="14.25">
      <c r="A511" s="13" t="str">
        <f>IFERROR(VLOOKUP($F:$F,scan!$A:$B,2,0),"**")</f>
        <v>**</v>
      </c>
      <c r="B511" s="13" t="str">
        <f>IFERROR(VLOOKUP($F511,scan!A:C,3,0),"**")</f>
        <v>**</v>
      </c>
      <c r="C511" s="42">
        <v>510</v>
      </c>
      <c r="D511" s="42" t="s">
        <v>4936</v>
      </c>
      <c r="E511" s="42" t="s">
        <v>4937</v>
      </c>
      <c r="H511" s="42" t="s">
        <v>4936</v>
      </c>
      <c r="I511" s="42" t="s">
        <v>4938</v>
      </c>
      <c r="J511" s="42" t="s">
        <v>4939</v>
      </c>
      <c r="K511" s="42" t="e">
        <f>VLOOKUP(F511,Input!C:M,9,0)</f>
        <v>#N/A</v>
      </c>
      <c r="L511" s="42" t="e">
        <f>VLOOKUP(F511,Input!C:M,10,0)</f>
        <v>#N/A</v>
      </c>
      <c r="M511" s="42" t="e">
        <f>VLOOKUP(F511,Input!C:M,11,0)</f>
        <v>#N/A</v>
      </c>
      <c r="N511" s="43" t="str">
        <f t="shared" si="7"/>
        <v>510,510,**</v>
      </c>
      <c r="O511" s="42">
        <v>510</v>
      </c>
    </row>
    <row r="512" spans="1:15" ht="14.25">
      <c r="A512" s="13" t="str">
        <f>IFERROR(VLOOKUP($F:$F,scan!$A:$B,2,0),"**")</f>
        <v>**</v>
      </c>
      <c r="B512" s="13" t="str">
        <f>IFERROR(VLOOKUP($F512,scan!A:C,3,0),"**")</f>
        <v>**</v>
      </c>
      <c r="C512" s="42">
        <v>511</v>
      </c>
      <c r="D512" s="42" t="s">
        <v>4936</v>
      </c>
      <c r="E512" s="42" t="s">
        <v>4937</v>
      </c>
      <c r="H512" s="42" t="s">
        <v>4936</v>
      </c>
      <c r="I512" s="42" t="s">
        <v>4938</v>
      </c>
      <c r="J512" s="42" t="s">
        <v>4939</v>
      </c>
      <c r="K512" s="42" t="e">
        <f>VLOOKUP(F512,Input!C:M,9,0)</f>
        <v>#N/A</v>
      </c>
      <c r="L512" s="42" t="e">
        <f>VLOOKUP(F512,Input!C:M,10,0)</f>
        <v>#N/A</v>
      </c>
      <c r="M512" s="42" t="e">
        <f>VLOOKUP(F512,Input!C:M,11,0)</f>
        <v>#N/A</v>
      </c>
      <c r="N512" s="43" t="str">
        <f t="shared" si="7"/>
        <v>511,511,**</v>
      </c>
      <c r="O512" s="42">
        <v>511</v>
      </c>
    </row>
    <row r="513" spans="1:15" ht="14.25">
      <c r="A513" s="13" t="str">
        <f>IFERROR(VLOOKUP($F:$F,scan!$A:$B,2,0),"**")</f>
        <v>**</v>
      </c>
      <c r="B513" s="13" t="str">
        <f>IFERROR(VLOOKUP($F513,scan!A:C,3,0),"**")</f>
        <v>**</v>
      </c>
      <c r="C513" s="42">
        <v>512</v>
      </c>
      <c r="D513" s="42" t="s">
        <v>4936</v>
      </c>
      <c r="E513" s="42" t="s">
        <v>4937</v>
      </c>
      <c r="H513" s="42" t="s">
        <v>4936</v>
      </c>
      <c r="I513" s="42" t="s">
        <v>4938</v>
      </c>
      <c r="J513" s="42" t="s">
        <v>4939</v>
      </c>
      <c r="K513" s="42" t="e">
        <f>VLOOKUP(F513,Input!C:M,9,0)</f>
        <v>#N/A</v>
      </c>
      <c r="L513" s="42" t="e">
        <f>VLOOKUP(F513,Input!C:M,10,0)</f>
        <v>#N/A</v>
      </c>
      <c r="M513" s="42" t="e">
        <f>VLOOKUP(F513,Input!C:M,11,0)</f>
        <v>#N/A</v>
      </c>
      <c r="N513" s="43" t="str">
        <f t="shared" si="7"/>
        <v>512,512,**</v>
      </c>
      <c r="O513" s="42">
        <v>512</v>
      </c>
    </row>
    <row r="514" spans="1:15" ht="14.25">
      <c r="A514" s="13" t="str">
        <f>IFERROR(VLOOKUP($F:$F,scan!$A:$B,2,0),"**")</f>
        <v>**</v>
      </c>
      <c r="B514" s="13" t="str">
        <f>IFERROR(VLOOKUP($F514,scan!A:C,3,0),"**")</f>
        <v>**</v>
      </c>
      <c r="C514" s="42">
        <v>513</v>
      </c>
      <c r="D514" s="42" t="s">
        <v>4936</v>
      </c>
      <c r="E514" s="42" t="s">
        <v>4937</v>
      </c>
      <c r="H514" s="42" t="s">
        <v>4936</v>
      </c>
      <c r="I514" s="42" t="s">
        <v>4938</v>
      </c>
      <c r="J514" s="42" t="s">
        <v>4939</v>
      </c>
      <c r="K514" s="42" t="e">
        <f>VLOOKUP(F514,Input!C:M,9,0)</f>
        <v>#N/A</v>
      </c>
      <c r="L514" s="42" t="e">
        <f>VLOOKUP(F514,Input!C:M,10,0)</f>
        <v>#N/A</v>
      </c>
      <c r="M514" s="42" t="e">
        <f>VLOOKUP(F514,Input!C:M,11,0)</f>
        <v>#N/A</v>
      </c>
      <c r="N514" s="43" t="str">
        <f t="shared" si="7"/>
        <v>513,513,**</v>
      </c>
      <c r="O514" s="42">
        <v>513</v>
      </c>
    </row>
    <row r="515" spans="1:15" ht="14.25">
      <c r="A515" s="13" t="str">
        <f>IFERROR(VLOOKUP($F:$F,scan!$A:$B,2,0),"**")</f>
        <v>**</v>
      </c>
      <c r="B515" s="13" t="str">
        <f>IFERROR(VLOOKUP($F515,scan!A:C,3,0),"**")</f>
        <v>**</v>
      </c>
      <c r="C515" s="42">
        <v>514</v>
      </c>
      <c r="D515" s="42" t="s">
        <v>4936</v>
      </c>
      <c r="E515" s="42" t="s">
        <v>4937</v>
      </c>
      <c r="H515" s="42" t="s">
        <v>4936</v>
      </c>
      <c r="I515" s="42" t="s">
        <v>4938</v>
      </c>
      <c r="J515" s="42" t="s">
        <v>4939</v>
      </c>
      <c r="K515" s="42" t="e">
        <f>VLOOKUP(F515,Input!C:M,9,0)</f>
        <v>#N/A</v>
      </c>
      <c r="L515" s="42" t="e">
        <f>VLOOKUP(F515,Input!C:M,10,0)</f>
        <v>#N/A</v>
      </c>
      <c r="M515" s="42" t="e">
        <f>VLOOKUP(F515,Input!C:M,11,0)</f>
        <v>#N/A</v>
      </c>
      <c r="N515" s="43" t="str">
        <f t="shared" ref="N515:N578" si="8">O515&amp;","&amp;C515&amp;","&amp;B515</f>
        <v>514,514,**</v>
      </c>
      <c r="O515" s="42">
        <v>514</v>
      </c>
    </row>
    <row r="516" spans="1:15" ht="14.25">
      <c r="A516" s="13" t="str">
        <f>IFERROR(VLOOKUP($F:$F,scan!$A:$B,2,0),"**")</f>
        <v>**</v>
      </c>
      <c r="B516" s="13" t="str">
        <f>IFERROR(VLOOKUP($F516,scan!A:C,3,0),"**")</f>
        <v>**</v>
      </c>
      <c r="C516" s="42">
        <v>515</v>
      </c>
      <c r="D516" s="42" t="s">
        <v>4936</v>
      </c>
      <c r="E516" s="42" t="s">
        <v>4937</v>
      </c>
      <c r="H516" s="42" t="s">
        <v>4936</v>
      </c>
      <c r="I516" s="42" t="s">
        <v>4938</v>
      </c>
      <c r="J516" s="42" t="s">
        <v>4939</v>
      </c>
      <c r="K516" s="42" t="e">
        <f>VLOOKUP(F516,Input!C:M,9,0)</f>
        <v>#N/A</v>
      </c>
      <c r="L516" s="42" t="e">
        <f>VLOOKUP(F516,Input!C:M,10,0)</f>
        <v>#N/A</v>
      </c>
      <c r="M516" s="42" t="e">
        <f>VLOOKUP(F516,Input!C:M,11,0)</f>
        <v>#N/A</v>
      </c>
      <c r="N516" s="43" t="str">
        <f t="shared" si="8"/>
        <v>515,515,**</v>
      </c>
      <c r="O516" s="42">
        <v>515</v>
      </c>
    </row>
    <row r="517" spans="1:15" ht="14.25">
      <c r="A517" s="13" t="str">
        <f>IFERROR(VLOOKUP($F:$F,scan!$A:$B,2,0),"**")</f>
        <v>**</v>
      </c>
      <c r="B517" s="13" t="str">
        <f>IFERROR(VLOOKUP($F517,scan!A:C,3,0),"**")</f>
        <v>**</v>
      </c>
      <c r="C517" s="42">
        <v>516</v>
      </c>
      <c r="D517" s="42" t="s">
        <v>4936</v>
      </c>
      <c r="E517" s="42" t="s">
        <v>4937</v>
      </c>
      <c r="H517" s="42" t="s">
        <v>4936</v>
      </c>
      <c r="I517" s="42" t="s">
        <v>4938</v>
      </c>
      <c r="J517" s="42" t="s">
        <v>4939</v>
      </c>
      <c r="K517" s="42" t="e">
        <f>VLOOKUP(F517,Input!C:M,9,0)</f>
        <v>#N/A</v>
      </c>
      <c r="L517" s="42" t="e">
        <f>VLOOKUP(F517,Input!C:M,10,0)</f>
        <v>#N/A</v>
      </c>
      <c r="M517" s="42" t="e">
        <f>VLOOKUP(F517,Input!C:M,11,0)</f>
        <v>#N/A</v>
      </c>
      <c r="N517" s="43" t="str">
        <f t="shared" si="8"/>
        <v>516,516,**</v>
      </c>
      <c r="O517" s="42">
        <v>516</v>
      </c>
    </row>
    <row r="518" spans="1:15" ht="14.25">
      <c r="A518" s="13" t="str">
        <f>IFERROR(VLOOKUP($F:$F,scan!$A:$B,2,0),"**")</f>
        <v>**</v>
      </c>
      <c r="B518" s="13" t="str">
        <f>IFERROR(VLOOKUP($F518,scan!A:C,3,0),"**")</f>
        <v>**</v>
      </c>
      <c r="C518" s="42">
        <v>517</v>
      </c>
      <c r="D518" s="42" t="s">
        <v>4936</v>
      </c>
      <c r="E518" s="42" t="s">
        <v>4937</v>
      </c>
      <c r="H518" s="42" t="s">
        <v>4936</v>
      </c>
      <c r="I518" s="42" t="s">
        <v>4938</v>
      </c>
      <c r="J518" s="42" t="s">
        <v>4939</v>
      </c>
      <c r="K518" s="42" t="e">
        <f>VLOOKUP(F518,Input!C:M,9,0)</f>
        <v>#N/A</v>
      </c>
      <c r="L518" s="42" t="e">
        <f>VLOOKUP(F518,Input!C:M,10,0)</f>
        <v>#N/A</v>
      </c>
      <c r="M518" s="42" t="e">
        <f>VLOOKUP(F518,Input!C:M,11,0)</f>
        <v>#N/A</v>
      </c>
      <c r="N518" s="43" t="str">
        <f t="shared" si="8"/>
        <v>517,517,**</v>
      </c>
      <c r="O518" s="42">
        <v>517</v>
      </c>
    </row>
    <row r="519" spans="1:15" ht="14.25">
      <c r="A519" s="13" t="str">
        <f>IFERROR(VLOOKUP($F:$F,scan!$A:$B,2,0),"**")</f>
        <v>**</v>
      </c>
      <c r="B519" s="13" t="str">
        <f>IFERROR(VLOOKUP($F519,scan!A:C,3,0),"**")</f>
        <v>**</v>
      </c>
      <c r="C519" s="42">
        <v>518</v>
      </c>
      <c r="D519" s="42" t="s">
        <v>4936</v>
      </c>
      <c r="E519" s="42" t="s">
        <v>4937</v>
      </c>
      <c r="H519" s="42" t="s">
        <v>4936</v>
      </c>
      <c r="I519" s="42" t="s">
        <v>4938</v>
      </c>
      <c r="J519" s="42" t="s">
        <v>4939</v>
      </c>
      <c r="K519" s="42" t="e">
        <f>VLOOKUP(F519,Input!C:M,9,0)</f>
        <v>#N/A</v>
      </c>
      <c r="L519" s="42" t="e">
        <f>VLOOKUP(F519,Input!C:M,10,0)</f>
        <v>#N/A</v>
      </c>
      <c r="M519" s="42" t="e">
        <f>VLOOKUP(F519,Input!C:M,11,0)</f>
        <v>#N/A</v>
      </c>
      <c r="N519" s="43" t="str">
        <f t="shared" si="8"/>
        <v>518,518,**</v>
      </c>
      <c r="O519" s="42">
        <v>518</v>
      </c>
    </row>
    <row r="520" spans="1:15" ht="14.25">
      <c r="A520" s="13" t="str">
        <f>IFERROR(VLOOKUP($F:$F,scan!$A:$B,2,0),"**")</f>
        <v>**</v>
      </c>
      <c r="B520" s="13" t="str">
        <f>IFERROR(VLOOKUP($F520,scan!A:C,3,0),"**")</f>
        <v>**</v>
      </c>
      <c r="C520" s="42">
        <v>519</v>
      </c>
      <c r="D520" s="42" t="s">
        <v>4936</v>
      </c>
      <c r="E520" s="42" t="s">
        <v>4937</v>
      </c>
      <c r="H520" s="42" t="s">
        <v>4936</v>
      </c>
      <c r="I520" s="42" t="s">
        <v>4938</v>
      </c>
      <c r="J520" s="42" t="s">
        <v>4939</v>
      </c>
      <c r="K520" s="42" t="e">
        <f>VLOOKUP(F520,Input!C:M,9,0)</f>
        <v>#N/A</v>
      </c>
      <c r="L520" s="42" t="e">
        <f>VLOOKUP(F520,Input!C:M,10,0)</f>
        <v>#N/A</v>
      </c>
      <c r="M520" s="42" t="e">
        <f>VLOOKUP(F520,Input!C:M,11,0)</f>
        <v>#N/A</v>
      </c>
      <c r="N520" s="43" t="str">
        <f t="shared" si="8"/>
        <v>519,519,**</v>
      </c>
      <c r="O520" s="42">
        <v>519</v>
      </c>
    </row>
    <row r="521" spans="1:15" ht="14.25">
      <c r="A521" s="13" t="str">
        <f>IFERROR(VLOOKUP($F:$F,scan!$A:$B,2,0),"**")</f>
        <v>**</v>
      </c>
      <c r="B521" s="13" t="str">
        <f>IFERROR(VLOOKUP($F521,scan!A:C,3,0),"**")</f>
        <v>**</v>
      </c>
      <c r="C521" s="42">
        <v>520</v>
      </c>
      <c r="D521" s="42" t="s">
        <v>4936</v>
      </c>
      <c r="E521" s="42" t="s">
        <v>4937</v>
      </c>
      <c r="H521" s="42" t="s">
        <v>4936</v>
      </c>
      <c r="I521" s="42" t="s">
        <v>4938</v>
      </c>
      <c r="J521" s="42" t="s">
        <v>4939</v>
      </c>
      <c r="K521" s="42" t="e">
        <f>VLOOKUP(F521,Input!C:M,9,0)</f>
        <v>#N/A</v>
      </c>
      <c r="L521" s="42" t="e">
        <f>VLOOKUP(F521,Input!C:M,10,0)</f>
        <v>#N/A</v>
      </c>
      <c r="M521" s="42" t="e">
        <f>VLOOKUP(F521,Input!C:M,11,0)</f>
        <v>#N/A</v>
      </c>
      <c r="N521" s="43" t="str">
        <f t="shared" si="8"/>
        <v>520,520,**</v>
      </c>
      <c r="O521" s="42">
        <v>520</v>
      </c>
    </row>
    <row r="522" spans="1:15" ht="14.25">
      <c r="A522" s="13" t="str">
        <f>IFERROR(VLOOKUP($F:$F,scan!$A:$B,2,0),"**")</f>
        <v>**</v>
      </c>
      <c r="B522" s="13" t="str">
        <f>IFERROR(VLOOKUP($F522,scan!A:C,3,0),"**")</f>
        <v>**</v>
      </c>
      <c r="C522" s="42">
        <v>521</v>
      </c>
      <c r="D522" s="42" t="s">
        <v>4936</v>
      </c>
      <c r="E522" s="42" t="s">
        <v>4937</v>
      </c>
      <c r="H522" s="42" t="s">
        <v>4936</v>
      </c>
      <c r="I522" s="42" t="s">
        <v>4938</v>
      </c>
      <c r="J522" s="42" t="s">
        <v>4939</v>
      </c>
      <c r="K522" s="42" t="e">
        <f>VLOOKUP(F522,Input!C:M,9,0)</f>
        <v>#N/A</v>
      </c>
      <c r="L522" s="42" t="e">
        <f>VLOOKUP(F522,Input!C:M,10,0)</f>
        <v>#N/A</v>
      </c>
      <c r="M522" s="42" t="e">
        <f>VLOOKUP(F522,Input!C:M,11,0)</f>
        <v>#N/A</v>
      </c>
      <c r="N522" s="43" t="str">
        <f t="shared" si="8"/>
        <v>521,521,**</v>
      </c>
      <c r="O522" s="42">
        <v>521</v>
      </c>
    </row>
    <row r="523" spans="1:15" ht="14.25">
      <c r="A523" s="13" t="str">
        <f>IFERROR(VLOOKUP($F:$F,scan!$A:$B,2,0),"**")</f>
        <v>**</v>
      </c>
      <c r="B523" s="13" t="str">
        <f>IFERROR(VLOOKUP($F523,scan!A:C,3,0),"**")</f>
        <v>**</v>
      </c>
      <c r="C523" s="42">
        <v>522</v>
      </c>
      <c r="D523" s="42" t="s">
        <v>4936</v>
      </c>
      <c r="E523" s="42" t="s">
        <v>4937</v>
      </c>
      <c r="H523" s="42" t="s">
        <v>4936</v>
      </c>
      <c r="I523" s="42" t="s">
        <v>4938</v>
      </c>
      <c r="J523" s="42" t="s">
        <v>4939</v>
      </c>
      <c r="K523" s="42" t="e">
        <f>VLOOKUP(F523,Input!C:M,9,0)</f>
        <v>#N/A</v>
      </c>
      <c r="L523" s="42" t="e">
        <f>VLOOKUP(F523,Input!C:M,10,0)</f>
        <v>#N/A</v>
      </c>
      <c r="M523" s="42" t="e">
        <f>VLOOKUP(F523,Input!C:M,11,0)</f>
        <v>#N/A</v>
      </c>
      <c r="N523" s="43" t="str">
        <f t="shared" si="8"/>
        <v>522,522,**</v>
      </c>
      <c r="O523" s="42">
        <v>522</v>
      </c>
    </row>
    <row r="524" spans="1:15" ht="14.25">
      <c r="A524" s="13" t="str">
        <f>IFERROR(VLOOKUP($F:$F,scan!$A:$B,2,0),"**")</f>
        <v>**</v>
      </c>
      <c r="B524" s="13" t="str">
        <f>IFERROR(VLOOKUP($F524,scan!A:C,3,0),"**")</f>
        <v>**</v>
      </c>
      <c r="C524" s="42">
        <v>523</v>
      </c>
      <c r="D524" s="42" t="s">
        <v>4936</v>
      </c>
      <c r="E524" s="42" t="s">
        <v>4937</v>
      </c>
      <c r="H524" s="42" t="s">
        <v>4936</v>
      </c>
      <c r="I524" s="42" t="s">
        <v>4938</v>
      </c>
      <c r="J524" s="42" t="s">
        <v>4939</v>
      </c>
      <c r="K524" s="42" t="e">
        <f>VLOOKUP(F524,Input!C:M,9,0)</f>
        <v>#N/A</v>
      </c>
      <c r="L524" s="42" t="e">
        <f>VLOOKUP(F524,Input!C:M,10,0)</f>
        <v>#N/A</v>
      </c>
      <c r="M524" s="42" t="e">
        <f>VLOOKUP(F524,Input!C:M,11,0)</f>
        <v>#N/A</v>
      </c>
      <c r="N524" s="43" t="str">
        <f t="shared" si="8"/>
        <v>523,523,**</v>
      </c>
      <c r="O524" s="42">
        <v>523</v>
      </c>
    </row>
    <row r="525" spans="1:15" ht="14.25">
      <c r="A525" s="13" t="str">
        <f>IFERROR(VLOOKUP($F:$F,scan!$A:$B,2,0),"**")</f>
        <v>**</v>
      </c>
      <c r="B525" s="13" t="str">
        <f>IFERROR(VLOOKUP($F525,scan!A:C,3,0),"**")</f>
        <v>**</v>
      </c>
      <c r="C525" s="42">
        <v>524</v>
      </c>
      <c r="D525" s="42" t="s">
        <v>4936</v>
      </c>
      <c r="E525" s="42" t="s">
        <v>4937</v>
      </c>
      <c r="H525" s="42" t="s">
        <v>4936</v>
      </c>
      <c r="I525" s="42" t="s">
        <v>4938</v>
      </c>
      <c r="J525" s="42" t="s">
        <v>4939</v>
      </c>
      <c r="K525" s="42" t="e">
        <f>VLOOKUP(F525,Input!C:M,9,0)</f>
        <v>#N/A</v>
      </c>
      <c r="L525" s="42" t="e">
        <f>VLOOKUP(F525,Input!C:M,10,0)</f>
        <v>#N/A</v>
      </c>
      <c r="M525" s="42" t="e">
        <f>VLOOKUP(F525,Input!C:M,11,0)</f>
        <v>#N/A</v>
      </c>
      <c r="N525" s="43" t="str">
        <f t="shared" si="8"/>
        <v>524,524,**</v>
      </c>
      <c r="O525" s="42">
        <v>524</v>
      </c>
    </row>
    <row r="526" spans="1:15" ht="14.25">
      <c r="A526" s="13" t="str">
        <f>IFERROR(VLOOKUP($F:$F,scan!$A:$B,2,0),"**")</f>
        <v>**</v>
      </c>
      <c r="B526" s="13" t="str">
        <f>IFERROR(VLOOKUP($F526,scan!A:C,3,0),"**")</f>
        <v>**</v>
      </c>
      <c r="C526" s="42">
        <v>525</v>
      </c>
      <c r="D526" s="42" t="s">
        <v>4936</v>
      </c>
      <c r="E526" s="42" t="s">
        <v>4937</v>
      </c>
      <c r="H526" s="42" t="s">
        <v>4936</v>
      </c>
      <c r="I526" s="42" t="s">
        <v>4938</v>
      </c>
      <c r="J526" s="42" t="s">
        <v>4939</v>
      </c>
      <c r="K526" s="42" t="e">
        <f>VLOOKUP(F526,Input!C:M,9,0)</f>
        <v>#N/A</v>
      </c>
      <c r="L526" s="42" t="e">
        <f>VLOOKUP(F526,Input!C:M,10,0)</f>
        <v>#N/A</v>
      </c>
      <c r="M526" s="42" t="e">
        <f>VLOOKUP(F526,Input!C:M,11,0)</f>
        <v>#N/A</v>
      </c>
      <c r="N526" s="43" t="str">
        <f t="shared" si="8"/>
        <v>525,525,**</v>
      </c>
      <c r="O526" s="42">
        <v>525</v>
      </c>
    </row>
    <row r="527" spans="1:15" ht="14.25">
      <c r="A527" s="13" t="str">
        <f>IFERROR(VLOOKUP($F:$F,scan!$A:$B,2,0),"**")</f>
        <v>**</v>
      </c>
      <c r="B527" s="13" t="str">
        <f>IFERROR(VLOOKUP($F527,scan!A:C,3,0),"**")</f>
        <v>**</v>
      </c>
      <c r="C527" s="42">
        <v>526</v>
      </c>
      <c r="D527" s="42" t="s">
        <v>4936</v>
      </c>
      <c r="E527" s="42" t="s">
        <v>4937</v>
      </c>
      <c r="H527" s="42" t="s">
        <v>4936</v>
      </c>
      <c r="I527" s="42" t="s">
        <v>4938</v>
      </c>
      <c r="J527" s="42" t="s">
        <v>4939</v>
      </c>
      <c r="K527" s="42" t="e">
        <f>VLOOKUP(F527,Input!C:M,9,0)</f>
        <v>#N/A</v>
      </c>
      <c r="L527" s="42" t="e">
        <f>VLOOKUP(F527,Input!C:M,10,0)</f>
        <v>#N/A</v>
      </c>
      <c r="M527" s="42" t="e">
        <f>VLOOKUP(F527,Input!C:M,11,0)</f>
        <v>#N/A</v>
      </c>
      <c r="N527" s="43" t="str">
        <f t="shared" si="8"/>
        <v>526,526,**</v>
      </c>
      <c r="O527" s="42">
        <v>526</v>
      </c>
    </row>
    <row r="528" spans="1:15" ht="14.25">
      <c r="A528" s="13" t="str">
        <f>IFERROR(VLOOKUP($F:$F,scan!$A:$B,2,0),"**")</f>
        <v>**</v>
      </c>
      <c r="B528" s="13" t="str">
        <f>IFERROR(VLOOKUP($F528,scan!A:C,3,0),"**")</f>
        <v>**</v>
      </c>
      <c r="C528" s="42">
        <v>527</v>
      </c>
      <c r="D528" s="42" t="s">
        <v>4936</v>
      </c>
      <c r="E528" s="42" t="s">
        <v>4937</v>
      </c>
      <c r="H528" s="42" t="s">
        <v>4936</v>
      </c>
      <c r="I528" s="42" t="s">
        <v>4938</v>
      </c>
      <c r="J528" s="42" t="s">
        <v>4939</v>
      </c>
      <c r="K528" s="42" t="e">
        <f>VLOOKUP(F528,Input!C:M,9,0)</f>
        <v>#N/A</v>
      </c>
      <c r="L528" s="42" t="e">
        <f>VLOOKUP(F528,Input!C:M,10,0)</f>
        <v>#N/A</v>
      </c>
      <c r="M528" s="42" t="e">
        <f>VLOOKUP(F528,Input!C:M,11,0)</f>
        <v>#N/A</v>
      </c>
      <c r="N528" s="43" t="str">
        <f t="shared" si="8"/>
        <v>527,527,**</v>
      </c>
      <c r="O528" s="42">
        <v>527</v>
      </c>
    </row>
    <row r="529" spans="1:15" ht="14.25">
      <c r="A529" s="13" t="str">
        <f>IFERROR(VLOOKUP($F:$F,scan!$A:$B,2,0),"**")</f>
        <v>**</v>
      </c>
      <c r="B529" s="13" t="str">
        <f>IFERROR(VLOOKUP($F529,scan!A:C,3,0),"**")</f>
        <v>**</v>
      </c>
      <c r="C529" s="42">
        <v>528</v>
      </c>
      <c r="D529" s="42" t="s">
        <v>4936</v>
      </c>
      <c r="E529" s="42" t="s">
        <v>4937</v>
      </c>
      <c r="H529" s="42" t="s">
        <v>4936</v>
      </c>
      <c r="I529" s="42" t="s">
        <v>4938</v>
      </c>
      <c r="J529" s="42" t="s">
        <v>4939</v>
      </c>
      <c r="K529" s="42" t="e">
        <f>VLOOKUP(F529,Input!C:M,9,0)</f>
        <v>#N/A</v>
      </c>
      <c r="L529" s="42" t="e">
        <f>VLOOKUP(F529,Input!C:M,10,0)</f>
        <v>#N/A</v>
      </c>
      <c r="M529" s="42" t="e">
        <f>VLOOKUP(F529,Input!C:M,11,0)</f>
        <v>#N/A</v>
      </c>
      <c r="N529" s="43" t="str">
        <f t="shared" si="8"/>
        <v>528,528,**</v>
      </c>
      <c r="O529" s="42">
        <v>528</v>
      </c>
    </row>
    <row r="530" spans="1:15" ht="14.25">
      <c r="A530" s="13" t="str">
        <f>IFERROR(VLOOKUP($F:$F,scan!$A:$B,2,0),"**")</f>
        <v>**</v>
      </c>
      <c r="B530" s="13" t="str">
        <f>IFERROR(VLOOKUP($F530,scan!A:C,3,0),"**")</f>
        <v>**</v>
      </c>
      <c r="C530" s="42">
        <v>529</v>
      </c>
      <c r="D530" s="42" t="s">
        <v>4936</v>
      </c>
      <c r="E530" s="42" t="s">
        <v>4937</v>
      </c>
      <c r="H530" s="42" t="s">
        <v>4936</v>
      </c>
      <c r="I530" s="42" t="s">
        <v>4938</v>
      </c>
      <c r="J530" s="42" t="s">
        <v>4939</v>
      </c>
      <c r="K530" s="42" t="e">
        <f>VLOOKUP(F530,Input!C:M,9,0)</f>
        <v>#N/A</v>
      </c>
      <c r="L530" s="42" t="e">
        <f>VLOOKUP(F530,Input!C:M,10,0)</f>
        <v>#N/A</v>
      </c>
      <c r="M530" s="42" t="e">
        <f>VLOOKUP(F530,Input!C:M,11,0)</f>
        <v>#N/A</v>
      </c>
      <c r="N530" s="43" t="str">
        <f t="shared" si="8"/>
        <v>529,529,**</v>
      </c>
      <c r="O530" s="42">
        <v>529</v>
      </c>
    </row>
    <row r="531" spans="1:15" ht="14.25">
      <c r="A531" s="13" t="str">
        <f>IFERROR(VLOOKUP($F:$F,scan!$A:$B,2,0),"**")</f>
        <v>**</v>
      </c>
      <c r="B531" s="13" t="str">
        <f>IFERROR(VLOOKUP($F531,scan!A:C,3,0),"**")</f>
        <v>**</v>
      </c>
      <c r="C531" s="42">
        <v>530</v>
      </c>
      <c r="D531" s="42" t="s">
        <v>4936</v>
      </c>
      <c r="E531" s="42" t="s">
        <v>4937</v>
      </c>
      <c r="H531" s="42" t="s">
        <v>4936</v>
      </c>
      <c r="I531" s="42" t="s">
        <v>4938</v>
      </c>
      <c r="J531" s="42" t="s">
        <v>4939</v>
      </c>
      <c r="K531" s="42" t="e">
        <f>VLOOKUP(F531,Input!C:M,9,0)</f>
        <v>#N/A</v>
      </c>
      <c r="L531" s="42" t="e">
        <f>VLOOKUP(F531,Input!C:M,10,0)</f>
        <v>#N/A</v>
      </c>
      <c r="M531" s="42" t="e">
        <f>VLOOKUP(F531,Input!C:M,11,0)</f>
        <v>#N/A</v>
      </c>
      <c r="N531" s="43" t="str">
        <f t="shared" si="8"/>
        <v>530,530,**</v>
      </c>
      <c r="O531" s="42">
        <v>530</v>
      </c>
    </row>
    <row r="532" spans="1:15" ht="14.25">
      <c r="A532" s="13" t="str">
        <f>IFERROR(VLOOKUP($F:$F,scan!$A:$B,2,0),"**")</f>
        <v>**</v>
      </c>
      <c r="B532" s="13" t="str">
        <f>IFERROR(VLOOKUP($F532,scan!A:C,3,0),"**")</f>
        <v>**</v>
      </c>
      <c r="C532" s="42">
        <v>531</v>
      </c>
      <c r="D532" s="42" t="s">
        <v>4936</v>
      </c>
      <c r="E532" s="42" t="s">
        <v>4937</v>
      </c>
      <c r="H532" s="42" t="s">
        <v>4936</v>
      </c>
      <c r="I532" s="42" t="s">
        <v>4938</v>
      </c>
      <c r="J532" s="42" t="s">
        <v>4939</v>
      </c>
      <c r="K532" s="42" t="e">
        <f>VLOOKUP(F532,Input!C:M,9,0)</f>
        <v>#N/A</v>
      </c>
      <c r="L532" s="42" t="e">
        <f>VLOOKUP(F532,Input!C:M,10,0)</f>
        <v>#N/A</v>
      </c>
      <c r="M532" s="42" t="e">
        <f>VLOOKUP(F532,Input!C:M,11,0)</f>
        <v>#N/A</v>
      </c>
      <c r="N532" s="43" t="str">
        <f t="shared" si="8"/>
        <v>531,531,**</v>
      </c>
      <c r="O532" s="42">
        <v>531</v>
      </c>
    </row>
    <row r="533" spans="1:15" ht="14.25">
      <c r="A533" s="13" t="str">
        <f>IFERROR(VLOOKUP($F:$F,scan!$A:$B,2,0),"**")</f>
        <v>**</v>
      </c>
      <c r="B533" s="13" t="str">
        <f>IFERROR(VLOOKUP($F533,scan!A:C,3,0),"**")</f>
        <v>**</v>
      </c>
      <c r="C533" s="42">
        <v>532</v>
      </c>
      <c r="D533" s="42" t="s">
        <v>4936</v>
      </c>
      <c r="E533" s="42" t="s">
        <v>4937</v>
      </c>
      <c r="H533" s="42" t="s">
        <v>4936</v>
      </c>
      <c r="I533" s="42" t="s">
        <v>4938</v>
      </c>
      <c r="J533" s="42" t="s">
        <v>4939</v>
      </c>
      <c r="K533" s="42" t="e">
        <f>VLOOKUP(F533,Input!C:M,9,0)</f>
        <v>#N/A</v>
      </c>
      <c r="L533" s="42" t="e">
        <f>VLOOKUP(F533,Input!C:M,10,0)</f>
        <v>#N/A</v>
      </c>
      <c r="M533" s="42" t="e">
        <f>VLOOKUP(F533,Input!C:M,11,0)</f>
        <v>#N/A</v>
      </c>
      <c r="N533" s="43" t="str">
        <f t="shared" si="8"/>
        <v>532,532,**</v>
      </c>
      <c r="O533" s="42">
        <v>532</v>
      </c>
    </row>
    <row r="534" spans="1:15" ht="14.25">
      <c r="A534" s="13" t="str">
        <f>IFERROR(VLOOKUP($F:$F,scan!$A:$B,2,0),"**")</f>
        <v>**</v>
      </c>
      <c r="B534" s="13" t="str">
        <f>IFERROR(VLOOKUP($F534,scan!A:C,3,0),"**")</f>
        <v>**</v>
      </c>
      <c r="C534" s="42">
        <v>533</v>
      </c>
      <c r="D534" s="42" t="s">
        <v>4936</v>
      </c>
      <c r="E534" s="42" t="s">
        <v>4937</v>
      </c>
      <c r="H534" s="42" t="s">
        <v>4936</v>
      </c>
      <c r="I534" s="42" t="s">
        <v>4938</v>
      </c>
      <c r="J534" s="42" t="s">
        <v>4939</v>
      </c>
      <c r="K534" s="42" t="e">
        <f>VLOOKUP(F534,Input!C:M,9,0)</f>
        <v>#N/A</v>
      </c>
      <c r="L534" s="42" t="e">
        <f>VLOOKUP(F534,Input!C:M,10,0)</f>
        <v>#N/A</v>
      </c>
      <c r="M534" s="42" t="e">
        <f>VLOOKUP(F534,Input!C:M,11,0)</f>
        <v>#N/A</v>
      </c>
      <c r="N534" s="43" t="str">
        <f t="shared" si="8"/>
        <v>533,533,**</v>
      </c>
      <c r="O534" s="42">
        <v>533</v>
      </c>
    </row>
    <row r="535" spans="1:15" ht="14.25">
      <c r="A535" s="13" t="str">
        <f>IFERROR(VLOOKUP($F:$F,scan!$A:$B,2,0),"**")</f>
        <v>**</v>
      </c>
      <c r="B535" s="13" t="str">
        <f>IFERROR(VLOOKUP($F535,scan!A:C,3,0),"**")</f>
        <v>**</v>
      </c>
      <c r="C535" s="42">
        <v>534</v>
      </c>
      <c r="D535" s="42" t="s">
        <v>4936</v>
      </c>
      <c r="E535" s="42" t="s">
        <v>4937</v>
      </c>
      <c r="H535" s="42" t="s">
        <v>4936</v>
      </c>
      <c r="I535" s="42" t="s">
        <v>4938</v>
      </c>
      <c r="J535" s="42" t="s">
        <v>4939</v>
      </c>
      <c r="K535" s="42" t="e">
        <f>VLOOKUP(F535,Input!C:M,9,0)</f>
        <v>#N/A</v>
      </c>
      <c r="L535" s="42" t="e">
        <f>VLOOKUP(F535,Input!C:M,10,0)</f>
        <v>#N/A</v>
      </c>
      <c r="M535" s="42" t="e">
        <f>VLOOKUP(F535,Input!C:M,11,0)</f>
        <v>#N/A</v>
      </c>
      <c r="N535" s="43" t="str">
        <f t="shared" si="8"/>
        <v>534,534,**</v>
      </c>
      <c r="O535" s="42">
        <v>534</v>
      </c>
    </row>
    <row r="536" spans="1:15" ht="14.25">
      <c r="A536" s="13" t="str">
        <f>IFERROR(VLOOKUP($F:$F,scan!$A:$B,2,0),"**")</f>
        <v>**</v>
      </c>
      <c r="B536" s="13" t="str">
        <f>IFERROR(VLOOKUP($F536,scan!A:C,3,0),"**")</f>
        <v>**</v>
      </c>
      <c r="C536" s="42">
        <v>535</v>
      </c>
      <c r="D536" s="42" t="s">
        <v>4936</v>
      </c>
      <c r="E536" s="42" t="s">
        <v>4937</v>
      </c>
      <c r="H536" s="42" t="s">
        <v>4936</v>
      </c>
      <c r="I536" s="42" t="s">
        <v>4938</v>
      </c>
      <c r="J536" s="42" t="s">
        <v>4939</v>
      </c>
      <c r="K536" s="42" t="e">
        <f>VLOOKUP(F536,Input!C:M,9,0)</f>
        <v>#N/A</v>
      </c>
      <c r="L536" s="42" t="e">
        <f>VLOOKUP(F536,Input!C:M,10,0)</f>
        <v>#N/A</v>
      </c>
      <c r="M536" s="42" t="e">
        <f>VLOOKUP(F536,Input!C:M,11,0)</f>
        <v>#N/A</v>
      </c>
      <c r="N536" s="43" t="str">
        <f t="shared" si="8"/>
        <v>535,535,**</v>
      </c>
      <c r="O536" s="42">
        <v>535</v>
      </c>
    </row>
    <row r="537" spans="1:15" ht="14.25">
      <c r="A537" s="13" t="str">
        <f>IFERROR(VLOOKUP($F:$F,scan!$A:$B,2,0),"**")</f>
        <v>**</v>
      </c>
      <c r="B537" s="13" t="str">
        <f>IFERROR(VLOOKUP($F537,scan!A:C,3,0),"**")</f>
        <v>**</v>
      </c>
      <c r="C537" s="42">
        <v>536</v>
      </c>
      <c r="D537" s="42" t="s">
        <v>4936</v>
      </c>
      <c r="E537" s="42" t="s">
        <v>4937</v>
      </c>
      <c r="H537" s="42" t="s">
        <v>4936</v>
      </c>
      <c r="I537" s="42" t="s">
        <v>4938</v>
      </c>
      <c r="J537" s="42" t="s">
        <v>4939</v>
      </c>
      <c r="K537" s="42" t="e">
        <f>VLOOKUP(F537,Input!C:M,9,0)</f>
        <v>#N/A</v>
      </c>
      <c r="L537" s="42" t="e">
        <f>VLOOKUP(F537,Input!C:M,10,0)</f>
        <v>#N/A</v>
      </c>
      <c r="M537" s="42" t="e">
        <f>VLOOKUP(F537,Input!C:M,11,0)</f>
        <v>#N/A</v>
      </c>
      <c r="N537" s="43" t="str">
        <f t="shared" si="8"/>
        <v>536,536,**</v>
      </c>
      <c r="O537" s="42">
        <v>536</v>
      </c>
    </row>
    <row r="538" spans="1:15" ht="14.25">
      <c r="A538" s="13" t="str">
        <f>IFERROR(VLOOKUP($F:$F,scan!$A:$B,2,0),"**")</f>
        <v>**</v>
      </c>
      <c r="B538" s="13" t="str">
        <f>IFERROR(VLOOKUP($F538,scan!A:C,3,0),"**")</f>
        <v>**</v>
      </c>
      <c r="C538" s="42">
        <v>537</v>
      </c>
      <c r="D538" s="42" t="s">
        <v>4936</v>
      </c>
      <c r="E538" s="42" t="s">
        <v>4937</v>
      </c>
      <c r="H538" s="42" t="s">
        <v>4936</v>
      </c>
      <c r="I538" s="42" t="s">
        <v>4938</v>
      </c>
      <c r="J538" s="42" t="s">
        <v>4939</v>
      </c>
      <c r="K538" s="42" t="e">
        <f>VLOOKUP(F538,Input!C:M,9,0)</f>
        <v>#N/A</v>
      </c>
      <c r="L538" s="42" t="e">
        <f>VLOOKUP(F538,Input!C:M,10,0)</f>
        <v>#N/A</v>
      </c>
      <c r="M538" s="42" t="e">
        <f>VLOOKUP(F538,Input!C:M,11,0)</f>
        <v>#N/A</v>
      </c>
      <c r="N538" s="43" t="str">
        <f t="shared" si="8"/>
        <v>537,537,**</v>
      </c>
      <c r="O538" s="42">
        <v>537</v>
      </c>
    </row>
    <row r="539" spans="1:15" ht="14.25">
      <c r="A539" s="13" t="str">
        <f>IFERROR(VLOOKUP($F:$F,scan!$A:$B,2,0),"**")</f>
        <v>**</v>
      </c>
      <c r="B539" s="13" t="str">
        <f>IFERROR(VLOOKUP($F539,scan!A:C,3,0),"**")</f>
        <v>**</v>
      </c>
      <c r="C539" s="42">
        <v>538</v>
      </c>
      <c r="D539" s="42" t="s">
        <v>4936</v>
      </c>
      <c r="E539" s="42" t="s">
        <v>4937</v>
      </c>
      <c r="H539" s="42" t="s">
        <v>4936</v>
      </c>
      <c r="I539" s="42" t="s">
        <v>4938</v>
      </c>
      <c r="J539" s="42" t="s">
        <v>4939</v>
      </c>
      <c r="K539" s="42" t="e">
        <f>VLOOKUP(F539,Input!C:M,9,0)</f>
        <v>#N/A</v>
      </c>
      <c r="L539" s="42" t="e">
        <f>VLOOKUP(F539,Input!C:M,10,0)</f>
        <v>#N/A</v>
      </c>
      <c r="M539" s="42" t="e">
        <f>VLOOKUP(F539,Input!C:M,11,0)</f>
        <v>#N/A</v>
      </c>
      <c r="N539" s="43" t="str">
        <f t="shared" si="8"/>
        <v>538,538,**</v>
      </c>
      <c r="O539" s="42">
        <v>538</v>
      </c>
    </row>
    <row r="540" spans="1:15" ht="14.25">
      <c r="A540" s="13" t="str">
        <f>IFERROR(VLOOKUP($F:$F,scan!$A:$B,2,0),"**")</f>
        <v>**</v>
      </c>
      <c r="B540" s="13" t="str">
        <f>IFERROR(VLOOKUP($F540,scan!A:C,3,0),"**")</f>
        <v>**</v>
      </c>
      <c r="C540" s="42">
        <v>539</v>
      </c>
      <c r="D540" s="42" t="s">
        <v>4936</v>
      </c>
      <c r="E540" s="42" t="s">
        <v>4937</v>
      </c>
      <c r="H540" s="42" t="s">
        <v>4936</v>
      </c>
      <c r="I540" s="42" t="s">
        <v>4938</v>
      </c>
      <c r="J540" s="42" t="s">
        <v>4939</v>
      </c>
      <c r="K540" s="42" t="e">
        <f>VLOOKUP(F540,Input!C:M,9,0)</f>
        <v>#N/A</v>
      </c>
      <c r="L540" s="42" t="e">
        <f>VLOOKUP(F540,Input!C:M,10,0)</f>
        <v>#N/A</v>
      </c>
      <c r="M540" s="42" t="e">
        <f>VLOOKUP(F540,Input!C:M,11,0)</f>
        <v>#N/A</v>
      </c>
      <c r="N540" s="43" t="str">
        <f t="shared" si="8"/>
        <v>539,539,**</v>
      </c>
      <c r="O540" s="42">
        <v>539</v>
      </c>
    </row>
    <row r="541" spans="1:15" ht="14.25">
      <c r="A541" s="13" t="str">
        <f>IFERROR(VLOOKUP($F:$F,scan!$A:$B,2,0),"**")</f>
        <v>**</v>
      </c>
      <c r="B541" s="13" t="str">
        <f>IFERROR(VLOOKUP($F541,scan!A:C,3,0),"**")</f>
        <v>**</v>
      </c>
      <c r="C541" s="42">
        <v>540</v>
      </c>
      <c r="D541" s="42" t="s">
        <v>4936</v>
      </c>
      <c r="E541" s="42" t="s">
        <v>4937</v>
      </c>
      <c r="H541" s="42" t="s">
        <v>4936</v>
      </c>
      <c r="I541" s="42" t="s">
        <v>4938</v>
      </c>
      <c r="J541" s="42" t="s">
        <v>4939</v>
      </c>
      <c r="K541" s="42" t="e">
        <f>VLOOKUP(F541,Input!C:M,9,0)</f>
        <v>#N/A</v>
      </c>
      <c r="L541" s="42" t="e">
        <f>VLOOKUP(F541,Input!C:M,10,0)</f>
        <v>#N/A</v>
      </c>
      <c r="M541" s="42" t="e">
        <f>VLOOKUP(F541,Input!C:M,11,0)</f>
        <v>#N/A</v>
      </c>
      <c r="N541" s="43" t="str">
        <f t="shared" si="8"/>
        <v>540,540,**</v>
      </c>
      <c r="O541" s="42">
        <v>540</v>
      </c>
    </row>
    <row r="542" spans="1:15" ht="14.25">
      <c r="A542" s="13" t="str">
        <f>IFERROR(VLOOKUP($F:$F,scan!$A:$B,2,0),"**")</f>
        <v>**</v>
      </c>
      <c r="B542" s="13" t="str">
        <f>IFERROR(VLOOKUP($F542,scan!A:C,3,0),"**")</f>
        <v>**</v>
      </c>
      <c r="C542" s="42">
        <v>541</v>
      </c>
      <c r="D542" s="42" t="s">
        <v>4936</v>
      </c>
      <c r="E542" s="42" t="s">
        <v>4937</v>
      </c>
      <c r="H542" s="42" t="s">
        <v>4936</v>
      </c>
      <c r="I542" s="42" t="s">
        <v>4938</v>
      </c>
      <c r="J542" s="42" t="s">
        <v>4939</v>
      </c>
      <c r="K542" s="42" t="e">
        <f>VLOOKUP(F542,Input!C:M,9,0)</f>
        <v>#N/A</v>
      </c>
      <c r="L542" s="42" t="e">
        <f>VLOOKUP(F542,Input!C:M,10,0)</f>
        <v>#N/A</v>
      </c>
      <c r="M542" s="42" t="e">
        <f>VLOOKUP(F542,Input!C:M,11,0)</f>
        <v>#N/A</v>
      </c>
      <c r="N542" s="43" t="str">
        <f t="shared" si="8"/>
        <v>541,541,**</v>
      </c>
      <c r="O542" s="42">
        <v>541</v>
      </c>
    </row>
    <row r="543" spans="1:15" ht="14.25">
      <c r="A543" s="13" t="str">
        <f>IFERROR(VLOOKUP($F:$F,scan!$A:$B,2,0),"**")</f>
        <v>**</v>
      </c>
      <c r="B543" s="13" t="str">
        <f>IFERROR(VLOOKUP($F543,scan!A:C,3,0),"**")</f>
        <v>**</v>
      </c>
      <c r="C543" s="42">
        <v>542</v>
      </c>
      <c r="D543" s="42" t="s">
        <v>4936</v>
      </c>
      <c r="E543" s="42" t="s">
        <v>4937</v>
      </c>
      <c r="H543" s="42" t="s">
        <v>4936</v>
      </c>
      <c r="I543" s="42" t="s">
        <v>4938</v>
      </c>
      <c r="J543" s="42" t="s">
        <v>4939</v>
      </c>
      <c r="K543" s="42" t="e">
        <f>VLOOKUP(F543,Input!C:M,9,0)</f>
        <v>#N/A</v>
      </c>
      <c r="L543" s="42" t="e">
        <f>VLOOKUP(F543,Input!C:M,10,0)</f>
        <v>#N/A</v>
      </c>
      <c r="M543" s="42" t="e">
        <f>VLOOKUP(F543,Input!C:M,11,0)</f>
        <v>#N/A</v>
      </c>
      <c r="N543" s="43" t="str">
        <f t="shared" si="8"/>
        <v>542,542,**</v>
      </c>
      <c r="O543" s="42">
        <v>542</v>
      </c>
    </row>
    <row r="544" spans="1:15" ht="14.25">
      <c r="A544" s="13" t="str">
        <f>IFERROR(VLOOKUP($F:$F,scan!$A:$B,2,0),"**")</f>
        <v>**</v>
      </c>
      <c r="B544" s="13" t="str">
        <f>IFERROR(VLOOKUP($F544,scan!A:C,3,0),"**")</f>
        <v>**</v>
      </c>
      <c r="C544" s="42">
        <v>543</v>
      </c>
      <c r="D544" s="42" t="s">
        <v>4936</v>
      </c>
      <c r="E544" s="42" t="s">
        <v>4937</v>
      </c>
      <c r="H544" s="42" t="s">
        <v>4936</v>
      </c>
      <c r="I544" s="42" t="s">
        <v>4938</v>
      </c>
      <c r="J544" s="42" t="s">
        <v>4939</v>
      </c>
      <c r="K544" s="42" t="e">
        <f>VLOOKUP(F544,Input!C:M,9,0)</f>
        <v>#N/A</v>
      </c>
      <c r="L544" s="42" t="e">
        <f>VLOOKUP(F544,Input!C:M,10,0)</f>
        <v>#N/A</v>
      </c>
      <c r="M544" s="42" t="e">
        <f>VLOOKUP(F544,Input!C:M,11,0)</f>
        <v>#N/A</v>
      </c>
      <c r="N544" s="43" t="str">
        <f t="shared" si="8"/>
        <v>543,543,**</v>
      </c>
      <c r="O544" s="42">
        <v>543</v>
      </c>
    </row>
    <row r="545" spans="1:15" ht="14.25">
      <c r="A545" s="13" t="str">
        <f>IFERROR(VLOOKUP($F:$F,scan!$A:$B,2,0),"**")</f>
        <v>**</v>
      </c>
      <c r="B545" s="13" t="str">
        <f>IFERROR(VLOOKUP($F545,scan!A:C,3,0),"**")</f>
        <v>**</v>
      </c>
      <c r="C545" s="42">
        <v>544</v>
      </c>
      <c r="D545" s="42" t="s">
        <v>4936</v>
      </c>
      <c r="E545" s="42" t="s">
        <v>4937</v>
      </c>
      <c r="H545" s="42" t="s">
        <v>4936</v>
      </c>
      <c r="I545" s="42" t="s">
        <v>4938</v>
      </c>
      <c r="J545" s="42" t="s">
        <v>4939</v>
      </c>
      <c r="K545" s="42" t="e">
        <f>VLOOKUP(F545,Input!C:M,9,0)</f>
        <v>#N/A</v>
      </c>
      <c r="L545" s="42" t="e">
        <f>VLOOKUP(F545,Input!C:M,10,0)</f>
        <v>#N/A</v>
      </c>
      <c r="M545" s="42" t="e">
        <f>VLOOKUP(F545,Input!C:M,11,0)</f>
        <v>#N/A</v>
      </c>
      <c r="N545" s="43" t="str">
        <f t="shared" si="8"/>
        <v>544,544,**</v>
      </c>
      <c r="O545" s="42">
        <v>544</v>
      </c>
    </row>
    <row r="546" spans="1:15" ht="14.25">
      <c r="A546" s="13" t="str">
        <f>IFERROR(VLOOKUP($F:$F,scan!$A:$B,2,0),"**")</f>
        <v>**</v>
      </c>
      <c r="B546" s="13" t="str">
        <f>IFERROR(VLOOKUP($F546,scan!A:C,3,0),"**")</f>
        <v>**</v>
      </c>
      <c r="C546" s="42">
        <v>545</v>
      </c>
      <c r="D546" s="42" t="s">
        <v>4936</v>
      </c>
      <c r="E546" s="42" t="s">
        <v>4937</v>
      </c>
      <c r="H546" s="42" t="s">
        <v>4936</v>
      </c>
      <c r="I546" s="42" t="s">
        <v>4938</v>
      </c>
      <c r="J546" s="42" t="s">
        <v>4939</v>
      </c>
      <c r="K546" s="42" t="e">
        <f>VLOOKUP(F546,Input!C:M,9,0)</f>
        <v>#N/A</v>
      </c>
      <c r="L546" s="42" t="e">
        <f>VLOOKUP(F546,Input!C:M,10,0)</f>
        <v>#N/A</v>
      </c>
      <c r="M546" s="42" t="e">
        <f>VLOOKUP(F546,Input!C:M,11,0)</f>
        <v>#N/A</v>
      </c>
      <c r="N546" s="43" t="str">
        <f t="shared" si="8"/>
        <v>545,545,**</v>
      </c>
      <c r="O546" s="42">
        <v>545</v>
      </c>
    </row>
    <row r="547" spans="1:15" ht="14.25">
      <c r="A547" s="13" t="str">
        <f>IFERROR(VLOOKUP($F:$F,scan!$A:$B,2,0),"**")</f>
        <v>**</v>
      </c>
      <c r="B547" s="13" t="str">
        <f>IFERROR(VLOOKUP($F547,scan!A:C,3,0),"**")</f>
        <v>**</v>
      </c>
      <c r="C547" s="42">
        <v>546</v>
      </c>
      <c r="D547" s="42" t="s">
        <v>4936</v>
      </c>
      <c r="E547" s="42" t="s">
        <v>4937</v>
      </c>
      <c r="H547" s="42" t="s">
        <v>4936</v>
      </c>
      <c r="I547" s="42" t="s">
        <v>4938</v>
      </c>
      <c r="J547" s="42" t="s">
        <v>4939</v>
      </c>
      <c r="K547" s="42" t="e">
        <f>VLOOKUP(F547,Input!C:M,9,0)</f>
        <v>#N/A</v>
      </c>
      <c r="L547" s="42" t="e">
        <f>VLOOKUP(F547,Input!C:M,10,0)</f>
        <v>#N/A</v>
      </c>
      <c r="M547" s="42" t="e">
        <f>VLOOKUP(F547,Input!C:M,11,0)</f>
        <v>#N/A</v>
      </c>
      <c r="N547" s="43" t="str">
        <f t="shared" si="8"/>
        <v>546,546,**</v>
      </c>
      <c r="O547" s="42">
        <v>546</v>
      </c>
    </row>
    <row r="548" spans="1:15" ht="14.25">
      <c r="A548" s="13" t="str">
        <f>IFERROR(VLOOKUP($F:$F,scan!$A:$B,2,0),"**")</f>
        <v>**</v>
      </c>
      <c r="B548" s="13" t="str">
        <f>IFERROR(VLOOKUP($F548,scan!A:C,3,0),"**")</f>
        <v>**</v>
      </c>
      <c r="C548" s="42">
        <v>547</v>
      </c>
      <c r="D548" s="42" t="s">
        <v>4936</v>
      </c>
      <c r="E548" s="42" t="s">
        <v>4937</v>
      </c>
      <c r="H548" s="42" t="s">
        <v>4936</v>
      </c>
      <c r="I548" s="42" t="s">
        <v>4938</v>
      </c>
      <c r="J548" s="42" t="s">
        <v>4939</v>
      </c>
      <c r="K548" s="42" t="e">
        <f>VLOOKUP(F548,Input!C:M,9,0)</f>
        <v>#N/A</v>
      </c>
      <c r="L548" s="42" t="e">
        <f>VLOOKUP(F548,Input!C:M,10,0)</f>
        <v>#N/A</v>
      </c>
      <c r="M548" s="42" t="e">
        <f>VLOOKUP(F548,Input!C:M,11,0)</f>
        <v>#N/A</v>
      </c>
      <c r="N548" s="43" t="str">
        <f t="shared" si="8"/>
        <v>547,547,**</v>
      </c>
      <c r="O548" s="42">
        <v>547</v>
      </c>
    </row>
    <row r="549" spans="1:15" ht="14.25">
      <c r="A549" s="13" t="str">
        <f>IFERROR(VLOOKUP($F:$F,scan!$A:$B,2,0),"**")</f>
        <v>**</v>
      </c>
      <c r="B549" s="13" t="str">
        <f>IFERROR(VLOOKUP($F549,scan!A:C,3,0),"**")</f>
        <v>**</v>
      </c>
      <c r="C549" s="42">
        <v>548</v>
      </c>
      <c r="D549" s="42" t="s">
        <v>4936</v>
      </c>
      <c r="E549" s="42" t="s">
        <v>4937</v>
      </c>
      <c r="H549" s="42" t="s">
        <v>4936</v>
      </c>
      <c r="I549" s="42" t="s">
        <v>4938</v>
      </c>
      <c r="J549" s="42" t="s">
        <v>4939</v>
      </c>
      <c r="K549" s="42" t="e">
        <f>VLOOKUP(F549,Input!C:M,9,0)</f>
        <v>#N/A</v>
      </c>
      <c r="L549" s="42" t="e">
        <f>VLOOKUP(F549,Input!C:M,10,0)</f>
        <v>#N/A</v>
      </c>
      <c r="M549" s="42" t="e">
        <f>VLOOKUP(F549,Input!C:M,11,0)</f>
        <v>#N/A</v>
      </c>
      <c r="N549" s="43" t="str">
        <f t="shared" si="8"/>
        <v>548,548,**</v>
      </c>
      <c r="O549" s="42">
        <v>548</v>
      </c>
    </row>
    <row r="550" spans="1:15" ht="14.25">
      <c r="A550" s="13" t="str">
        <f>IFERROR(VLOOKUP($F:$F,scan!$A:$B,2,0),"**")</f>
        <v>**</v>
      </c>
      <c r="B550" s="13" t="str">
        <f>IFERROR(VLOOKUP($F550,scan!A:C,3,0),"**")</f>
        <v>**</v>
      </c>
      <c r="C550" s="42">
        <v>549</v>
      </c>
      <c r="D550" s="42" t="s">
        <v>4936</v>
      </c>
      <c r="E550" s="42" t="s">
        <v>4937</v>
      </c>
      <c r="H550" s="42" t="s">
        <v>4936</v>
      </c>
      <c r="I550" s="42" t="s">
        <v>4938</v>
      </c>
      <c r="J550" s="42" t="s">
        <v>4939</v>
      </c>
      <c r="K550" s="42" t="e">
        <f>VLOOKUP(F550,Input!C:M,9,0)</f>
        <v>#N/A</v>
      </c>
      <c r="L550" s="42" t="e">
        <f>VLOOKUP(F550,Input!C:M,10,0)</f>
        <v>#N/A</v>
      </c>
      <c r="M550" s="42" t="e">
        <f>VLOOKUP(F550,Input!C:M,11,0)</f>
        <v>#N/A</v>
      </c>
      <c r="N550" s="43" t="str">
        <f t="shared" si="8"/>
        <v>549,549,**</v>
      </c>
      <c r="O550" s="42">
        <v>549</v>
      </c>
    </row>
    <row r="551" spans="1:15" ht="14.25">
      <c r="A551" s="13" t="str">
        <f>IFERROR(VLOOKUP($F:$F,scan!$A:$B,2,0),"**")</f>
        <v>**</v>
      </c>
      <c r="B551" s="13" t="str">
        <f>IFERROR(VLOOKUP($F551,scan!A:C,3,0),"**")</f>
        <v>**</v>
      </c>
      <c r="C551" s="42">
        <v>550</v>
      </c>
      <c r="D551" s="42" t="s">
        <v>4936</v>
      </c>
      <c r="E551" s="42" t="s">
        <v>4937</v>
      </c>
      <c r="H551" s="42" t="s">
        <v>4936</v>
      </c>
      <c r="I551" s="42" t="s">
        <v>4938</v>
      </c>
      <c r="J551" s="42" t="s">
        <v>4939</v>
      </c>
      <c r="K551" s="42" t="e">
        <f>VLOOKUP(F551,Input!C:M,9,0)</f>
        <v>#N/A</v>
      </c>
      <c r="L551" s="42" t="e">
        <f>VLOOKUP(F551,Input!C:M,10,0)</f>
        <v>#N/A</v>
      </c>
      <c r="M551" s="42" t="e">
        <f>VLOOKUP(F551,Input!C:M,11,0)</f>
        <v>#N/A</v>
      </c>
      <c r="N551" s="43" t="str">
        <f t="shared" si="8"/>
        <v>550,550,**</v>
      </c>
      <c r="O551" s="42">
        <v>550</v>
      </c>
    </row>
    <row r="552" spans="1:15" ht="14.25">
      <c r="A552" s="13" t="str">
        <f>IFERROR(VLOOKUP($F:$F,scan!$A:$B,2,0),"**")</f>
        <v>**</v>
      </c>
      <c r="B552" s="13" t="str">
        <f>IFERROR(VLOOKUP($F552,scan!A:C,3,0),"**")</f>
        <v>**</v>
      </c>
      <c r="C552" s="42">
        <v>551</v>
      </c>
      <c r="D552" s="42" t="s">
        <v>4936</v>
      </c>
      <c r="E552" s="42" t="s">
        <v>4937</v>
      </c>
      <c r="H552" s="42" t="s">
        <v>4936</v>
      </c>
      <c r="I552" s="42" t="s">
        <v>4938</v>
      </c>
      <c r="J552" s="42" t="s">
        <v>4939</v>
      </c>
      <c r="K552" s="42" t="e">
        <f>VLOOKUP(F552,Input!C:M,9,0)</f>
        <v>#N/A</v>
      </c>
      <c r="L552" s="42" t="e">
        <f>VLOOKUP(F552,Input!C:M,10,0)</f>
        <v>#N/A</v>
      </c>
      <c r="M552" s="42" t="e">
        <f>VLOOKUP(F552,Input!C:M,11,0)</f>
        <v>#N/A</v>
      </c>
      <c r="N552" s="43" t="str">
        <f t="shared" si="8"/>
        <v>551,551,**</v>
      </c>
      <c r="O552" s="42">
        <v>551</v>
      </c>
    </row>
    <row r="553" spans="1:15" ht="14.25">
      <c r="A553" s="13" t="str">
        <f>IFERROR(VLOOKUP($F:$F,scan!$A:$B,2,0),"**")</f>
        <v>**</v>
      </c>
      <c r="B553" s="13" t="str">
        <f>IFERROR(VLOOKUP($F553,scan!A:C,3,0),"**")</f>
        <v>**</v>
      </c>
      <c r="C553" s="42">
        <v>552</v>
      </c>
      <c r="D553" s="42" t="s">
        <v>4936</v>
      </c>
      <c r="E553" s="42" t="s">
        <v>4937</v>
      </c>
      <c r="H553" s="42" t="s">
        <v>4936</v>
      </c>
      <c r="I553" s="42" t="s">
        <v>4938</v>
      </c>
      <c r="J553" s="42" t="s">
        <v>4939</v>
      </c>
      <c r="K553" s="42" t="e">
        <f>VLOOKUP(F553,Input!C:M,9,0)</f>
        <v>#N/A</v>
      </c>
      <c r="L553" s="42" t="e">
        <f>VLOOKUP(F553,Input!C:M,10,0)</f>
        <v>#N/A</v>
      </c>
      <c r="M553" s="42" t="e">
        <f>VLOOKUP(F553,Input!C:M,11,0)</f>
        <v>#N/A</v>
      </c>
      <c r="N553" s="43" t="str">
        <f t="shared" si="8"/>
        <v>552,552,**</v>
      </c>
      <c r="O553" s="42">
        <v>552</v>
      </c>
    </row>
    <row r="554" spans="1:15" ht="14.25">
      <c r="A554" s="13" t="str">
        <f>IFERROR(VLOOKUP($F:$F,scan!$A:$B,2,0),"**")</f>
        <v>**</v>
      </c>
      <c r="B554" s="13" t="str">
        <f>IFERROR(VLOOKUP($F554,scan!A:C,3,0),"**")</f>
        <v>**</v>
      </c>
      <c r="C554" s="42">
        <v>553</v>
      </c>
      <c r="D554" s="42" t="s">
        <v>4936</v>
      </c>
      <c r="E554" s="42" t="s">
        <v>4937</v>
      </c>
      <c r="H554" s="42" t="s">
        <v>4936</v>
      </c>
      <c r="I554" s="42" t="s">
        <v>4938</v>
      </c>
      <c r="J554" s="42" t="s">
        <v>4939</v>
      </c>
      <c r="K554" s="42" t="e">
        <f>VLOOKUP(F554,Input!C:M,9,0)</f>
        <v>#N/A</v>
      </c>
      <c r="L554" s="42" t="e">
        <f>VLOOKUP(F554,Input!C:M,10,0)</f>
        <v>#N/A</v>
      </c>
      <c r="M554" s="42" t="e">
        <f>VLOOKUP(F554,Input!C:M,11,0)</f>
        <v>#N/A</v>
      </c>
      <c r="N554" s="43" t="str">
        <f t="shared" si="8"/>
        <v>553,553,**</v>
      </c>
      <c r="O554" s="42">
        <v>553</v>
      </c>
    </row>
    <row r="555" spans="1:15" ht="14.25">
      <c r="A555" s="13" t="str">
        <f>IFERROR(VLOOKUP($F:$F,scan!$A:$B,2,0),"**")</f>
        <v>**</v>
      </c>
      <c r="B555" s="13" t="str">
        <f>IFERROR(VLOOKUP($F555,scan!A:C,3,0),"**")</f>
        <v>**</v>
      </c>
      <c r="C555" s="42">
        <v>554</v>
      </c>
      <c r="D555" s="42" t="s">
        <v>4936</v>
      </c>
      <c r="E555" s="42" t="s">
        <v>4937</v>
      </c>
      <c r="H555" s="42" t="s">
        <v>4936</v>
      </c>
      <c r="I555" s="42" t="s">
        <v>4938</v>
      </c>
      <c r="J555" s="42" t="s">
        <v>4939</v>
      </c>
      <c r="K555" s="42" t="e">
        <f>VLOOKUP(F555,Input!C:M,9,0)</f>
        <v>#N/A</v>
      </c>
      <c r="L555" s="42" t="e">
        <f>VLOOKUP(F555,Input!C:M,10,0)</f>
        <v>#N/A</v>
      </c>
      <c r="M555" s="42" t="e">
        <f>VLOOKUP(F555,Input!C:M,11,0)</f>
        <v>#N/A</v>
      </c>
      <c r="N555" s="43" t="str">
        <f t="shared" si="8"/>
        <v>554,554,**</v>
      </c>
      <c r="O555" s="42">
        <v>554</v>
      </c>
    </row>
    <row r="556" spans="1:15" ht="14.25">
      <c r="A556" s="13" t="str">
        <f>IFERROR(VLOOKUP($F:$F,scan!$A:$B,2,0),"**")</f>
        <v>**</v>
      </c>
      <c r="B556" s="13" t="str">
        <f>IFERROR(VLOOKUP($F556,scan!A:C,3,0),"**")</f>
        <v>**</v>
      </c>
      <c r="C556" s="42">
        <v>555</v>
      </c>
      <c r="D556" s="42" t="s">
        <v>4936</v>
      </c>
      <c r="E556" s="42" t="s">
        <v>4937</v>
      </c>
      <c r="H556" s="42" t="s">
        <v>4936</v>
      </c>
      <c r="I556" s="42" t="s">
        <v>4938</v>
      </c>
      <c r="J556" s="42" t="s">
        <v>4939</v>
      </c>
      <c r="K556" s="42" t="e">
        <f>VLOOKUP(F556,Input!C:M,9,0)</f>
        <v>#N/A</v>
      </c>
      <c r="L556" s="42" t="e">
        <f>VLOOKUP(F556,Input!C:M,10,0)</f>
        <v>#N/A</v>
      </c>
      <c r="M556" s="42" t="e">
        <f>VLOOKUP(F556,Input!C:M,11,0)</f>
        <v>#N/A</v>
      </c>
      <c r="N556" s="43" t="str">
        <f t="shared" si="8"/>
        <v>555,555,**</v>
      </c>
      <c r="O556" s="42">
        <v>555</v>
      </c>
    </row>
    <row r="557" spans="1:15" ht="14.25">
      <c r="A557" s="13" t="str">
        <f>IFERROR(VLOOKUP($F:$F,scan!$A:$B,2,0),"**")</f>
        <v>**</v>
      </c>
      <c r="B557" s="13" t="str">
        <f>IFERROR(VLOOKUP($F557,scan!A:C,3,0),"**")</f>
        <v>**</v>
      </c>
      <c r="C557" s="42">
        <v>556</v>
      </c>
      <c r="D557" s="42" t="s">
        <v>4936</v>
      </c>
      <c r="E557" s="42" t="s">
        <v>4937</v>
      </c>
      <c r="H557" s="42" t="s">
        <v>4936</v>
      </c>
      <c r="I557" s="42" t="s">
        <v>4938</v>
      </c>
      <c r="J557" s="42" t="s">
        <v>4939</v>
      </c>
      <c r="K557" s="42" t="e">
        <f>VLOOKUP(F557,Input!C:M,9,0)</f>
        <v>#N/A</v>
      </c>
      <c r="L557" s="42" t="e">
        <f>VLOOKUP(F557,Input!C:M,10,0)</f>
        <v>#N/A</v>
      </c>
      <c r="M557" s="42" t="e">
        <f>VLOOKUP(F557,Input!C:M,11,0)</f>
        <v>#N/A</v>
      </c>
      <c r="N557" s="43" t="str">
        <f t="shared" si="8"/>
        <v>556,556,**</v>
      </c>
      <c r="O557" s="42">
        <v>556</v>
      </c>
    </row>
    <row r="558" spans="1:15" ht="14.25">
      <c r="A558" s="13" t="str">
        <f>IFERROR(VLOOKUP($F:$F,scan!$A:$B,2,0),"**")</f>
        <v>**</v>
      </c>
      <c r="B558" s="13" t="str">
        <f>IFERROR(VLOOKUP($F558,scan!A:C,3,0),"**")</f>
        <v>**</v>
      </c>
      <c r="C558" s="42">
        <v>557</v>
      </c>
      <c r="D558" s="42" t="s">
        <v>4936</v>
      </c>
      <c r="E558" s="42" t="s">
        <v>4937</v>
      </c>
      <c r="H558" s="42" t="s">
        <v>4936</v>
      </c>
      <c r="I558" s="42" t="s">
        <v>4938</v>
      </c>
      <c r="J558" s="42" t="s">
        <v>4939</v>
      </c>
      <c r="K558" s="42" t="e">
        <f>VLOOKUP(F558,Input!C:M,9,0)</f>
        <v>#N/A</v>
      </c>
      <c r="L558" s="42" t="e">
        <f>VLOOKUP(F558,Input!C:M,10,0)</f>
        <v>#N/A</v>
      </c>
      <c r="M558" s="42" t="e">
        <f>VLOOKUP(F558,Input!C:M,11,0)</f>
        <v>#N/A</v>
      </c>
      <c r="N558" s="43" t="str">
        <f t="shared" si="8"/>
        <v>557,557,**</v>
      </c>
      <c r="O558" s="42">
        <v>557</v>
      </c>
    </row>
    <row r="559" spans="1:15" ht="14.25">
      <c r="A559" s="13" t="str">
        <f>IFERROR(VLOOKUP($F:$F,scan!$A:$B,2,0),"**")</f>
        <v>**</v>
      </c>
      <c r="B559" s="13" t="str">
        <f>IFERROR(VLOOKUP($F559,scan!A:C,3,0),"**")</f>
        <v>**</v>
      </c>
      <c r="C559" s="42">
        <v>558</v>
      </c>
      <c r="D559" s="42" t="s">
        <v>4936</v>
      </c>
      <c r="E559" s="42" t="s">
        <v>4937</v>
      </c>
      <c r="H559" s="42" t="s">
        <v>4936</v>
      </c>
      <c r="I559" s="42" t="s">
        <v>4938</v>
      </c>
      <c r="J559" s="42" t="s">
        <v>4939</v>
      </c>
      <c r="K559" s="42" t="e">
        <f>VLOOKUP(F559,Input!C:M,9,0)</f>
        <v>#N/A</v>
      </c>
      <c r="L559" s="42" t="e">
        <f>VLOOKUP(F559,Input!C:M,10,0)</f>
        <v>#N/A</v>
      </c>
      <c r="M559" s="42" t="e">
        <f>VLOOKUP(F559,Input!C:M,11,0)</f>
        <v>#N/A</v>
      </c>
      <c r="N559" s="43" t="str">
        <f t="shared" si="8"/>
        <v>558,558,**</v>
      </c>
      <c r="O559" s="42">
        <v>558</v>
      </c>
    </row>
    <row r="560" spans="1:15" ht="14.25">
      <c r="A560" s="13" t="str">
        <f>IFERROR(VLOOKUP($F:$F,scan!$A:$B,2,0),"**")</f>
        <v>**</v>
      </c>
      <c r="B560" s="13" t="str">
        <f>IFERROR(VLOOKUP($F560,scan!A:C,3,0),"**")</f>
        <v>**</v>
      </c>
      <c r="C560" s="42">
        <v>559</v>
      </c>
      <c r="D560" s="42" t="s">
        <v>4936</v>
      </c>
      <c r="E560" s="42" t="s">
        <v>4937</v>
      </c>
      <c r="H560" s="42" t="s">
        <v>4936</v>
      </c>
      <c r="I560" s="42" t="s">
        <v>4938</v>
      </c>
      <c r="J560" s="42" t="s">
        <v>4939</v>
      </c>
      <c r="K560" s="42" t="e">
        <f>VLOOKUP(F560,Input!C:M,9,0)</f>
        <v>#N/A</v>
      </c>
      <c r="L560" s="42" t="e">
        <f>VLOOKUP(F560,Input!C:M,10,0)</f>
        <v>#N/A</v>
      </c>
      <c r="M560" s="42" t="e">
        <f>VLOOKUP(F560,Input!C:M,11,0)</f>
        <v>#N/A</v>
      </c>
      <c r="N560" s="43" t="str">
        <f t="shared" si="8"/>
        <v>559,559,**</v>
      </c>
      <c r="O560" s="42">
        <v>559</v>
      </c>
    </row>
    <row r="561" spans="1:15" ht="14.25">
      <c r="A561" s="13" t="str">
        <f>IFERROR(VLOOKUP($F:$F,scan!$A:$B,2,0),"**")</f>
        <v>**</v>
      </c>
      <c r="B561" s="13" t="str">
        <f>IFERROR(VLOOKUP($F561,scan!A:C,3,0),"**")</f>
        <v>**</v>
      </c>
      <c r="C561" s="42">
        <v>560</v>
      </c>
      <c r="D561" s="42" t="s">
        <v>4936</v>
      </c>
      <c r="E561" s="42" t="s">
        <v>4937</v>
      </c>
      <c r="H561" s="42" t="s">
        <v>4936</v>
      </c>
      <c r="I561" s="42" t="s">
        <v>4938</v>
      </c>
      <c r="J561" s="42" t="s">
        <v>4939</v>
      </c>
      <c r="K561" s="42" t="e">
        <f>VLOOKUP(F561,Input!C:M,9,0)</f>
        <v>#N/A</v>
      </c>
      <c r="L561" s="42" t="e">
        <f>VLOOKUP(F561,Input!C:M,10,0)</f>
        <v>#N/A</v>
      </c>
      <c r="M561" s="42" t="e">
        <f>VLOOKUP(F561,Input!C:M,11,0)</f>
        <v>#N/A</v>
      </c>
      <c r="N561" s="43" t="str">
        <f t="shared" si="8"/>
        <v>560,560,**</v>
      </c>
      <c r="O561" s="42">
        <v>560</v>
      </c>
    </row>
    <row r="562" spans="1:15" ht="14.25">
      <c r="A562" s="13" t="str">
        <f>IFERROR(VLOOKUP($F:$F,scan!$A:$B,2,0),"**")</f>
        <v>**</v>
      </c>
      <c r="B562" s="13" t="str">
        <f>IFERROR(VLOOKUP($F562,scan!A:C,3,0),"**")</f>
        <v>**</v>
      </c>
      <c r="C562" s="42">
        <v>561</v>
      </c>
      <c r="D562" s="42" t="s">
        <v>4936</v>
      </c>
      <c r="E562" s="42" t="s">
        <v>4937</v>
      </c>
      <c r="H562" s="42" t="s">
        <v>4936</v>
      </c>
      <c r="I562" s="42" t="s">
        <v>4938</v>
      </c>
      <c r="J562" s="42" t="s">
        <v>4939</v>
      </c>
      <c r="K562" s="42" t="e">
        <f>VLOOKUP(F562,Input!C:M,9,0)</f>
        <v>#N/A</v>
      </c>
      <c r="L562" s="42" t="e">
        <f>VLOOKUP(F562,Input!C:M,10,0)</f>
        <v>#N/A</v>
      </c>
      <c r="M562" s="42" t="e">
        <f>VLOOKUP(F562,Input!C:M,11,0)</f>
        <v>#N/A</v>
      </c>
      <c r="N562" s="43" t="str">
        <f t="shared" si="8"/>
        <v>561,561,**</v>
      </c>
      <c r="O562" s="42">
        <v>561</v>
      </c>
    </row>
    <row r="563" spans="1:15" ht="14.25">
      <c r="A563" s="13" t="str">
        <f>IFERROR(VLOOKUP($F:$F,scan!$A:$B,2,0),"**")</f>
        <v>**</v>
      </c>
      <c r="B563" s="13" t="str">
        <f>IFERROR(VLOOKUP($F563,scan!A:C,3,0),"**")</f>
        <v>**</v>
      </c>
      <c r="C563" s="42">
        <v>562</v>
      </c>
      <c r="D563" s="42" t="s">
        <v>4936</v>
      </c>
      <c r="E563" s="42" t="s">
        <v>4937</v>
      </c>
      <c r="H563" s="42" t="s">
        <v>4936</v>
      </c>
      <c r="I563" s="42" t="s">
        <v>4938</v>
      </c>
      <c r="J563" s="42" t="s">
        <v>4939</v>
      </c>
      <c r="K563" s="42" t="e">
        <f>VLOOKUP(F563,Input!C:M,9,0)</f>
        <v>#N/A</v>
      </c>
      <c r="L563" s="42" t="e">
        <f>VLOOKUP(F563,Input!C:M,10,0)</f>
        <v>#N/A</v>
      </c>
      <c r="M563" s="42" t="e">
        <f>VLOOKUP(F563,Input!C:M,11,0)</f>
        <v>#N/A</v>
      </c>
      <c r="N563" s="43" t="str">
        <f t="shared" si="8"/>
        <v>562,562,**</v>
      </c>
      <c r="O563" s="42">
        <v>562</v>
      </c>
    </row>
    <row r="564" spans="1:15" ht="14.25">
      <c r="A564" s="13" t="str">
        <f>IFERROR(VLOOKUP($F:$F,scan!$A:$B,2,0),"**")</f>
        <v>**</v>
      </c>
      <c r="B564" s="13" t="str">
        <f>IFERROR(VLOOKUP($F564,scan!A:C,3,0),"**")</f>
        <v>**</v>
      </c>
      <c r="C564" s="42">
        <v>563</v>
      </c>
      <c r="D564" s="42" t="s">
        <v>4936</v>
      </c>
      <c r="E564" s="42" t="s">
        <v>4937</v>
      </c>
      <c r="H564" s="42" t="s">
        <v>4936</v>
      </c>
      <c r="I564" s="42" t="s">
        <v>4938</v>
      </c>
      <c r="J564" s="42" t="s">
        <v>4939</v>
      </c>
      <c r="K564" s="42" t="e">
        <f>VLOOKUP(F564,Input!C:M,9,0)</f>
        <v>#N/A</v>
      </c>
      <c r="L564" s="42" t="e">
        <f>VLOOKUP(F564,Input!C:M,10,0)</f>
        <v>#N/A</v>
      </c>
      <c r="M564" s="42" t="e">
        <f>VLOOKUP(F564,Input!C:M,11,0)</f>
        <v>#N/A</v>
      </c>
      <c r="N564" s="43" t="str">
        <f t="shared" si="8"/>
        <v>563,563,**</v>
      </c>
      <c r="O564" s="42">
        <v>563</v>
      </c>
    </row>
    <row r="565" spans="1:15" ht="14.25">
      <c r="A565" s="13" t="str">
        <f>IFERROR(VLOOKUP($F:$F,scan!$A:$B,2,0),"**")</f>
        <v>**</v>
      </c>
      <c r="B565" s="13" t="str">
        <f>IFERROR(VLOOKUP($F565,scan!A:C,3,0),"**")</f>
        <v>**</v>
      </c>
      <c r="C565" s="42">
        <v>564</v>
      </c>
      <c r="D565" s="42" t="s">
        <v>4936</v>
      </c>
      <c r="E565" s="42" t="s">
        <v>4937</v>
      </c>
      <c r="H565" s="42" t="s">
        <v>4936</v>
      </c>
      <c r="I565" s="42" t="s">
        <v>4938</v>
      </c>
      <c r="J565" s="42" t="s">
        <v>4939</v>
      </c>
      <c r="K565" s="42" t="e">
        <f>VLOOKUP(F565,Input!C:M,9,0)</f>
        <v>#N/A</v>
      </c>
      <c r="L565" s="42" t="e">
        <f>VLOOKUP(F565,Input!C:M,10,0)</f>
        <v>#N/A</v>
      </c>
      <c r="M565" s="42" t="e">
        <f>VLOOKUP(F565,Input!C:M,11,0)</f>
        <v>#N/A</v>
      </c>
      <c r="N565" s="43" t="str">
        <f t="shared" si="8"/>
        <v>564,564,**</v>
      </c>
      <c r="O565" s="42">
        <v>564</v>
      </c>
    </row>
    <row r="566" spans="1:15" ht="14.25">
      <c r="A566" s="13" t="str">
        <f>IFERROR(VLOOKUP($F:$F,scan!$A:$B,2,0),"**")</f>
        <v>**</v>
      </c>
      <c r="B566" s="13" t="str">
        <f>IFERROR(VLOOKUP($F566,scan!A:C,3,0),"**")</f>
        <v>**</v>
      </c>
      <c r="C566" s="42">
        <v>565</v>
      </c>
      <c r="D566" s="42" t="s">
        <v>4936</v>
      </c>
      <c r="E566" s="42" t="s">
        <v>4937</v>
      </c>
      <c r="H566" s="42" t="s">
        <v>4936</v>
      </c>
      <c r="I566" s="42" t="s">
        <v>4938</v>
      </c>
      <c r="J566" s="42" t="s">
        <v>4939</v>
      </c>
      <c r="K566" s="42" t="e">
        <f>VLOOKUP(F566,Input!C:M,9,0)</f>
        <v>#N/A</v>
      </c>
      <c r="L566" s="42" t="e">
        <f>VLOOKUP(F566,Input!C:M,10,0)</f>
        <v>#N/A</v>
      </c>
      <c r="M566" s="42" t="e">
        <f>VLOOKUP(F566,Input!C:M,11,0)</f>
        <v>#N/A</v>
      </c>
      <c r="N566" s="43" t="str">
        <f t="shared" si="8"/>
        <v>565,565,**</v>
      </c>
      <c r="O566" s="42">
        <v>565</v>
      </c>
    </row>
    <row r="567" spans="1:15" ht="14.25">
      <c r="A567" s="13" t="str">
        <f>IFERROR(VLOOKUP($F:$F,scan!$A:$B,2,0),"**")</f>
        <v>**</v>
      </c>
      <c r="B567" s="13" t="str">
        <f>IFERROR(VLOOKUP($F567,scan!A:C,3,0),"**")</f>
        <v>**</v>
      </c>
      <c r="C567" s="42">
        <v>566</v>
      </c>
      <c r="D567" s="42" t="s">
        <v>4936</v>
      </c>
      <c r="E567" s="42" t="s">
        <v>4937</v>
      </c>
      <c r="H567" s="42" t="s">
        <v>4936</v>
      </c>
      <c r="I567" s="42" t="s">
        <v>4938</v>
      </c>
      <c r="J567" s="42" t="s">
        <v>4939</v>
      </c>
      <c r="K567" s="42" t="e">
        <f>VLOOKUP(F567,Input!C:M,9,0)</f>
        <v>#N/A</v>
      </c>
      <c r="L567" s="42" t="e">
        <f>VLOOKUP(F567,Input!C:M,10,0)</f>
        <v>#N/A</v>
      </c>
      <c r="M567" s="42" t="e">
        <f>VLOOKUP(F567,Input!C:M,11,0)</f>
        <v>#N/A</v>
      </c>
      <c r="N567" s="43" t="str">
        <f t="shared" si="8"/>
        <v>566,566,**</v>
      </c>
      <c r="O567" s="42">
        <v>566</v>
      </c>
    </row>
    <row r="568" spans="1:15" ht="14.25">
      <c r="A568" s="13" t="str">
        <f>IFERROR(VLOOKUP($F:$F,scan!$A:$B,2,0),"**")</f>
        <v>**</v>
      </c>
      <c r="B568" s="13" t="str">
        <f>IFERROR(VLOOKUP($F568,scan!A:C,3,0),"**")</f>
        <v>**</v>
      </c>
      <c r="C568" s="42">
        <v>567</v>
      </c>
      <c r="D568" s="42" t="s">
        <v>4936</v>
      </c>
      <c r="E568" s="42" t="s">
        <v>4937</v>
      </c>
      <c r="H568" s="42" t="s">
        <v>4936</v>
      </c>
      <c r="I568" s="42" t="s">
        <v>4938</v>
      </c>
      <c r="J568" s="42" t="s">
        <v>4939</v>
      </c>
      <c r="K568" s="42" t="e">
        <f>VLOOKUP(F568,Input!C:M,9,0)</f>
        <v>#N/A</v>
      </c>
      <c r="L568" s="42" t="e">
        <f>VLOOKUP(F568,Input!C:M,10,0)</f>
        <v>#N/A</v>
      </c>
      <c r="M568" s="42" t="e">
        <f>VLOOKUP(F568,Input!C:M,11,0)</f>
        <v>#N/A</v>
      </c>
      <c r="N568" s="43" t="str">
        <f t="shared" si="8"/>
        <v>567,567,**</v>
      </c>
      <c r="O568" s="42">
        <v>567</v>
      </c>
    </row>
    <row r="569" spans="1:15" ht="14.25">
      <c r="A569" s="13" t="str">
        <f>IFERROR(VLOOKUP($F:$F,scan!$A:$B,2,0),"**")</f>
        <v>**</v>
      </c>
      <c r="B569" s="13" t="str">
        <f>IFERROR(VLOOKUP($F569,scan!A:C,3,0),"**")</f>
        <v>**</v>
      </c>
      <c r="C569" s="42">
        <v>568</v>
      </c>
      <c r="D569" s="42" t="s">
        <v>4936</v>
      </c>
      <c r="E569" s="42" t="s">
        <v>4937</v>
      </c>
      <c r="H569" s="42" t="s">
        <v>4936</v>
      </c>
      <c r="I569" s="42" t="s">
        <v>4938</v>
      </c>
      <c r="J569" s="42" t="s">
        <v>4939</v>
      </c>
      <c r="K569" s="42" t="e">
        <f>VLOOKUP(F569,Input!C:M,9,0)</f>
        <v>#N/A</v>
      </c>
      <c r="L569" s="42" t="e">
        <f>VLOOKUP(F569,Input!C:M,10,0)</f>
        <v>#N/A</v>
      </c>
      <c r="M569" s="42" t="e">
        <f>VLOOKUP(F569,Input!C:M,11,0)</f>
        <v>#N/A</v>
      </c>
      <c r="N569" s="43" t="str">
        <f t="shared" si="8"/>
        <v>568,568,**</v>
      </c>
      <c r="O569" s="42">
        <v>568</v>
      </c>
    </row>
    <row r="570" spans="1:15" ht="14.25">
      <c r="A570" s="13" t="str">
        <f>IFERROR(VLOOKUP($F:$F,scan!$A:$B,2,0),"**")</f>
        <v>**</v>
      </c>
      <c r="B570" s="13" t="str">
        <f>IFERROR(VLOOKUP($F570,scan!A:C,3,0),"**")</f>
        <v>**</v>
      </c>
      <c r="C570" s="42">
        <v>569</v>
      </c>
      <c r="D570" s="42" t="s">
        <v>4936</v>
      </c>
      <c r="E570" s="42" t="s">
        <v>4937</v>
      </c>
      <c r="H570" s="42" t="s">
        <v>4936</v>
      </c>
      <c r="I570" s="42" t="s">
        <v>4938</v>
      </c>
      <c r="J570" s="42" t="s">
        <v>4939</v>
      </c>
      <c r="K570" s="42" t="e">
        <f>VLOOKUP(F570,Input!C:M,9,0)</f>
        <v>#N/A</v>
      </c>
      <c r="L570" s="42" t="e">
        <f>VLOOKUP(F570,Input!C:M,10,0)</f>
        <v>#N/A</v>
      </c>
      <c r="M570" s="42" t="e">
        <f>VLOOKUP(F570,Input!C:M,11,0)</f>
        <v>#N/A</v>
      </c>
      <c r="N570" s="43" t="str">
        <f t="shared" si="8"/>
        <v>569,569,**</v>
      </c>
      <c r="O570" s="42">
        <v>569</v>
      </c>
    </row>
    <row r="571" spans="1:15" ht="14.25">
      <c r="A571" s="13" t="str">
        <f>IFERROR(VLOOKUP($F:$F,scan!$A:$B,2,0),"**")</f>
        <v>**</v>
      </c>
      <c r="B571" s="13" t="str">
        <f>IFERROR(VLOOKUP($F571,scan!A:C,3,0),"**")</f>
        <v>**</v>
      </c>
      <c r="C571" s="42">
        <v>570</v>
      </c>
      <c r="D571" s="42" t="s">
        <v>4936</v>
      </c>
      <c r="E571" s="42" t="s">
        <v>4937</v>
      </c>
      <c r="H571" s="42" t="s">
        <v>4936</v>
      </c>
      <c r="I571" s="42" t="s">
        <v>4938</v>
      </c>
      <c r="J571" s="42" t="s">
        <v>4939</v>
      </c>
      <c r="K571" s="42" t="e">
        <f>VLOOKUP(F571,Input!C:M,9,0)</f>
        <v>#N/A</v>
      </c>
      <c r="L571" s="42" t="e">
        <f>VLOOKUP(F571,Input!C:M,10,0)</f>
        <v>#N/A</v>
      </c>
      <c r="M571" s="42" t="e">
        <f>VLOOKUP(F571,Input!C:M,11,0)</f>
        <v>#N/A</v>
      </c>
      <c r="N571" s="43" t="str">
        <f t="shared" si="8"/>
        <v>570,570,**</v>
      </c>
      <c r="O571" s="42">
        <v>570</v>
      </c>
    </row>
    <row r="572" spans="1:15" ht="14.25">
      <c r="A572" s="13" t="str">
        <f>IFERROR(VLOOKUP($F:$F,scan!$A:$B,2,0),"**")</f>
        <v>**</v>
      </c>
      <c r="B572" s="13" t="str">
        <f>IFERROR(VLOOKUP($F572,scan!A:C,3,0),"**")</f>
        <v>**</v>
      </c>
      <c r="C572" s="42">
        <v>571</v>
      </c>
      <c r="D572" s="42" t="s">
        <v>4936</v>
      </c>
      <c r="E572" s="42" t="s">
        <v>4937</v>
      </c>
      <c r="H572" s="42" t="s">
        <v>4936</v>
      </c>
      <c r="I572" s="42" t="s">
        <v>4938</v>
      </c>
      <c r="J572" s="42" t="s">
        <v>4939</v>
      </c>
      <c r="K572" s="42" t="e">
        <f>VLOOKUP(F572,Input!C:M,9,0)</f>
        <v>#N/A</v>
      </c>
      <c r="L572" s="42" t="e">
        <f>VLOOKUP(F572,Input!C:M,10,0)</f>
        <v>#N/A</v>
      </c>
      <c r="M572" s="42" t="e">
        <f>VLOOKUP(F572,Input!C:M,11,0)</f>
        <v>#N/A</v>
      </c>
      <c r="N572" s="43" t="str">
        <f t="shared" si="8"/>
        <v>571,571,**</v>
      </c>
      <c r="O572" s="42">
        <v>571</v>
      </c>
    </row>
    <row r="573" spans="1:15" ht="14.25">
      <c r="A573" s="13" t="str">
        <f>IFERROR(VLOOKUP($F:$F,scan!$A:$B,2,0),"**")</f>
        <v>**</v>
      </c>
      <c r="B573" s="13" t="str">
        <f>IFERROR(VLOOKUP($F573,scan!A:C,3,0),"**")</f>
        <v>**</v>
      </c>
      <c r="C573" s="42">
        <v>572</v>
      </c>
      <c r="D573" s="42" t="s">
        <v>4936</v>
      </c>
      <c r="E573" s="42" t="s">
        <v>4937</v>
      </c>
      <c r="H573" s="42" t="s">
        <v>4936</v>
      </c>
      <c r="I573" s="42" t="s">
        <v>4938</v>
      </c>
      <c r="J573" s="42" t="s">
        <v>4939</v>
      </c>
      <c r="K573" s="42" t="e">
        <f>VLOOKUP(F573,Input!C:M,9,0)</f>
        <v>#N/A</v>
      </c>
      <c r="L573" s="42" t="e">
        <f>VLOOKUP(F573,Input!C:M,10,0)</f>
        <v>#N/A</v>
      </c>
      <c r="M573" s="42" t="e">
        <f>VLOOKUP(F573,Input!C:M,11,0)</f>
        <v>#N/A</v>
      </c>
      <c r="N573" s="43" t="str">
        <f t="shared" si="8"/>
        <v>572,572,**</v>
      </c>
      <c r="O573" s="42">
        <v>572</v>
      </c>
    </row>
    <row r="574" spans="1:15" ht="14.25">
      <c r="A574" s="13" t="str">
        <f>IFERROR(VLOOKUP($F:$F,scan!$A:$B,2,0),"**")</f>
        <v>**</v>
      </c>
      <c r="B574" s="13" t="str">
        <f>IFERROR(VLOOKUP($F574,scan!A:C,3,0),"**")</f>
        <v>**</v>
      </c>
      <c r="C574" s="42">
        <v>573</v>
      </c>
      <c r="D574" s="42" t="s">
        <v>4936</v>
      </c>
      <c r="E574" s="42" t="s">
        <v>4937</v>
      </c>
      <c r="H574" s="42" t="s">
        <v>4936</v>
      </c>
      <c r="I574" s="42" t="s">
        <v>4938</v>
      </c>
      <c r="J574" s="42" t="s">
        <v>4939</v>
      </c>
      <c r="K574" s="42" t="e">
        <f>VLOOKUP(F574,Input!C:M,9,0)</f>
        <v>#N/A</v>
      </c>
      <c r="L574" s="42" t="e">
        <f>VLOOKUP(F574,Input!C:M,10,0)</f>
        <v>#N/A</v>
      </c>
      <c r="M574" s="42" t="e">
        <f>VLOOKUP(F574,Input!C:M,11,0)</f>
        <v>#N/A</v>
      </c>
      <c r="N574" s="43" t="str">
        <f t="shared" si="8"/>
        <v>573,573,**</v>
      </c>
      <c r="O574" s="42">
        <v>573</v>
      </c>
    </row>
    <row r="575" spans="1:15" ht="14.25">
      <c r="A575" s="13" t="str">
        <f>IFERROR(VLOOKUP($F:$F,scan!$A:$B,2,0),"**")</f>
        <v>**</v>
      </c>
      <c r="B575" s="13" t="str">
        <f>IFERROR(VLOOKUP($F575,scan!A:C,3,0),"**")</f>
        <v>**</v>
      </c>
      <c r="C575" s="42">
        <v>574</v>
      </c>
      <c r="D575" s="42" t="s">
        <v>4936</v>
      </c>
      <c r="E575" s="42" t="s">
        <v>4937</v>
      </c>
      <c r="H575" s="42" t="s">
        <v>4936</v>
      </c>
      <c r="I575" s="42" t="s">
        <v>4938</v>
      </c>
      <c r="J575" s="42" t="s">
        <v>4939</v>
      </c>
      <c r="K575" s="42" t="e">
        <f>VLOOKUP(F575,Input!C:M,9,0)</f>
        <v>#N/A</v>
      </c>
      <c r="L575" s="42" t="e">
        <f>VLOOKUP(F575,Input!C:M,10,0)</f>
        <v>#N/A</v>
      </c>
      <c r="M575" s="42" t="e">
        <f>VLOOKUP(F575,Input!C:M,11,0)</f>
        <v>#N/A</v>
      </c>
      <c r="N575" s="43" t="str">
        <f t="shared" si="8"/>
        <v>574,574,**</v>
      </c>
      <c r="O575" s="42">
        <v>574</v>
      </c>
    </row>
    <row r="576" spans="1:15" ht="14.25">
      <c r="A576" s="13" t="str">
        <f>IFERROR(VLOOKUP($F:$F,scan!$A:$B,2,0),"**")</f>
        <v>**</v>
      </c>
      <c r="B576" s="13" t="str">
        <f>IFERROR(VLOOKUP($F576,scan!A:C,3,0),"**")</f>
        <v>**</v>
      </c>
      <c r="C576" s="42">
        <v>575</v>
      </c>
      <c r="D576" s="42" t="s">
        <v>4936</v>
      </c>
      <c r="E576" s="42" t="s">
        <v>4937</v>
      </c>
      <c r="H576" s="42" t="s">
        <v>4936</v>
      </c>
      <c r="I576" s="42" t="s">
        <v>4938</v>
      </c>
      <c r="J576" s="42" t="s">
        <v>4939</v>
      </c>
      <c r="K576" s="42" t="e">
        <f>VLOOKUP(F576,Input!C:M,9,0)</f>
        <v>#N/A</v>
      </c>
      <c r="L576" s="42" t="e">
        <f>VLOOKUP(F576,Input!C:M,10,0)</f>
        <v>#N/A</v>
      </c>
      <c r="M576" s="42" t="e">
        <f>VLOOKUP(F576,Input!C:M,11,0)</f>
        <v>#N/A</v>
      </c>
      <c r="N576" s="43" t="str">
        <f t="shared" si="8"/>
        <v>575,575,**</v>
      </c>
      <c r="O576" s="42">
        <v>575</v>
      </c>
    </row>
    <row r="577" spans="1:15" ht="14.25">
      <c r="A577" s="13" t="str">
        <f>IFERROR(VLOOKUP($F:$F,scan!$A:$B,2,0),"**")</f>
        <v>**</v>
      </c>
      <c r="B577" s="13" t="str">
        <f>IFERROR(VLOOKUP($F577,scan!A:C,3,0),"**")</f>
        <v>**</v>
      </c>
      <c r="C577" s="42">
        <v>576</v>
      </c>
      <c r="D577" s="42" t="s">
        <v>4936</v>
      </c>
      <c r="E577" s="42" t="s">
        <v>4937</v>
      </c>
      <c r="H577" s="42" t="s">
        <v>4936</v>
      </c>
      <c r="I577" s="42" t="s">
        <v>4938</v>
      </c>
      <c r="J577" s="42" t="s">
        <v>4939</v>
      </c>
      <c r="K577" s="42" t="e">
        <f>VLOOKUP(F577,Input!C:M,9,0)</f>
        <v>#N/A</v>
      </c>
      <c r="L577" s="42" t="e">
        <f>VLOOKUP(F577,Input!C:M,10,0)</f>
        <v>#N/A</v>
      </c>
      <c r="M577" s="42" t="e">
        <f>VLOOKUP(F577,Input!C:M,11,0)</f>
        <v>#N/A</v>
      </c>
      <c r="N577" s="43" t="str">
        <f t="shared" si="8"/>
        <v>576,576,**</v>
      </c>
      <c r="O577" s="42">
        <v>576</v>
      </c>
    </row>
    <row r="578" spans="1:15" ht="14.25">
      <c r="A578" s="13" t="str">
        <f>IFERROR(VLOOKUP($F:$F,scan!$A:$B,2,0),"**")</f>
        <v>**</v>
      </c>
      <c r="B578" s="13" t="str">
        <f>IFERROR(VLOOKUP($F578,scan!A:C,3,0),"**")</f>
        <v>**</v>
      </c>
      <c r="C578" s="42">
        <v>577</v>
      </c>
      <c r="D578" s="42" t="s">
        <v>4936</v>
      </c>
      <c r="E578" s="42" t="s">
        <v>4937</v>
      </c>
      <c r="H578" s="42" t="s">
        <v>4936</v>
      </c>
      <c r="I578" s="42" t="s">
        <v>4938</v>
      </c>
      <c r="J578" s="42" t="s">
        <v>4939</v>
      </c>
      <c r="K578" s="42" t="e">
        <f>VLOOKUP(F578,Input!C:M,9,0)</f>
        <v>#N/A</v>
      </c>
      <c r="L578" s="42" t="e">
        <f>VLOOKUP(F578,Input!C:M,10,0)</f>
        <v>#N/A</v>
      </c>
      <c r="M578" s="42" t="e">
        <f>VLOOKUP(F578,Input!C:M,11,0)</f>
        <v>#N/A</v>
      </c>
      <c r="N578" s="43" t="str">
        <f t="shared" si="8"/>
        <v>577,577,**</v>
      </c>
      <c r="O578" s="42">
        <v>577</v>
      </c>
    </row>
    <row r="579" spans="1:15" ht="14.25">
      <c r="A579" s="13" t="str">
        <f>IFERROR(VLOOKUP($F:$F,scan!$A:$B,2,0),"**")</f>
        <v>**</v>
      </c>
      <c r="B579" s="13" t="str">
        <f>IFERROR(VLOOKUP($F579,scan!A:C,3,0),"**")</f>
        <v>**</v>
      </c>
      <c r="C579" s="42">
        <v>578</v>
      </c>
      <c r="D579" s="42" t="s">
        <v>4936</v>
      </c>
      <c r="E579" s="42" t="s">
        <v>4937</v>
      </c>
      <c r="H579" s="42" t="s">
        <v>4936</v>
      </c>
      <c r="I579" s="42" t="s">
        <v>4938</v>
      </c>
      <c r="J579" s="42" t="s">
        <v>4939</v>
      </c>
      <c r="K579" s="42" t="e">
        <f>VLOOKUP(F579,Input!C:M,9,0)</f>
        <v>#N/A</v>
      </c>
      <c r="L579" s="42" t="e">
        <f>VLOOKUP(F579,Input!C:M,10,0)</f>
        <v>#N/A</v>
      </c>
      <c r="M579" s="42" t="e">
        <f>VLOOKUP(F579,Input!C:M,11,0)</f>
        <v>#N/A</v>
      </c>
      <c r="N579" s="43" t="str">
        <f t="shared" ref="N579:N642" si="9">O579&amp;","&amp;C579&amp;","&amp;B579</f>
        <v>578,578,**</v>
      </c>
      <c r="O579" s="42">
        <v>578</v>
      </c>
    </row>
    <row r="580" spans="1:15" ht="14.25">
      <c r="A580" s="13" t="str">
        <f>IFERROR(VLOOKUP($F:$F,scan!$A:$B,2,0),"**")</f>
        <v>**</v>
      </c>
      <c r="B580" s="13" t="str">
        <f>IFERROR(VLOOKUP($F580,scan!A:C,3,0),"**")</f>
        <v>**</v>
      </c>
      <c r="C580" s="42">
        <v>579</v>
      </c>
      <c r="D580" s="42" t="s">
        <v>4936</v>
      </c>
      <c r="E580" s="42" t="s">
        <v>4937</v>
      </c>
      <c r="H580" s="42" t="s">
        <v>4936</v>
      </c>
      <c r="I580" s="42" t="s">
        <v>4938</v>
      </c>
      <c r="J580" s="42" t="s">
        <v>4939</v>
      </c>
      <c r="K580" s="42" t="e">
        <f>VLOOKUP(F580,Input!C:M,9,0)</f>
        <v>#N/A</v>
      </c>
      <c r="L580" s="42" t="e">
        <f>VLOOKUP(F580,Input!C:M,10,0)</f>
        <v>#N/A</v>
      </c>
      <c r="M580" s="42" t="e">
        <f>VLOOKUP(F580,Input!C:M,11,0)</f>
        <v>#N/A</v>
      </c>
      <c r="N580" s="43" t="str">
        <f t="shared" si="9"/>
        <v>579,579,**</v>
      </c>
      <c r="O580" s="42">
        <v>579</v>
      </c>
    </row>
    <row r="581" spans="1:15" ht="14.25">
      <c r="A581" s="13" t="str">
        <f>IFERROR(VLOOKUP($F:$F,scan!$A:$B,2,0),"**")</f>
        <v>**</v>
      </c>
      <c r="B581" s="13" t="str">
        <f>IFERROR(VLOOKUP($F581,scan!A:C,3,0),"**")</f>
        <v>**</v>
      </c>
      <c r="C581" s="42">
        <v>580</v>
      </c>
      <c r="D581" s="42" t="s">
        <v>4936</v>
      </c>
      <c r="E581" s="42" t="s">
        <v>4937</v>
      </c>
      <c r="H581" s="42" t="s">
        <v>4936</v>
      </c>
      <c r="I581" s="42" t="s">
        <v>4938</v>
      </c>
      <c r="J581" s="42" t="s">
        <v>4939</v>
      </c>
      <c r="K581" s="42" t="e">
        <f>VLOOKUP(F581,Input!C:M,9,0)</f>
        <v>#N/A</v>
      </c>
      <c r="L581" s="42" t="e">
        <f>VLOOKUP(F581,Input!C:M,10,0)</f>
        <v>#N/A</v>
      </c>
      <c r="M581" s="42" t="e">
        <f>VLOOKUP(F581,Input!C:M,11,0)</f>
        <v>#N/A</v>
      </c>
      <c r="N581" s="43" t="str">
        <f t="shared" si="9"/>
        <v>580,580,**</v>
      </c>
      <c r="O581" s="42">
        <v>580</v>
      </c>
    </row>
    <row r="582" spans="1:15" ht="14.25">
      <c r="A582" s="13" t="str">
        <f>IFERROR(VLOOKUP($F:$F,scan!$A:$B,2,0),"**")</f>
        <v>**</v>
      </c>
      <c r="B582" s="13" t="str">
        <f>IFERROR(VLOOKUP($F582,scan!A:C,3,0),"**")</f>
        <v>**</v>
      </c>
      <c r="C582" s="42">
        <v>581</v>
      </c>
      <c r="D582" s="42" t="s">
        <v>4936</v>
      </c>
      <c r="E582" s="42" t="s">
        <v>4937</v>
      </c>
      <c r="H582" s="42" t="s">
        <v>4936</v>
      </c>
      <c r="I582" s="42" t="s">
        <v>4938</v>
      </c>
      <c r="J582" s="42" t="s">
        <v>4939</v>
      </c>
      <c r="K582" s="42" t="e">
        <f>VLOOKUP(F582,Input!C:M,9,0)</f>
        <v>#N/A</v>
      </c>
      <c r="L582" s="42" t="e">
        <f>VLOOKUP(F582,Input!C:M,10,0)</f>
        <v>#N/A</v>
      </c>
      <c r="M582" s="42" t="e">
        <f>VLOOKUP(F582,Input!C:M,11,0)</f>
        <v>#N/A</v>
      </c>
      <c r="N582" s="43" t="str">
        <f t="shared" si="9"/>
        <v>581,581,**</v>
      </c>
      <c r="O582" s="42">
        <v>581</v>
      </c>
    </row>
    <row r="583" spans="1:15" ht="14.25">
      <c r="A583" s="13" t="str">
        <f>IFERROR(VLOOKUP($F:$F,scan!$A:$B,2,0),"**")</f>
        <v>**</v>
      </c>
      <c r="B583" s="13" t="str">
        <f>IFERROR(VLOOKUP($F583,scan!A:C,3,0),"**")</f>
        <v>**</v>
      </c>
      <c r="C583" s="42">
        <v>582</v>
      </c>
      <c r="D583" s="42" t="s">
        <v>4936</v>
      </c>
      <c r="E583" s="42" t="s">
        <v>4937</v>
      </c>
      <c r="H583" s="42" t="s">
        <v>4936</v>
      </c>
      <c r="I583" s="42" t="s">
        <v>4938</v>
      </c>
      <c r="J583" s="42" t="s">
        <v>4939</v>
      </c>
      <c r="K583" s="42" t="e">
        <f>VLOOKUP(F583,Input!C:M,9,0)</f>
        <v>#N/A</v>
      </c>
      <c r="L583" s="42" t="e">
        <f>VLOOKUP(F583,Input!C:M,10,0)</f>
        <v>#N/A</v>
      </c>
      <c r="M583" s="42" t="e">
        <f>VLOOKUP(F583,Input!C:M,11,0)</f>
        <v>#N/A</v>
      </c>
      <c r="N583" s="43" t="str">
        <f t="shared" si="9"/>
        <v>582,582,**</v>
      </c>
      <c r="O583" s="42">
        <v>582</v>
      </c>
    </row>
    <row r="584" spans="1:15" ht="14.25">
      <c r="A584" s="13" t="str">
        <f>IFERROR(VLOOKUP($F:$F,scan!$A:$B,2,0),"**")</f>
        <v>**</v>
      </c>
      <c r="B584" s="13" t="str">
        <f>IFERROR(VLOOKUP($F584,scan!A:C,3,0),"**")</f>
        <v>**</v>
      </c>
      <c r="C584" s="42">
        <v>583</v>
      </c>
      <c r="D584" s="42" t="s">
        <v>4936</v>
      </c>
      <c r="E584" s="42" t="s">
        <v>4937</v>
      </c>
      <c r="H584" s="42" t="s">
        <v>4936</v>
      </c>
      <c r="I584" s="42" t="s">
        <v>4938</v>
      </c>
      <c r="J584" s="42" t="s">
        <v>4939</v>
      </c>
      <c r="K584" s="42" t="e">
        <f>VLOOKUP(F584,Input!C:M,9,0)</f>
        <v>#N/A</v>
      </c>
      <c r="L584" s="42" t="e">
        <f>VLOOKUP(F584,Input!C:M,10,0)</f>
        <v>#N/A</v>
      </c>
      <c r="M584" s="42" t="e">
        <f>VLOOKUP(F584,Input!C:M,11,0)</f>
        <v>#N/A</v>
      </c>
      <c r="N584" s="43" t="str">
        <f t="shared" si="9"/>
        <v>583,583,**</v>
      </c>
      <c r="O584" s="42">
        <v>583</v>
      </c>
    </row>
    <row r="585" spans="1:15" ht="14.25">
      <c r="A585" s="13" t="str">
        <f>IFERROR(VLOOKUP($F:$F,scan!$A:$B,2,0),"**")</f>
        <v>**</v>
      </c>
      <c r="B585" s="13" t="str">
        <f>IFERROR(VLOOKUP($F585,scan!A:C,3,0),"**")</f>
        <v>**</v>
      </c>
      <c r="C585" s="42">
        <v>584</v>
      </c>
      <c r="D585" s="42" t="s">
        <v>4936</v>
      </c>
      <c r="E585" s="42" t="s">
        <v>4937</v>
      </c>
      <c r="H585" s="42" t="s">
        <v>4936</v>
      </c>
      <c r="I585" s="42" t="s">
        <v>4938</v>
      </c>
      <c r="J585" s="42" t="s">
        <v>4939</v>
      </c>
      <c r="K585" s="42" t="e">
        <f>VLOOKUP(F585,Input!C:M,9,0)</f>
        <v>#N/A</v>
      </c>
      <c r="L585" s="42" t="e">
        <f>VLOOKUP(F585,Input!C:M,10,0)</f>
        <v>#N/A</v>
      </c>
      <c r="M585" s="42" t="e">
        <f>VLOOKUP(F585,Input!C:M,11,0)</f>
        <v>#N/A</v>
      </c>
      <c r="N585" s="43" t="str">
        <f t="shared" si="9"/>
        <v>584,584,**</v>
      </c>
      <c r="O585" s="42">
        <v>584</v>
      </c>
    </row>
    <row r="586" spans="1:15" ht="14.25">
      <c r="A586" s="13" t="str">
        <f>IFERROR(VLOOKUP($F:$F,scan!$A:$B,2,0),"**")</f>
        <v>**</v>
      </c>
      <c r="B586" s="13" t="str">
        <f>IFERROR(VLOOKUP($F586,scan!A:C,3,0),"**")</f>
        <v>**</v>
      </c>
      <c r="C586" s="42">
        <v>585</v>
      </c>
      <c r="D586" s="42" t="s">
        <v>4936</v>
      </c>
      <c r="E586" s="42" t="s">
        <v>4937</v>
      </c>
      <c r="H586" s="42" t="s">
        <v>4936</v>
      </c>
      <c r="I586" s="42" t="s">
        <v>4938</v>
      </c>
      <c r="J586" s="42" t="s">
        <v>4939</v>
      </c>
      <c r="K586" s="42" t="e">
        <f>VLOOKUP(F586,Input!C:M,9,0)</f>
        <v>#N/A</v>
      </c>
      <c r="L586" s="42" t="e">
        <f>VLOOKUP(F586,Input!C:M,10,0)</f>
        <v>#N/A</v>
      </c>
      <c r="M586" s="42" t="e">
        <f>VLOOKUP(F586,Input!C:M,11,0)</f>
        <v>#N/A</v>
      </c>
      <c r="N586" s="43" t="str">
        <f t="shared" si="9"/>
        <v>585,585,**</v>
      </c>
      <c r="O586" s="42">
        <v>585</v>
      </c>
    </row>
    <row r="587" spans="1:15" ht="14.25">
      <c r="A587" s="13" t="str">
        <f>IFERROR(VLOOKUP($F:$F,scan!$A:$B,2,0),"**")</f>
        <v>**</v>
      </c>
      <c r="B587" s="13" t="str">
        <f>IFERROR(VLOOKUP($F587,scan!A:C,3,0),"**")</f>
        <v>**</v>
      </c>
      <c r="C587" s="42">
        <v>586</v>
      </c>
      <c r="D587" s="42" t="s">
        <v>4936</v>
      </c>
      <c r="E587" s="42" t="s">
        <v>4937</v>
      </c>
      <c r="H587" s="42" t="s">
        <v>4936</v>
      </c>
      <c r="I587" s="42" t="s">
        <v>4938</v>
      </c>
      <c r="J587" s="42" t="s">
        <v>4939</v>
      </c>
      <c r="K587" s="42" t="e">
        <f>VLOOKUP(F587,Input!C:M,9,0)</f>
        <v>#N/A</v>
      </c>
      <c r="L587" s="42" t="e">
        <f>VLOOKUP(F587,Input!C:M,10,0)</f>
        <v>#N/A</v>
      </c>
      <c r="M587" s="42" t="e">
        <f>VLOOKUP(F587,Input!C:M,11,0)</f>
        <v>#N/A</v>
      </c>
      <c r="N587" s="43" t="str">
        <f t="shared" si="9"/>
        <v>586,586,**</v>
      </c>
      <c r="O587" s="42">
        <v>586</v>
      </c>
    </row>
    <row r="588" spans="1:15" ht="14.25">
      <c r="A588" s="13" t="str">
        <f>IFERROR(VLOOKUP($F:$F,scan!$A:$B,2,0),"**")</f>
        <v>**</v>
      </c>
      <c r="B588" s="13" t="str">
        <f>IFERROR(VLOOKUP($F588,scan!A:C,3,0),"**")</f>
        <v>**</v>
      </c>
      <c r="C588" s="42">
        <v>587</v>
      </c>
      <c r="D588" s="42" t="s">
        <v>4936</v>
      </c>
      <c r="E588" s="42" t="s">
        <v>4937</v>
      </c>
      <c r="H588" s="42" t="s">
        <v>4936</v>
      </c>
      <c r="I588" s="42" t="s">
        <v>4938</v>
      </c>
      <c r="J588" s="42" t="s">
        <v>4939</v>
      </c>
      <c r="K588" s="42" t="e">
        <f>VLOOKUP(F588,Input!C:M,9,0)</f>
        <v>#N/A</v>
      </c>
      <c r="L588" s="42" t="e">
        <f>VLOOKUP(F588,Input!C:M,10,0)</f>
        <v>#N/A</v>
      </c>
      <c r="M588" s="42" t="e">
        <f>VLOOKUP(F588,Input!C:M,11,0)</f>
        <v>#N/A</v>
      </c>
      <c r="N588" s="43" t="str">
        <f t="shared" si="9"/>
        <v>587,587,**</v>
      </c>
      <c r="O588" s="42">
        <v>587</v>
      </c>
    </row>
    <row r="589" spans="1:15" ht="14.25">
      <c r="A589" s="13" t="str">
        <f>IFERROR(VLOOKUP($F:$F,scan!$A:$B,2,0),"**")</f>
        <v>**</v>
      </c>
      <c r="B589" s="13" t="str">
        <f>IFERROR(VLOOKUP($F589,scan!A:C,3,0),"**")</f>
        <v>**</v>
      </c>
      <c r="C589" s="42">
        <v>588</v>
      </c>
      <c r="D589" s="42" t="s">
        <v>4936</v>
      </c>
      <c r="E589" s="42" t="s">
        <v>4937</v>
      </c>
      <c r="H589" s="42" t="s">
        <v>4936</v>
      </c>
      <c r="I589" s="42" t="s">
        <v>4938</v>
      </c>
      <c r="J589" s="42" t="s">
        <v>4939</v>
      </c>
      <c r="K589" s="42" t="e">
        <f>VLOOKUP(F589,Input!C:M,9,0)</f>
        <v>#N/A</v>
      </c>
      <c r="L589" s="42" t="e">
        <f>VLOOKUP(F589,Input!C:M,10,0)</f>
        <v>#N/A</v>
      </c>
      <c r="M589" s="42" t="e">
        <f>VLOOKUP(F589,Input!C:M,11,0)</f>
        <v>#N/A</v>
      </c>
      <c r="N589" s="43" t="str">
        <f t="shared" si="9"/>
        <v>588,588,**</v>
      </c>
      <c r="O589" s="42">
        <v>588</v>
      </c>
    </row>
    <row r="590" spans="1:15" ht="14.25">
      <c r="A590" s="13" t="str">
        <f>IFERROR(VLOOKUP($F:$F,scan!$A:$B,2,0),"**")</f>
        <v>**</v>
      </c>
      <c r="B590" s="13" t="str">
        <f>IFERROR(VLOOKUP($F590,scan!A:C,3,0),"**")</f>
        <v>**</v>
      </c>
      <c r="C590" s="42">
        <v>589</v>
      </c>
      <c r="D590" s="42" t="s">
        <v>4936</v>
      </c>
      <c r="E590" s="42" t="s">
        <v>4937</v>
      </c>
      <c r="H590" s="42" t="s">
        <v>4936</v>
      </c>
      <c r="I590" s="42" t="s">
        <v>4938</v>
      </c>
      <c r="J590" s="42" t="s">
        <v>4939</v>
      </c>
      <c r="K590" s="42" t="e">
        <f>VLOOKUP(F590,Input!C:M,9,0)</f>
        <v>#N/A</v>
      </c>
      <c r="L590" s="42" t="e">
        <f>VLOOKUP(F590,Input!C:M,10,0)</f>
        <v>#N/A</v>
      </c>
      <c r="M590" s="42" t="e">
        <f>VLOOKUP(F590,Input!C:M,11,0)</f>
        <v>#N/A</v>
      </c>
      <c r="N590" s="43" t="str">
        <f t="shared" si="9"/>
        <v>589,589,**</v>
      </c>
      <c r="O590" s="42">
        <v>589</v>
      </c>
    </row>
    <row r="591" spans="1:15" ht="14.25">
      <c r="A591" s="13" t="str">
        <f>IFERROR(VLOOKUP($F:$F,scan!$A:$B,2,0),"**")</f>
        <v>**</v>
      </c>
      <c r="B591" s="13" t="str">
        <f>IFERROR(VLOOKUP($F591,scan!A:C,3,0),"**")</f>
        <v>**</v>
      </c>
      <c r="C591" s="42">
        <v>590</v>
      </c>
      <c r="D591" s="42" t="s">
        <v>4936</v>
      </c>
      <c r="E591" s="42" t="s">
        <v>4937</v>
      </c>
      <c r="H591" s="42" t="s">
        <v>4936</v>
      </c>
      <c r="I591" s="42" t="s">
        <v>4938</v>
      </c>
      <c r="J591" s="42" t="s">
        <v>4939</v>
      </c>
      <c r="K591" s="42" t="e">
        <f>VLOOKUP(F591,Input!C:M,9,0)</f>
        <v>#N/A</v>
      </c>
      <c r="L591" s="42" t="e">
        <f>VLOOKUP(F591,Input!C:M,10,0)</f>
        <v>#N/A</v>
      </c>
      <c r="M591" s="42" t="e">
        <f>VLOOKUP(F591,Input!C:M,11,0)</f>
        <v>#N/A</v>
      </c>
      <c r="N591" s="43" t="str">
        <f t="shared" si="9"/>
        <v>590,590,**</v>
      </c>
      <c r="O591" s="42">
        <v>590</v>
      </c>
    </row>
    <row r="592" spans="1:15" ht="14.25">
      <c r="A592" s="13" t="str">
        <f>IFERROR(VLOOKUP($F:$F,scan!$A:$B,2,0),"**")</f>
        <v>**</v>
      </c>
      <c r="B592" s="13" t="str">
        <f>IFERROR(VLOOKUP($F592,scan!A:C,3,0),"**")</f>
        <v>**</v>
      </c>
      <c r="C592" s="42">
        <v>591</v>
      </c>
      <c r="D592" s="42" t="s">
        <v>4936</v>
      </c>
      <c r="E592" s="42" t="s">
        <v>4937</v>
      </c>
      <c r="H592" s="42" t="s">
        <v>4936</v>
      </c>
      <c r="I592" s="42" t="s">
        <v>4938</v>
      </c>
      <c r="J592" s="42" t="s">
        <v>4939</v>
      </c>
      <c r="K592" s="42" t="e">
        <f>VLOOKUP(F592,Input!C:M,9,0)</f>
        <v>#N/A</v>
      </c>
      <c r="L592" s="42" t="e">
        <f>VLOOKUP(F592,Input!C:M,10,0)</f>
        <v>#N/A</v>
      </c>
      <c r="M592" s="42" t="e">
        <f>VLOOKUP(F592,Input!C:M,11,0)</f>
        <v>#N/A</v>
      </c>
      <c r="N592" s="43" t="str">
        <f t="shared" si="9"/>
        <v>591,591,**</v>
      </c>
      <c r="O592" s="42">
        <v>591</v>
      </c>
    </row>
    <row r="593" spans="1:15" ht="14.25">
      <c r="A593" s="13" t="str">
        <f>IFERROR(VLOOKUP($F:$F,scan!$A:$B,2,0),"**")</f>
        <v>**</v>
      </c>
      <c r="B593" s="13" t="str">
        <f>IFERROR(VLOOKUP($F593,scan!A:C,3,0),"**")</f>
        <v>**</v>
      </c>
      <c r="C593" s="42">
        <v>592</v>
      </c>
      <c r="D593" s="42" t="s">
        <v>4936</v>
      </c>
      <c r="E593" s="42" t="s">
        <v>4937</v>
      </c>
      <c r="H593" s="42" t="s">
        <v>4936</v>
      </c>
      <c r="I593" s="42" t="s">
        <v>4938</v>
      </c>
      <c r="J593" s="42" t="s">
        <v>4939</v>
      </c>
      <c r="K593" s="42" t="e">
        <f>VLOOKUP(F593,Input!C:M,9,0)</f>
        <v>#N/A</v>
      </c>
      <c r="L593" s="42" t="e">
        <f>VLOOKUP(F593,Input!C:M,10,0)</f>
        <v>#N/A</v>
      </c>
      <c r="M593" s="42" t="e">
        <f>VLOOKUP(F593,Input!C:M,11,0)</f>
        <v>#N/A</v>
      </c>
      <c r="N593" s="43" t="str">
        <f t="shared" si="9"/>
        <v>592,592,**</v>
      </c>
      <c r="O593" s="42">
        <v>592</v>
      </c>
    </row>
    <row r="594" spans="1:15" ht="14.25">
      <c r="A594" s="13" t="str">
        <f>IFERROR(VLOOKUP($F:$F,scan!$A:$B,2,0),"**")</f>
        <v>**</v>
      </c>
      <c r="B594" s="13" t="str">
        <f>IFERROR(VLOOKUP($F594,scan!A:C,3,0),"**")</f>
        <v>**</v>
      </c>
      <c r="C594" s="42">
        <v>593</v>
      </c>
      <c r="D594" s="42" t="s">
        <v>4936</v>
      </c>
      <c r="E594" s="42" t="s">
        <v>4937</v>
      </c>
      <c r="H594" s="42" t="s">
        <v>4936</v>
      </c>
      <c r="I594" s="42" t="s">
        <v>4938</v>
      </c>
      <c r="J594" s="42" t="s">
        <v>4939</v>
      </c>
      <c r="K594" s="42" t="e">
        <f>VLOOKUP(F594,Input!C:M,9,0)</f>
        <v>#N/A</v>
      </c>
      <c r="L594" s="42" t="e">
        <f>VLOOKUP(F594,Input!C:M,10,0)</f>
        <v>#N/A</v>
      </c>
      <c r="M594" s="42" t="e">
        <f>VLOOKUP(F594,Input!C:M,11,0)</f>
        <v>#N/A</v>
      </c>
      <c r="N594" s="43" t="str">
        <f t="shared" si="9"/>
        <v>593,593,**</v>
      </c>
      <c r="O594" s="42">
        <v>593</v>
      </c>
    </row>
    <row r="595" spans="1:15" ht="14.25">
      <c r="A595" s="13" t="str">
        <f>IFERROR(VLOOKUP($F:$F,scan!$A:$B,2,0),"**")</f>
        <v>**</v>
      </c>
      <c r="B595" s="13" t="str">
        <f>IFERROR(VLOOKUP($F595,scan!A:C,3,0),"**")</f>
        <v>**</v>
      </c>
      <c r="C595" s="42">
        <v>594</v>
      </c>
      <c r="D595" s="42" t="s">
        <v>4936</v>
      </c>
      <c r="E595" s="42" t="s">
        <v>4937</v>
      </c>
      <c r="H595" s="42" t="s">
        <v>4936</v>
      </c>
      <c r="I595" s="42" t="s">
        <v>4938</v>
      </c>
      <c r="J595" s="42" t="s">
        <v>4939</v>
      </c>
      <c r="K595" s="42" t="e">
        <f>VLOOKUP(F595,Input!C:M,9,0)</f>
        <v>#N/A</v>
      </c>
      <c r="L595" s="42" t="e">
        <f>VLOOKUP(F595,Input!C:M,10,0)</f>
        <v>#N/A</v>
      </c>
      <c r="M595" s="42" t="e">
        <f>VLOOKUP(F595,Input!C:M,11,0)</f>
        <v>#N/A</v>
      </c>
      <c r="N595" s="43" t="str">
        <f t="shared" si="9"/>
        <v>594,594,**</v>
      </c>
      <c r="O595" s="42">
        <v>594</v>
      </c>
    </row>
    <row r="596" spans="1:15" ht="14.25">
      <c r="A596" s="13" t="str">
        <f>IFERROR(VLOOKUP($F:$F,scan!$A:$B,2,0),"**")</f>
        <v>**</v>
      </c>
      <c r="B596" s="13" t="str">
        <f>IFERROR(VLOOKUP($F596,scan!A:C,3,0),"**")</f>
        <v>**</v>
      </c>
      <c r="C596" s="42">
        <v>595</v>
      </c>
      <c r="D596" s="42" t="s">
        <v>4936</v>
      </c>
      <c r="E596" s="42" t="s">
        <v>4937</v>
      </c>
      <c r="H596" s="42" t="s">
        <v>4936</v>
      </c>
      <c r="I596" s="42" t="s">
        <v>4938</v>
      </c>
      <c r="J596" s="42" t="s">
        <v>4939</v>
      </c>
      <c r="K596" s="42" t="e">
        <f>VLOOKUP(F596,Input!C:M,9,0)</f>
        <v>#N/A</v>
      </c>
      <c r="L596" s="42" t="e">
        <f>VLOOKUP(F596,Input!C:M,10,0)</f>
        <v>#N/A</v>
      </c>
      <c r="M596" s="42" t="e">
        <f>VLOOKUP(F596,Input!C:M,11,0)</f>
        <v>#N/A</v>
      </c>
      <c r="N596" s="43" t="str">
        <f t="shared" si="9"/>
        <v>595,595,**</v>
      </c>
      <c r="O596" s="42">
        <v>595</v>
      </c>
    </row>
    <row r="597" spans="1:15" ht="14.25">
      <c r="A597" s="13" t="str">
        <f>IFERROR(VLOOKUP($F:$F,scan!$A:$B,2,0),"**")</f>
        <v>**</v>
      </c>
      <c r="B597" s="13" t="str">
        <f>IFERROR(VLOOKUP($F597,scan!A:C,3,0),"**")</f>
        <v>**</v>
      </c>
      <c r="C597" s="42">
        <v>596</v>
      </c>
      <c r="D597" s="42" t="s">
        <v>4936</v>
      </c>
      <c r="E597" s="42" t="s">
        <v>4937</v>
      </c>
      <c r="H597" s="42" t="s">
        <v>4936</v>
      </c>
      <c r="I597" s="42" t="s">
        <v>4938</v>
      </c>
      <c r="J597" s="42" t="s">
        <v>4939</v>
      </c>
      <c r="K597" s="42" t="e">
        <f>VLOOKUP(F597,Input!C:M,9,0)</f>
        <v>#N/A</v>
      </c>
      <c r="L597" s="42" t="e">
        <f>VLOOKUP(F597,Input!C:M,10,0)</f>
        <v>#N/A</v>
      </c>
      <c r="M597" s="42" t="e">
        <f>VLOOKUP(F597,Input!C:M,11,0)</f>
        <v>#N/A</v>
      </c>
      <c r="N597" s="43" t="str">
        <f t="shared" si="9"/>
        <v>596,596,**</v>
      </c>
      <c r="O597" s="42">
        <v>596</v>
      </c>
    </row>
    <row r="598" spans="1:15" ht="14.25">
      <c r="A598" s="13" t="str">
        <f>IFERROR(VLOOKUP($F:$F,scan!$A:$B,2,0),"**")</f>
        <v>**</v>
      </c>
      <c r="B598" s="13" t="str">
        <f>IFERROR(VLOOKUP($F598,scan!A:C,3,0),"**")</f>
        <v>**</v>
      </c>
      <c r="C598" s="42">
        <v>597</v>
      </c>
      <c r="D598" s="42" t="s">
        <v>4936</v>
      </c>
      <c r="E598" s="42" t="s">
        <v>4937</v>
      </c>
      <c r="H598" s="42" t="s">
        <v>4936</v>
      </c>
      <c r="I598" s="42" t="s">
        <v>4938</v>
      </c>
      <c r="J598" s="42" t="s">
        <v>4939</v>
      </c>
      <c r="K598" s="42" t="e">
        <f>VLOOKUP(F598,Input!C:M,9,0)</f>
        <v>#N/A</v>
      </c>
      <c r="L598" s="42" t="e">
        <f>VLOOKUP(F598,Input!C:M,10,0)</f>
        <v>#N/A</v>
      </c>
      <c r="M598" s="42" t="e">
        <f>VLOOKUP(F598,Input!C:M,11,0)</f>
        <v>#N/A</v>
      </c>
      <c r="N598" s="43" t="str">
        <f t="shared" si="9"/>
        <v>597,597,**</v>
      </c>
      <c r="O598" s="42">
        <v>597</v>
      </c>
    </row>
    <row r="599" spans="1:15" ht="14.25">
      <c r="A599" s="13" t="str">
        <f>IFERROR(VLOOKUP($F:$F,scan!$A:$B,2,0),"**")</f>
        <v>**</v>
      </c>
      <c r="B599" s="13" t="str">
        <f>IFERROR(VLOOKUP($F599,scan!A:C,3,0),"**")</f>
        <v>**</v>
      </c>
      <c r="C599" s="42">
        <v>598</v>
      </c>
      <c r="D599" s="42" t="s">
        <v>4936</v>
      </c>
      <c r="E599" s="42" t="s">
        <v>4937</v>
      </c>
      <c r="H599" s="42" t="s">
        <v>4936</v>
      </c>
      <c r="I599" s="42" t="s">
        <v>4938</v>
      </c>
      <c r="J599" s="42" t="s">
        <v>4939</v>
      </c>
      <c r="K599" s="42" t="e">
        <f>VLOOKUP(F599,Input!C:M,9,0)</f>
        <v>#N/A</v>
      </c>
      <c r="L599" s="42" t="e">
        <f>VLOOKUP(F599,Input!C:M,10,0)</f>
        <v>#N/A</v>
      </c>
      <c r="M599" s="42" t="e">
        <f>VLOOKUP(F599,Input!C:M,11,0)</f>
        <v>#N/A</v>
      </c>
      <c r="N599" s="43" t="str">
        <f t="shared" si="9"/>
        <v>598,598,**</v>
      </c>
      <c r="O599" s="42">
        <v>598</v>
      </c>
    </row>
    <row r="600" spans="1:15" ht="14.25">
      <c r="A600" s="13" t="str">
        <f>IFERROR(VLOOKUP($F:$F,scan!$A:$B,2,0),"**")</f>
        <v>**</v>
      </c>
      <c r="B600" s="13" t="str">
        <f>IFERROR(VLOOKUP($F600,scan!A:C,3,0),"**")</f>
        <v>**</v>
      </c>
      <c r="C600" s="42">
        <v>599</v>
      </c>
      <c r="D600" s="42" t="s">
        <v>4936</v>
      </c>
      <c r="E600" s="42" t="s">
        <v>4937</v>
      </c>
      <c r="H600" s="42" t="s">
        <v>4936</v>
      </c>
      <c r="I600" s="42" t="s">
        <v>4938</v>
      </c>
      <c r="J600" s="42" t="s">
        <v>4939</v>
      </c>
      <c r="K600" s="42" t="e">
        <f>VLOOKUP(F600,Input!C:M,9,0)</f>
        <v>#N/A</v>
      </c>
      <c r="L600" s="42" t="e">
        <f>VLOOKUP(F600,Input!C:M,10,0)</f>
        <v>#N/A</v>
      </c>
      <c r="M600" s="42" t="e">
        <f>VLOOKUP(F600,Input!C:M,11,0)</f>
        <v>#N/A</v>
      </c>
      <c r="N600" s="43" t="str">
        <f t="shared" si="9"/>
        <v>599,599,**</v>
      </c>
      <c r="O600" s="42">
        <v>599</v>
      </c>
    </row>
    <row r="601" spans="1:15" ht="14.25">
      <c r="A601" s="13" t="str">
        <f>IFERROR(VLOOKUP($F:$F,scan!$A:$B,2,0),"**")</f>
        <v>**</v>
      </c>
      <c r="B601" s="13" t="str">
        <f>IFERROR(VLOOKUP($F601,scan!A:C,3,0),"**")</f>
        <v>**</v>
      </c>
      <c r="C601" s="42">
        <v>600</v>
      </c>
      <c r="D601" s="42" t="s">
        <v>4936</v>
      </c>
      <c r="E601" s="42" t="s">
        <v>4937</v>
      </c>
      <c r="H601" s="42" t="s">
        <v>4936</v>
      </c>
      <c r="I601" s="42" t="s">
        <v>4938</v>
      </c>
      <c r="J601" s="42" t="s">
        <v>4939</v>
      </c>
      <c r="K601" s="42" t="e">
        <f>VLOOKUP(F601,Input!C:M,9,0)</f>
        <v>#N/A</v>
      </c>
      <c r="L601" s="42" t="e">
        <f>VLOOKUP(F601,Input!C:M,10,0)</f>
        <v>#N/A</v>
      </c>
      <c r="M601" s="42" t="e">
        <f>VLOOKUP(F601,Input!C:M,11,0)</f>
        <v>#N/A</v>
      </c>
      <c r="N601" s="43" t="str">
        <f t="shared" si="9"/>
        <v>600,600,**</v>
      </c>
      <c r="O601" s="42">
        <v>600</v>
      </c>
    </row>
    <row r="602" spans="1:15" ht="14.25">
      <c r="A602" s="13" t="str">
        <f>IFERROR(VLOOKUP($F:$F,scan!$A:$B,2,0),"**")</f>
        <v>**</v>
      </c>
      <c r="B602" s="13" t="str">
        <f>IFERROR(VLOOKUP($F602,scan!A:C,3,0),"**")</f>
        <v>**</v>
      </c>
      <c r="C602" s="42">
        <v>601</v>
      </c>
      <c r="D602" s="42" t="s">
        <v>4936</v>
      </c>
      <c r="E602" s="42" t="s">
        <v>4937</v>
      </c>
      <c r="H602" s="42" t="s">
        <v>4936</v>
      </c>
      <c r="I602" s="42" t="s">
        <v>4938</v>
      </c>
      <c r="J602" s="42" t="s">
        <v>4939</v>
      </c>
      <c r="K602" s="42" t="e">
        <f>VLOOKUP(F602,Input!C:M,9,0)</f>
        <v>#N/A</v>
      </c>
      <c r="L602" s="42" t="e">
        <f>VLOOKUP(F602,Input!C:M,10,0)</f>
        <v>#N/A</v>
      </c>
      <c r="M602" s="42" t="e">
        <f>VLOOKUP(F602,Input!C:M,11,0)</f>
        <v>#N/A</v>
      </c>
      <c r="N602" s="43" t="str">
        <f t="shared" si="9"/>
        <v>601,601,**</v>
      </c>
      <c r="O602" s="42">
        <v>601</v>
      </c>
    </row>
    <row r="603" spans="1:15" ht="14.25">
      <c r="A603" s="13" t="str">
        <f>IFERROR(VLOOKUP($F:$F,scan!$A:$B,2,0),"**")</f>
        <v>**</v>
      </c>
      <c r="B603" s="13" t="str">
        <f>IFERROR(VLOOKUP($F603,scan!A:C,3,0),"**")</f>
        <v>**</v>
      </c>
      <c r="C603" s="42">
        <v>602</v>
      </c>
      <c r="D603" s="42" t="s">
        <v>4936</v>
      </c>
      <c r="E603" s="42" t="s">
        <v>4937</v>
      </c>
      <c r="H603" s="42" t="s">
        <v>4936</v>
      </c>
      <c r="I603" s="42" t="s">
        <v>4938</v>
      </c>
      <c r="J603" s="42" t="s">
        <v>4939</v>
      </c>
      <c r="K603" s="42" t="e">
        <f>VLOOKUP(F603,Input!C:M,9,0)</f>
        <v>#N/A</v>
      </c>
      <c r="L603" s="42" t="e">
        <f>VLOOKUP(F603,Input!C:M,10,0)</f>
        <v>#N/A</v>
      </c>
      <c r="M603" s="42" t="e">
        <f>VLOOKUP(F603,Input!C:M,11,0)</f>
        <v>#N/A</v>
      </c>
      <c r="N603" s="43" t="str">
        <f t="shared" si="9"/>
        <v>602,602,**</v>
      </c>
      <c r="O603" s="42">
        <v>602</v>
      </c>
    </row>
    <row r="604" spans="1:15" ht="14.25">
      <c r="A604" s="13" t="str">
        <f>IFERROR(VLOOKUP($F:$F,scan!$A:$B,2,0),"**")</f>
        <v>**</v>
      </c>
      <c r="B604" s="13" t="str">
        <f>IFERROR(VLOOKUP($F604,scan!A:C,3,0),"**")</f>
        <v>**</v>
      </c>
      <c r="C604" s="42">
        <v>603</v>
      </c>
      <c r="D604" s="42" t="s">
        <v>4936</v>
      </c>
      <c r="E604" s="42" t="s">
        <v>4937</v>
      </c>
      <c r="H604" s="42" t="s">
        <v>4936</v>
      </c>
      <c r="I604" s="42" t="s">
        <v>4938</v>
      </c>
      <c r="J604" s="42" t="s">
        <v>4939</v>
      </c>
      <c r="K604" s="42" t="e">
        <f>VLOOKUP(F604,Input!C:M,9,0)</f>
        <v>#N/A</v>
      </c>
      <c r="L604" s="42" t="e">
        <f>VLOOKUP(F604,Input!C:M,10,0)</f>
        <v>#N/A</v>
      </c>
      <c r="M604" s="42" t="e">
        <f>VLOOKUP(F604,Input!C:M,11,0)</f>
        <v>#N/A</v>
      </c>
      <c r="N604" s="43" t="str">
        <f t="shared" si="9"/>
        <v>603,603,**</v>
      </c>
      <c r="O604" s="42">
        <v>603</v>
      </c>
    </row>
    <row r="605" spans="1:15" ht="14.25">
      <c r="A605" s="13" t="str">
        <f>IFERROR(VLOOKUP($F:$F,scan!$A:$B,2,0),"**")</f>
        <v>**</v>
      </c>
      <c r="B605" s="13" t="str">
        <f>IFERROR(VLOOKUP($F605,scan!A:C,3,0),"**")</f>
        <v>**</v>
      </c>
      <c r="C605" s="42">
        <v>604</v>
      </c>
      <c r="D605" s="42" t="s">
        <v>4936</v>
      </c>
      <c r="E605" s="42" t="s">
        <v>4937</v>
      </c>
      <c r="H605" s="42" t="s">
        <v>4936</v>
      </c>
      <c r="I605" s="42" t="s">
        <v>4938</v>
      </c>
      <c r="J605" s="42" t="s">
        <v>4939</v>
      </c>
      <c r="K605" s="42" t="e">
        <f>VLOOKUP(F605,Input!C:M,9,0)</f>
        <v>#N/A</v>
      </c>
      <c r="L605" s="42" t="e">
        <f>VLOOKUP(F605,Input!C:M,10,0)</f>
        <v>#N/A</v>
      </c>
      <c r="M605" s="42" t="e">
        <f>VLOOKUP(F605,Input!C:M,11,0)</f>
        <v>#N/A</v>
      </c>
      <c r="N605" s="43" t="str">
        <f t="shared" si="9"/>
        <v>604,604,**</v>
      </c>
      <c r="O605" s="42">
        <v>604</v>
      </c>
    </row>
    <row r="606" spans="1:15" ht="14.25">
      <c r="A606" s="13" t="str">
        <f>IFERROR(VLOOKUP($F:$F,scan!$A:$B,2,0),"**")</f>
        <v>**</v>
      </c>
      <c r="B606" s="13" t="str">
        <f>IFERROR(VLOOKUP($F606,scan!A:C,3,0),"**")</f>
        <v>**</v>
      </c>
      <c r="C606" s="42">
        <v>605</v>
      </c>
      <c r="D606" s="42" t="s">
        <v>4936</v>
      </c>
      <c r="E606" s="42" t="s">
        <v>4937</v>
      </c>
      <c r="H606" s="42" t="s">
        <v>4936</v>
      </c>
      <c r="I606" s="42" t="s">
        <v>4938</v>
      </c>
      <c r="J606" s="42" t="s">
        <v>4939</v>
      </c>
      <c r="K606" s="42" t="e">
        <f>VLOOKUP(F606,Input!C:M,9,0)</f>
        <v>#N/A</v>
      </c>
      <c r="L606" s="42" t="e">
        <f>VLOOKUP(F606,Input!C:M,10,0)</f>
        <v>#N/A</v>
      </c>
      <c r="M606" s="42" t="e">
        <f>VLOOKUP(F606,Input!C:M,11,0)</f>
        <v>#N/A</v>
      </c>
      <c r="N606" s="43" t="str">
        <f t="shared" si="9"/>
        <v>605,605,**</v>
      </c>
      <c r="O606" s="42">
        <v>605</v>
      </c>
    </row>
    <row r="607" spans="1:15" ht="14.25">
      <c r="A607" s="13" t="str">
        <f>IFERROR(VLOOKUP($F:$F,scan!$A:$B,2,0),"**")</f>
        <v>**</v>
      </c>
      <c r="B607" s="13" t="str">
        <f>IFERROR(VLOOKUP($F607,scan!A:C,3,0),"**")</f>
        <v>**</v>
      </c>
      <c r="C607" s="42">
        <v>606</v>
      </c>
      <c r="D607" s="42" t="s">
        <v>4936</v>
      </c>
      <c r="E607" s="42" t="s">
        <v>4937</v>
      </c>
      <c r="H607" s="42" t="s">
        <v>4936</v>
      </c>
      <c r="I607" s="42" t="s">
        <v>4938</v>
      </c>
      <c r="J607" s="42" t="s">
        <v>4939</v>
      </c>
      <c r="K607" s="42" t="e">
        <f>VLOOKUP(F607,Input!C:M,9,0)</f>
        <v>#N/A</v>
      </c>
      <c r="L607" s="42" t="e">
        <f>VLOOKUP(F607,Input!C:M,10,0)</f>
        <v>#N/A</v>
      </c>
      <c r="M607" s="42" t="e">
        <f>VLOOKUP(F607,Input!C:M,11,0)</f>
        <v>#N/A</v>
      </c>
      <c r="N607" s="43" t="str">
        <f t="shared" si="9"/>
        <v>606,606,**</v>
      </c>
      <c r="O607" s="42">
        <v>606</v>
      </c>
    </row>
    <row r="608" spans="1:15" ht="14.25">
      <c r="A608" s="13" t="str">
        <f>IFERROR(VLOOKUP($F:$F,scan!$A:$B,2,0),"**")</f>
        <v>**</v>
      </c>
      <c r="B608" s="13" t="str">
        <f>IFERROR(VLOOKUP($F608,scan!A:C,3,0),"**")</f>
        <v>**</v>
      </c>
      <c r="C608" s="42">
        <v>607</v>
      </c>
      <c r="D608" s="42" t="s">
        <v>4936</v>
      </c>
      <c r="E608" s="42" t="s">
        <v>4937</v>
      </c>
      <c r="H608" s="42" t="s">
        <v>4936</v>
      </c>
      <c r="I608" s="42" t="s">
        <v>4938</v>
      </c>
      <c r="J608" s="42" t="s">
        <v>4939</v>
      </c>
      <c r="K608" s="42" t="e">
        <f>VLOOKUP(F608,Input!C:M,9,0)</f>
        <v>#N/A</v>
      </c>
      <c r="L608" s="42" t="e">
        <f>VLOOKUP(F608,Input!C:M,10,0)</f>
        <v>#N/A</v>
      </c>
      <c r="M608" s="42" t="e">
        <f>VLOOKUP(F608,Input!C:M,11,0)</f>
        <v>#N/A</v>
      </c>
      <c r="N608" s="43" t="str">
        <f t="shared" si="9"/>
        <v>607,607,**</v>
      </c>
      <c r="O608" s="42">
        <v>607</v>
      </c>
    </row>
    <row r="609" spans="1:15" ht="14.25">
      <c r="A609" s="13" t="str">
        <f>IFERROR(VLOOKUP($F:$F,scan!$A:$B,2,0),"**")</f>
        <v>**</v>
      </c>
      <c r="B609" s="13" t="str">
        <f>IFERROR(VLOOKUP($F609,scan!A:C,3,0),"**")</f>
        <v>**</v>
      </c>
      <c r="C609" s="42">
        <v>608</v>
      </c>
      <c r="D609" s="42" t="s">
        <v>4936</v>
      </c>
      <c r="E609" s="42" t="s">
        <v>4937</v>
      </c>
      <c r="H609" s="42" t="s">
        <v>4936</v>
      </c>
      <c r="I609" s="42" t="s">
        <v>4938</v>
      </c>
      <c r="J609" s="42" t="s">
        <v>4939</v>
      </c>
      <c r="K609" s="42" t="e">
        <f>VLOOKUP(F609,Input!C:M,9,0)</f>
        <v>#N/A</v>
      </c>
      <c r="L609" s="42" t="e">
        <f>VLOOKUP(F609,Input!C:M,10,0)</f>
        <v>#N/A</v>
      </c>
      <c r="M609" s="42" t="e">
        <f>VLOOKUP(F609,Input!C:M,11,0)</f>
        <v>#N/A</v>
      </c>
      <c r="N609" s="43" t="str">
        <f t="shared" si="9"/>
        <v>608,608,**</v>
      </c>
      <c r="O609" s="42">
        <v>608</v>
      </c>
    </row>
    <row r="610" spans="1:15" ht="14.25">
      <c r="A610" s="13" t="str">
        <f>IFERROR(VLOOKUP($F:$F,scan!$A:$B,2,0),"**")</f>
        <v>**</v>
      </c>
      <c r="B610" s="13" t="str">
        <f>IFERROR(VLOOKUP($F610,scan!A:C,3,0),"**")</f>
        <v>**</v>
      </c>
      <c r="C610" s="42">
        <v>609</v>
      </c>
      <c r="D610" s="42" t="s">
        <v>4936</v>
      </c>
      <c r="E610" s="42" t="s">
        <v>4937</v>
      </c>
      <c r="H610" s="42" t="s">
        <v>4936</v>
      </c>
      <c r="I610" s="42" t="s">
        <v>4938</v>
      </c>
      <c r="J610" s="42" t="s">
        <v>4939</v>
      </c>
      <c r="K610" s="42" t="e">
        <f>VLOOKUP(F610,Input!C:M,9,0)</f>
        <v>#N/A</v>
      </c>
      <c r="L610" s="42" t="e">
        <f>VLOOKUP(F610,Input!C:M,10,0)</f>
        <v>#N/A</v>
      </c>
      <c r="M610" s="42" t="e">
        <f>VLOOKUP(F610,Input!C:M,11,0)</f>
        <v>#N/A</v>
      </c>
      <c r="N610" s="43" t="str">
        <f t="shared" si="9"/>
        <v>609,609,**</v>
      </c>
      <c r="O610" s="42">
        <v>609</v>
      </c>
    </row>
    <row r="611" spans="1:15" ht="14.25">
      <c r="A611" s="13" t="str">
        <f>IFERROR(VLOOKUP($F:$F,scan!$A:$B,2,0),"**")</f>
        <v>**</v>
      </c>
      <c r="B611" s="13" t="str">
        <f>IFERROR(VLOOKUP($F611,scan!A:C,3,0),"**")</f>
        <v>**</v>
      </c>
      <c r="C611" s="42">
        <v>610</v>
      </c>
      <c r="D611" s="42" t="s">
        <v>4936</v>
      </c>
      <c r="E611" s="42" t="s">
        <v>4937</v>
      </c>
      <c r="H611" s="42" t="s">
        <v>4936</v>
      </c>
      <c r="I611" s="42" t="s">
        <v>4938</v>
      </c>
      <c r="J611" s="42" t="s">
        <v>4939</v>
      </c>
      <c r="K611" s="42" t="e">
        <f>VLOOKUP(F611,Input!C:M,9,0)</f>
        <v>#N/A</v>
      </c>
      <c r="L611" s="42" t="e">
        <f>VLOOKUP(F611,Input!C:M,10,0)</f>
        <v>#N/A</v>
      </c>
      <c r="M611" s="42" t="e">
        <f>VLOOKUP(F611,Input!C:M,11,0)</f>
        <v>#N/A</v>
      </c>
      <c r="N611" s="43" t="str">
        <f t="shared" si="9"/>
        <v>610,610,**</v>
      </c>
      <c r="O611" s="42">
        <v>610</v>
      </c>
    </row>
    <row r="612" spans="1:15" ht="14.25">
      <c r="A612" s="13" t="str">
        <f>IFERROR(VLOOKUP($F:$F,scan!$A:$B,2,0),"**")</f>
        <v>**</v>
      </c>
      <c r="B612" s="13" t="str">
        <f>IFERROR(VLOOKUP($F612,scan!A:C,3,0),"**")</f>
        <v>**</v>
      </c>
      <c r="C612" s="42">
        <v>611</v>
      </c>
      <c r="D612" s="42" t="s">
        <v>4936</v>
      </c>
      <c r="E612" s="42" t="s">
        <v>4937</v>
      </c>
      <c r="H612" s="42" t="s">
        <v>4936</v>
      </c>
      <c r="I612" s="42" t="s">
        <v>4938</v>
      </c>
      <c r="J612" s="42" t="s">
        <v>4939</v>
      </c>
      <c r="K612" s="42" t="e">
        <f>VLOOKUP(F612,Input!C:M,9,0)</f>
        <v>#N/A</v>
      </c>
      <c r="L612" s="42" t="e">
        <f>VLOOKUP(F612,Input!C:M,10,0)</f>
        <v>#N/A</v>
      </c>
      <c r="M612" s="42" t="e">
        <f>VLOOKUP(F612,Input!C:M,11,0)</f>
        <v>#N/A</v>
      </c>
      <c r="N612" s="43" t="str">
        <f t="shared" si="9"/>
        <v>611,611,**</v>
      </c>
      <c r="O612" s="42">
        <v>611</v>
      </c>
    </row>
    <row r="613" spans="1:15" ht="14.25">
      <c r="A613" s="13" t="str">
        <f>IFERROR(VLOOKUP($F:$F,scan!$A:$B,2,0),"**")</f>
        <v>**</v>
      </c>
      <c r="B613" s="13" t="str">
        <f>IFERROR(VLOOKUP($F613,scan!A:C,3,0),"**")</f>
        <v>**</v>
      </c>
      <c r="C613" s="42">
        <v>612</v>
      </c>
      <c r="D613" s="42" t="s">
        <v>4936</v>
      </c>
      <c r="E613" s="42" t="s">
        <v>4937</v>
      </c>
      <c r="H613" s="42" t="s">
        <v>4936</v>
      </c>
      <c r="I613" s="42" t="s">
        <v>4938</v>
      </c>
      <c r="J613" s="42" t="s">
        <v>4939</v>
      </c>
      <c r="K613" s="42" t="e">
        <f>VLOOKUP(F613,Input!C:M,9,0)</f>
        <v>#N/A</v>
      </c>
      <c r="L613" s="42" t="e">
        <f>VLOOKUP(F613,Input!C:M,10,0)</f>
        <v>#N/A</v>
      </c>
      <c r="M613" s="42" t="e">
        <f>VLOOKUP(F613,Input!C:M,11,0)</f>
        <v>#N/A</v>
      </c>
      <c r="N613" s="43" t="str">
        <f t="shared" si="9"/>
        <v>612,612,**</v>
      </c>
      <c r="O613" s="42">
        <v>612</v>
      </c>
    </row>
    <row r="614" spans="1:15" ht="14.25">
      <c r="A614" s="13" t="str">
        <f>IFERROR(VLOOKUP($F:$F,scan!$A:$B,2,0),"**")</f>
        <v>**</v>
      </c>
      <c r="B614" s="13" t="str">
        <f>IFERROR(VLOOKUP($F614,scan!A:C,3,0),"**")</f>
        <v>**</v>
      </c>
      <c r="C614" s="42">
        <v>613</v>
      </c>
      <c r="D614" s="42" t="s">
        <v>4936</v>
      </c>
      <c r="E614" s="42" t="s">
        <v>4937</v>
      </c>
      <c r="H614" s="42" t="s">
        <v>4936</v>
      </c>
      <c r="I614" s="42" t="s">
        <v>4938</v>
      </c>
      <c r="J614" s="42" t="s">
        <v>4939</v>
      </c>
      <c r="K614" s="42" t="e">
        <f>VLOOKUP(F614,Input!C:M,9,0)</f>
        <v>#N/A</v>
      </c>
      <c r="L614" s="42" t="e">
        <f>VLOOKUP(F614,Input!C:M,10,0)</f>
        <v>#N/A</v>
      </c>
      <c r="M614" s="42" t="e">
        <f>VLOOKUP(F614,Input!C:M,11,0)</f>
        <v>#N/A</v>
      </c>
      <c r="N614" s="43" t="str">
        <f t="shared" si="9"/>
        <v>613,613,**</v>
      </c>
      <c r="O614" s="42">
        <v>613</v>
      </c>
    </row>
    <row r="615" spans="1:15" ht="14.25">
      <c r="A615" s="13" t="str">
        <f>IFERROR(VLOOKUP($F:$F,scan!$A:$B,2,0),"**")</f>
        <v>**</v>
      </c>
      <c r="B615" s="13" t="str">
        <f>IFERROR(VLOOKUP($F615,scan!A:C,3,0),"**")</f>
        <v>**</v>
      </c>
      <c r="C615" s="42">
        <v>614</v>
      </c>
      <c r="D615" s="42" t="s">
        <v>4936</v>
      </c>
      <c r="E615" s="42" t="s">
        <v>4937</v>
      </c>
      <c r="H615" s="42" t="s">
        <v>4936</v>
      </c>
      <c r="I615" s="42" t="s">
        <v>4938</v>
      </c>
      <c r="J615" s="42" t="s">
        <v>4939</v>
      </c>
      <c r="K615" s="42" t="e">
        <f>VLOOKUP(F615,Input!C:M,9,0)</f>
        <v>#N/A</v>
      </c>
      <c r="L615" s="42" t="e">
        <f>VLOOKUP(F615,Input!C:M,10,0)</f>
        <v>#N/A</v>
      </c>
      <c r="M615" s="42" t="e">
        <f>VLOOKUP(F615,Input!C:M,11,0)</f>
        <v>#N/A</v>
      </c>
      <c r="N615" s="43" t="str">
        <f t="shared" si="9"/>
        <v>614,614,**</v>
      </c>
      <c r="O615" s="42">
        <v>614</v>
      </c>
    </row>
    <row r="616" spans="1:15" ht="14.25">
      <c r="A616" s="13" t="str">
        <f>IFERROR(VLOOKUP($F:$F,scan!$A:$B,2,0),"**")</f>
        <v>**</v>
      </c>
      <c r="B616" s="13" t="str">
        <f>IFERROR(VLOOKUP($F616,scan!A:C,3,0),"**")</f>
        <v>**</v>
      </c>
      <c r="C616" s="42">
        <v>615</v>
      </c>
      <c r="D616" s="42" t="s">
        <v>4936</v>
      </c>
      <c r="E616" s="42" t="s">
        <v>4937</v>
      </c>
      <c r="H616" s="42" t="s">
        <v>4936</v>
      </c>
      <c r="I616" s="42" t="s">
        <v>4938</v>
      </c>
      <c r="J616" s="42" t="s">
        <v>4939</v>
      </c>
      <c r="K616" s="42" t="e">
        <f>VLOOKUP(F616,Input!C:M,9,0)</f>
        <v>#N/A</v>
      </c>
      <c r="L616" s="42" t="e">
        <f>VLOOKUP(F616,Input!C:M,10,0)</f>
        <v>#N/A</v>
      </c>
      <c r="M616" s="42" t="e">
        <f>VLOOKUP(F616,Input!C:M,11,0)</f>
        <v>#N/A</v>
      </c>
      <c r="N616" s="43" t="str">
        <f t="shared" si="9"/>
        <v>615,615,**</v>
      </c>
      <c r="O616" s="42">
        <v>615</v>
      </c>
    </row>
    <row r="617" spans="1:15" ht="14.25">
      <c r="A617" s="13" t="str">
        <f>IFERROR(VLOOKUP($F:$F,scan!$A:$B,2,0),"**")</f>
        <v>**</v>
      </c>
      <c r="B617" s="13" t="str">
        <f>IFERROR(VLOOKUP($F617,scan!A:C,3,0),"**")</f>
        <v>**</v>
      </c>
      <c r="C617" s="42">
        <v>616</v>
      </c>
      <c r="D617" s="42" t="s">
        <v>4936</v>
      </c>
      <c r="E617" s="42" t="s">
        <v>4937</v>
      </c>
      <c r="H617" s="42" t="s">
        <v>4936</v>
      </c>
      <c r="I617" s="42" t="s">
        <v>4938</v>
      </c>
      <c r="J617" s="42" t="s">
        <v>4939</v>
      </c>
      <c r="K617" s="42" t="e">
        <f>VLOOKUP(F617,Input!C:M,9,0)</f>
        <v>#N/A</v>
      </c>
      <c r="L617" s="42" t="e">
        <f>VLOOKUP(F617,Input!C:M,10,0)</f>
        <v>#N/A</v>
      </c>
      <c r="M617" s="42" t="e">
        <f>VLOOKUP(F617,Input!C:M,11,0)</f>
        <v>#N/A</v>
      </c>
      <c r="N617" s="43" t="str">
        <f t="shared" si="9"/>
        <v>616,616,**</v>
      </c>
      <c r="O617" s="42">
        <v>616</v>
      </c>
    </row>
    <row r="618" spans="1:15" ht="14.25">
      <c r="A618" s="13" t="str">
        <f>IFERROR(VLOOKUP($F:$F,scan!$A:$B,2,0),"**")</f>
        <v>**</v>
      </c>
      <c r="B618" s="13" t="str">
        <f>IFERROR(VLOOKUP($F618,scan!A:C,3,0),"**")</f>
        <v>**</v>
      </c>
      <c r="C618" s="42">
        <v>617</v>
      </c>
      <c r="D618" s="42" t="s">
        <v>4936</v>
      </c>
      <c r="E618" s="42" t="s">
        <v>4937</v>
      </c>
      <c r="H618" s="42" t="s">
        <v>4936</v>
      </c>
      <c r="I618" s="42" t="s">
        <v>4938</v>
      </c>
      <c r="J618" s="42" t="s">
        <v>4939</v>
      </c>
      <c r="K618" s="42" t="e">
        <f>VLOOKUP(F618,Input!C:M,9,0)</f>
        <v>#N/A</v>
      </c>
      <c r="L618" s="42" t="e">
        <f>VLOOKUP(F618,Input!C:M,10,0)</f>
        <v>#N/A</v>
      </c>
      <c r="M618" s="42" t="e">
        <f>VLOOKUP(F618,Input!C:M,11,0)</f>
        <v>#N/A</v>
      </c>
      <c r="N618" s="43" t="str">
        <f t="shared" si="9"/>
        <v>617,617,**</v>
      </c>
      <c r="O618" s="42">
        <v>617</v>
      </c>
    </row>
    <row r="619" spans="1:15" ht="14.25">
      <c r="A619" s="13" t="str">
        <f>IFERROR(VLOOKUP($F:$F,scan!$A:$B,2,0),"**")</f>
        <v>**</v>
      </c>
      <c r="B619" s="13" t="str">
        <f>IFERROR(VLOOKUP($F619,scan!A:C,3,0),"**")</f>
        <v>**</v>
      </c>
      <c r="C619" s="42">
        <v>618</v>
      </c>
      <c r="D619" s="42" t="s">
        <v>4936</v>
      </c>
      <c r="E619" s="42" t="s">
        <v>4937</v>
      </c>
      <c r="H619" s="42" t="s">
        <v>4936</v>
      </c>
      <c r="I619" s="42" t="s">
        <v>4938</v>
      </c>
      <c r="J619" s="42" t="s">
        <v>4939</v>
      </c>
      <c r="K619" s="42" t="e">
        <f>VLOOKUP(F619,Input!C:M,9,0)</f>
        <v>#N/A</v>
      </c>
      <c r="L619" s="42" t="e">
        <f>VLOOKUP(F619,Input!C:M,10,0)</f>
        <v>#N/A</v>
      </c>
      <c r="M619" s="42" t="e">
        <f>VLOOKUP(F619,Input!C:M,11,0)</f>
        <v>#N/A</v>
      </c>
      <c r="N619" s="43" t="str">
        <f t="shared" si="9"/>
        <v>618,618,**</v>
      </c>
      <c r="O619" s="42">
        <v>618</v>
      </c>
    </row>
    <row r="620" spans="1:15" ht="14.25">
      <c r="A620" s="13" t="str">
        <f>IFERROR(VLOOKUP($F:$F,scan!$A:$B,2,0),"**")</f>
        <v>**</v>
      </c>
      <c r="B620" s="13" t="str">
        <f>IFERROR(VLOOKUP($F620,scan!A:C,3,0),"**")</f>
        <v>**</v>
      </c>
      <c r="C620" s="42">
        <v>619</v>
      </c>
      <c r="D620" s="42" t="s">
        <v>4936</v>
      </c>
      <c r="E620" s="42" t="s">
        <v>4937</v>
      </c>
      <c r="H620" s="42" t="s">
        <v>4936</v>
      </c>
      <c r="I620" s="42" t="s">
        <v>4938</v>
      </c>
      <c r="J620" s="42" t="s">
        <v>4939</v>
      </c>
      <c r="K620" s="42" t="e">
        <f>VLOOKUP(F620,Input!C:M,9,0)</f>
        <v>#N/A</v>
      </c>
      <c r="L620" s="42" t="e">
        <f>VLOOKUP(F620,Input!C:M,10,0)</f>
        <v>#N/A</v>
      </c>
      <c r="M620" s="42" t="e">
        <f>VLOOKUP(F620,Input!C:M,11,0)</f>
        <v>#N/A</v>
      </c>
      <c r="N620" s="43" t="str">
        <f t="shared" si="9"/>
        <v>619,619,**</v>
      </c>
      <c r="O620" s="42">
        <v>619</v>
      </c>
    </row>
    <row r="621" spans="1:15" ht="14.25">
      <c r="A621" s="13" t="str">
        <f>IFERROR(VLOOKUP($F:$F,scan!$A:$B,2,0),"**")</f>
        <v>**</v>
      </c>
      <c r="B621" s="13" t="str">
        <f>IFERROR(VLOOKUP($F621,scan!A:C,3,0),"**")</f>
        <v>**</v>
      </c>
      <c r="C621" s="42">
        <v>620</v>
      </c>
      <c r="D621" s="42" t="s">
        <v>4936</v>
      </c>
      <c r="E621" s="42" t="s">
        <v>4937</v>
      </c>
      <c r="H621" s="42" t="s">
        <v>4936</v>
      </c>
      <c r="I621" s="42" t="s">
        <v>4938</v>
      </c>
      <c r="J621" s="42" t="s">
        <v>4939</v>
      </c>
      <c r="K621" s="42" t="e">
        <f>VLOOKUP(F621,Input!C:M,9,0)</f>
        <v>#N/A</v>
      </c>
      <c r="L621" s="42" t="e">
        <f>VLOOKUP(F621,Input!C:M,10,0)</f>
        <v>#N/A</v>
      </c>
      <c r="M621" s="42" t="e">
        <f>VLOOKUP(F621,Input!C:M,11,0)</f>
        <v>#N/A</v>
      </c>
      <c r="N621" s="43" t="str">
        <f t="shared" si="9"/>
        <v>620,620,**</v>
      </c>
      <c r="O621" s="42">
        <v>620</v>
      </c>
    </row>
    <row r="622" spans="1:15" ht="14.25">
      <c r="A622" s="13" t="str">
        <f>IFERROR(VLOOKUP($F:$F,scan!$A:$B,2,0),"**")</f>
        <v>**</v>
      </c>
      <c r="B622" s="13" t="str">
        <f>IFERROR(VLOOKUP($F622,scan!A:C,3,0),"**")</f>
        <v>**</v>
      </c>
      <c r="C622" s="42">
        <v>621</v>
      </c>
      <c r="D622" s="42" t="s">
        <v>4936</v>
      </c>
      <c r="E622" s="42" t="s">
        <v>4937</v>
      </c>
      <c r="H622" s="42" t="s">
        <v>4936</v>
      </c>
      <c r="I622" s="42" t="s">
        <v>4938</v>
      </c>
      <c r="J622" s="42" t="s">
        <v>4939</v>
      </c>
      <c r="K622" s="42" t="e">
        <f>VLOOKUP(F622,Input!C:M,9,0)</f>
        <v>#N/A</v>
      </c>
      <c r="L622" s="42" t="e">
        <f>VLOOKUP(F622,Input!C:M,10,0)</f>
        <v>#N/A</v>
      </c>
      <c r="M622" s="42" t="e">
        <f>VLOOKUP(F622,Input!C:M,11,0)</f>
        <v>#N/A</v>
      </c>
      <c r="N622" s="43" t="str">
        <f t="shared" si="9"/>
        <v>621,621,**</v>
      </c>
      <c r="O622" s="42">
        <v>621</v>
      </c>
    </row>
    <row r="623" spans="1:15" ht="14.25">
      <c r="A623" s="13" t="str">
        <f>IFERROR(VLOOKUP($F:$F,scan!$A:$B,2,0),"**")</f>
        <v>**</v>
      </c>
      <c r="B623" s="13" t="str">
        <f>IFERROR(VLOOKUP($F623,scan!A:C,3,0),"**")</f>
        <v>**</v>
      </c>
      <c r="C623" s="42">
        <v>622</v>
      </c>
      <c r="D623" s="42" t="s">
        <v>4936</v>
      </c>
      <c r="E623" s="42" t="s">
        <v>4937</v>
      </c>
      <c r="H623" s="42" t="s">
        <v>4936</v>
      </c>
      <c r="I623" s="42" t="s">
        <v>4938</v>
      </c>
      <c r="J623" s="42" t="s">
        <v>4939</v>
      </c>
      <c r="K623" s="42" t="e">
        <f>VLOOKUP(F623,Input!C:M,9,0)</f>
        <v>#N/A</v>
      </c>
      <c r="L623" s="42" t="e">
        <f>VLOOKUP(F623,Input!C:M,10,0)</f>
        <v>#N/A</v>
      </c>
      <c r="M623" s="42" t="e">
        <f>VLOOKUP(F623,Input!C:M,11,0)</f>
        <v>#N/A</v>
      </c>
      <c r="N623" s="43" t="str">
        <f t="shared" si="9"/>
        <v>622,622,**</v>
      </c>
      <c r="O623" s="42">
        <v>622</v>
      </c>
    </row>
    <row r="624" spans="1:15" ht="14.25">
      <c r="A624" s="13" t="str">
        <f>IFERROR(VLOOKUP($F:$F,scan!$A:$B,2,0),"**")</f>
        <v>**</v>
      </c>
      <c r="B624" s="13" t="str">
        <f>IFERROR(VLOOKUP($F624,scan!A:C,3,0),"**")</f>
        <v>**</v>
      </c>
      <c r="C624" s="42">
        <v>623</v>
      </c>
      <c r="D624" s="42" t="s">
        <v>4936</v>
      </c>
      <c r="E624" s="42" t="s">
        <v>4937</v>
      </c>
      <c r="H624" s="42" t="s">
        <v>4936</v>
      </c>
      <c r="I624" s="42" t="s">
        <v>4938</v>
      </c>
      <c r="J624" s="42" t="s">
        <v>4939</v>
      </c>
      <c r="K624" s="42" t="e">
        <f>VLOOKUP(F624,Input!C:M,9,0)</f>
        <v>#N/A</v>
      </c>
      <c r="L624" s="42" t="e">
        <f>VLOOKUP(F624,Input!C:M,10,0)</f>
        <v>#N/A</v>
      </c>
      <c r="M624" s="42" t="e">
        <f>VLOOKUP(F624,Input!C:M,11,0)</f>
        <v>#N/A</v>
      </c>
      <c r="N624" s="43" t="str">
        <f t="shared" si="9"/>
        <v>623,623,**</v>
      </c>
      <c r="O624" s="42">
        <v>623</v>
      </c>
    </row>
    <row r="625" spans="1:15" ht="14.25">
      <c r="A625" s="13" t="str">
        <f>IFERROR(VLOOKUP($F:$F,scan!$A:$B,2,0),"**")</f>
        <v>**</v>
      </c>
      <c r="B625" s="13" t="str">
        <f>IFERROR(VLOOKUP($F625,scan!A:C,3,0),"**")</f>
        <v>**</v>
      </c>
      <c r="C625" s="42">
        <v>624</v>
      </c>
      <c r="D625" s="42" t="s">
        <v>4936</v>
      </c>
      <c r="E625" s="42" t="s">
        <v>4937</v>
      </c>
      <c r="H625" s="42" t="s">
        <v>4936</v>
      </c>
      <c r="I625" s="42" t="s">
        <v>4938</v>
      </c>
      <c r="J625" s="42" t="s">
        <v>4939</v>
      </c>
      <c r="K625" s="42" t="e">
        <f>VLOOKUP(F625,Input!C:M,9,0)</f>
        <v>#N/A</v>
      </c>
      <c r="L625" s="42" t="e">
        <f>VLOOKUP(F625,Input!C:M,10,0)</f>
        <v>#N/A</v>
      </c>
      <c r="M625" s="42" t="e">
        <f>VLOOKUP(F625,Input!C:M,11,0)</f>
        <v>#N/A</v>
      </c>
      <c r="N625" s="43" t="str">
        <f t="shared" si="9"/>
        <v>624,624,**</v>
      </c>
      <c r="O625" s="42">
        <v>624</v>
      </c>
    </row>
    <row r="626" spans="1:15" ht="14.25">
      <c r="A626" s="13" t="str">
        <f>IFERROR(VLOOKUP($F:$F,scan!$A:$B,2,0),"**")</f>
        <v>**</v>
      </c>
      <c r="B626" s="13" t="str">
        <f>IFERROR(VLOOKUP($F626,scan!A:C,3,0),"**")</f>
        <v>**</v>
      </c>
      <c r="C626" s="42">
        <v>625</v>
      </c>
      <c r="D626" s="42" t="s">
        <v>4936</v>
      </c>
      <c r="E626" s="42" t="s">
        <v>4937</v>
      </c>
      <c r="H626" s="42" t="s">
        <v>4936</v>
      </c>
      <c r="I626" s="42" t="s">
        <v>4938</v>
      </c>
      <c r="J626" s="42" t="s">
        <v>4939</v>
      </c>
      <c r="K626" s="42" t="e">
        <f>VLOOKUP(F626,Input!C:M,9,0)</f>
        <v>#N/A</v>
      </c>
      <c r="L626" s="42" t="e">
        <f>VLOOKUP(F626,Input!C:M,10,0)</f>
        <v>#N/A</v>
      </c>
      <c r="M626" s="42" t="e">
        <f>VLOOKUP(F626,Input!C:M,11,0)</f>
        <v>#N/A</v>
      </c>
      <c r="N626" s="43" t="str">
        <f t="shared" si="9"/>
        <v>625,625,**</v>
      </c>
      <c r="O626" s="42">
        <v>625</v>
      </c>
    </row>
    <row r="627" spans="1:15" ht="14.25">
      <c r="A627" s="13" t="str">
        <f>IFERROR(VLOOKUP($F:$F,scan!$A:$B,2,0),"**")</f>
        <v>**</v>
      </c>
      <c r="B627" s="13" t="str">
        <f>IFERROR(VLOOKUP($F627,scan!A:C,3,0),"**")</f>
        <v>**</v>
      </c>
      <c r="C627" s="42">
        <v>626</v>
      </c>
      <c r="D627" s="42" t="s">
        <v>4936</v>
      </c>
      <c r="E627" s="42" t="s">
        <v>4937</v>
      </c>
      <c r="H627" s="42" t="s">
        <v>4936</v>
      </c>
      <c r="I627" s="42" t="s">
        <v>4938</v>
      </c>
      <c r="J627" s="42" t="s">
        <v>4939</v>
      </c>
      <c r="K627" s="42" t="e">
        <f>VLOOKUP(F627,Input!C:M,9,0)</f>
        <v>#N/A</v>
      </c>
      <c r="L627" s="42" t="e">
        <f>VLOOKUP(F627,Input!C:M,10,0)</f>
        <v>#N/A</v>
      </c>
      <c r="M627" s="42" t="e">
        <f>VLOOKUP(F627,Input!C:M,11,0)</f>
        <v>#N/A</v>
      </c>
      <c r="N627" s="43" t="str">
        <f t="shared" si="9"/>
        <v>626,626,**</v>
      </c>
      <c r="O627" s="42">
        <v>626</v>
      </c>
    </row>
    <row r="628" spans="1:15" ht="14.25">
      <c r="A628" s="13" t="str">
        <f>IFERROR(VLOOKUP($F:$F,scan!$A:$B,2,0),"**")</f>
        <v>**</v>
      </c>
      <c r="B628" s="13" t="str">
        <f>IFERROR(VLOOKUP($F628,scan!A:C,3,0),"**")</f>
        <v>**</v>
      </c>
      <c r="C628" s="42">
        <v>627</v>
      </c>
      <c r="D628" s="42" t="s">
        <v>4936</v>
      </c>
      <c r="E628" s="42" t="s">
        <v>4937</v>
      </c>
      <c r="H628" s="42" t="s">
        <v>4936</v>
      </c>
      <c r="I628" s="42" t="s">
        <v>4938</v>
      </c>
      <c r="J628" s="42" t="s">
        <v>4939</v>
      </c>
      <c r="K628" s="42" t="e">
        <f>VLOOKUP(F628,Input!C:M,9,0)</f>
        <v>#N/A</v>
      </c>
      <c r="L628" s="42" t="e">
        <f>VLOOKUP(F628,Input!C:M,10,0)</f>
        <v>#N/A</v>
      </c>
      <c r="M628" s="42" t="e">
        <f>VLOOKUP(F628,Input!C:M,11,0)</f>
        <v>#N/A</v>
      </c>
      <c r="N628" s="43" t="str">
        <f t="shared" si="9"/>
        <v>627,627,**</v>
      </c>
      <c r="O628" s="42">
        <v>627</v>
      </c>
    </row>
    <row r="629" spans="1:15" ht="14.25">
      <c r="A629" s="13" t="str">
        <f>IFERROR(VLOOKUP($F:$F,scan!$A:$B,2,0),"**")</f>
        <v>**</v>
      </c>
      <c r="B629" s="13" t="str">
        <f>IFERROR(VLOOKUP($F629,scan!A:C,3,0),"**")</f>
        <v>**</v>
      </c>
      <c r="C629" s="42">
        <v>628</v>
      </c>
      <c r="D629" s="42" t="s">
        <v>4936</v>
      </c>
      <c r="E629" s="42" t="s">
        <v>4937</v>
      </c>
      <c r="H629" s="42" t="s">
        <v>4936</v>
      </c>
      <c r="I629" s="42" t="s">
        <v>4938</v>
      </c>
      <c r="J629" s="42" t="s">
        <v>4939</v>
      </c>
      <c r="K629" s="42" t="e">
        <f>VLOOKUP(F629,Input!C:M,9,0)</f>
        <v>#N/A</v>
      </c>
      <c r="L629" s="42" t="e">
        <f>VLOOKUP(F629,Input!C:M,10,0)</f>
        <v>#N/A</v>
      </c>
      <c r="M629" s="42" t="e">
        <f>VLOOKUP(F629,Input!C:M,11,0)</f>
        <v>#N/A</v>
      </c>
      <c r="N629" s="43" t="str">
        <f t="shared" si="9"/>
        <v>628,628,**</v>
      </c>
      <c r="O629" s="42">
        <v>628</v>
      </c>
    </row>
    <row r="630" spans="1:15" ht="14.25">
      <c r="A630" s="13" t="str">
        <f>IFERROR(VLOOKUP($F:$F,scan!$A:$B,2,0),"**")</f>
        <v>**</v>
      </c>
      <c r="B630" s="13" t="str">
        <f>IFERROR(VLOOKUP($F630,scan!A:C,3,0),"**")</f>
        <v>**</v>
      </c>
      <c r="C630" s="42">
        <v>629</v>
      </c>
      <c r="D630" s="42" t="s">
        <v>4936</v>
      </c>
      <c r="E630" s="42" t="s">
        <v>4937</v>
      </c>
      <c r="H630" s="42" t="s">
        <v>4936</v>
      </c>
      <c r="I630" s="42" t="s">
        <v>4938</v>
      </c>
      <c r="J630" s="42" t="s">
        <v>4939</v>
      </c>
      <c r="K630" s="42" t="e">
        <f>VLOOKUP(F630,Input!C:M,9,0)</f>
        <v>#N/A</v>
      </c>
      <c r="L630" s="42" t="e">
        <f>VLOOKUP(F630,Input!C:M,10,0)</f>
        <v>#N/A</v>
      </c>
      <c r="M630" s="42" t="e">
        <f>VLOOKUP(F630,Input!C:M,11,0)</f>
        <v>#N/A</v>
      </c>
      <c r="N630" s="43" t="str">
        <f t="shared" si="9"/>
        <v>629,629,**</v>
      </c>
      <c r="O630" s="42">
        <v>629</v>
      </c>
    </row>
    <row r="631" spans="1:15" ht="14.25">
      <c r="A631" s="13" t="str">
        <f>IFERROR(VLOOKUP($F:$F,scan!$A:$B,2,0),"**")</f>
        <v>**</v>
      </c>
      <c r="B631" s="13" t="str">
        <f>IFERROR(VLOOKUP($F631,scan!A:C,3,0),"**")</f>
        <v>**</v>
      </c>
      <c r="C631" s="42">
        <v>630</v>
      </c>
      <c r="D631" s="42" t="s">
        <v>4936</v>
      </c>
      <c r="E631" s="42" t="s">
        <v>4937</v>
      </c>
      <c r="H631" s="42" t="s">
        <v>4936</v>
      </c>
      <c r="I631" s="42" t="s">
        <v>4938</v>
      </c>
      <c r="J631" s="42" t="s">
        <v>4939</v>
      </c>
      <c r="K631" s="42" t="e">
        <f>VLOOKUP(F631,Input!C:M,9,0)</f>
        <v>#N/A</v>
      </c>
      <c r="L631" s="42" t="e">
        <f>VLOOKUP(F631,Input!C:M,10,0)</f>
        <v>#N/A</v>
      </c>
      <c r="M631" s="42" t="e">
        <f>VLOOKUP(F631,Input!C:M,11,0)</f>
        <v>#N/A</v>
      </c>
      <c r="N631" s="43" t="str">
        <f t="shared" si="9"/>
        <v>630,630,**</v>
      </c>
      <c r="O631" s="42">
        <v>630</v>
      </c>
    </row>
    <row r="632" spans="1:15" ht="14.25">
      <c r="A632" s="13" t="str">
        <f>IFERROR(VLOOKUP($F:$F,scan!$A:$B,2,0),"**")</f>
        <v>**</v>
      </c>
      <c r="B632" s="13" t="str">
        <f>IFERROR(VLOOKUP($F632,scan!A:C,3,0),"**")</f>
        <v>**</v>
      </c>
      <c r="C632" s="42">
        <v>631</v>
      </c>
      <c r="D632" s="42" t="s">
        <v>4936</v>
      </c>
      <c r="E632" s="42" t="s">
        <v>4937</v>
      </c>
      <c r="H632" s="42" t="s">
        <v>4936</v>
      </c>
      <c r="I632" s="42" t="s">
        <v>4938</v>
      </c>
      <c r="J632" s="42" t="s">
        <v>4939</v>
      </c>
      <c r="K632" s="42" t="e">
        <f>VLOOKUP(F632,Input!C:M,9,0)</f>
        <v>#N/A</v>
      </c>
      <c r="L632" s="42" t="e">
        <f>VLOOKUP(F632,Input!C:M,10,0)</f>
        <v>#N/A</v>
      </c>
      <c r="M632" s="42" t="e">
        <f>VLOOKUP(F632,Input!C:M,11,0)</f>
        <v>#N/A</v>
      </c>
      <c r="N632" s="43" t="str">
        <f t="shared" si="9"/>
        <v>631,631,**</v>
      </c>
      <c r="O632" s="42">
        <v>631</v>
      </c>
    </row>
    <row r="633" spans="1:15" ht="14.25">
      <c r="A633" s="13" t="str">
        <f>IFERROR(VLOOKUP($F:$F,scan!$A:$B,2,0),"**")</f>
        <v>**</v>
      </c>
      <c r="B633" s="13" t="str">
        <f>IFERROR(VLOOKUP($F633,scan!A:C,3,0),"**")</f>
        <v>**</v>
      </c>
      <c r="C633" s="42">
        <v>632</v>
      </c>
      <c r="D633" s="42" t="s">
        <v>4936</v>
      </c>
      <c r="E633" s="42" t="s">
        <v>4937</v>
      </c>
      <c r="H633" s="42" t="s">
        <v>4936</v>
      </c>
      <c r="I633" s="42" t="s">
        <v>4938</v>
      </c>
      <c r="J633" s="42" t="s">
        <v>4939</v>
      </c>
      <c r="K633" s="42" t="e">
        <f>VLOOKUP(F633,Input!C:M,9,0)</f>
        <v>#N/A</v>
      </c>
      <c r="L633" s="42" t="e">
        <f>VLOOKUP(F633,Input!C:M,10,0)</f>
        <v>#N/A</v>
      </c>
      <c r="M633" s="42" t="e">
        <f>VLOOKUP(F633,Input!C:M,11,0)</f>
        <v>#N/A</v>
      </c>
      <c r="N633" s="43" t="str">
        <f t="shared" si="9"/>
        <v>632,632,**</v>
      </c>
      <c r="O633" s="42">
        <v>632</v>
      </c>
    </row>
    <row r="634" spans="1:15" ht="14.25">
      <c r="A634" s="13" t="str">
        <f>IFERROR(VLOOKUP($F:$F,scan!$A:$B,2,0),"**")</f>
        <v>**</v>
      </c>
      <c r="B634" s="13" t="str">
        <f>IFERROR(VLOOKUP($F634,scan!A:C,3,0),"**")</f>
        <v>**</v>
      </c>
      <c r="C634" s="42">
        <v>633</v>
      </c>
      <c r="D634" s="42" t="s">
        <v>4936</v>
      </c>
      <c r="E634" s="42" t="s">
        <v>4937</v>
      </c>
      <c r="H634" s="42" t="s">
        <v>4936</v>
      </c>
      <c r="I634" s="42" t="s">
        <v>4938</v>
      </c>
      <c r="J634" s="42" t="s">
        <v>4939</v>
      </c>
      <c r="K634" s="42" t="e">
        <f>VLOOKUP(F634,Input!C:M,9,0)</f>
        <v>#N/A</v>
      </c>
      <c r="L634" s="42" t="e">
        <f>VLOOKUP(F634,Input!C:M,10,0)</f>
        <v>#N/A</v>
      </c>
      <c r="M634" s="42" t="e">
        <f>VLOOKUP(F634,Input!C:M,11,0)</f>
        <v>#N/A</v>
      </c>
      <c r="N634" s="43" t="str">
        <f t="shared" si="9"/>
        <v>633,633,**</v>
      </c>
      <c r="O634" s="42">
        <v>633</v>
      </c>
    </row>
    <row r="635" spans="1:15" ht="14.25">
      <c r="A635" s="13" t="str">
        <f>IFERROR(VLOOKUP($F:$F,scan!$A:$B,2,0),"**")</f>
        <v>**</v>
      </c>
      <c r="B635" s="13" t="str">
        <f>IFERROR(VLOOKUP($F635,scan!A:C,3,0),"**")</f>
        <v>**</v>
      </c>
      <c r="C635" s="42">
        <v>634</v>
      </c>
      <c r="D635" s="42" t="s">
        <v>4936</v>
      </c>
      <c r="E635" s="42" t="s">
        <v>4937</v>
      </c>
      <c r="H635" s="42" t="s">
        <v>4936</v>
      </c>
      <c r="I635" s="42" t="s">
        <v>4938</v>
      </c>
      <c r="J635" s="42" t="s">
        <v>4939</v>
      </c>
      <c r="K635" s="42" t="e">
        <f>VLOOKUP(F635,Input!C:M,9,0)</f>
        <v>#N/A</v>
      </c>
      <c r="L635" s="42" t="e">
        <f>VLOOKUP(F635,Input!C:M,10,0)</f>
        <v>#N/A</v>
      </c>
      <c r="M635" s="42" t="e">
        <f>VLOOKUP(F635,Input!C:M,11,0)</f>
        <v>#N/A</v>
      </c>
      <c r="N635" s="43" t="str">
        <f t="shared" si="9"/>
        <v>634,634,**</v>
      </c>
      <c r="O635" s="42">
        <v>634</v>
      </c>
    </row>
    <row r="636" spans="1:15" ht="14.25">
      <c r="A636" s="13" t="str">
        <f>IFERROR(VLOOKUP($F:$F,scan!$A:$B,2,0),"**")</f>
        <v>**</v>
      </c>
      <c r="B636" s="13" t="str">
        <f>IFERROR(VLOOKUP($F636,scan!A:C,3,0),"**")</f>
        <v>**</v>
      </c>
      <c r="C636" s="42">
        <v>635</v>
      </c>
      <c r="D636" s="42" t="s">
        <v>4936</v>
      </c>
      <c r="E636" s="42" t="s">
        <v>4937</v>
      </c>
      <c r="H636" s="42" t="s">
        <v>4936</v>
      </c>
      <c r="I636" s="42" t="s">
        <v>4938</v>
      </c>
      <c r="J636" s="42" t="s">
        <v>4939</v>
      </c>
      <c r="K636" s="42" t="e">
        <f>VLOOKUP(F636,Input!C:M,9,0)</f>
        <v>#N/A</v>
      </c>
      <c r="L636" s="42" t="e">
        <f>VLOOKUP(F636,Input!C:M,10,0)</f>
        <v>#N/A</v>
      </c>
      <c r="M636" s="42" t="e">
        <f>VLOOKUP(F636,Input!C:M,11,0)</f>
        <v>#N/A</v>
      </c>
      <c r="N636" s="43" t="str">
        <f t="shared" si="9"/>
        <v>635,635,**</v>
      </c>
      <c r="O636" s="42">
        <v>635</v>
      </c>
    </row>
    <row r="637" spans="1:15" ht="14.25">
      <c r="A637" s="13" t="str">
        <f>IFERROR(VLOOKUP($F:$F,scan!$A:$B,2,0),"**")</f>
        <v>**</v>
      </c>
      <c r="B637" s="13" t="str">
        <f>IFERROR(VLOOKUP($F637,scan!A:C,3,0),"**")</f>
        <v>**</v>
      </c>
      <c r="C637" s="42">
        <v>636</v>
      </c>
      <c r="D637" s="42" t="s">
        <v>4936</v>
      </c>
      <c r="E637" s="42" t="s">
        <v>4937</v>
      </c>
      <c r="H637" s="42" t="s">
        <v>4936</v>
      </c>
      <c r="I637" s="42" t="s">
        <v>4938</v>
      </c>
      <c r="J637" s="42" t="s">
        <v>4939</v>
      </c>
      <c r="K637" s="42" t="e">
        <f>VLOOKUP(F637,Input!C:M,9,0)</f>
        <v>#N/A</v>
      </c>
      <c r="L637" s="42" t="e">
        <f>VLOOKUP(F637,Input!C:M,10,0)</f>
        <v>#N/A</v>
      </c>
      <c r="M637" s="42" t="e">
        <f>VLOOKUP(F637,Input!C:M,11,0)</f>
        <v>#N/A</v>
      </c>
      <c r="N637" s="43" t="str">
        <f t="shared" si="9"/>
        <v>636,636,**</v>
      </c>
      <c r="O637" s="42">
        <v>636</v>
      </c>
    </row>
    <row r="638" spans="1:15" ht="14.25">
      <c r="A638" s="13" t="str">
        <f>IFERROR(VLOOKUP($F:$F,scan!$A:$B,2,0),"**")</f>
        <v>**</v>
      </c>
      <c r="B638" s="13" t="str">
        <f>IFERROR(VLOOKUP($F638,scan!A:C,3,0),"**")</f>
        <v>**</v>
      </c>
      <c r="C638" s="42">
        <v>637</v>
      </c>
      <c r="D638" s="42" t="s">
        <v>4936</v>
      </c>
      <c r="E638" s="42" t="s">
        <v>4937</v>
      </c>
      <c r="H638" s="42" t="s">
        <v>4936</v>
      </c>
      <c r="I638" s="42" t="s">
        <v>4938</v>
      </c>
      <c r="J638" s="42" t="s">
        <v>4939</v>
      </c>
      <c r="K638" s="42" t="e">
        <f>VLOOKUP(F638,Input!C:M,9,0)</f>
        <v>#N/A</v>
      </c>
      <c r="L638" s="42" t="e">
        <f>VLOOKUP(F638,Input!C:M,10,0)</f>
        <v>#N/A</v>
      </c>
      <c r="M638" s="42" t="e">
        <f>VLOOKUP(F638,Input!C:M,11,0)</f>
        <v>#N/A</v>
      </c>
      <c r="N638" s="43" t="str">
        <f t="shared" si="9"/>
        <v>637,637,**</v>
      </c>
      <c r="O638" s="42">
        <v>637</v>
      </c>
    </row>
    <row r="639" spans="1:15" ht="14.25">
      <c r="A639" s="13" t="str">
        <f>IFERROR(VLOOKUP($F:$F,scan!$A:$B,2,0),"**")</f>
        <v>**</v>
      </c>
      <c r="B639" s="13" t="str">
        <f>IFERROR(VLOOKUP($F639,scan!A:C,3,0),"**")</f>
        <v>**</v>
      </c>
      <c r="C639" s="42">
        <v>638</v>
      </c>
      <c r="D639" s="42" t="s">
        <v>4936</v>
      </c>
      <c r="E639" s="42" t="s">
        <v>4937</v>
      </c>
      <c r="H639" s="42" t="s">
        <v>4936</v>
      </c>
      <c r="I639" s="42" t="s">
        <v>4938</v>
      </c>
      <c r="J639" s="42" t="s">
        <v>4939</v>
      </c>
      <c r="K639" s="42" t="e">
        <f>VLOOKUP(F639,Input!C:M,9,0)</f>
        <v>#N/A</v>
      </c>
      <c r="L639" s="42" t="e">
        <f>VLOOKUP(F639,Input!C:M,10,0)</f>
        <v>#N/A</v>
      </c>
      <c r="M639" s="42" t="e">
        <f>VLOOKUP(F639,Input!C:M,11,0)</f>
        <v>#N/A</v>
      </c>
      <c r="N639" s="43" t="str">
        <f t="shared" si="9"/>
        <v>638,638,**</v>
      </c>
      <c r="O639" s="42">
        <v>638</v>
      </c>
    </row>
    <row r="640" spans="1:15" ht="14.25">
      <c r="A640" s="13" t="str">
        <f>IFERROR(VLOOKUP($F:$F,scan!$A:$B,2,0),"**")</f>
        <v>**</v>
      </c>
      <c r="B640" s="13" t="str">
        <f>IFERROR(VLOOKUP($F640,scan!A:C,3,0),"**")</f>
        <v>**</v>
      </c>
      <c r="C640" s="42">
        <v>639</v>
      </c>
      <c r="D640" s="42" t="s">
        <v>4936</v>
      </c>
      <c r="E640" s="42" t="s">
        <v>4937</v>
      </c>
      <c r="H640" s="42" t="s">
        <v>4936</v>
      </c>
      <c r="I640" s="42" t="s">
        <v>4938</v>
      </c>
      <c r="J640" s="42" t="s">
        <v>4939</v>
      </c>
      <c r="K640" s="42" t="e">
        <f>VLOOKUP(F640,Input!C:M,9,0)</f>
        <v>#N/A</v>
      </c>
      <c r="L640" s="42" t="e">
        <f>VLOOKUP(F640,Input!C:M,10,0)</f>
        <v>#N/A</v>
      </c>
      <c r="M640" s="42" t="e">
        <f>VLOOKUP(F640,Input!C:M,11,0)</f>
        <v>#N/A</v>
      </c>
      <c r="N640" s="43" t="str">
        <f t="shared" si="9"/>
        <v>639,639,**</v>
      </c>
      <c r="O640" s="42">
        <v>639</v>
      </c>
    </row>
    <row r="641" spans="1:15" ht="14.25">
      <c r="A641" s="13" t="str">
        <f>IFERROR(VLOOKUP($F:$F,scan!$A:$B,2,0),"**")</f>
        <v>**</v>
      </c>
      <c r="B641" s="13" t="str">
        <f>IFERROR(VLOOKUP($F641,scan!A:C,3,0),"**")</f>
        <v>**</v>
      </c>
      <c r="C641" s="42">
        <v>640</v>
      </c>
      <c r="D641" s="42" t="s">
        <v>4936</v>
      </c>
      <c r="E641" s="42" t="s">
        <v>4937</v>
      </c>
      <c r="H641" s="42" t="s">
        <v>4936</v>
      </c>
      <c r="I641" s="42" t="s">
        <v>4938</v>
      </c>
      <c r="J641" s="42" t="s">
        <v>4939</v>
      </c>
      <c r="K641" s="42" t="e">
        <f>VLOOKUP(F641,Input!C:M,9,0)</f>
        <v>#N/A</v>
      </c>
      <c r="L641" s="42" t="e">
        <f>VLOOKUP(F641,Input!C:M,10,0)</f>
        <v>#N/A</v>
      </c>
      <c r="M641" s="42" t="e">
        <f>VLOOKUP(F641,Input!C:M,11,0)</f>
        <v>#N/A</v>
      </c>
      <c r="N641" s="43" t="str">
        <f t="shared" si="9"/>
        <v>640,640,**</v>
      </c>
      <c r="O641" s="42">
        <v>640</v>
      </c>
    </row>
    <row r="642" spans="1:15" ht="14.25">
      <c r="A642" s="13" t="str">
        <f>IFERROR(VLOOKUP($F:$F,scan!$A:$B,2,0),"**")</f>
        <v>**</v>
      </c>
      <c r="B642" s="13" t="str">
        <f>IFERROR(VLOOKUP($F642,scan!A:C,3,0),"**")</f>
        <v>**</v>
      </c>
      <c r="C642" s="42">
        <v>641</v>
      </c>
      <c r="D642" s="42" t="s">
        <v>4936</v>
      </c>
      <c r="E642" s="42" t="s">
        <v>4937</v>
      </c>
      <c r="H642" s="42" t="s">
        <v>4936</v>
      </c>
      <c r="I642" s="42" t="s">
        <v>4938</v>
      </c>
      <c r="J642" s="42" t="s">
        <v>4939</v>
      </c>
      <c r="K642" s="42" t="e">
        <f>VLOOKUP(F642,Input!C:M,9,0)</f>
        <v>#N/A</v>
      </c>
      <c r="L642" s="42" t="e">
        <f>VLOOKUP(F642,Input!C:M,10,0)</f>
        <v>#N/A</v>
      </c>
      <c r="M642" s="42" t="e">
        <f>VLOOKUP(F642,Input!C:M,11,0)</f>
        <v>#N/A</v>
      </c>
      <c r="N642" s="43" t="str">
        <f t="shared" si="9"/>
        <v>641,641,**</v>
      </c>
      <c r="O642" s="42">
        <v>641</v>
      </c>
    </row>
    <row r="643" spans="1:15" ht="14.25">
      <c r="A643" s="13" t="str">
        <f>IFERROR(VLOOKUP($F:$F,scan!$A:$B,2,0),"**")</f>
        <v>**</v>
      </c>
      <c r="B643" s="13" t="str">
        <f>IFERROR(VLOOKUP($F643,scan!A:C,3,0),"**")</f>
        <v>**</v>
      </c>
      <c r="C643" s="42">
        <v>642</v>
      </c>
      <c r="D643" s="42" t="s">
        <v>4936</v>
      </c>
      <c r="E643" s="42" t="s">
        <v>4937</v>
      </c>
      <c r="H643" s="42" t="s">
        <v>4936</v>
      </c>
      <c r="I643" s="42" t="s">
        <v>4938</v>
      </c>
      <c r="J643" s="42" t="s">
        <v>4939</v>
      </c>
      <c r="K643" s="42" t="e">
        <f>VLOOKUP(F643,Input!C:M,9,0)</f>
        <v>#N/A</v>
      </c>
      <c r="L643" s="42" t="e">
        <f>VLOOKUP(F643,Input!C:M,10,0)</f>
        <v>#N/A</v>
      </c>
      <c r="M643" s="42" t="e">
        <f>VLOOKUP(F643,Input!C:M,11,0)</f>
        <v>#N/A</v>
      </c>
      <c r="N643" s="43" t="str">
        <f t="shared" ref="N643:N706" si="10">O643&amp;","&amp;C643&amp;","&amp;B643</f>
        <v>642,642,**</v>
      </c>
      <c r="O643" s="42">
        <v>642</v>
      </c>
    </row>
    <row r="644" spans="1:15" ht="14.25">
      <c r="A644" s="13" t="str">
        <f>IFERROR(VLOOKUP($F:$F,scan!$A:$B,2,0),"**")</f>
        <v>**</v>
      </c>
      <c r="B644" s="13" t="str">
        <f>IFERROR(VLOOKUP($F644,scan!A:C,3,0),"**")</f>
        <v>**</v>
      </c>
      <c r="C644" s="42">
        <v>643</v>
      </c>
      <c r="D644" s="42" t="s">
        <v>4936</v>
      </c>
      <c r="E644" s="42" t="s">
        <v>4937</v>
      </c>
      <c r="H644" s="42" t="s">
        <v>4936</v>
      </c>
      <c r="I644" s="42" t="s">
        <v>4938</v>
      </c>
      <c r="J644" s="42" t="s">
        <v>4939</v>
      </c>
      <c r="K644" s="42" t="e">
        <f>VLOOKUP(F644,Input!C:M,9,0)</f>
        <v>#N/A</v>
      </c>
      <c r="L644" s="42" t="e">
        <f>VLOOKUP(F644,Input!C:M,10,0)</f>
        <v>#N/A</v>
      </c>
      <c r="M644" s="42" t="e">
        <f>VLOOKUP(F644,Input!C:M,11,0)</f>
        <v>#N/A</v>
      </c>
      <c r="N644" s="43" t="str">
        <f t="shared" si="10"/>
        <v>643,643,**</v>
      </c>
      <c r="O644" s="42">
        <v>643</v>
      </c>
    </row>
    <row r="645" spans="1:15" ht="14.25">
      <c r="A645" s="13" t="str">
        <f>IFERROR(VLOOKUP($F:$F,scan!$A:$B,2,0),"**")</f>
        <v>**</v>
      </c>
      <c r="B645" s="13" t="str">
        <f>IFERROR(VLOOKUP($F645,scan!A:C,3,0),"**")</f>
        <v>**</v>
      </c>
      <c r="C645" s="42">
        <v>644</v>
      </c>
      <c r="D645" s="42" t="s">
        <v>4936</v>
      </c>
      <c r="E645" s="42" t="s">
        <v>4937</v>
      </c>
      <c r="H645" s="42" t="s">
        <v>4936</v>
      </c>
      <c r="I645" s="42" t="s">
        <v>4938</v>
      </c>
      <c r="J645" s="42" t="s">
        <v>4939</v>
      </c>
      <c r="K645" s="42" t="e">
        <f>VLOOKUP(F645,Input!C:M,9,0)</f>
        <v>#N/A</v>
      </c>
      <c r="L645" s="42" t="e">
        <f>VLOOKUP(F645,Input!C:M,10,0)</f>
        <v>#N/A</v>
      </c>
      <c r="M645" s="42" t="e">
        <f>VLOOKUP(F645,Input!C:M,11,0)</f>
        <v>#N/A</v>
      </c>
      <c r="N645" s="43" t="str">
        <f t="shared" si="10"/>
        <v>644,644,**</v>
      </c>
      <c r="O645" s="42">
        <v>644</v>
      </c>
    </row>
    <row r="646" spans="1:15" ht="14.25">
      <c r="A646" s="13" t="str">
        <f>IFERROR(VLOOKUP($F:$F,scan!$A:$B,2,0),"**")</f>
        <v>**</v>
      </c>
      <c r="B646" s="13" t="str">
        <f>IFERROR(VLOOKUP($F646,scan!A:C,3,0),"**")</f>
        <v>**</v>
      </c>
      <c r="C646" s="42">
        <v>645</v>
      </c>
      <c r="D646" s="42" t="s">
        <v>4936</v>
      </c>
      <c r="E646" s="42" t="s">
        <v>4937</v>
      </c>
      <c r="H646" s="42" t="s">
        <v>4936</v>
      </c>
      <c r="I646" s="42" t="s">
        <v>4938</v>
      </c>
      <c r="J646" s="42" t="s">
        <v>4939</v>
      </c>
      <c r="K646" s="42" t="e">
        <f>VLOOKUP(F646,Input!C:M,9,0)</f>
        <v>#N/A</v>
      </c>
      <c r="L646" s="42" t="e">
        <f>VLOOKUP(F646,Input!C:M,10,0)</f>
        <v>#N/A</v>
      </c>
      <c r="M646" s="42" t="e">
        <f>VLOOKUP(F646,Input!C:M,11,0)</f>
        <v>#N/A</v>
      </c>
      <c r="N646" s="43" t="str">
        <f t="shared" si="10"/>
        <v>645,645,**</v>
      </c>
      <c r="O646" s="42">
        <v>645</v>
      </c>
    </row>
    <row r="647" spans="1:15" ht="14.25">
      <c r="A647" s="13" t="str">
        <f>IFERROR(VLOOKUP($F:$F,scan!$A:$B,2,0),"**")</f>
        <v>**</v>
      </c>
      <c r="B647" s="13" t="str">
        <f>IFERROR(VLOOKUP($F647,scan!A:C,3,0),"**")</f>
        <v>**</v>
      </c>
      <c r="C647" s="42">
        <v>646</v>
      </c>
      <c r="D647" s="42" t="s">
        <v>4936</v>
      </c>
      <c r="E647" s="42" t="s">
        <v>4937</v>
      </c>
      <c r="H647" s="42" t="s">
        <v>4936</v>
      </c>
      <c r="I647" s="42" t="s">
        <v>4938</v>
      </c>
      <c r="J647" s="42" t="s">
        <v>4939</v>
      </c>
      <c r="K647" s="42" t="e">
        <f>VLOOKUP(F647,Input!C:M,9,0)</f>
        <v>#N/A</v>
      </c>
      <c r="L647" s="42" t="e">
        <f>VLOOKUP(F647,Input!C:M,10,0)</f>
        <v>#N/A</v>
      </c>
      <c r="M647" s="42" t="e">
        <f>VLOOKUP(F647,Input!C:M,11,0)</f>
        <v>#N/A</v>
      </c>
      <c r="N647" s="43" t="str">
        <f t="shared" si="10"/>
        <v>646,646,**</v>
      </c>
      <c r="O647" s="42">
        <v>646</v>
      </c>
    </row>
    <row r="648" spans="1:15" ht="14.25">
      <c r="A648" s="13" t="str">
        <f>IFERROR(VLOOKUP($F:$F,scan!$A:$B,2,0),"**")</f>
        <v>**</v>
      </c>
      <c r="B648" s="13" t="str">
        <f>IFERROR(VLOOKUP($F648,scan!A:C,3,0),"**")</f>
        <v>**</v>
      </c>
      <c r="C648" s="42">
        <v>647</v>
      </c>
      <c r="D648" s="42" t="s">
        <v>4936</v>
      </c>
      <c r="E648" s="42" t="s">
        <v>4937</v>
      </c>
      <c r="H648" s="42" t="s">
        <v>4936</v>
      </c>
      <c r="I648" s="42" t="s">
        <v>4938</v>
      </c>
      <c r="J648" s="42" t="s">
        <v>4939</v>
      </c>
      <c r="K648" s="42" t="e">
        <f>VLOOKUP(F648,Input!C:M,9,0)</f>
        <v>#N/A</v>
      </c>
      <c r="L648" s="42" t="e">
        <f>VLOOKUP(F648,Input!C:M,10,0)</f>
        <v>#N/A</v>
      </c>
      <c r="M648" s="42" t="e">
        <f>VLOOKUP(F648,Input!C:M,11,0)</f>
        <v>#N/A</v>
      </c>
      <c r="N648" s="43" t="str">
        <f t="shared" si="10"/>
        <v>647,647,**</v>
      </c>
      <c r="O648" s="42">
        <v>647</v>
      </c>
    </row>
    <row r="649" spans="1:15" ht="14.25">
      <c r="A649" s="13" t="str">
        <f>IFERROR(VLOOKUP($F:$F,scan!$A:$B,2,0),"**")</f>
        <v>**</v>
      </c>
      <c r="B649" s="13" t="str">
        <f>IFERROR(VLOOKUP($F649,scan!A:C,3,0),"**")</f>
        <v>**</v>
      </c>
      <c r="C649" s="42">
        <v>648</v>
      </c>
      <c r="D649" s="42" t="s">
        <v>4936</v>
      </c>
      <c r="E649" s="42" t="s">
        <v>4937</v>
      </c>
      <c r="H649" s="42" t="s">
        <v>4936</v>
      </c>
      <c r="I649" s="42" t="s">
        <v>4938</v>
      </c>
      <c r="J649" s="42" t="s">
        <v>4939</v>
      </c>
      <c r="K649" s="42" t="e">
        <f>VLOOKUP(F649,Input!C:M,9,0)</f>
        <v>#N/A</v>
      </c>
      <c r="L649" s="42" t="e">
        <f>VLOOKUP(F649,Input!C:M,10,0)</f>
        <v>#N/A</v>
      </c>
      <c r="M649" s="42" t="e">
        <f>VLOOKUP(F649,Input!C:M,11,0)</f>
        <v>#N/A</v>
      </c>
      <c r="N649" s="43" t="str">
        <f t="shared" si="10"/>
        <v>648,648,**</v>
      </c>
      <c r="O649" s="42">
        <v>648</v>
      </c>
    </row>
    <row r="650" spans="1:15" ht="14.25">
      <c r="A650" s="13" t="str">
        <f>IFERROR(VLOOKUP($F:$F,scan!$A:$B,2,0),"**")</f>
        <v>**</v>
      </c>
      <c r="B650" s="13" t="str">
        <f>IFERROR(VLOOKUP($F650,scan!A:C,3,0),"**")</f>
        <v>**</v>
      </c>
      <c r="C650" s="42">
        <v>649</v>
      </c>
      <c r="D650" s="42" t="s">
        <v>4936</v>
      </c>
      <c r="E650" s="42" t="s">
        <v>4937</v>
      </c>
      <c r="H650" s="42" t="s">
        <v>4936</v>
      </c>
      <c r="I650" s="42" t="s">
        <v>4938</v>
      </c>
      <c r="J650" s="42" t="s">
        <v>4939</v>
      </c>
      <c r="K650" s="42" t="e">
        <f>VLOOKUP(F650,Input!C:M,9,0)</f>
        <v>#N/A</v>
      </c>
      <c r="L650" s="42" t="e">
        <f>VLOOKUP(F650,Input!C:M,10,0)</f>
        <v>#N/A</v>
      </c>
      <c r="M650" s="42" t="e">
        <f>VLOOKUP(F650,Input!C:M,11,0)</f>
        <v>#N/A</v>
      </c>
      <c r="N650" s="43" t="str">
        <f t="shared" si="10"/>
        <v>649,649,**</v>
      </c>
      <c r="O650" s="42">
        <v>649</v>
      </c>
    </row>
    <row r="651" spans="1:15" ht="14.25">
      <c r="A651" s="13" t="str">
        <f>IFERROR(VLOOKUP($F:$F,scan!$A:$B,2,0),"**")</f>
        <v>**</v>
      </c>
      <c r="B651" s="13" t="str">
        <f>IFERROR(VLOOKUP($F651,scan!A:C,3,0),"**")</f>
        <v>**</v>
      </c>
      <c r="C651" s="42">
        <v>650</v>
      </c>
      <c r="D651" s="42" t="s">
        <v>4936</v>
      </c>
      <c r="E651" s="42" t="s">
        <v>4937</v>
      </c>
      <c r="H651" s="42" t="s">
        <v>4936</v>
      </c>
      <c r="I651" s="42" t="s">
        <v>4938</v>
      </c>
      <c r="J651" s="42" t="s">
        <v>4939</v>
      </c>
      <c r="K651" s="42" t="e">
        <f>VLOOKUP(F651,Input!C:M,9,0)</f>
        <v>#N/A</v>
      </c>
      <c r="L651" s="42" t="e">
        <f>VLOOKUP(F651,Input!C:M,10,0)</f>
        <v>#N/A</v>
      </c>
      <c r="M651" s="42" t="e">
        <f>VLOOKUP(F651,Input!C:M,11,0)</f>
        <v>#N/A</v>
      </c>
      <c r="N651" s="43" t="str">
        <f t="shared" si="10"/>
        <v>650,650,**</v>
      </c>
      <c r="O651" s="42">
        <v>650</v>
      </c>
    </row>
    <row r="652" spans="1:15" ht="14.25">
      <c r="A652" s="13" t="str">
        <f>IFERROR(VLOOKUP($F:$F,scan!$A:$B,2,0),"**")</f>
        <v>**</v>
      </c>
      <c r="B652" s="13" t="str">
        <f>IFERROR(VLOOKUP($F652,scan!A:C,3,0),"**")</f>
        <v>**</v>
      </c>
      <c r="C652" s="42">
        <v>651</v>
      </c>
      <c r="D652" s="42" t="s">
        <v>4936</v>
      </c>
      <c r="E652" s="42" t="s">
        <v>4937</v>
      </c>
      <c r="H652" s="42" t="s">
        <v>4936</v>
      </c>
      <c r="I652" s="42" t="s">
        <v>4938</v>
      </c>
      <c r="J652" s="42" t="s">
        <v>4939</v>
      </c>
      <c r="K652" s="42" t="e">
        <f>VLOOKUP(F652,Input!C:M,9,0)</f>
        <v>#N/A</v>
      </c>
      <c r="L652" s="42" t="e">
        <f>VLOOKUP(F652,Input!C:M,10,0)</f>
        <v>#N/A</v>
      </c>
      <c r="M652" s="42" t="e">
        <f>VLOOKUP(F652,Input!C:M,11,0)</f>
        <v>#N/A</v>
      </c>
      <c r="N652" s="43" t="str">
        <f t="shared" si="10"/>
        <v>651,651,**</v>
      </c>
      <c r="O652" s="42">
        <v>651</v>
      </c>
    </row>
    <row r="653" spans="1:15" ht="14.25">
      <c r="A653" s="13" t="str">
        <f>IFERROR(VLOOKUP($F:$F,scan!$A:$B,2,0),"**")</f>
        <v>**</v>
      </c>
      <c r="B653" s="13" t="str">
        <f>IFERROR(VLOOKUP($F653,scan!A:C,3,0),"**")</f>
        <v>**</v>
      </c>
      <c r="C653" s="42">
        <v>652</v>
      </c>
      <c r="D653" s="42" t="s">
        <v>4936</v>
      </c>
      <c r="E653" s="42" t="s">
        <v>4937</v>
      </c>
      <c r="H653" s="42" t="s">
        <v>4936</v>
      </c>
      <c r="I653" s="42" t="s">
        <v>4938</v>
      </c>
      <c r="J653" s="42" t="s">
        <v>4939</v>
      </c>
      <c r="K653" s="42" t="e">
        <f>VLOOKUP(F653,Input!C:M,9,0)</f>
        <v>#N/A</v>
      </c>
      <c r="L653" s="42" t="e">
        <f>VLOOKUP(F653,Input!C:M,10,0)</f>
        <v>#N/A</v>
      </c>
      <c r="M653" s="42" t="e">
        <f>VLOOKUP(F653,Input!C:M,11,0)</f>
        <v>#N/A</v>
      </c>
      <c r="N653" s="43" t="str">
        <f t="shared" si="10"/>
        <v>652,652,**</v>
      </c>
      <c r="O653" s="42">
        <v>652</v>
      </c>
    </row>
    <row r="654" spans="1:15" ht="14.25">
      <c r="A654" s="13" t="str">
        <f>IFERROR(VLOOKUP($F:$F,scan!$A:$B,2,0),"**")</f>
        <v>**</v>
      </c>
      <c r="B654" s="13" t="str">
        <f>IFERROR(VLOOKUP($F654,scan!A:C,3,0),"**")</f>
        <v>**</v>
      </c>
      <c r="C654" s="42">
        <v>653</v>
      </c>
      <c r="D654" s="42" t="s">
        <v>4936</v>
      </c>
      <c r="E654" s="42" t="s">
        <v>4937</v>
      </c>
      <c r="H654" s="42" t="s">
        <v>4936</v>
      </c>
      <c r="I654" s="42" t="s">
        <v>4938</v>
      </c>
      <c r="J654" s="42" t="s">
        <v>4939</v>
      </c>
      <c r="K654" s="42" t="e">
        <f>VLOOKUP(F654,Input!C:M,9,0)</f>
        <v>#N/A</v>
      </c>
      <c r="L654" s="42" t="e">
        <f>VLOOKUP(F654,Input!C:M,10,0)</f>
        <v>#N/A</v>
      </c>
      <c r="M654" s="42" t="e">
        <f>VLOOKUP(F654,Input!C:M,11,0)</f>
        <v>#N/A</v>
      </c>
      <c r="N654" s="43" t="str">
        <f t="shared" si="10"/>
        <v>653,653,**</v>
      </c>
      <c r="O654" s="42">
        <v>653</v>
      </c>
    </row>
    <row r="655" spans="1:15" ht="14.25">
      <c r="A655" s="13" t="str">
        <f>IFERROR(VLOOKUP($F:$F,scan!$A:$B,2,0),"**")</f>
        <v>**</v>
      </c>
      <c r="B655" s="13" t="str">
        <f>IFERROR(VLOOKUP($F655,scan!A:C,3,0),"**")</f>
        <v>**</v>
      </c>
      <c r="C655" s="42">
        <v>654</v>
      </c>
      <c r="D655" s="42" t="s">
        <v>4936</v>
      </c>
      <c r="E655" s="42" t="s">
        <v>4937</v>
      </c>
      <c r="H655" s="42" t="s">
        <v>4936</v>
      </c>
      <c r="I655" s="42" t="s">
        <v>4938</v>
      </c>
      <c r="J655" s="42" t="s">
        <v>4939</v>
      </c>
      <c r="K655" s="42" t="e">
        <f>VLOOKUP(F655,Input!C:M,9,0)</f>
        <v>#N/A</v>
      </c>
      <c r="L655" s="42" t="e">
        <f>VLOOKUP(F655,Input!C:M,10,0)</f>
        <v>#N/A</v>
      </c>
      <c r="M655" s="42" t="e">
        <f>VLOOKUP(F655,Input!C:M,11,0)</f>
        <v>#N/A</v>
      </c>
      <c r="N655" s="43" t="str">
        <f t="shared" si="10"/>
        <v>654,654,**</v>
      </c>
      <c r="O655" s="42">
        <v>654</v>
      </c>
    </row>
    <row r="656" spans="1:15" ht="14.25">
      <c r="A656" s="13" t="str">
        <f>IFERROR(VLOOKUP($F:$F,scan!$A:$B,2,0),"**")</f>
        <v>**</v>
      </c>
      <c r="B656" s="13" t="str">
        <f>IFERROR(VLOOKUP($F656,scan!A:C,3,0),"**")</f>
        <v>**</v>
      </c>
      <c r="C656" s="42">
        <v>655</v>
      </c>
      <c r="D656" s="42" t="s">
        <v>4936</v>
      </c>
      <c r="E656" s="42" t="s">
        <v>4937</v>
      </c>
      <c r="H656" s="42" t="s">
        <v>4936</v>
      </c>
      <c r="I656" s="42" t="s">
        <v>4938</v>
      </c>
      <c r="J656" s="42" t="s">
        <v>4939</v>
      </c>
      <c r="K656" s="42" t="e">
        <f>VLOOKUP(F656,Input!C:M,9,0)</f>
        <v>#N/A</v>
      </c>
      <c r="L656" s="42" t="e">
        <f>VLOOKUP(F656,Input!C:M,10,0)</f>
        <v>#N/A</v>
      </c>
      <c r="M656" s="42" t="e">
        <f>VLOOKUP(F656,Input!C:M,11,0)</f>
        <v>#N/A</v>
      </c>
      <c r="N656" s="43" t="str">
        <f t="shared" si="10"/>
        <v>655,655,**</v>
      </c>
      <c r="O656" s="42">
        <v>655</v>
      </c>
    </row>
    <row r="657" spans="1:15" ht="14.25">
      <c r="A657" s="13" t="str">
        <f>IFERROR(VLOOKUP($F:$F,scan!$A:$B,2,0),"**")</f>
        <v>**</v>
      </c>
      <c r="B657" s="13" t="str">
        <f>IFERROR(VLOOKUP($F657,scan!A:C,3,0),"**")</f>
        <v>**</v>
      </c>
      <c r="C657" s="42">
        <v>656</v>
      </c>
      <c r="D657" s="42" t="s">
        <v>4936</v>
      </c>
      <c r="E657" s="42" t="s">
        <v>4937</v>
      </c>
      <c r="H657" s="42" t="s">
        <v>4936</v>
      </c>
      <c r="I657" s="42" t="s">
        <v>4938</v>
      </c>
      <c r="J657" s="42" t="s">
        <v>4939</v>
      </c>
      <c r="K657" s="42" t="e">
        <f>VLOOKUP(F657,Input!C:M,9,0)</f>
        <v>#N/A</v>
      </c>
      <c r="L657" s="42" t="e">
        <f>VLOOKUP(F657,Input!C:M,10,0)</f>
        <v>#N/A</v>
      </c>
      <c r="M657" s="42" t="e">
        <f>VLOOKUP(F657,Input!C:M,11,0)</f>
        <v>#N/A</v>
      </c>
      <c r="N657" s="43" t="str">
        <f t="shared" si="10"/>
        <v>656,656,**</v>
      </c>
      <c r="O657" s="42">
        <v>656</v>
      </c>
    </row>
    <row r="658" spans="1:15" ht="14.25">
      <c r="A658" s="13" t="str">
        <f>IFERROR(VLOOKUP($F:$F,scan!$A:$B,2,0),"**")</f>
        <v>**</v>
      </c>
      <c r="B658" s="13" t="str">
        <f>IFERROR(VLOOKUP($F658,scan!A:C,3,0),"**")</f>
        <v>**</v>
      </c>
      <c r="C658" s="42">
        <v>657</v>
      </c>
      <c r="D658" s="42" t="s">
        <v>4936</v>
      </c>
      <c r="E658" s="42" t="s">
        <v>4937</v>
      </c>
      <c r="H658" s="42" t="s">
        <v>4936</v>
      </c>
      <c r="I658" s="42" t="s">
        <v>4938</v>
      </c>
      <c r="J658" s="42" t="s">
        <v>4939</v>
      </c>
      <c r="K658" s="42" t="e">
        <f>VLOOKUP(F658,Input!C:M,9,0)</f>
        <v>#N/A</v>
      </c>
      <c r="L658" s="42" t="e">
        <f>VLOOKUP(F658,Input!C:M,10,0)</f>
        <v>#N/A</v>
      </c>
      <c r="M658" s="42" t="e">
        <f>VLOOKUP(F658,Input!C:M,11,0)</f>
        <v>#N/A</v>
      </c>
      <c r="N658" s="43" t="str">
        <f t="shared" si="10"/>
        <v>657,657,**</v>
      </c>
      <c r="O658" s="42">
        <v>657</v>
      </c>
    </row>
    <row r="659" spans="1:15" ht="14.25">
      <c r="A659" s="13" t="str">
        <f>IFERROR(VLOOKUP($F:$F,scan!$A:$B,2,0),"**")</f>
        <v>**</v>
      </c>
      <c r="B659" s="13" t="str">
        <f>IFERROR(VLOOKUP($F659,scan!A:C,3,0),"**")</f>
        <v>**</v>
      </c>
      <c r="C659" s="42">
        <v>658</v>
      </c>
      <c r="D659" s="42" t="s">
        <v>4936</v>
      </c>
      <c r="E659" s="42" t="s">
        <v>4937</v>
      </c>
      <c r="H659" s="42" t="s">
        <v>4936</v>
      </c>
      <c r="I659" s="42" t="s">
        <v>4938</v>
      </c>
      <c r="J659" s="42" t="s">
        <v>4939</v>
      </c>
      <c r="K659" s="42" t="e">
        <f>VLOOKUP(F659,Input!C:M,9,0)</f>
        <v>#N/A</v>
      </c>
      <c r="L659" s="42" t="e">
        <f>VLOOKUP(F659,Input!C:M,10,0)</f>
        <v>#N/A</v>
      </c>
      <c r="M659" s="42" t="e">
        <f>VLOOKUP(F659,Input!C:M,11,0)</f>
        <v>#N/A</v>
      </c>
      <c r="N659" s="43" t="str">
        <f t="shared" si="10"/>
        <v>658,658,**</v>
      </c>
      <c r="O659" s="42">
        <v>658</v>
      </c>
    </row>
    <row r="660" spans="1:15" ht="14.25">
      <c r="A660" s="13" t="str">
        <f>IFERROR(VLOOKUP($F:$F,scan!$A:$B,2,0),"**")</f>
        <v>**</v>
      </c>
      <c r="B660" s="13" t="str">
        <f>IFERROR(VLOOKUP($F660,scan!A:C,3,0),"**")</f>
        <v>**</v>
      </c>
      <c r="C660" s="42">
        <v>659</v>
      </c>
      <c r="D660" s="42" t="s">
        <v>4936</v>
      </c>
      <c r="E660" s="42" t="s">
        <v>4937</v>
      </c>
      <c r="H660" s="42" t="s">
        <v>4936</v>
      </c>
      <c r="I660" s="42" t="s">
        <v>4938</v>
      </c>
      <c r="J660" s="42" t="s">
        <v>4939</v>
      </c>
      <c r="K660" s="42" t="e">
        <f>VLOOKUP(F660,Input!C:M,9,0)</f>
        <v>#N/A</v>
      </c>
      <c r="L660" s="42" t="e">
        <f>VLOOKUP(F660,Input!C:M,10,0)</f>
        <v>#N/A</v>
      </c>
      <c r="M660" s="42" t="e">
        <f>VLOOKUP(F660,Input!C:M,11,0)</f>
        <v>#N/A</v>
      </c>
      <c r="N660" s="43" t="str">
        <f t="shared" si="10"/>
        <v>659,659,**</v>
      </c>
      <c r="O660" s="42">
        <v>659</v>
      </c>
    </row>
    <row r="661" spans="1:15" ht="14.25">
      <c r="A661" s="13" t="str">
        <f>IFERROR(VLOOKUP($F:$F,scan!$A:$B,2,0),"**")</f>
        <v>**</v>
      </c>
      <c r="B661" s="13" t="str">
        <f>IFERROR(VLOOKUP($F661,scan!A:C,3,0),"**")</f>
        <v>**</v>
      </c>
      <c r="C661" s="42">
        <v>660</v>
      </c>
      <c r="D661" s="42" t="s">
        <v>4936</v>
      </c>
      <c r="E661" s="42" t="s">
        <v>4937</v>
      </c>
      <c r="H661" s="42" t="s">
        <v>4936</v>
      </c>
      <c r="I661" s="42" t="s">
        <v>4938</v>
      </c>
      <c r="J661" s="42" t="s">
        <v>4939</v>
      </c>
      <c r="K661" s="42" t="e">
        <f>VLOOKUP(F661,Input!C:M,9,0)</f>
        <v>#N/A</v>
      </c>
      <c r="L661" s="42" t="e">
        <f>VLOOKUP(F661,Input!C:M,10,0)</f>
        <v>#N/A</v>
      </c>
      <c r="M661" s="42" t="e">
        <f>VLOOKUP(F661,Input!C:M,11,0)</f>
        <v>#N/A</v>
      </c>
      <c r="N661" s="43" t="str">
        <f t="shared" si="10"/>
        <v>660,660,**</v>
      </c>
      <c r="O661" s="42">
        <v>660</v>
      </c>
    </row>
    <row r="662" spans="1:15" ht="14.25">
      <c r="A662" s="13" t="str">
        <f>IFERROR(VLOOKUP($F:$F,scan!$A:$B,2,0),"**")</f>
        <v>**</v>
      </c>
      <c r="B662" s="13" t="str">
        <f>IFERROR(VLOOKUP($F662,scan!A:C,3,0),"**")</f>
        <v>**</v>
      </c>
      <c r="C662" s="42">
        <v>661</v>
      </c>
      <c r="D662" s="42" t="s">
        <v>4936</v>
      </c>
      <c r="E662" s="42" t="s">
        <v>4937</v>
      </c>
      <c r="H662" s="42" t="s">
        <v>4936</v>
      </c>
      <c r="I662" s="42" t="s">
        <v>4938</v>
      </c>
      <c r="J662" s="42" t="s">
        <v>4939</v>
      </c>
      <c r="K662" s="42" t="e">
        <f>VLOOKUP(F662,Input!C:M,9,0)</f>
        <v>#N/A</v>
      </c>
      <c r="L662" s="42" t="e">
        <f>VLOOKUP(F662,Input!C:M,10,0)</f>
        <v>#N/A</v>
      </c>
      <c r="M662" s="42" t="e">
        <f>VLOOKUP(F662,Input!C:M,11,0)</f>
        <v>#N/A</v>
      </c>
      <c r="N662" s="43" t="str">
        <f t="shared" si="10"/>
        <v>661,661,**</v>
      </c>
      <c r="O662" s="42">
        <v>661</v>
      </c>
    </row>
    <row r="663" spans="1:15" ht="14.25">
      <c r="A663" s="13" t="str">
        <f>IFERROR(VLOOKUP($F:$F,scan!$A:$B,2,0),"**")</f>
        <v>**</v>
      </c>
      <c r="B663" s="13" t="str">
        <f>IFERROR(VLOOKUP($F663,scan!A:C,3,0),"**")</f>
        <v>**</v>
      </c>
      <c r="C663" s="42">
        <v>662</v>
      </c>
      <c r="D663" s="42" t="s">
        <v>4936</v>
      </c>
      <c r="E663" s="42" t="s">
        <v>4937</v>
      </c>
      <c r="H663" s="42" t="s">
        <v>4936</v>
      </c>
      <c r="I663" s="42" t="s">
        <v>4938</v>
      </c>
      <c r="J663" s="42" t="s">
        <v>4939</v>
      </c>
      <c r="K663" s="42" t="e">
        <f>VLOOKUP(F663,Input!C:M,9,0)</f>
        <v>#N/A</v>
      </c>
      <c r="L663" s="42" t="e">
        <f>VLOOKUP(F663,Input!C:M,10,0)</f>
        <v>#N/A</v>
      </c>
      <c r="M663" s="42" t="e">
        <f>VLOOKUP(F663,Input!C:M,11,0)</f>
        <v>#N/A</v>
      </c>
      <c r="N663" s="43" t="str">
        <f t="shared" si="10"/>
        <v>662,662,**</v>
      </c>
      <c r="O663" s="42">
        <v>662</v>
      </c>
    </row>
    <row r="664" spans="1:15" ht="14.25">
      <c r="A664" s="13" t="str">
        <f>IFERROR(VLOOKUP($F:$F,scan!$A:$B,2,0),"**")</f>
        <v>**</v>
      </c>
      <c r="B664" s="13" t="str">
        <f>IFERROR(VLOOKUP($F664,scan!A:C,3,0),"**")</f>
        <v>**</v>
      </c>
      <c r="C664" s="42">
        <v>663</v>
      </c>
      <c r="D664" s="42" t="s">
        <v>4936</v>
      </c>
      <c r="E664" s="42" t="s">
        <v>4937</v>
      </c>
      <c r="H664" s="42" t="s">
        <v>4936</v>
      </c>
      <c r="I664" s="42" t="s">
        <v>4938</v>
      </c>
      <c r="J664" s="42" t="s">
        <v>4939</v>
      </c>
      <c r="K664" s="42" t="e">
        <f>VLOOKUP(F664,Input!C:M,9,0)</f>
        <v>#N/A</v>
      </c>
      <c r="L664" s="42" t="e">
        <f>VLOOKUP(F664,Input!C:M,10,0)</f>
        <v>#N/A</v>
      </c>
      <c r="M664" s="42" t="e">
        <f>VLOOKUP(F664,Input!C:M,11,0)</f>
        <v>#N/A</v>
      </c>
      <c r="N664" s="43" t="str">
        <f t="shared" si="10"/>
        <v>663,663,**</v>
      </c>
      <c r="O664" s="42">
        <v>663</v>
      </c>
    </row>
    <row r="665" spans="1:15" ht="14.25">
      <c r="A665" s="13" t="str">
        <f>IFERROR(VLOOKUP($F:$F,scan!$A:$B,2,0),"**")</f>
        <v>**</v>
      </c>
      <c r="B665" s="13" t="str">
        <f>IFERROR(VLOOKUP($F665,scan!A:C,3,0),"**")</f>
        <v>**</v>
      </c>
      <c r="C665" s="42">
        <v>664</v>
      </c>
      <c r="D665" s="42" t="s">
        <v>4936</v>
      </c>
      <c r="E665" s="42" t="s">
        <v>4937</v>
      </c>
      <c r="H665" s="42" t="s">
        <v>4936</v>
      </c>
      <c r="I665" s="42" t="s">
        <v>4938</v>
      </c>
      <c r="J665" s="42" t="s">
        <v>4939</v>
      </c>
      <c r="K665" s="42" t="e">
        <f>VLOOKUP(F665,Input!C:M,9,0)</f>
        <v>#N/A</v>
      </c>
      <c r="L665" s="42" t="e">
        <f>VLOOKUP(F665,Input!C:M,10,0)</f>
        <v>#N/A</v>
      </c>
      <c r="M665" s="42" t="e">
        <f>VLOOKUP(F665,Input!C:M,11,0)</f>
        <v>#N/A</v>
      </c>
      <c r="N665" s="43" t="str">
        <f t="shared" si="10"/>
        <v>664,664,**</v>
      </c>
      <c r="O665" s="42">
        <v>664</v>
      </c>
    </row>
    <row r="666" spans="1:15" ht="14.25">
      <c r="A666" s="13" t="str">
        <f>IFERROR(VLOOKUP($F:$F,scan!$A:$B,2,0),"**")</f>
        <v>**</v>
      </c>
      <c r="B666" s="13" t="str">
        <f>IFERROR(VLOOKUP($F666,scan!A:C,3,0),"**")</f>
        <v>**</v>
      </c>
      <c r="C666" s="42">
        <v>665</v>
      </c>
      <c r="D666" s="42" t="s">
        <v>4936</v>
      </c>
      <c r="E666" s="42" t="s">
        <v>4937</v>
      </c>
      <c r="H666" s="42" t="s">
        <v>4936</v>
      </c>
      <c r="I666" s="42" t="s">
        <v>4938</v>
      </c>
      <c r="J666" s="42" t="s">
        <v>4939</v>
      </c>
      <c r="K666" s="42" t="e">
        <f>VLOOKUP(F666,Input!C:M,9,0)</f>
        <v>#N/A</v>
      </c>
      <c r="L666" s="42" t="e">
        <f>VLOOKUP(F666,Input!C:M,10,0)</f>
        <v>#N/A</v>
      </c>
      <c r="M666" s="42" t="e">
        <f>VLOOKUP(F666,Input!C:M,11,0)</f>
        <v>#N/A</v>
      </c>
      <c r="N666" s="43" t="str">
        <f t="shared" si="10"/>
        <v>665,665,**</v>
      </c>
      <c r="O666" s="42">
        <v>665</v>
      </c>
    </row>
    <row r="667" spans="1:15" ht="14.25">
      <c r="A667" s="13" t="str">
        <f>IFERROR(VLOOKUP($F:$F,scan!$A:$B,2,0),"**")</f>
        <v>**</v>
      </c>
      <c r="B667" s="13" t="str">
        <f>IFERROR(VLOOKUP($F667,scan!A:C,3,0),"**")</f>
        <v>**</v>
      </c>
      <c r="C667" s="42">
        <v>666</v>
      </c>
      <c r="D667" s="42" t="s">
        <v>4936</v>
      </c>
      <c r="E667" s="42" t="s">
        <v>4937</v>
      </c>
      <c r="H667" s="42" t="s">
        <v>4936</v>
      </c>
      <c r="I667" s="42" t="s">
        <v>4938</v>
      </c>
      <c r="J667" s="42" t="s">
        <v>4939</v>
      </c>
      <c r="K667" s="42" t="e">
        <f>VLOOKUP(F667,Input!C:M,9,0)</f>
        <v>#N/A</v>
      </c>
      <c r="L667" s="42" t="e">
        <f>VLOOKUP(F667,Input!C:M,10,0)</f>
        <v>#N/A</v>
      </c>
      <c r="M667" s="42" t="e">
        <f>VLOOKUP(F667,Input!C:M,11,0)</f>
        <v>#N/A</v>
      </c>
      <c r="N667" s="43" t="str">
        <f t="shared" si="10"/>
        <v>666,666,**</v>
      </c>
      <c r="O667" s="42">
        <v>666</v>
      </c>
    </row>
    <row r="668" spans="1:15" ht="14.25">
      <c r="A668" s="13" t="str">
        <f>IFERROR(VLOOKUP($F:$F,scan!$A:$B,2,0),"**")</f>
        <v>**</v>
      </c>
      <c r="B668" s="13" t="str">
        <f>IFERROR(VLOOKUP($F668,scan!A:C,3,0),"**")</f>
        <v>**</v>
      </c>
      <c r="C668" s="42">
        <v>667</v>
      </c>
      <c r="D668" s="42" t="s">
        <v>4936</v>
      </c>
      <c r="E668" s="42" t="s">
        <v>4937</v>
      </c>
      <c r="H668" s="42" t="s">
        <v>4936</v>
      </c>
      <c r="I668" s="42" t="s">
        <v>4938</v>
      </c>
      <c r="J668" s="42" t="s">
        <v>4939</v>
      </c>
      <c r="K668" s="42" t="e">
        <f>VLOOKUP(F668,Input!C:M,9,0)</f>
        <v>#N/A</v>
      </c>
      <c r="L668" s="42" t="e">
        <f>VLOOKUP(F668,Input!C:M,10,0)</f>
        <v>#N/A</v>
      </c>
      <c r="M668" s="42" t="e">
        <f>VLOOKUP(F668,Input!C:M,11,0)</f>
        <v>#N/A</v>
      </c>
      <c r="N668" s="43" t="str">
        <f t="shared" si="10"/>
        <v>667,667,**</v>
      </c>
      <c r="O668" s="42">
        <v>667</v>
      </c>
    </row>
    <row r="669" spans="1:15" ht="14.25">
      <c r="A669" s="13" t="str">
        <f>IFERROR(VLOOKUP($F:$F,scan!$A:$B,2,0),"**")</f>
        <v>**</v>
      </c>
      <c r="B669" s="13" t="str">
        <f>IFERROR(VLOOKUP($F669,scan!A:C,3,0),"**")</f>
        <v>**</v>
      </c>
      <c r="C669" s="42">
        <v>668</v>
      </c>
      <c r="D669" s="42" t="s">
        <v>4936</v>
      </c>
      <c r="E669" s="42" t="s">
        <v>4937</v>
      </c>
      <c r="H669" s="42" t="s">
        <v>4936</v>
      </c>
      <c r="I669" s="42" t="s">
        <v>4938</v>
      </c>
      <c r="J669" s="42" t="s">
        <v>4939</v>
      </c>
      <c r="K669" s="42" t="e">
        <f>VLOOKUP(F669,Input!C:M,9,0)</f>
        <v>#N/A</v>
      </c>
      <c r="L669" s="42" t="e">
        <f>VLOOKUP(F669,Input!C:M,10,0)</f>
        <v>#N/A</v>
      </c>
      <c r="M669" s="42" t="e">
        <f>VLOOKUP(F669,Input!C:M,11,0)</f>
        <v>#N/A</v>
      </c>
      <c r="N669" s="43" t="str">
        <f t="shared" si="10"/>
        <v>668,668,**</v>
      </c>
      <c r="O669" s="42">
        <v>668</v>
      </c>
    </row>
    <row r="670" spans="1:15" ht="14.25">
      <c r="A670" s="13" t="str">
        <f>IFERROR(VLOOKUP($F:$F,scan!$A:$B,2,0),"**")</f>
        <v>**</v>
      </c>
      <c r="B670" s="13" t="str">
        <f>IFERROR(VLOOKUP($F670,scan!A:C,3,0),"**")</f>
        <v>**</v>
      </c>
      <c r="C670" s="42">
        <v>669</v>
      </c>
      <c r="D670" s="42" t="s">
        <v>4936</v>
      </c>
      <c r="E670" s="42" t="s">
        <v>4937</v>
      </c>
      <c r="H670" s="42" t="s">
        <v>4936</v>
      </c>
      <c r="I670" s="42" t="s">
        <v>4938</v>
      </c>
      <c r="J670" s="42" t="s">
        <v>4939</v>
      </c>
      <c r="K670" s="42" t="e">
        <f>VLOOKUP(F670,Input!C:M,9,0)</f>
        <v>#N/A</v>
      </c>
      <c r="L670" s="42" t="e">
        <f>VLOOKUP(F670,Input!C:M,10,0)</f>
        <v>#N/A</v>
      </c>
      <c r="M670" s="42" t="e">
        <f>VLOOKUP(F670,Input!C:M,11,0)</f>
        <v>#N/A</v>
      </c>
      <c r="N670" s="43" t="str">
        <f t="shared" si="10"/>
        <v>669,669,**</v>
      </c>
      <c r="O670" s="42">
        <v>669</v>
      </c>
    </row>
    <row r="671" spans="1:15" ht="14.25">
      <c r="A671" s="13" t="str">
        <f>IFERROR(VLOOKUP($F:$F,scan!$A:$B,2,0),"**")</f>
        <v>**</v>
      </c>
      <c r="B671" s="13" t="str">
        <f>IFERROR(VLOOKUP($F671,scan!A:C,3,0),"**")</f>
        <v>**</v>
      </c>
      <c r="C671" s="42">
        <v>670</v>
      </c>
      <c r="D671" s="42" t="s">
        <v>4936</v>
      </c>
      <c r="E671" s="42" t="s">
        <v>4937</v>
      </c>
      <c r="H671" s="42" t="s">
        <v>4936</v>
      </c>
      <c r="I671" s="42" t="s">
        <v>4938</v>
      </c>
      <c r="J671" s="42" t="s">
        <v>4939</v>
      </c>
      <c r="K671" s="42" t="e">
        <f>VLOOKUP(F671,Input!C:M,9,0)</f>
        <v>#N/A</v>
      </c>
      <c r="L671" s="42" t="e">
        <f>VLOOKUP(F671,Input!C:M,10,0)</f>
        <v>#N/A</v>
      </c>
      <c r="M671" s="42" t="e">
        <f>VLOOKUP(F671,Input!C:M,11,0)</f>
        <v>#N/A</v>
      </c>
      <c r="N671" s="43" t="str">
        <f t="shared" si="10"/>
        <v>670,670,**</v>
      </c>
      <c r="O671" s="42">
        <v>670</v>
      </c>
    </row>
    <row r="672" spans="1:15" ht="14.25">
      <c r="A672" s="13" t="str">
        <f>IFERROR(VLOOKUP($F:$F,scan!$A:$B,2,0),"**")</f>
        <v>**</v>
      </c>
      <c r="B672" s="13" t="str">
        <f>IFERROR(VLOOKUP($F672,scan!A:C,3,0),"**")</f>
        <v>**</v>
      </c>
      <c r="C672" s="42">
        <v>671</v>
      </c>
      <c r="D672" s="42" t="s">
        <v>4936</v>
      </c>
      <c r="E672" s="42" t="s">
        <v>4937</v>
      </c>
      <c r="H672" s="42" t="s">
        <v>4936</v>
      </c>
      <c r="I672" s="42" t="s">
        <v>4938</v>
      </c>
      <c r="J672" s="42" t="s">
        <v>4939</v>
      </c>
      <c r="K672" s="42" t="e">
        <f>VLOOKUP(F672,Input!C:M,9,0)</f>
        <v>#N/A</v>
      </c>
      <c r="L672" s="42" t="e">
        <f>VLOOKUP(F672,Input!C:M,10,0)</f>
        <v>#N/A</v>
      </c>
      <c r="M672" s="42" t="e">
        <f>VLOOKUP(F672,Input!C:M,11,0)</f>
        <v>#N/A</v>
      </c>
      <c r="N672" s="43" t="str">
        <f t="shared" si="10"/>
        <v>671,671,**</v>
      </c>
      <c r="O672" s="42">
        <v>671</v>
      </c>
    </row>
    <row r="673" spans="1:15" ht="14.25">
      <c r="A673" s="13" t="str">
        <f>IFERROR(VLOOKUP($F:$F,scan!$A:$B,2,0),"**")</f>
        <v>**</v>
      </c>
      <c r="B673" s="13" t="str">
        <f>IFERROR(VLOOKUP($F673,scan!A:C,3,0),"**")</f>
        <v>**</v>
      </c>
      <c r="C673" s="42">
        <v>672</v>
      </c>
      <c r="D673" s="42" t="s">
        <v>4936</v>
      </c>
      <c r="E673" s="42" t="s">
        <v>4937</v>
      </c>
      <c r="H673" s="42" t="s">
        <v>4936</v>
      </c>
      <c r="I673" s="42" t="s">
        <v>4938</v>
      </c>
      <c r="J673" s="42" t="s">
        <v>4939</v>
      </c>
      <c r="K673" s="42" t="e">
        <f>VLOOKUP(F673,Input!C:M,9,0)</f>
        <v>#N/A</v>
      </c>
      <c r="L673" s="42" t="e">
        <f>VLOOKUP(F673,Input!C:M,10,0)</f>
        <v>#N/A</v>
      </c>
      <c r="M673" s="42" t="e">
        <f>VLOOKUP(F673,Input!C:M,11,0)</f>
        <v>#N/A</v>
      </c>
      <c r="N673" s="43" t="str">
        <f t="shared" si="10"/>
        <v>672,672,**</v>
      </c>
      <c r="O673" s="42">
        <v>672</v>
      </c>
    </row>
    <row r="674" spans="1:15" ht="14.25">
      <c r="A674" s="13" t="str">
        <f>IFERROR(VLOOKUP($F:$F,scan!$A:$B,2,0),"**")</f>
        <v>**</v>
      </c>
      <c r="B674" s="13" t="str">
        <f>IFERROR(VLOOKUP($F674,scan!A:C,3,0),"**")</f>
        <v>**</v>
      </c>
      <c r="C674" s="42">
        <v>673</v>
      </c>
      <c r="D674" s="42" t="s">
        <v>4936</v>
      </c>
      <c r="E674" s="42" t="s">
        <v>4937</v>
      </c>
      <c r="H674" s="42" t="s">
        <v>4936</v>
      </c>
      <c r="I674" s="42" t="s">
        <v>4938</v>
      </c>
      <c r="J674" s="42" t="s">
        <v>4939</v>
      </c>
      <c r="K674" s="42" t="e">
        <f>VLOOKUP(F674,Input!C:M,9,0)</f>
        <v>#N/A</v>
      </c>
      <c r="L674" s="42" t="e">
        <f>VLOOKUP(F674,Input!C:M,10,0)</f>
        <v>#N/A</v>
      </c>
      <c r="M674" s="42" t="e">
        <f>VLOOKUP(F674,Input!C:M,11,0)</f>
        <v>#N/A</v>
      </c>
      <c r="N674" s="43" t="str">
        <f t="shared" si="10"/>
        <v>673,673,**</v>
      </c>
      <c r="O674" s="42">
        <v>673</v>
      </c>
    </row>
    <row r="675" spans="1:15" ht="14.25">
      <c r="A675" s="13" t="str">
        <f>IFERROR(VLOOKUP($F:$F,scan!$A:$B,2,0),"**")</f>
        <v>**</v>
      </c>
      <c r="B675" s="13" t="str">
        <f>IFERROR(VLOOKUP($F675,scan!A:C,3,0),"**")</f>
        <v>**</v>
      </c>
      <c r="C675" s="42">
        <v>674</v>
      </c>
      <c r="D675" s="42" t="s">
        <v>4936</v>
      </c>
      <c r="E675" s="42" t="s">
        <v>4937</v>
      </c>
      <c r="H675" s="42" t="s">
        <v>4936</v>
      </c>
      <c r="I675" s="42" t="s">
        <v>4938</v>
      </c>
      <c r="J675" s="42" t="s">
        <v>4939</v>
      </c>
      <c r="K675" s="42" t="e">
        <f>VLOOKUP(F675,Input!C:M,9,0)</f>
        <v>#N/A</v>
      </c>
      <c r="L675" s="42" t="e">
        <f>VLOOKUP(F675,Input!C:M,10,0)</f>
        <v>#N/A</v>
      </c>
      <c r="M675" s="42" t="e">
        <f>VLOOKUP(F675,Input!C:M,11,0)</f>
        <v>#N/A</v>
      </c>
      <c r="N675" s="43" t="str">
        <f t="shared" si="10"/>
        <v>674,674,**</v>
      </c>
      <c r="O675" s="42">
        <v>674</v>
      </c>
    </row>
    <row r="676" spans="1:15" ht="14.25">
      <c r="A676" s="13" t="str">
        <f>IFERROR(VLOOKUP($F:$F,scan!$A:$B,2,0),"**")</f>
        <v>**</v>
      </c>
      <c r="B676" s="13" t="str">
        <f>IFERROR(VLOOKUP($F676,scan!A:C,3,0),"**")</f>
        <v>**</v>
      </c>
      <c r="C676" s="42">
        <v>675</v>
      </c>
      <c r="D676" s="42" t="s">
        <v>4936</v>
      </c>
      <c r="E676" s="42" t="s">
        <v>4937</v>
      </c>
      <c r="H676" s="42" t="s">
        <v>4936</v>
      </c>
      <c r="I676" s="42" t="s">
        <v>4938</v>
      </c>
      <c r="J676" s="42" t="s">
        <v>4939</v>
      </c>
      <c r="K676" s="42" t="e">
        <f>VLOOKUP(F676,Input!C:M,9,0)</f>
        <v>#N/A</v>
      </c>
      <c r="L676" s="42" t="e">
        <f>VLOOKUP(F676,Input!C:M,10,0)</f>
        <v>#N/A</v>
      </c>
      <c r="M676" s="42" t="e">
        <f>VLOOKUP(F676,Input!C:M,11,0)</f>
        <v>#N/A</v>
      </c>
      <c r="N676" s="43" t="str">
        <f t="shared" si="10"/>
        <v>675,675,**</v>
      </c>
      <c r="O676" s="42">
        <v>675</v>
      </c>
    </row>
    <row r="677" spans="1:15" ht="14.25">
      <c r="A677" s="13" t="str">
        <f>IFERROR(VLOOKUP($F:$F,scan!$A:$B,2,0),"**")</f>
        <v>**</v>
      </c>
      <c r="B677" s="13" t="str">
        <f>IFERROR(VLOOKUP($F677,scan!A:C,3,0),"**")</f>
        <v>**</v>
      </c>
      <c r="C677" s="42">
        <v>676</v>
      </c>
      <c r="D677" s="42" t="s">
        <v>4936</v>
      </c>
      <c r="E677" s="42" t="s">
        <v>4937</v>
      </c>
      <c r="H677" s="42" t="s">
        <v>4936</v>
      </c>
      <c r="I677" s="42" t="s">
        <v>4938</v>
      </c>
      <c r="J677" s="42" t="s">
        <v>4939</v>
      </c>
      <c r="K677" s="42" t="e">
        <f>VLOOKUP(F677,Input!C:M,9,0)</f>
        <v>#N/A</v>
      </c>
      <c r="L677" s="42" t="e">
        <f>VLOOKUP(F677,Input!C:M,10,0)</f>
        <v>#N/A</v>
      </c>
      <c r="M677" s="42" t="e">
        <f>VLOOKUP(F677,Input!C:M,11,0)</f>
        <v>#N/A</v>
      </c>
      <c r="N677" s="43" t="str">
        <f t="shared" si="10"/>
        <v>676,676,**</v>
      </c>
      <c r="O677" s="42">
        <v>676</v>
      </c>
    </row>
    <row r="678" spans="1:15" ht="14.25">
      <c r="A678" s="13" t="str">
        <f>IFERROR(VLOOKUP($F:$F,scan!$A:$B,2,0),"**")</f>
        <v>**</v>
      </c>
      <c r="B678" s="13" t="str">
        <f>IFERROR(VLOOKUP($F678,scan!A:C,3,0),"**")</f>
        <v>**</v>
      </c>
      <c r="C678" s="42">
        <v>677</v>
      </c>
      <c r="D678" s="42" t="s">
        <v>4936</v>
      </c>
      <c r="E678" s="42" t="s">
        <v>4937</v>
      </c>
      <c r="H678" s="42" t="s">
        <v>4936</v>
      </c>
      <c r="I678" s="42" t="s">
        <v>4938</v>
      </c>
      <c r="J678" s="42" t="s">
        <v>4939</v>
      </c>
      <c r="K678" s="42" t="e">
        <f>VLOOKUP(F678,Input!C:M,9,0)</f>
        <v>#N/A</v>
      </c>
      <c r="L678" s="42" t="e">
        <f>VLOOKUP(F678,Input!C:M,10,0)</f>
        <v>#N/A</v>
      </c>
      <c r="M678" s="42" t="e">
        <f>VLOOKUP(F678,Input!C:M,11,0)</f>
        <v>#N/A</v>
      </c>
      <c r="N678" s="43" t="str">
        <f t="shared" si="10"/>
        <v>677,677,**</v>
      </c>
      <c r="O678" s="42">
        <v>677</v>
      </c>
    </row>
    <row r="679" spans="1:15" ht="14.25">
      <c r="A679" s="13" t="str">
        <f>IFERROR(VLOOKUP($F:$F,scan!$A:$B,2,0),"**")</f>
        <v>**</v>
      </c>
      <c r="B679" s="13" t="str">
        <f>IFERROR(VLOOKUP($F679,scan!A:C,3,0),"**")</f>
        <v>**</v>
      </c>
      <c r="C679" s="42">
        <v>678</v>
      </c>
      <c r="D679" s="42" t="s">
        <v>4936</v>
      </c>
      <c r="E679" s="42" t="s">
        <v>4937</v>
      </c>
      <c r="H679" s="42" t="s">
        <v>4936</v>
      </c>
      <c r="I679" s="42" t="s">
        <v>4938</v>
      </c>
      <c r="J679" s="42" t="s">
        <v>4939</v>
      </c>
      <c r="K679" s="42" t="e">
        <f>VLOOKUP(F679,Input!C:M,9,0)</f>
        <v>#N/A</v>
      </c>
      <c r="L679" s="42" t="e">
        <f>VLOOKUP(F679,Input!C:M,10,0)</f>
        <v>#N/A</v>
      </c>
      <c r="M679" s="42" t="e">
        <f>VLOOKUP(F679,Input!C:M,11,0)</f>
        <v>#N/A</v>
      </c>
      <c r="N679" s="43" t="str">
        <f t="shared" si="10"/>
        <v>678,678,**</v>
      </c>
      <c r="O679" s="42">
        <v>678</v>
      </c>
    </row>
    <row r="680" spans="1:15" ht="14.25">
      <c r="A680" s="13" t="str">
        <f>IFERROR(VLOOKUP($F:$F,scan!$A:$B,2,0),"**")</f>
        <v>**</v>
      </c>
      <c r="B680" s="13" t="str">
        <f>IFERROR(VLOOKUP($F680,scan!A:C,3,0),"**")</f>
        <v>**</v>
      </c>
      <c r="C680" s="42">
        <v>679</v>
      </c>
      <c r="D680" s="42" t="s">
        <v>4936</v>
      </c>
      <c r="E680" s="42" t="s">
        <v>4937</v>
      </c>
      <c r="H680" s="42" t="s">
        <v>4936</v>
      </c>
      <c r="I680" s="42" t="s">
        <v>4938</v>
      </c>
      <c r="J680" s="42" t="s">
        <v>4939</v>
      </c>
      <c r="K680" s="42" t="e">
        <f>VLOOKUP(F680,Input!C:M,9,0)</f>
        <v>#N/A</v>
      </c>
      <c r="L680" s="42" t="e">
        <f>VLOOKUP(F680,Input!C:M,10,0)</f>
        <v>#N/A</v>
      </c>
      <c r="M680" s="42" t="e">
        <f>VLOOKUP(F680,Input!C:M,11,0)</f>
        <v>#N/A</v>
      </c>
      <c r="N680" s="43" t="str">
        <f t="shared" si="10"/>
        <v>679,679,**</v>
      </c>
      <c r="O680" s="42">
        <v>679</v>
      </c>
    </row>
    <row r="681" spans="1:15" ht="14.25">
      <c r="A681" s="13" t="str">
        <f>IFERROR(VLOOKUP($F:$F,scan!$A:$B,2,0),"**")</f>
        <v>**</v>
      </c>
      <c r="B681" s="13" t="str">
        <f>IFERROR(VLOOKUP($F681,scan!A:C,3,0),"**")</f>
        <v>**</v>
      </c>
      <c r="C681" s="42">
        <v>680</v>
      </c>
      <c r="D681" s="42" t="s">
        <v>4936</v>
      </c>
      <c r="E681" s="42" t="s">
        <v>4937</v>
      </c>
      <c r="H681" s="42" t="s">
        <v>4936</v>
      </c>
      <c r="I681" s="42" t="s">
        <v>4938</v>
      </c>
      <c r="J681" s="42" t="s">
        <v>4939</v>
      </c>
      <c r="K681" s="42" t="e">
        <f>VLOOKUP(F681,Input!C:M,9,0)</f>
        <v>#N/A</v>
      </c>
      <c r="L681" s="42" t="e">
        <f>VLOOKUP(F681,Input!C:M,10,0)</f>
        <v>#N/A</v>
      </c>
      <c r="M681" s="42" t="e">
        <f>VLOOKUP(F681,Input!C:M,11,0)</f>
        <v>#N/A</v>
      </c>
      <c r="N681" s="43" t="str">
        <f t="shared" si="10"/>
        <v>680,680,**</v>
      </c>
      <c r="O681" s="42">
        <v>680</v>
      </c>
    </row>
    <row r="682" spans="1:15" ht="14.25">
      <c r="A682" s="13" t="str">
        <f>IFERROR(VLOOKUP($F:$F,scan!$A:$B,2,0),"**")</f>
        <v>**</v>
      </c>
      <c r="B682" s="13" t="str">
        <f>IFERROR(VLOOKUP($F682,scan!A:C,3,0),"**")</f>
        <v>**</v>
      </c>
      <c r="C682" s="42">
        <v>681</v>
      </c>
      <c r="D682" s="42" t="s">
        <v>4936</v>
      </c>
      <c r="E682" s="42" t="s">
        <v>4937</v>
      </c>
      <c r="H682" s="42" t="s">
        <v>4936</v>
      </c>
      <c r="I682" s="42" t="s">
        <v>4938</v>
      </c>
      <c r="J682" s="42" t="s">
        <v>4939</v>
      </c>
      <c r="K682" s="42" t="e">
        <f>VLOOKUP(F682,Input!C:M,9,0)</f>
        <v>#N/A</v>
      </c>
      <c r="L682" s="42" t="e">
        <f>VLOOKUP(F682,Input!C:M,10,0)</f>
        <v>#N/A</v>
      </c>
      <c r="M682" s="42" t="e">
        <f>VLOOKUP(F682,Input!C:M,11,0)</f>
        <v>#N/A</v>
      </c>
      <c r="N682" s="43" t="str">
        <f t="shared" si="10"/>
        <v>681,681,**</v>
      </c>
      <c r="O682" s="42">
        <v>681</v>
      </c>
    </row>
    <row r="683" spans="1:15" ht="14.25">
      <c r="A683" s="13" t="str">
        <f>IFERROR(VLOOKUP($F:$F,scan!$A:$B,2,0),"**")</f>
        <v>**</v>
      </c>
      <c r="B683" s="13" t="str">
        <f>IFERROR(VLOOKUP($F683,scan!A:C,3,0),"**")</f>
        <v>**</v>
      </c>
      <c r="C683" s="42">
        <v>682</v>
      </c>
      <c r="D683" s="42" t="s">
        <v>4936</v>
      </c>
      <c r="E683" s="42" t="s">
        <v>4937</v>
      </c>
      <c r="H683" s="42" t="s">
        <v>4936</v>
      </c>
      <c r="I683" s="42" t="s">
        <v>4938</v>
      </c>
      <c r="J683" s="42" t="s">
        <v>4939</v>
      </c>
      <c r="K683" s="42" t="e">
        <f>VLOOKUP(F683,Input!C:M,9,0)</f>
        <v>#N/A</v>
      </c>
      <c r="L683" s="42" t="e">
        <f>VLOOKUP(F683,Input!C:M,10,0)</f>
        <v>#N/A</v>
      </c>
      <c r="M683" s="42" t="e">
        <f>VLOOKUP(F683,Input!C:M,11,0)</f>
        <v>#N/A</v>
      </c>
      <c r="N683" s="43" t="str">
        <f t="shared" si="10"/>
        <v>682,682,**</v>
      </c>
      <c r="O683" s="42">
        <v>682</v>
      </c>
    </row>
    <row r="684" spans="1:15" ht="14.25">
      <c r="A684" s="13" t="str">
        <f>IFERROR(VLOOKUP($F:$F,scan!$A:$B,2,0),"**")</f>
        <v>**</v>
      </c>
      <c r="B684" s="13" t="str">
        <f>IFERROR(VLOOKUP($F684,scan!A:C,3,0),"**")</f>
        <v>**</v>
      </c>
      <c r="C684" s="42">
        <v>683</v>
      </c>
      <c r="D684" s="42" t="s">
        <v>4936</v>
      </c>
      <c r="E684" s="42" t="s">
        <v>4937</v>
      </c>
      <c r="H684" s="42" t="s">
        <v>4936</v>
      </c>
      <c r="I684" s="42" t="s">
        <v>4938</v>
      </c>
      <c r="J684" s="42" t="s">
        <v>4939</v>
      </c>
      <c r="K684" s="42" t="e">
        <f>VLOOKUP(F684,Input!C:M,9,0)</f>
        <v>#N/A</v>
      </c>
      <c r="L684" s="42" t="e">
        <f>VLOOKUP(F684,Input!C:M,10,0)</f>
        <v>#N/A</v>
      </c>
      <c r="M684" s="42" t="e">
        <f>VLOOKUP(F684,Input!C:M,11,0)</f>
        <v>#N/A</v>
      </c>
      <c r="N684" s="43" t="str">
        <f t="shared" si="10"/>
        <v>683,683,**</v>
      </c>
      <c r="O684" s="42">
        <v>683</v>
      </c>
    </row>
    <row r="685" spans="1:15" ht="14.25">
      <c r="A685" s="13" t="str">
        <f>IFERROR(VLOOKUP($F:$F,scan!$A:$B,2,0),"**")</f>
        <v>**</v>
      </c>
      <c r="B685" s="13" t="str">
        <f>IFERROR(VLOOKUP($F685,scan!A:C,3,0),"**")</f>
        <v>**</v>
      </c>
      <c r="C685" s="42">
        <v>684</v>
      </c>
      <c r="D685" s="42" t="s">
        <v>4936</v>
      </c>
      <c r="E685" s="42" t="s">
        <v>4937</v>
      </c>
      <c r="H685" s="42" t="s">
        <v>4936</v>
      </c>
      <c r="I685" s="42" t="s">
        <v>4938</v>
      </c>
      <c r="J685" s="42" t="s">
        <v>4939</v>
      </c>
      <c r="K685" s="42" t="e">
        <f>VLOOKUP(F685,Input!C:M,9,0)</f>
        <v>#N/A</v>
      </c>
      <c r="L685" s="42" t="e">
        <f>VLOOKUP(F685,Input!C:M,10,0)</f>
        <v>#N/A</v>
      </c>
      <c r="M685" s="42" t="e">
        <f>VLOOKUP(F685,Input!C:M,11,0)</f>
        <v>#N/A</v>
      </c>
      <c r="N685" s="43" t="str">
        <f t="shared" si="10"/>
        <v>684,684,**</v>
      </c>
      <c r="O685" s="42">
        <v>684</v>
      </c>
    </row>
    <row r="686" spans="1:15" ht="14.25">
      <c r="A686" s="13" t="str">
        <f>IFERROR(VLOOKUP($F:$F,scan!$A:$B,2,0),"**")</f>
        <v>**</v>
      </c>
      <c r="B686" s="13" t="str">
        <f>IFERROR(VLOOKUP($F686,scan!A:C,3,0),"**")</f>
        <v>**</v>
      </c>
      <c r="C686" s="42">
        <v>685</v>
      </c>
      <c r="D686" s="42" t="s">
        <v>4936</v>
      </c>
      <c r="E686" s="42" t="s">
        <v>4937</v>
      </c>
      <c r="H686" s="42" t="s">
        <v>4936</v>
      </c>
      <c r="I686" s="42" t="s">
        <v>4938</v>
      </c>
      <c r="J686" s="42" t="s">
        <v>4939</v>
      </c>
      <c r="K686" s="42" t="e">
        <f>VLOOKUP(F686,Input!C:M,9,0)</f>
        <v>#N/A</v>
      </c>
      <c r="L686" s="42" t="e">
        <f>VLOOKUP(F686,Input!C:M,10,0)</f>
        <v>#N/A</v>
      </c>
      <c r="M686" s="42" t="e">
        <f>VLOOKUP(F686,Input!C:M,11,0)</f>
        <v>#N/A</v>
      </c>
      <c r="N686" s="43" t="str">
        <f t="shared" si="10"/>
        <v>685,685,**</v>
      </c>
      <c r="O686" s="42">
        <v>685</v>
      </c>
    </row>
    <row r="687" spans="1:15" ht="14.25">
      <c r="A687" s="13" t="str">
        <f>IFERROR(VLOOKUP($F:$F,scan!$A:$B,2,0),"**")</f>
        <v>**</v>
      </c>
      <c r="B687" s="13" t="str">
        <f>IFERROR(VLOOKUP($F687,scan!A:C,3,0),"**")</f>
        <v>**</v>
      </c>
      <c r="C687" s="42">
        <v>686</v>
      </c>
      <c r="D687" s="42" t="s">
        <v>4936</v>
      </c>
      <c r="E687" s="42" t="s">
        <v>4937</v>
      </c>
      <c r="H687" s="42" t="s">
        <v>4936</v>
      </c>
      <c r="I687" s="42" t="s">
        <v>4938</v>
      </c>
      <c r="J687" s="42" t="s">
        <v>4939</v>
      </c>
      <c r="K687" s="42" t="e">
        <f>VLOOKUP(F687,Input!C:M,9,0)</f>
        <v>#N/A</v>
      </c>
      <c r="L687" s="42" t="e">
        <f>VLOOKUP(F687,Input!C:M,10,0)</f>
        <v>#N/A</v>
      </c>
      <c r="M687" s="42" t="e">
        <f>VLOOKUP(F687,Input!C:M,11,0)</f>
        <v>#N/A</v>
      </c>
      <c r="N687" s="43" t="str">
        <f t="shared" si="10"/>
        <v>686,686,**</v>
      </c>
      <c r="O687" s="42">
        <v>686</v>
      </c>
    </row>
    <row r="688" spans="1:15" ht="14.25">
      <c r="A688" s="13" t="str">
        <f>IFERROR(VLOOKUP($F:$F,scan!$A:$B,2,0),"**")</f>
        <v>**</v>
      </c>
      <c r="B688" s="13" t="str">
        <f>IFERROR(VLOOKUP($F688,scan!A:C,3,0),"**")</f>
        <v>**</v>
      </c>
      <c r="C688" s="42">
        <v>687</v>
      </c>
      <c r="D688" s="42" t="s">
        <v>4936</v>
      </c>
      <c r="E688" s="42" t="s">
        <v>4937</v>
      </c>
      <c r="H688" s="42" t="s">
        <v>4936</v>
      </c>
      <c r="I688" s="42" t="s">
        <v>4938</v>
      </c>
      <c r="J688" s="42" t="s">
        <v>4939</v>
      </c>
      <c r="K688" s="42" t="e">
        <f>VLOOKUP(F688,Input!C:M,9,0)</f>
        <v>#N/A</v>
      </c>
      <c r="L688" s="42" t="e">
        <f>VLOOKUP(F688,Input!C:M,10,0)</f>
        <v>#N/A</v>
      </c>
      <c r="M688" s="42" t="e">
        <f>VLOOKUP(F688,Input!C:M,11,0)</f>
        <v>#N/A</v>
      </c>
      <c r="N688" s="43" t="str">
        <f t="shared" si="10"/>
        <v>687,687,**</v>
      </c>
      <c r="O688" s="42">
        <v>687</v>
      </c>
    </row>
    <row r="689" spans="1:15" ht="14.25">
      <c r="A689" s="13" t="str">
        <f>IFERROR(VLOOKUP($F:$F,scan!$A:$B,2,0),"**")</f>
        <v>**</v>
      </c>
      <c r="B689" s="13" t="str">
        <f>IFERROR(VLOOKUP($F689,scan!A:C,3,0),"**")</f>
        <v>**</v>
      </c>
      <c r="C689" s="42">
        <v>688</v>
      </c>
      <c r="D689" s="42" t="s">
        <v>4936</v>
      </c>
      <c r="E689" s="42" t="s">
        <v>4937</v>
      </c>
      <c r="H689" s="42" t="s">
        <v>4936</v>
      </c>
      <c r="I689" s="42" t="s">
        <v>4938</v>
      </c>
      <c r="J689" s="42" t="s">
        <v>4939</v>
      </c>
      <c r="K689" s="42" t="e">
        <f>VLOOKUP(F689,Input!C:M,9,0)</f>
        <v>#N/A</v>
      </c>
      <c r="L689" s="42" t="e">
        <f>VLOOKUP(F689,Input!C:M,10,0)</f>
        <v>#N/A</v>
      </c>
      <c r="M689" s="42" t="e">
        <f>VLOOKUP(F689,Input!C:M,11,0)</f>
        <v>#N/A</v>
      </c>
      <c r="N689" s="43" t="str">
        <f t="shared" si="10"/>
        <v>688,688,**</v>
      </c>
      <c r="O689" s="42">
        <v>688</v>
      </c>
    </row>
    <row r="690" spans="1:15" ht="14.25">
      <c r="A690" s="13" t="str">
        <f>IFERROR(VLOOKUP($F:$F,scan!$A:$B,2,0),"**")</f>
        <v>**</v>
      </c>
      <c r="B690" s="13" t="str">
        <f>IFERROR(VLOOKUP($F690,scan!A:C,3,0),"**")</f>
        <v>**</v>
      </c>
      <c r="C690" s="42">
        <v>689</v>
      </c>
      <c r="D690" s="42" t="s">
        <v>4936</v>
      </c>
      <c r="E690" s="42" t="s">
        <v>4937</v>
      </c>
      <c r="H690" s="42" t="s">
        <v>4936</v>
      </c>
      <c r="I690" s="42" t="s">
        <v>4938</v>
      </c>
      <c r="J690" s="42" t="s">
        <v>4939</v>
      </c>
      <c r="K690" s="42" t="e">
        <f>VLOOKUP(F690,Input!C:M,9,0)</f>
        <v>#N/A</v>
      </c>
      <c r="L690" s="42" t="e">
        <f>VLOOKUP(F690,Input!C:M,10,0)</f>
        <v>#N/A</v>
      </c>
      <c r="M690" s="42" t="e">
        <f>VLOOKUP(F690,Input!C:M,11,0)</f>
        <v>#N/A</v>
      </c>
      <c r="N690" s="43" t="str">
        <f t="shared" si="10"/>
        <v>689,689,**</v>
      </c>
      <c r="O690" s="42">
        <v>689</v>
      </c>
    </row>
    <row r="691" spans="1:15" ht="14.25">
      <c r="A691" s="13" t="str">
        <f>IFERROR(VLOOKUP($F:$F,scan!$A:$B,2,0),"**")</f>
        <v>**</v>
      </c>
      <c r="B691" s="13" t="str">
        <f>IFERROR(VLOOKUP($F691,scan!A:C,3,0),"**")</f>
        <v>**</v>
      </c>
      <c r="C691" s="42">
        <v>690</v>
      </c>
      <c r="D691" s="42" t="s">
        <v>4936</v>
      </c>
      <c r="E691" s="42" t="s">
        <v>4937</v>
      </c>
      <c r="H691" s="42" t="s">
        <v>4936</v>
      </c>
      <c r="I691" s="42" t="s">
        <v>4938</v>
      </c>
      <c r="J691" s="42" t="s">
        <v>4939</v>
      </c>
      <c r="K691" s="42" t="e">
        <f>VLOOKUP(F691,Input!C:M,9,0)</f>
        <v>#N/A</v>
      </c>
      <c r="L691" s="42" t="e">
        <f>VLOOKUP(F691,Input!C:M,10,0)</f>
        <v>#N/A</v>
      </c>
      <c r="M691" s="42" t="e">
        <f>VLOOKUP(F691,Input!C:M,11,0)</f>
        <v>#N/A</v>
      </c>
      <c r="N691" s="43" t="str">
        <f t="shared" si="10"/>
        <v>690,690,**</v>
      </c>
      <c r="O691" s="42">
        <v>690</v>
      </c>
    </row>
    <row r="692" spans="1:15" ht="14.25">
      <c r="A692" s="13" t="str">
        <f>IFERROR(VLOOKUP($F:$F,scan!$A:$B,2,0),"**")</f>
        <v>**</v>
      </c>
      <c r="B692" s="13" t="str">
        <f>IFERROR(VLOOKUP($F692,scan!A:C,3,0),"**")</f>
        <v>**</v>
      </c>
      <c r="C692" s="42">
        <v>691</v>
      </c>
      <c r="D692" s="42" t="s">
        <v>4936</v>
      </c>
      <c r="E692" s="42" t="s">
        <v>4937</v>
      </c>
      <c r="H692" s="42" t="s">
        <v>4936</v>
      </c>
      <c r="I692" s="42" t="s">
        <v>4938</v>
      </c>
      <c r="J692" s="42" t="s">
        <v>4939</v>
      </c>
      <c r="K692" s="42" t="e">
        <f>VLOOKUP(F692,Input!C:M,9,0)</f>
        <v>#N/A</v>
      </c>
      <c r="L692" s="42" t="e">
        <f>VLOOKUP(F692,Input!C:M,10,0)</f>
        <v>#N/A</v>
      </c>
      <c r="M692" s="42" t="e">
        <f>VLOOKUP(F692,Input!C:M,11,0)</f>
        <v>#N/A</v>
      </c>
      <c r="N692" s="43" t="str">
        <f t="shared" si="10"/>
        <v>691,691,**</v>
      </c>
      <c r="O692" s="42">
        <v>691</v>
      </c>
    </row>
    <row r="693" spans="1:15" ht="14.25">
      <c r="A693" s="13" t="str">
        <f>IFERROR(VLOOKUP($F:$F,scan!$A:$B,2,0),"**")</f>
        <v>**</v>
      </c>
      <c r="B693" s="13" t="str">
        <f>IFERROR(VLOOKUP($F693,scan!A:C,3,0),"**")</f>
        <v>**</v>
      </c>
      <c r="C693" s="42">
        <v>692</v>
      </c>
      <c r="D693" s="42" t="s">
        <v>4936</v>
      </c>
      <c r="E693" s="42" t="s">
        <v>4937</v>
      </c>
      <c r="H693" s="42" t="s">
        <v>4936</v>
      </c>
      <c r="I693" s="42" t="s">
        <v>4938</v>
      </c>
      <c r="J693" s="42" t="s">
        <v>4939</v>
      </c>
      <c r="K693" s="42" t="e">
        <f>VLOOKUP(F693,Input!C:M,9,0)</f>
        <v>#N/A</v>
      </c>
      <c r="L693" s="42" t="e">
        <f>VLOOKUP(F693,Input!C:M,10,0)</f>
        <v>#N/A</v>
      </c>
      <c r="M693" s="42" t="e">
        <f>VLOOKUP(F693,Input!C:M,11,0)</f>
        <v>#N/A</v>
      </c>
      <c r="N693" s="43" t="str">
        <f t="shared" si="10"/>
        <v>692,692,**</v>
      </c>
      <c r="O693" s="42">
        <v>692</v>
      </c>
    </row>
    <row r="694" spans="1:15" ht="14.25">
      <c r="A694" s="13" t="str">
        <f>IFERROR(VLOOKUP($F:$F,scan!$A:$B,2,0),"**")</f>
        <v>**</v>
      </c>
      <c r="B694" s="13" t="str">
        <f>IFERROR(VLOOKUP($F694,scan!A:C,3,0),"**")</f>
        <v>**</v>
      </c>
      <c r="C694" s="42">
        <v>693</v>
      </c>
      <c r="D694" s="42" t="s">
        <v>4936</v>
      </c>
      <c r="E694" s="42" t="s">
        <v>4937</v>
      </c>
      <c r="H694" s="42" t="s">
        <v>4936</v>
      </c>
      <c r="I694" s="42" t="s">
        <v>4938</v>
      </c>
      <c r="J694" s="42" t="s">
        <v>4939</v>
      </c>
      <c r="K694" s="42" t="e">
        <f>VLOOKUP(F694,Input!C:M,9,0)</f>
        <v>#N/A</v>
      </c>
      <c r="L694" s="42" t="e">
        <f>VLOOKUP(F694,Input!C:M,10,0)</f>
        <v>#N/A</v>
      </c>
      <c r="M694" s="42" t="e">
        <f>VLOOKUP(F694,Input!C:M,11,0)</f>
        <v>#N/A</v>
      </c>
      <c r="N694" s="43" t="str">
        <f t="shared" si="10"/>
        <v>693,693,**</v>
      </c>
      <c r="O694" s="42">
        <v>693</v>
      </c>
    </row>
    <row r="695" spans="1:15" ht="14.25">
      <c r="A695" s="13" t="str">
        <f>IFERROR(VLOOKUP($F:$F,scan!$A:$B,2,0),"**")</f>
        <v>**</v>
      </c>
      <c r="B695" s="13" t="str">
        <f>IFERROR(VLOOKUP($F695,scan!A:C,3,0),"**")</f>
        <v>**</v>
      </c>
      <c r="C695" s="42">
        <v>694</v>
      </c>
      <c r="D695" s="42" t="s">
        <v>4936</v>
      </c>
      <c r="E695" s="42" t="s">
        <v>4937</v>
      </c>
      <c r="H695" s="42" t="s">
        <v>4936</v>
      </c>
      <c r="I695" s="42" t="s">
        <v>4938</v>
      </c>
      <c r="J695" s="42" t="s">
        <v>4939</v>
      </c>
      <c r="K695" s="42" t="e">
        <f>VLOOKUP(F695,Input!C:M,9,0)</f>
        <v>#N/A</v>
      </c>
      <c r="L695" s="42" t="e">
        <f>VLOOKUP(F695,Input!C:M,10,0)</f>
        <v>#N/A</v>
      </c>
      <c r="M695" s="42" t="e">
        <f>VLOOKUP(F695,Input!C:M,11,0)</f>
        <v>#N/A</v>
      </c>
      <c r="N695" s="43" t="str">
        <f t="shared" si="10"/>
        <v>694,694,**</v>
      </c>
      <c r="O695" s="42">
        <v>694</v>
      </c>
    </row>
    <row r="696" spans="1:15" ht="14.25">
      <c r="A696" s="13" t="str">
        <f>IFERROR(VLOOKUP($F:$F,scan!$A:$B,2,0),"**")</f>
        <v>**</v>
      </c>
      <c r="B696" s="13" t="str">
        <f>IFERROR(VLOOKUP($F696,scan!A:C,3,0),"**")</f>
        <v>**</v>
      </c>
      <c r="C696" s="42">
        <v>695</v>
      </c>
      <c r="D696" s="42" t="s">
        <v>4936</v>
      </c>
      <c r="E696" s="42" t="s">
        <v>4937</v>
      </c>
      <c r="H696" s="42" t="s">
        <v>4936</v>
      </c>
      <c r="I696" s="42" t="s">
        <v>4938</v>
      </c>
      <c r="J696" s="42" t="s">
        <v>4939</v>
      </c>
      <c r="K696" s="42" t="e">
        <f>VLOOKUP(F696,Input!C:M,9,0)</f>
        <v>#N/A</v>
      </c>
      <c r="L696" s="42" t="e">
        <f>VLOOKUP(F696,Input!C:M,10,0)</f>
        <v>#N/A</v>
      </c>
      <c r="M696" s="42" t="e">
        <f>VLOOKUP(F696,Input!C:M,11,0)</f>
        <v>#N/A</v>
      </c>
      <c r="N696" s="43" t="str">
        <f t="shared" si="10"/>
        <v>695,695,**</v>
      </c>
      <c r="O696" s="42">
        <v>695</v>
      </c>
    </row>
    <row r="697" spans="1:15" ht="14.25">
      <c r="A697" s="13" t="str">
        <f>IFERROR(VLOOKUP($F:$F,scan!$A:$B,2,0),"**")</f>
        <v>**</v>
      </c>
      <c r="B697" s="13" t="str">
        <f>IFERROR(VLOOKUP($F697,scan!A:C,3,0),"**")</f>
        <v>**</v>
      </c>
      <c r="C697" s="42">
        <v>696</v>
      </c>
      <c r="D697" s="42" t="s">
        <v>4936</v>
      </c>
      <c r="E697" s="42" t="s">
        <v>4937</v>
      </c>
      <c r="H697" s="42" t="s">
        <v>4936</v>
      </c>
      <c r="I697" s="42" t="s">
        <v>4938</v>
      </c>
      <c r="J697" s="42" t="s">
        <v>4939</v>
      </c>
      <c r="K697" s="42" t="e">
        <f>VLOOKUP(F697,Input!C:M,9,0)</f>
        <v>#N/A</v>
      </c>
      <c r="L697" s="42" t="e">
        <f>VLOOKUP(F697,Input!C:M,10,0)</f>
        <v>#N/A</v>
      </c>
      <c r="M697" s="42" t="e">
        <f>VLOOKUP(F697,Input!C:M,11,0)</f>
        <v>#N/A</v>
      </c>
      <c r="N697" s="43" t="str">
        <f t="shared" si="10"/>
        <v>696,696,**</v>
      </c>
      <c r="O697" s="42">
        <v>696</v>
      </c>
    </row>
    <row r="698" spans="1:15" ht="14.25">
      <c r="A698" s="13" t="str">
        <f>IFERROR(VLOOKUP($F:$F,scan!$A:$B,2,0),"**")</f>
        <v>**</v>
      </c>
      <c r="B698" s="13" t="str">
        <f>IFERROR(VLOOKUP($F698,scan!A:C,3,0),"**")</f>
        <v>**</v>
      </c>
      <c r="C698" s="42">
        <v>697</v>
      </c>
      <c r="D698" s="42" t="s">
        <v>4936</v>
      </c>
      <c r="E698" s="42" t="s">
        <v>4937</v>
      </c>
      <c r="H698" s="42" t="s">
        <v>4936</v>
      </c>
      <c r="I698" s="42" t="s">
        <v>4938</v>
      </c>
      <c r="J698" s="42" t="s">
        <v>4939</v>
      </c>
      <c r="K698" s="42" t="e">
        <f>VLOOKUP(F698,Input!C:M,9,0)</f>
        <v>#N/A</v>
      </c>
      <c r="L698" s="42" t="e">
        <f>VLOOKUP(F698,Input!C:M,10,0)</f>
        <v>#N/A</v>
      </c>
      <c r="M698" s="42" t="e">
        <f>VLOOKUP(F698,Input!C:M,11,0)</f>
        <v>#N/A</v>
      </c>
      <c r="N698" s="43" t="str">
        <f t="shared" si="10"/>
        <v>697,697,**</v>
      </c>
      <c r="O698" s="42">
        <v>697</v>
      </c>
    </row>
    <row r="699" spans="1:15" ht="14.25">
      <c r="A699" s="13" t="str">
        <f>IFERROR(VLOOKUP($F:$F,scan!$A:$B,2,0),"**")</f>
        <v>**</v>
      </c>
      <c r="B699" s="13" t="str">
        <f>IFERROR(VLOOKUP($F699,scan!A:C,3,0),"**")</f>
        <v>**</v>
      </c>
      <c r="C699" s="42">
        <v>698</v>
      </c>
      <c r="D699" s="42" t="s">
        <v>4936</v>
      </c>
      <c r="E699" s="42" t="s">
        <v>4937</v>
      </c>
      <c r="H699" s="42" t="s">
        <v>4936</v>
      </c>
      <c r="I699" s="42" t="s">
        <v>4938</v>
      </c>
      <c r="J699" s="42" t="s">
        <v>4939</v>
      </c>
      <c r="K699" s="42" t="e">
        <f>VLOOKUP(F699,Input!C:M,9,0)</f>
        <v>#N/A</v>
      </c>
      <c r="L699" s="42" t="e">
        <f>VLOOKUP(F699,Input!C:M,10,0)</f>
        <v>#N/A</v>
      </c>
      <c r="M699" s="42" t="e">
        <f>VLOOKUP(F699,Input!C:M,11,0)</f>
        <v>#N/A</v>
      </c>
      <c r="N699" s="43" t="str">
        <f t="shared" si="10"/>
        <v>698,698,**</v>
      </c>
      <c r="O699" s="42">
        <v>698</v>
      </c>
    </row>
    <row r="700" spans="1:15" ht="14.25">
      <c r="A700" s="13" t="str">
        <f>IFERROR(VLOOKUP($F:$F,scan!$A:$B,2,0),"**")</f>
        <v>**</v>
      </c>
      <c r="B700" s="13" t="str">
        <f>IFERROR(VLOOKUP($F700,scan!A:C,3,0),"**")</f>
        <v>**</v>
      </c>
      <c r="C700" s="42">
        <v>699</v>
      </c>
      <c r="D700" s="42" t="s">
        <v>4936</v>
      </c>
      <c r="E700" s="42" t="s">
        <v>4937</v>
      </c>
      <c r="H700" s="42" t="s">
        <v>4936</v>
      </c>
      <c r="I700" s="42" t="s">
        <v>4938</v>
      </c>
      <c r="J700" s="42" t="s">
        <v>4939</v>
      </c>
      <c r="K700" s="42" t="e">
        <f>VLOOKUP(F700,Input!C:M,9,0)</f>
        <v>#N/A</v>
      </c>
      <c r="L700" s="42" t="e">
        <f>VLOOKUP(F700,Input!C:M,10,0)</f>
        <v>#N/A</v>
      </c>
      <c r="M700" s="42" t="e">
        <f>VLOOKUP(F700,Input!C:M,11,0)</f>
        <v>#N/A</v>
      </c>
      <c r="N700" s="43" t="str">
        <f t="shared" si="10"/>
        <v>699,699,**</v>
      </c>
      <c r="O700" s="42">
        <v>699</v>
      </c>
    </row>
    <row r="701" spans="1:15" ht="14.25">
      <c r="A701" s="13" t="str">
        <f>IFERROR(VLOOKUP($F:$F,scan!$A:$B,2,0),"**")</f>
        <v>**</v>
      </c>
      <c r="B701" s="13" t="str">
        <f>IFERROR(VLOOKUP($F701,scan!A:C,3,0),"**")</f>
        <v>**</v>
      </c>
      <c r="C701" s="42">
        <v>700</v>
      </c>
      <c r="D701" s="42" t="s">
        <v>4936</v>
      </c>
      <c r="E701" s="42" t="s">
        <v>4937</v>
      </c>
      <c r="H701" s="42" t="s">
        <v>4936</v>
      </c>
      <c r="I701" s="42" t="s">
        <v>4938</v>
      </c>
      <c r="J701" s="42" t="s">
        <v>4939</v>
      </c>
      <c r="K701" s="42" t="e">
        <f>VLOOKUP(F701,Input!C:M,9,0)</f>
        <v>#N/A</v>
      </c>
      <c r="L701" s="42" t="e">
        <f>VLOOKUP(F701,Input!C:M,10,0)</f>
        <v>#N/A</v>
      </c>
      <c r="M701" s="42" t="e">
        <f>VLOOKUP(F701,Input!C:M,11,0)</f>
        <v>#N/A</v>
      </c>
      <c r="N701" s="43" t="str">
        <f t="shared" si="10"/>
        <v>700,700,**</v>
      </c>
      <c r="O701" s="42">
        <v>700</v>
      </c>
    </row>
    <row r="702" spans="1:15" ht="14.25">
      <c r="A702" s="13" t="str">
        <f>IFERROR(VLOOKUP($F:$F,scan!$A:$B,2,0),"**")</f>
        <v>**</v>
      </c>
      <c r="B702" s="13" t="str">
        <f>IFERROR(VLOOKUP($F702,scan!A:C,3,0),"**")</f>
        <v>**</v>
      </c>
      <c r="C702" s="42">
        <v>701</v>
      </c>
      <c r="D702" s="42" t="s">
        <v>4936</v>
      </c>
      <c r="E702" s="42" t="s">
        <v>4937</v>
      </c>
      <c r="H702" s="42" t="s">
        <v>4936</v>
      </c>
      <c r="I702" s="42" t="s">
        <v>4938</v>
      </c>
      <c r="J702" s="42" t="s">
        <v>4939</v>
      </c>
      <c r="K702" s="42" t="e">
        <f>VLOOKUP(F702,Input!C:M,9,0)</f>
        <v>#N/A</v>
      </c>
      <c r="L702" s="42" t="e">
        <f>VLOOKUP(F702,Input!C:M,10,0)</f>
        <v>#N/A</v>
      </c>
      <c r="M702" s="42" t="e">
        <f>VLOOKUP(F702,Input!C:M,11,0)</f>
        <v>#N/A</v>
      </c>
      <c r="N702" s="43" t="str">
        <f t="shared" si="10"/>
        <v>701,701,**</v>
      </c>
      <c r="O702" s="42">
        <v>701</v>
      </c>
    </row>
    <row r="703" spans="1:15" ht="14.25">
      <c r="A703" s="13" t="str">
        <f>IFERROR(VLOOKUP($F:$F,scan!$A:$B,2,0),"**")</f>
        <v>**</v>
      </c>
      <c r="B703" s="13" t="str">
        <f>IFERROR(VLOOKUP($F703,scan!A:C,3,0),"**")</f>
        <v>**</v>
      </c>
      <c r="C703" s="42">
        <v>702</v>
      </c>
      <c r="D703" s="42" t="s">
        <v>4936</v>
      </c>
      <c r="E703" s="42" t="s">
        <v>4937</v>
      </c>
      <c r="H703" s="42" t="s">
        <v>4936</v>
      </c>
      <c r="I703" s="42" t="s">
        <v>4938</v>
      </c>
      <c r="J703" s="42" t="s">
        <v>4939</v>
      </c>
      <c r="K703" s="42" t="e">
        <f>VLOOKUP(F703,Input!C:M,9,0)</f>
        <v>#N/A</v>
      </c>
      <c r="L703" s="42" t="e">
        <f>VLOOKUP(F703,Input!C:M,10,0)</f>
        <v>#N/A</v>
      </c>
      <c r="M703" s="42" t="e">
        <f>VLOOKUP(F703,Input!C:M,11,0)</f>
        <v>#N/A</v>
      </c>
      <c r="N703" s="43" t="str">
        <f t="shared" si="10"/>
        <v>702,702,**</v>
      </c>
      <c r="O703" s="42">
        <v>702</v>
      </c>
    </row>
    <row r="704" spans="1:15" ht="14.25">
      <c r="A704" s="13" t="str">
        <f>IFERROR(VLOOKUP($F:$F,scan!$A:$B,2,0),"**")</f>
        <v>**</v>
      </c>
      <c r="B704" s="13" t="str">
        <f>IFERROR(VLOOKUP($F704,scan!A:C,3,0),"**")</f>
        <v>**</v>
      </c>
      <c r="C704" s="42">
        <v>703</v>
      </c>
      <c r="D704" s="42" t="s">
        <v>4936</v>
      </c>
      <c r="E704" s="42" t="s">
        <v>4937</v>
      </c>
      <c r="H704" s="42" t="s">
        <v>4936</v>
      </c>
      <c r="I704" s="42" t="s">
        <v>4938</v>
      </c>
      <c r="J704" s="42" t="s">
        <v>4939</v>
      </c>
      <c r="K704" s="42" t="e">
        <f>VLOOKUP(F704,Input!C:M,9,0)</f>
        <v>#N/A</v>
      </c>
      <c r="L704" s="42" t="e">
        <f>VLOOKUP(F704,Input!C:M,10,0)</f>
        <v>#N/A</v>
      </c>
      <c r="M704" s="42" t="e">
        <f>VLOOKUP(F704,Input!C:M,11,0)</f>
        <v>#N/A</v>
      </c>
      <c r="N704" s="43" t="str">
        <f t="shared" si="10"/>
        <v>703,703,**</v>
      </c>
      <c r="O704" s="42">
        <v>703</v>
      </c>
    </row>
    <row r="705" spans="1:15" ht="14.25">
      <c r="A705" s="13" t="str">
        <f>IFERROR(VLOOKUP($F:$F,scan!$A:$B,2,0),"**")</f>
        <v>**</v>
      </c>
      <c r="B705" s="13" t="str">
        <f>IFERROR(VLOOKUP($F705,scan!A:C,3,0),"**")</f>
        <v>**</v>
      </c>
      <c r="C705" s="42">
        <v>704</v>
      </c>
      <c r="D705" s="42" t="s">
        <v>4936</v>
      </c>
      <c r="E705" s="42" t="s">
        <v>4937</v>
      </c>
      <c r="H705" s="42" t="s">
        <v>4936</v>
      </c>
      <c r="I705" s="42" t="s">
        <v>4938</v>
      </c>
      <c r="J705" s="42" t="s">
        <v>4939</v>
      </c>
      <c r="K705" s="42" t="e">
        <f>VLOOKUP(F705,Input!C:M,9,0)</f>
        <v>#N/A</v>
      </c>
      <c r="L705" s="42" t="e">
        <f>VLOOKUP(F705,Input!C:M,10,0)</f>
        <v>#N/A</v>
      </c>
      <c r="M705" s="42" t="e">
        <f>VLOOKUP(F705,Input!C:M,11,0)</f>
        <v>#N/A</v>
      </c>
      <c r="N705" s="43" t="str">
        <f t="shared" si="10"/>
        <v>704,704,**</v>
      </c>
      <c r="O705" s="42">
        <v>704</v>
      </c>
    </row>
    <row r="706" spans="1:15" ht="14.25">
      <c r="A706" s="13" t="str">
        <f>IFERROR(VLOOKUP($F:$F,scan!$A:$B,2,0),"**")</f>
        <v>**</v>
      </c>
      <c r="B706" s="13" t="str">
        <f>IFERROR(VLOOKUP($F706,scan!A:C,3,0),"**")</f>
        <v>**</v>
      </c>
      <c r="C706" s="42">
        <v>705</v>
      </c>
      <c r="D706" s="42" t="s">
        <v>4936</v>
      </c>
      <c r="E706" s="42" t="s">
        <v>4937</v>
      </c>
      <c r="H706" s="42" t="s">
        <v>4936</v>
      </c>
      <c r="I706" s="42" t="s">
        <v>4938</v>
      </c>
      <c r="J706" s="42" t="s">
        <v>4939</v>
      </c>
      <c r="K706" s="42" t="e">
        <f>VLOOKUP(F706,Input!C:M,9,0)</f>
        <v>#N/A</v>
      </c>
      <c r="L706" s="42" t="e">
        <f>VLOOKUP(F706,Input!C:M,10,0)</f>
        <v>#N/A</v>
      </c>
      <c r="M706" s="42" t="e">
        <f>VLOOKUP(F706,Input!C:M,11,0)</f>
        <v>#N/A</v>
      </c>
      <c r="N706" s="43" t="str">
        <f t="shared" si="10"/>
        <v>705,705,**</v>
      </c>
      <c r="O706" s="42">
        <v>705</v>
      </c>
    </row>
    <row r="707" spans="1:15" ht="14.25">
      <c r="A707" s="13" t="str">
        <f>IFERROR(VLOOKUP($F:$F,scan!$A:$B,2,0),"**")</f>
        <v>**</v>
      </c>
      <c r="B707" s="13" t="str">
        <f>IFERROR(VLOOKUP($F707,scan!A:C,3,0),"**")</f>
        <v>**</v>
      </c>
      <c r="C707" s="42">
        <v>706</v>
      </c>
      <c r="D707" s="42" t="s">
        <v>4936</v>
      </c>
      <c r="E707" s="42" t="s">
        <v>4937</v>
      </c>
      <c r="H707" s="42" t="s">
        <v>4936</v>
      </c>
      <c r="I707" s="42" t="s">
        <v>4938</v>
      </c>
      <c r="J707" s="42" t="s">
        <v>4939</v>
      </c>
      <c r="K707" s="42" t="e">
        <f>VLOOKUP(F707,Input!C:M,9,0)</f>
        <v>#N/A</v>
      </c>
      <c r="L707" s="42" t="e">
        <f>VLOOKUP(F707,Input!C:M,10,0)</f>
        <v>#N/A</v>
      </c>
      <c r="M707" s="42" t="e">
        <f>VLOOKUP(F707,Input!C:M,11,0)</f>
        <v>#N/A</v>
      </c>
      <c r="N707" s="43" t="str">
        <f t="shared" ref="N707:N770" si="11">O707&amp;","&amp;C707&amp;","&amp;B707</f>
        <v>706,706,**</v>
      </c>
      <c r="O707" s="42">
        <v>706</v>
      </c>
    </row>
    <row r="708" spans="1:15" ht="14.25">
      <c r="A708" s="13" t="str">
        <f>IFERROR(VLOOKUP($F:$F,scan!$A:$B,2,0),"**")</f>
        <v>**</v>
      </c>
      <c r="B708" s="13" t="str">
        <f>IFERROR(VLOOKUP($F708,scan!A:C,3,0),"**")</f>
        <v>**</v>
      </c>
      <c r="C708" s="42">
        <v>707</v>
      </c>
      <c r="D708" s="42" t="s">
        <v>4936</v>
      </c>
      <c r="E708" s="42" t="s">
        <v>4937</v>
      </c>
      <c r="H708" s="42" t="s">
        <v>4936</v>
      </c>
      <c r="I708" s="42" t="s">
        <v>4938</v>
      </c>
      <c r="J708" s="42" t="s">
        <v>4939</v>
      </c>
      <c r="K708" s="42" t="e">
        <f>VLOOKUP(F708,Input!C:M,9,0)</f>
        <v>#N/A</v>
      </c>
      <c r="L708" s="42" t="e">
        <f>VLOOKUP(F708,Input!C:M,10,0)</f>
        <v>#N/A</v>
      </c>
      <c r="M708" s="42" t="e">
        <f>VLOOKUP(F708,Input!C:M,11,0)</f>
        <v>#N/A</v>
      </c>
      <c r="N708" s="43" t="str">
        <f t="shared" si="11"/>
        <v>707,707,**</v>
      </c>
      <c r="O708" s="42">
        <v>707</v>
      </c>
    </row>
    <row r="709" spans="1:15" ht="14.25">
      <c r="A709" s="13" t="str">
        <f>IFERROR(VLOOKUP($F:$F,scan!$A:$B,2,0),"**")</f>
        <v>**</v>
      </c>
      <c r="B709" s="13" t="str">
        <f>IFERROR(VLOOKUP($F709,scan!A:C,3,0),"**")</f>
        <v>**</v>
      </c>
      <c r="C709" s="42">
        <v>708</v>
      </c>
      <c r="D709" s="42" t="s">
        <v>4936</v>
      </c>
      <c r="E709" s="42" t="s">
        <v>4937</v>
      </c>
      <c r="H709" s="42" t="s">
        <v>4936</v>
      </c>
      <c r="I709" s="42" t="s">
        <v>4938</v>
      </c>
      <c r="J709" s="42" t="s">
        <v>4939</v>
      </c>
      <c r="K709" s="42" t="e">
        <f>VLOOKUP(F709,Input!C:M,9,0)</f>
        <v>#N/A</v>
      </c>
      <c r="L709" s="42" t="e">
        <f>VLOOKUP(F709,Input!C:M,10,0)</f>
        <v>#N/A</v>
      </c>
      <c r="M709" s="42" t="e">
        <f>VLOOKUP(F709,Input!C:M,11,0)</f>
        <v>#N/A</v>
      </c>
      <c r="N709" s="43" t="str">
        <f t="shared" si="11"/>
        <v>708,708,**</v>
      </c>
      <c r="O709" s="42">
        <v>708</v>
      </c>
    </row>
    <row r="710" spans="1:15" ht="14.25">
      <c r="A710" s="13" t="str">
        <f>IFERROR(VLOOKUP($F:$F,scan!$A:$B,2,0),"**")</f>
        <v>**</v>
      </c>
      <c r="B710" s="13" t="str">
        <f>IFERROR(VLOOKUP($F710,scan!A:C,3,0),"**")</f>
        <v>**</v>
      </c>
      <c r="C710" s="42">
        <v>709</v>
      </c>
      <c r="D710" s="42" t="s">
        <v>4936</v>
      </c>
      <c r="E710" s="42" t="s">
        <v>4937</v>
      </c>
      <c r="H710" s="42" t="s">
        <v>4936</v>
      </c>
      <c r="I710" s="42" t="s">
        <v>4938</v>
      </c>
      <c r="J710" s="42" t="s">
        <v>4939</v>
      </c>
      <c r="K710" s="42" t="e">
        <f>VLOOKUP(F710,Input!C:M,9,0)</f>
        <v>#N/A</v>
      </c>
      <c r="L710" s="42" t="e">
        <f>VLOOKUP(F710,Input!C:M,10,0)</f>
        <v>#N/A</v>
      </c>
      <c r="M710" s="42" t="e">
        <f>VLOOKUP(F710,Input!C:M,11,0)</f>
        <v>#N/A</v>
      </c>
      <c r="N710" s="43" t="str">
        <f t="shared" si="11"/>
        <v>709,709,**</v>
      </c>
      <c r="O710" s="42">
        <v>709</v>
      </c>
    </row>
    <row r="711" spans="1:15" ht="14.25">
      <c r="A711" s="13" t="str">
        <f>IFERROR(VLOOKUP($F:$F,scan!$A:$B,2,0),"**")</f>
        <v>**</v>
      </c>
      <c r="B711" s="13" t="str">
        <f>IFERROR(VLOOKUP($F711,scan!A:C,3,0),"**")</f>
        <v>**</v>
      </c>
      <c r="C711" s="42">
        <v>710</v>
      </c>
      <c r="D711" s="42" t="s">
        <v>4936</v>
      </c>
      <c r="E711" s="42" t="s">
        <v>4937</v>
      </c>
      <c r="H711" s="42" t="s">
        <v>4936</v>
      </c>
      <c r="I711" s="42" t="s">
        <v>4938</v>
      </c>
      <c r="J711" s="42" t="s">
        <v>4939</v>
      </c>
      <c r="K711" s="42" t="e">
        <f>VLOOKUP(F711,Input!C:M,9,0)</f>
        <v>#N/A</v>
      </c>
      <c r="L711" s="42" t="e">
        <f>VLOOKUP(F711,Input!C:M,10,0)</f>
        <v>#N/A</v>
      </c>
      <c r="M711" s="42" t="e">
        <f>VLOOKUP(F711,Input!C:M,11,0)</f>
        <v>#N/A</v>
      </c>
      <c r="N711" s="43" t="str">
        <f t="shared" si="11"/>
        <v>710,710,**</v>
      </c>
      <c r="O711" s="42">
        <v>710</v>
      </c>
    </row>
    <row r="712" spans="1:15" ht="14.25">
      <c r="A712" s="13" t="str">
        <f>IFERROR(VLOOKUP($F:$F,scan!$A:$B,2,0),"**")</f>
        <v>**</v>
      </c>
      <c r="B712" s="13" t="str">
        <f>IFERROR(VLOOKUP($F712,scan!A:C,3,0),"**")</f>
        <v>**</v>
      </c>
      <c r="C712" s="42">
        <v>711</v>
      </c>
      <c r="D712" s="42" t="s">
        <v>4936</v>
      </c>
      <c r="E712" s="42" t="s">
        <v>4937</v>
      </c>
      <c r="H712" s="42" t="s">
        <v>4936</v>
      </c>
      <c r="I712" s="42" t="s">
        <v>4938</v>
      </c>
      <c r="J712" s="42" t="s">
        <v>4939</v>
      </c>
      <c r="K712" s="42" t="e">
        <f>VLOOKUP(F712,Input!C:M,9,0)</f>
        <v>#N/A</v>
      </c>
      <c r="L712" s="42" t="e">
        <f>VLOOKUP(F712,Input!C:M,10,0)</f>
        <v>#N/A</v>
      </c>
      <c r="M712" s="42" t="e">
        <f>VLOOKUP(F712,Input!C:M,11,0)</f>
        <v>#N/A</v>
      </c>
      <c r="N712" s="43" t="str">
        <f t="shared" si="11"/>
        <v>711,711,**</v>
      </c>
      <c r="O712" s="42">
        <v>711</v>
      </c>
    </row>
    <row r="713" spans="1:15" ht="14.25">
      <c r="A713" s="13" t="str">
        <f>IFERROR(VLOOKUP($F:$F,scan!$A:$B,2,0),"**")</f>
        <v>**</v>
      </c>
      <c r="B713" s="13" t="str">
        <f>IFERROR(VLOOKUP($F713,scan!A:C,3,0),"**")</f>
        <v>**</v>
      </c>
      <c r="C713" s="42">
        <v>712</v>
      </c>
      <c r="D713" s="42" t="s">
        <v>4936</v>
      </c>
      <c r="E713" s="42" t="s">
        <v>4937</v>
      </c>
      <c r="H713" s="42" t="s">
        <v>4936</v>
      </c>
      <c r="I713" s="42" t="s">
        <v>4938</v>
      </c>
      <c r="J713" s="42" t="s">
        <v>4939</v>
      </c>
      <c r="K713" s="42" t="e">
        <f>VLOOKUP(F713,Input!C:M,9,0)</f>
        <v>#N/A</v>
      </c>
      <c r="L713" s="42" t="e">
        <f>VLOOKUP(F713,Input!C:M,10,0)</f>
        <v>#N/A</v>
      </c>
      <c r="M713" s="42" t="e">
        <f>VLOOKUP(F713,Input!C:M,11,0)</f>
        <v>#N/A</v>
      </c>
      <c r="N713" s="43" t="str">
        <f t="shared" si="11"/>
        <v>712,712,**</v>
      </c>
      <c r="O713" s="42">
        <v>712</v>
      </c>
    </row>
    <row r="714" spans="1:15" ht="14.25">
      <c r="A714" s="13" t="str">
        <f>IFERROR(VLOOKUP($F:$F,scan!$A:$B,2,0),"**")</f>
        <v>**</v>
      </c>
      <c r="B714" s="13" t="str">
        <f>IFERROR(VLOOKUP($F714,scan!A:C,3,0),"**")</f>
        <v>**</v>
      </c>
      <c r="C714" s="42">
        <v>713</v>
      </c>
      <c r="D714" s="42" t="s">
        <v>4936</v>
      </c>
      <c r="E714" s="42" t="s">
        <v>4937</v>
      </c>
      <c r="H714" s="42" t="s">
        <v>4936</v>
      </c>
      <c r="I714" s="42" t="s">
        <v>4938</v>
      </c>
      <c r="J714" s="42" t="s">
        <v>4939</v>
      </c>
      <c r="K714" s="42" t="e">
        <f>VLOOKUP(F714,Input!C:M,9,0)</f>
        <v>#N/A</v>
      </c>
      <c r="L714" s="42" t="e">
        <f>VLOOKUP(F714,Input!C:M,10,0)</f>
        <v>#N/A</v>
      </c>
      <c r="M714" s="42" t="e">
        <f>VLOOKUP(F714,Input!C:M,11,0)</f>
        <v>#N/A</v>
      </c>
      <c r="N714" s="43" t="str">
        <f t="shared" si="11"/>
        <v>713,713,**</v>
      </c>
      <c r="O714" s="42">
        <v>713</v>
      </c>
    </row>
    <row r="715" spans="1:15" ht="14.25">
      <c r="A715" s="13" t="str">
        <f>IFERROR(VLOOKUP($F:$F,scan!$A:$B,2,0),"**")</f>
        <v>**</v>
      </c>
      <c r="B715" s="13" t="str">
        <f>IFERROR(VLOOKUP($F715,scan!A:C,3,0),"**")</f>
        <v>**</v>
      </c>
      <c r="C715" s="42">
        <v>714</v>
      </c>
      <c r="D715" s="42" t="s">
        <v>4936</v>
      </c>
      <c r="E715" s="42" t="s">
        <v>4937</v>
      </c>
      <c r="H715" s="42" t="s">
        <v>4936</v>
      </c>
      <c r="I715" s="42" t="s">
        <v>4938</v>
      </c>
      <c r="J715" s="42" t="s">
        <v>4939</v>
      </c>
      <c r="K715" s="42" t="e">
        <f>VLOOKUP(F715,Input!C:M,9,0)</f>
        <v>#N/A</v>
      </c>
      <c r="L715" s="42" t="e">
        <f>VLOOKUP(F715,Input!C:M,10,0)</f>
        <v>#N/A</v>
      </c>
      <c r="M715" s="42" t="e">
        <f>VLOOKUP(F715,Input!C:M,11,0)</f>
        <v>#N/A</v>
      </c>
      <c r="N715" s="43" t="str">
        <f t="shared" si="11"/>
        <v>714,714,**</v>
      </c>
      <c r="O715" s="42">
        <v>714</v>
      </c>
    </row>
    <row r="716" spans="1:15" ht="14.25">
      <c r="A716" s="13" t="str">
        <f>IFERROR(VLOOKUP($F:$F,scan!$A:$B,2,0),"**")</f>
        <v>**</v>
      </c>
      <c r="B716" s="13" t="str">
        <f>IFERROR(VLOOKUP($F716,scan!A:C,3,0),"**")</f>
        <v>**</v>
      </c>
      <c r="C716" s="42">
        <v>715</v>
      </c>
      <c r="D716" s="42" t="s">
        <v>4936</v>
      </c>
      <c r="E716" s="42" t="s">
        <v>4937</v>
      </c>
      <c r="H716" s="42" t="s">
        <v>4936</v>
      </c>
      <c r="I716" s="42" t="s">
        <v>4938</v>
      </c>
      <c r="J716" s="42" t="s">
        <v>4939</v>
      </c>
      <c r="K716" s="42" t="e">
        <f>VLOOKUP(F716,Input!C:M,9,0)</f>
        <v>#N/A</v>
      </c>
      <c r="L716" s="42" t="e">
        <f>VLOOKUP(F716,Input!C:M,10,0)</f>
        <v>#N/A</v>
      </c>
      <c r="M716" s="42" t="e">
        <f>VLOOKUP(F716,Input!C:M,11,0)</f>
        <v>#N/A</v>
      </c>
      <c r="N716" s="43" t="str">
        <f t="shared" si="11"/>
        <v>715,715,**</v>
      </c>
      <c r="O716" s="42">
        <v>715</v>
      </c>
    </row>
    <row r="717" spans="1:15" ht="14.25">
      <c r="A717" s="13" t="str">
        <f>IFERROR(VLOOKUP($F:$F,scan!$A:$B,2,0),"**")</f>
        <v>**</v>
      </c>
      <c r="B717" s="13" t="str">
        <f>IFERROR(VLOOKUP($F717,scan!A:C,3,0),"**")</f>
        <v>**</v>
      </c>
      <c r="C717" s="42">
        <v>716</v>
      </c>
      <c r="D717" s="42" t="s">
        <v>4936</v>
      </c>
      <c r="E717" s="42" t="s">
        <v>4937</v>
      </c>
      <c r="H717" s="42" t="s">
        <v>4936</v>
      </c>
      <c r="I717" s="42" t="s">
        <v>4938</v>
      </c>
      <c r="J717" s="42" t="s">
        <v>4939</v>
      </c>
      <c r="K717" s="42" t="e">
        <f>VLOOKUP(F717,Input!C:M,9,0)</f>
        <v>#N/A</v>
      </c>
      <c r="L717" s="42" t="e">
        <f>VLOOKUP(F717,Input!C:M,10,0)</f>
        <v>#N/A</v>
      </c>
      <c r="M717" s="42" t="e">
        <f>VLOOKUP(F717,Input!C:M,11,0)</f>
        <v>#N/A</v>
      </c>
      <c r="N717" s="43" t="str">
        <f t="shared" si="11"/>
        <v>716,716,**</v>
      </c>
      <c r="O717" s="42">
        <v>716</v>
      </c>
    </row>
    <row r="718" spans="1:15" ht="14.25">
      <c r="A718" s="13" t="str">
        <f>IFERROR(VLOOKUP($F:$F,scan!$A:$B,2,0),"**")</f>
        <v>**</v>
      </c>
      <c r="B718" s="13" t="str">
        <f>IFERROR(VLOOKUP($F718,scan!A:C,3,0),"**")</f>
        <v>**</v>
      </c>
      <c r="C718" s="42">
        <v>717</v>
      </c>
      <c r="D718" s="42" t="s">
        <v>4936</v>
      </c>
      <c r="E718" s="42" t="s">
        <v>4937</v>
      </c>
      <c r="H718" s="42" t="s">
        <v>4936</v>
      </c>
      <c r="I718" s="42" t="s">
        <v>4938</v>
      </c>
      <c r="J718" s="42" t="s">
        <v>4939</v>
      </c>
      <c r="K718" s="42" t="e">
        <f>VLOOKUP(F718,Input!C:M,9,0)</f>
        <v>#N/A</v>
      </c>
      <c r="L718" s="42" t="e">
        <f>VLOOKUP(F718,Input!C:M,10,0)</f>
        <v>#N/A</v>
      </c>
      <c r="M718" s="42" t="e">
        <f>VLOOKUP(F718,Input!C:M,11,0)</f>
        <v>#N/A</v>
      </c>
      <c r="N718" s="43" t="str">
        <f t="shared" si="11"/>
        <v>717,717,**</v>
      </c>
      <c r="O718" s="42">
        <v>717</v>
      </c>
    </row>
    <row r="719" spans="1:15" ht="14.25">
      <c r="A719" s="13" t="str">
        <f>IFERROR(VLOOKUP($F:$F,scan!$A:$B,2,0),"**")</f>
        <v>**</v>
      </c>
      <c r="B719" s="13" t="str">
        <f>IFERROR(VLOOKUP($F719,scan!A:C,3,0),"**")</f>
        <v>**</v>
      </c>
      <c r="C719" s="42">
        <v>718</v>
      </c>
      <c r="D719" s="42" t="s">
        <v>4936</v>
      </c>
      <c r="E719" s="42" t="s">
        <v>4937</v>
      </c>
      <c r="H719" s="42" t="s">
        <v>4936</v>
      </c>
      <c r="I719" s="42" t="s">
        <v>4938</v>
      </c>
      <c r="J719" s="42" t="s">
        <v>4939</v>
      </c>
      <c r="K719" s="42" t="e">
        <f>VLOOKUP(F719,Input!C:M,9,0)</f>
        <v>#N/A</v>
      </c>
      <c r="L719" s="42" t="e">
        <f>VLOOKUP(F719,Input!C:M,10,0)</f>
        <v>#N/A</v>
      </c>
      <c r="M719" s="42" t="e">
        <f>VLOOKUP(F719,Input!C:M,11,0)</f>
        <v>#N/A</v>
      </c>
      <c r="N719" s="43" t="str">
        <f t="shared" si="11"/>
        <v>718,718,**</v>
      </c>
      <c r="O719" s="42">
        <v>718</v>
      </c>
    </row>
    <row r="720" spans="1:15" ht="14.25">
      <c r="A720" s="13" t="str">
        <f>IFERROR(VLOOKUP($F:$F,scan!$A:$B,2,0),"**")</f>
        <v>**</v>
      </c>
      <c r="B720" s="13" t="str">
        <f>IFERROR(VLOOKUP($F720,scan!A:C,3,0),"**")</f>
        <v>**</v>
      </c>
      <c r="C720" s="42">
        <v>719</v>
      </c>
      <c r="D720" s="42" t="s">
        <v>4936</v>
      </c>
      <c r="E720" s="42" t="s">
        <v>4937</v>
      </c>
      <c r="H720" s="42" t="s">
        <v>4936</v>
      </c>
      <c r="I720" s="42" t="s">
        <v>4938</v>
      </c>
      <c r="J720" s="42" t="s">
        <v>4939</v>
      </c>
      <c r="K720" s="42" t="e">
        <f>VLOOKUP(F720,Input!C:M,9,0)</f>
        <v>#N/A</v>
      </c>
      <c r="L720" s="42" t="e">
        <f>VLOOKUP(F720,Input!C:M,10,0)</f>
        <v>#N/A</v>
      </c>
      <c r="M720" s="42" t="e">
        <f>VLOOKUP(F720,Input!C:M,11,0)</f>
        <v>#N/A</v>
      </c>
      <c r="N720" s="43" t="str">
        <f t="shared" si="11"/>
        <v>719,719,**</v>
      </c>
      <c r="O720" s="42">
        <v>719</v>
      </c>
    </row>
    <row r="721" spans="1:15" ht="14.25">
      <c r="A721" s="13" t="str">
        <f>IFERROR(VLOOKUP($F:$F,scan!$A:$B,2,0),"**")</f>
        <v>**</v>
      </c>
      <c r="B721" s="13" t="str">
        <f>IFERROR(VLOOKUP($F721,scan!A:C,3,0),"**")</f>
        <v>**</v>
      </c>
      <c r="C721" s="42">
        <v>720</v>
      </c>
      <c r="D721" s="42" t="s">
        <v>4936</v>
      </c>
      <c r="E721" s="42" t="s">
        <v>4937</v>
      </c>
      <c r="H721" s="42" t="s">
        <v>4936</v>
      </c>
      <c r="I721" s="42" t="s">
        <v>4938</v>
      </c>
      <c r="J721" s="42" t="s">
        <v>4939</v>
      </c>
      <c r="K721" s="42" t="e">
        <f>VLOOKUP(F721,Input!C:M,9,0)</f>
        <v>#N/A</v>
      </c>
      <c r="L721" s="42" t="e">
        <f>VLOOKUP(F721,Input!C:M,10,0)</f>
        <v>#N/A</v>
      </c>
      <c r="M721" s="42" t="e">
        <f>VLOOKUP(F721,Input!C:M,11,0)</f>
        <v>#N/A</v>
      </c>
      <c r="N721" s="43" t="str">
        <f t="shared" si="11"/>
        <v>720,720,**</v>
      </c>
      <c r="O721" s="42">
        <v>720</v>
      </c>
    </row>
    <row r="722" spans="1:15" ht="14.25">
      <c r="A722" s="13" t="str">
        <f>IFERROR(VLOOKUP($F:$F,scan!$A:$B,2,0),"**")</f>
        <v>**</v>
      </c>
      <c r="B722" s="13" t="str">
        <f>IFERROR(VLOOKUP($F722,scan!A:C,3,0),"**")</f>
        <v>**</v>
      </c>
      <c r="C722" s="42">
        <v>721</v>
      </c>
      <c r="D722" s="42" t="s">
        <v>4936</v>
      </c>
      <c r="E722" s="42" t="s">
        <v>4937</v>
      </c>
      <c r="H722" s="42" t="s">
        <v>4936</v>
      </c>
      <c r="I722" s="42" t="s">
        <v>4938</v>
      </c>
      <c r="J722" s="42" t="s">
        <v>4939</v>
      </c>
      <c r="K722" s="42" t="e">
        <f>VLOOKUP(F722,Input!C:M,9,0)</f>
        <v>#N/A</v>
      </c>
      <c r="L722" s="42" t="e">
        <f>VLOOKUP(F722,Input!C:M,10,0)</f>
        <v>#N/A</v>
      </c>
      <c r="M722" s="42" t="e">
        <f>VLOOKUP(F722,Input!C:M,11,0)</f>
        <v>#N/A</v>
      </c>
      <c r="N722" s="43" t="str">
        <f t="shared" si="11"/>
        <v>721,721,**</v>
      </c>
      <c r="O722" s="42">
        <v>721</v>
      </c>
    </row>
    <row r="723" spans="1:15" ht="14.25">
      <c r="A723" s="13" t="str">
        <f>IFERROR(VLOOKUP($F:$F,scan!$A:$B,2,0),"**")</f>
        <v>**</v>
      </c>
      <c r="B723" s="13" t="str">
        <f>IFERROR(VLOOKUP($F723,scan!A:C,3,0),"**")</f>
        <v>**</v>
      </c>
      <c r="C723" s="42">
        <v>722</v>
      </c>
      <c r="D723" s="42" t="s">
        <v>4936</v>
      </c>
      <c r="E723" s="42" t="s">
        <v>4937</v>
      </c>
      <c r="H723" s="42" t="s">
        <v>4936</v>
      </c>
      <c r="I723" s="42" t="s">
        <v>4938</v>
      </c>
      <c r="J723" s="42" t="s">
        <v>4939</v>
      </c>
      <c r="K723" s="42" t="e">
        <f>VLOOKUP(F723,Input!C:M,9,0)</f>
        <v>#N/A</v>
      </c>
      <c r="L723" s="42" t="e">
        <f>VLOOKUP(F723,Input!C:M,10,0)</f>
        <v>#N/A</v>
      </c>
      <c r="M723" s="42" t="e">
        <f>VLOOKUP(F723,Input!C:M,11,0)</f>
        <v>#N/A</v>
      </c>
      <c r="N723" s="43" t="str">
        <f t="shared" si="11"/>
        <v>722,722,**</v>
      </c>
      <c r="O723" s="42">
        <v>722</v>
      </c>
    </row>
    <row r="724" spans="1:15" ht="14.25">
      <c r="A724" s="13" t="str">
        <f>IFERROR(VLOOKUP($F:$F,scan!$A:$B,2,0),"**")</f>
        <v>**</v>
      </c>
      <c r="B724" s="13" t="str">
        <f>IFERROR(VLOOKUP($F724,scan!A:C,3,0),"**")</f>
        <v>**</v>
      </c>
      <c r="C724" s="42">
        <v>723</v>
      </c>
      <c r="D724" s="42" t="s">
        <v>4936</v>
      </c>
      <c r="E724" s="42" t="s">
        <v>4937</v>
      </c>
      <c r="H724" s="42" t="s">
        <v>4936</v>
      </c>
      <c r="I724" s="42" t="s">
        <v>4938</v>
      </c>
      <c r="J724" s="42" t="s">
        <v>4939</v>
      </c>
      <c r="K724" s="42" t="e">
        <f>VLOOKUP(F724,Input!C:M,9,0)</f>
        <v>#N/A</v>
      </c>
      <c r="L724" s="42" t="e">
        <f>VLOOKUP(F724,Input!C:M,10,0)</f>
        <v>#N/A</v>
      </c>
      <c r="M724" s="42" t="e">
        <f>VLOOKUP(F724,Input!C:M,11,0)</f>
        <v>#N/A</v>
      </c>
      <c r="N724" s="43" t="str">
        <f t="shared" si="11"/>
        <v>723,723,**</v>
      </c>
      <c r="O724" s="42">
        <v>723</v>
      </c>
    </row>
    <row r="725" spans="1:15" ht="14.25">
      <c r="A725" s="13" t="str">
        <f>IFERROR(VLOOKUP($F:$F,scan!$A:$B,2,0),"**")</f>
        <v>**</v>
      </c>
      <c r="B725" s="13" t="str">
        <f>IFERROR(VLOOKUP($F725,scan!A:C,3,0),"**")</f>
        <v>**</v>
      </c>
      <c r="C725" s="42">
        <v>724</v>
      </c>
      <c r="D725" s="42" t="s">
        <v>4936</v>
      </c>
      <c r="E725" s="42" t="s">
        <v>4937</v>
      </c>
      <c r="H725" s="42" t="s">
        <v>4936</v>
      </c>
      <c r="I725" s="42" t="s">
        <v>4938</v>
      </c>
      <c r="J725" s="42" t="s">
        <v>4939</v>
      </c>
      <c r="K725" s="42" t="e">
        <f>VLOOKUP(F725,Input!C:M,9,0)</f>
        <v>#N/A</v>
      </c>
      <c r="L725" s="42" t="e">
        <f>VLOOKUP(F725,Input!C:M,10,0)</f>
        <v>#N/A</v>
      </c>
      <c r="M725" s="42" t="e">
        <f>VLOOKUP(F725,Input!C:M,11,0)</f>
        <v>#N/A</v>
      </c>
      <c r="N725" s="43" t="str">
        <f t="shared" si="11"/>
        <v>724,724,**</v>
      </c>
      <c r="O725" s="42">
        <v>724</v>
      </c>
    </row>
    <row r="726" spans="1:15" ht="14.25">
      <c r="A726" s="13" t="str">
        <f>IFERROR(VLOOKUP($F:$F,scan!$A:$B,2,0),"**")</f>
        <v>**</v>
      </c>
      <c r="B726" s="13" t="str">
        <f>IFERROR(VLOOKUP($F726,scan!A:C,3,0),"**")</f>
        <v>**</v>
      </c>
      <c r="C726" s="42">
        <v>725</v>
      </c>
      <c r="D726" s="42" t="s">
        <v>4936</v>
      </c>
      <c r="E726" s="42" t="s">
        <v>4937</v>
      </c>
      <c r="H726" s="42" t="s">
        <v>4936</v>
      </c>
      <c r="I726" s="42" t="s">
        <v>4938</v>
      </c>
      <c r="J726" s="42" t="s">
        <v>4939</v>
      </c>
      <c r="K726" s="42" t="e">
        <f>VLOOKUP(F726,Input!C:M,9,0)</f>
        <v>#N/A</v>
      </c>
      <c r="L726" s="42" t="e">
        <f>VLOOKUP(F726,Input!C:M,10,0)</f>
        <v>#N/A</v>
      </c>
      <c r="M726" s="42" t="e">
        <f>VLOOKUP(F726,Input!C:M,11,0)</f>
        <v>#N/A</v>
      </c>
      <c r="N726" s="43" t="str">
        <f t="shared" si="11"/>
        <v>725,725,**</v>
      </c>
      <c r="O726" s="42">
        <v>725</v>
      </c>
    </row>
    <row r="727" spans="1:15" ht="14.25">
      <c r="A727" s="13" t="str">
        <f>IFERROR(VLOOKUP($F:$F,scan!$A:$B,2,0),"**")</f>
        <v>**</v>
      </c>
      <c r="B727" s="13" t="str">
        <f>IFERROR(VLOOKUP($F727,scan!A:C,3,0),"**")</f>
        <v>**</v>
      </c>
      <c r="C727" s="42">
        <v>726</v>
      </c>
      <c r="D727" s="42" t="s">
        <v>4936</v>
      </c>
      <c r="E727" s="42" t="s">
        <v>4937</v>
      </c>
      <c r="H727" s="42" t="s">
        <v>4936</v>
      </c>
      <c r="I727" s="42" t="s">
        <v>4938</v>
      </c>
      <c r="J727" s="42" t="s">
        <v>4939</v>
      </c>
      <c r="K727" s="42" t="e">
        <f>VLOOKUP(F727,Input!C:M,9,0)</f>
        <v>#N/A</v>
      </c>
      <c r="L727" s="42" t="e">
        <f>VLOOKUP(F727,Input!C:M,10,0)</f>
        <v>#N/A</v>
      </c>
      <c r="M727" s="42" t="e">
        <f>VLOOKUP(F727,Input!C:M,11,0)</f>
        <v>#N/A</v>
      </c>
      <c r="N727" s="43" t="str">
        <f t="shared" si="11"/>
        <v>726,726,**</v>
      </c>
      <c r="O727" s="42">
        <v>726</v>
      </c>
    </row>
    <row r="728" spans="1:15" ht="14.25">
      <c r="A728" s="13" t="str">
        <f>IFERROR(VLOOKUP($F:$F,scan!$A:$B,2,0),"**")</f>
        <v>**</v>
      </c>
      <c r="B728" s="13" t="str">
        <f>IFERROR(VLOOKUP($F728,scan!A:C,3,0),"**")</f>
        <v>**</v>
      </c>
      <c r="C728" s="42">
        <v>727</v>
      </c>
      <c r="D728" s="42" t="s">
        <v>4936</v>
      </c>
      <c r="E728" s="42" t="s">
        <v>4937</v>
      </c>
      <c r="H728" s="42" t="s">
        <v>4936</v>
      </c>
      <c r="I728" s="42" t="s">
        <v>4938</v>
      </c>
      <c r="J728" s="42" t="s">
        <v>4939</v>
      </c>
      <c r="K728" s="42" t="e">
        <f>VLOOKUP(F728,Input!C:M,9,0)</f>
        <v>#N/A</v>
      </c>
      <c r="L728" s="42" t="e">
        <f>VLOOKUP(F728,Input!C:M,10,0)</f>
        <v>#N/A</v>
      </c>
      <c r="M728" s="42" t="e">
        <f>VLOOKUP(F728,Input!C:M,11,0)</f>
        <v>#N/A</v>
      </c>
      <c r="N728" s="43" t="str">
        <f t="shared" si="11"/>
        <v>727,727,**</v>
      </c>
      <c r="O728" s="42">
        <v>727</v>
      </c>
    </row>
    <row r="729" spans="1:15" ht="14.25">
      <c r="A729" s="13" t="str">
        <f>IFERROR(VLOOKUP($F:$F,scan!$A:$B,2,0),"**")</f>
        <v>**</v>
      </c>
      <c r="B729" s="13" t="str">
        <f>IFERROR(VLOOKUP($F729,scan!A:C,3,0),"**")</f>
        <v>**</v>
      </c>
      <c r="C729" s="42">
        <v>728</v>
      </c>
      <c r="D729" s="42" t="s">
        <v>4936</v>
      </c>
      <c r="E729" s="42" t="s">
        <v>4937</v>
      </c>
      <c r="H729" s="42" t="s">
        <v>4936</v>
      </c>
      <c r="I729" s="42" t="s">
        <v>4938</v>
      </c>
      <c r="J729" s="42" t="s">
        <v>4939</v>
      </c>
      <c r="K729" s="42" t="e">
        <f>VLOOKUP(F729,Input!C:M,9,0)</f>
        <v>#N/A</v>
      </c>
      <c r="L729" s="42" t="e">
        <f>VLOOKUP(F729,Input!C:M,10,0)</f>
        <v>#N/A</v>
      </c>
      <c r="M729" s="42" t="e">
        <f>VLOOKUP(F729,Input!C:M,11,0)</f>
        <v>#N/A</v>
      </c>
      <c r="N729" s="43" t="str">
        <f t="shared" si="11"/>
        <v>728,728,**</v>
      </c>
      <c r="O729" s="42">
        <v>728</v>
      </c>
    </row>
    <row r="730" spans="1:15" ht="14.25">
      <c r="A730" s="13" t="str">
        <f>IFERROR(VLOOKUP($F:$F,scan!$A:$B,2,0),"**")</f>
        <v>**</v>
      </c>
      <c r="B730" s="13" t="str">
        <f>IFERROR(VLOOKUP($F730,scan!A:C,3,0),"**")</f>
        <v>**</v>
      </c>
      <c r="C730" s="42">
        <v>729</v>
      </c>
      <c r="D730" s="42" t="s">
        <v>4936</v>
      </c>
      <c r="E730" s="42" t="s">
        <v>4937</v>
      </c>
      <c r="H730" s="42" t="s">
        <v>4936</v>
      </c>
      <c r="I730" s="42" t="s">
        <v>4938</v>
      </c>
      <c r="J730" s="42" t="s">
        <v>4939</v>
      </c>
      <c r="K730" s="42" t="e">
        <f>VLOOKUP(F730,Input!C:M,9,0)</f>
        <v>#N/A</v>
      </c>
      <c r="L730" s="42" t="e">
        <f>VLOOKUP(F730,Input!C:M,10,0)</f>
        <v>#N/A</v>
      </c>
      <c r="M730" s="42" t="e">
        <f>VLOOKUP(F730,Input!C:M,11,0)</f>
        <v>#N/A</v>
      </c>
      <c r="N730" s="43" t="str">
        <f t="shared" si="11"/>
        <v>729,729,**</v>
      </c>
      <c r="O730" s="42">
        <v>729</v>
      </c>
    </row>
    <row r="731" spans="1:15" ht="14.25">
      <c r="A731" s="13" t="str">
        <f>IFERROR(VLOOKUP($F:$F,scan!$A:$B,2,0),"**")</f>
        <v>**</v>
      </c>
      <c r="B731" s="13" t="str">
        <f>IFERROR(VLOOKUP($F731,scan!A:C,3,0),"**")</f>
        <v>**</v>
      </c>
      <c r="C731" s="42">
        <v>730</v>
      </c>
      <c r="D731" s="42" t="s">
        <v>4936</v>
      </c>
      <c r="E731" s="42" t="s">
        <v>4937</v>
      </c>
      <c r="H731" s="42" t="s">
        <v>4936</v>
      </c>
      <c r="I731" s="42" t="s">
        <v>4938</v>
      </c>
      <c r="J731" s="42" t="s">
        <v>4939</v>
      </c>
      <c r="K731" s="42" t="e">
        <f>VLOOKUP(F731,Input!C:M,9,0)</f>
        <v>#N/A</v>
      </c>
      <c r="L731" s="42" t="e">
        <f>VLOOKUP(F731,Input!C:M,10,0)</f>
        <v>#N/A</v>
      </c>
      <c r="M731" s="42" t="e">
        <f>VLOOKUP(F731,Input!C:M,11,0)</f>
        <v>#N/A</v>
      </c>
      <c r="N731" s="43" t="str">
        <f t="shared" si="11"/>
        <v>730,730,**</v>
      </c>
      <c r="O731" s="42">
        <v>730</v>
      </c>
    </row>
    <row r="732" spans="1:15" ht="14.25">
      <c r="A732" s="13" t="str">
        <f>IFERROR(VLOOKUP($F:$F,scan!$A:$B,2,0),"**")</f>
        <v>**</v>
      </c>
      <c r="B732" s="13" t="str">
        <f>IFERROR(VLOOKUP($F732,scan!A:C,3,0),"**")</f>
        <v>**</v>
      </c>
      <c r="C732" s="42">
        <v>731</v>
      </c>
      <c r="D732" s="42" t="s">
        <v>4936</v>
      </c>
      <c r="E732" s="42" t="s">
        <v>4937</v>
      </c>
      <c r="H732" s="42" t="s">
        <v>4936</v>
      </c>
      <c r="I732" s="42" t="s">
        <v>4938</v>
      </c>
      <c r="J732" s="42" t="s">
        <v>4939</v>
      </c>
      <c r="K732" s="42" t="e">
        <f>VLOOKUP(F732,Input!C:M,9,0)</f>
        <v>#N/A</v>
      </c>
      <c r="L732" s="42" t="e">
        <f>VLOOKUP(F732,Input!C:M,10,0)</f>
        <v>#N/A</v>
      </c>
      <c r="M732" s="42" t="e">
        <f>VLOOKUP(F732,Input!C:M,11,0)</f>
        <v>#N/A</v>
      </c>
      <c r="N732" s="43" t="str">
        <f t="shared" si="11"/>
        <v>731,731,**</v>
      </c>
      <c r="O732" s="42">
        <v>731</v>
      </c>
    </row>
    <row r="733" spans="1:15" ht="14.25">
      <c r="A733" s="13" t="str">
        <f>IFERROR(VLOOKUP($F:$F,scan!$A:$B,2,0),"**")</f>
        <v>**</v>
      </c>
      <c r="B733" s="13" t="str">
        <f>IFERROR(VLOOKUP($F733,scan!A:C,3,0),"**")</f>
        <v>**</v>
      </c>
      <c r="C733" s="42">
        <v>732</v>
      </c>
      <c r="D733" s="42" t="s">
        <v>4936</v>
      </c>
      <c r="E733" s="42" t="s">
        <v>4937</v>
      </c>
      <c r="H733" s="42" t="s">
        <v>4936</v>
      </c>
      <c r="I733" s="42" t="s">
        <v>4938</v>
      </c>
      <c r="J733" s="42" t="s">
        <v>4939</v>
      </c>
      <c r="K733" s="42" t="e">
        <f>VLOOKUP(F733,Input!C:M,9,0)</f>
        <v>#N/A</v>
      </c>
      <c r="L733" s="42" t="e">
        <f>VLOOKUP(F733,Input!C:M,10,0)</f>
        <v>#N/A</v>
      </c>
      <c r="M733" s="42" t="e">
        <f>VLOOKUP(F733,Input!C:M,11,0)</f>
        <v>#N/A</v>
      </c>
      <c r="N733" s="43" t="str">
        <f t="shared" si="11"/>
        <v>732,732,**</v>
      </c>
      <c r="O733" s="42">
        <v>732</v>
      </c>
    </row>
    <row r="734" spans="1:15" ht="14.25">
      <c r="A734" s="13" t="str">
        <f>IFERROR(VLOOKUP($F:$F,scan!$A:$B,2,0),"**")</f>
        <v>**</v>
      </c>
      <c r="B734" s="13" t="str">
        <f>IFERROR(VLOOKUP($F734,scan!A:C,3,0),"**")</f>
        <v>**</v>
      </c>
      <c r="C734" s="42">
        <v>733</v>
      </c>
      <c r="D734" s="42" t="s">
        <v>4936</v>
      </c>
      <c r="E734" s="42" t="s">
        <v>4937</v>
      </c>
      <c r="H734" s="42" t="s">
        <v>4936</v>
      </c>
      <c r="I734" s="42" t="s">
        <v>4938</v>
      </c>
      <c r="J734" s="42" t="s">
        <v>4939</v>
      </c>
      <c r="K734" s="42" t="e">
        <f>VLOOKUP(F734,Input!C:M,9,0)</f>
        <v>#N/A</v>
      </c>
      <c r="L734" s="42" t="e">
        <f>VLOOKUP(F734,Input!C:M,10,0)</f>
        <v>#N/A</v>
      </c>
      <c r="M734" s="42" t="e">
        <f>VLOOKUP(F734,Input!C:M,11,0)</f>
        <v>#N/A</v>
      </c>
      <c r="N734" s="43" t="str">
        <f t="shared" si="11"/>
        <v>733,733,**</v>
      </c>
      <c r="O734" s="42">
        <v>733</v>
      </c>
    </row>
    <row r="735" spans="1:15" ht="14.25">
      <c r="A735" s="13" t="str">
        <f>IFERROR(VLOOKUP($F:$F,scan!$A:$B,2,0),"**")</f>
        <v>**</v>
      </c>
      <c r="B735" s="13" t="str">
        <f>IFERROR(VLOOKUP($F735,scan!A:C,3,0),"**")</f>
        <v>**</v>
      </c>
      <c r="C735" s="42">
        <v>734</v>
      </c>
      <c r="D735" s="42" t="s">
        <v>4936</v>
      </c>
      <c r="E735" s="42" t="s">
        <v>4937</v>
      </c>
      <c r="H735" s="42" t="s">
        <v>4936</v>
      </c>
      <c r="I735" s="42" t="s">
        <v>4938</v>
      </c>
      <c r="J735" s="42" t="s">
        <v>4939</v>
      </c>
      <c r="K735" s="42" t="e">
        <f>VLOOKUP(F735,Input!C:M,9,0)</f>
        <v>#N/A</v>
      </c>
      <c r="L735" s="42" t="e">
        <f>VLOOKUP(F735,Input!C:M,10,0)</f>
        <v>#N/A</v>
      </c>
      <c r="M735" s="42" t="e">
        <f>VLOOKUP(F735,Input!C:M,11,0)</f>
        <v>#N/A</v>
      </c>
      <c r="N735" s="43" t="str">
        <f t="shared" si="11"/>
        <v>734,734,**</v>
      </c>
      <c r="O735" s="42">
        <v>734</v>
      </c>
    </row>
    <row r="736" spans="1:15" ht="14.25">
      <c r="A736" s="13" t="str">
        <f>IFERROR(VLOOKUP($F:$F,scan!$A:$B,2,0),"**")</f>
        <v>**</v>
      </c>
      <c r="B736" s="13" t="str">
        <f>IFERROR(VLOOKUP($F736,scan!A:C,3,0),"**")</f>
        <v>**</v>
      </c>
      <c r="C736" s="42">
        <v>735</v>
      </c>
      <c r="D736" s="42" t="s">
        <v>4936</v>
      </c>
      <c r="E736" s="42" t="s">
        <v>4937</v>
      </c>
      <c r="H736" s="42" t="s">
        <v>4936</v>
      </c>
      <c r="I736" s="42" t="s">
        <v>4938</v>
      </c>
      <c r="J736" s="42" t="s">
        <v>4939</v>
      </c>
      <c r="K736" s="42" t="e">
        <f>VLOOKUP(F736,Input!C:M,9,0)</f>
        <v>#N/A</v>
      </c>
      <c r="L736" s="42" t="e">
        <f>VLOOKUP(F736,Input!C:M,10,0)</f>
        <v>#N/A</v>
      </c>
      <c r="M736" s="42" t="e">
        <f>VLOOKUP(F736,Input!C:M,11,0)</f>
        <v>#N/A</v>
      </c>
      <c r="N736" s="43" t="str">
        <f t="shared" si="11"/>
        <v>735,735,**</v>
      </c>
      <c r="O736" s="42">
        <v>735</v>
      </c>
    </row>
    <row r="737" spans="1:15" ht="14.25">
      <c r="A737" s="13" t="str">
        <f>IFERROR(VLOOKUP($F:$F,scan!$A:$B,2,0),"**")</f>
        <v>**</v>
      </c>
      <c r="B737" s="13" t="str">
        <f>IFERROR(VLOOKUP($F737,scan!A:C,3,0),"**")</f>
        <v>**</v>
      </c>
      <c r="C737" s="42">
        <v>736</v>
      </c>
      <c r="D737" s="42" t="s">
        <v>4936</v>
      </c>
      <c r="E737" s="42" t="s">
        <v>4937</v>
      </c>
      <c r="H737" s="42" t="s">
        <v>4936</v>
      </c>
      <c r="I737" s="42" t="s">
        <v>4938</v>
      </c>
      <c r="J737" s="42" t="s">
        <v>4939</v>
      </c>
      <c r="K737" s="42" t="e">
        <f>VLOOKUP(F737,Input!C:M,9,0)</f>
        <v>#N/A</v>
      </c>
      <c r="L737" s="42" t="e">
        <f>VLOOKUP(F737,Input!C:M,10,0)</f>
        <v>#N/A</v>
      </c>
      <c r="M737" s="42" t="e">
        <f>VLOOKUP(F737,Input!C:M,11,0)</f>
        <v>#N/A</v>
      </c>
      <c r="N737" s="43" t="str">
        <f t="shared" si="11"/>
        <v>736,736,**</v>
      </c>
      <c r="O737" s="42">
        <v>736</v>
      </c>
    </row>
    <row r="738" spans="1:15" ht="14.25">
      <c r="A738" s="13" t="str">
        <f>IFERROR(VLOOKUP($F:$F,scan!$A:$B,2,0),"**")</f>
        <v>**</v>
      </c>
      <c r="B738" s="13" t="str">
        <f>IFERROR(VLOOKUP($F738,scan!A:C,3,0),"**")</f>
        <v>**</v>
      </c>
      <c r="C738" s="42">
        <v>737</v>
      </c>
      <c r="D738" s="42" t="s">
        <v>4936</v>
      </c>
      <c r="E738" s="42" t="s">
        <v>4937</v>
      </c>
      <c r="H738" s="42" t="s">
        <v>4936</v>
      </c>
      <c r="I738" s="42" t="s">
        <v>4938</v>
      </c>
      <c r="J738" s="42" t="s">
        <v>4939</v>
      </c>
      <c r="K738" s="42" t="e">
        <f>VLOOKUP(F738,Input!C:M,9,0)</f>
        <v>#N/A</v>
      </c>
      <c r="L738" s="42" t="e">
        <f>VLOOKUP(F738,Input!C:M,10,0)</f>
        <v>#N/A</v>
      </c>
      <c r="M738" s="42" t="e">
        <f>VLOOKUP(F738,Input!C:M,11,0)</f>
        <v>#N/A</v>
      </c>
      <c r="N738" s="43" t="str">
        <f t="shared" si="11"/>
        <v>737,737,**</v>
      </c>
      <c r="O738" s="42">
        <v>737</v>
      </c>
    </row>
    <row r="739" spans="1:15" ht="14.25">
      <c r="A739" s="13" t="str">
        <f>IFERROR(VLOOKUP($F:$F,scan!$A:$B,2,0),"**")</f>
        <v>**</v>
      </c>
      <c r="B739" s="13" t="str">
        <f>IFERROR(VLOOKUP($F739,scan!A:C,3,0),"**")</f>
        <v>**</v>
      </c>
      <c r="C739" s="42">
        <v>738</v>
      </c>
      <c r="D739" s="42" t="s">
        <v>4936</v>
      </c>
      <c r="E739" s="42" t="s">
        <v>4937</v>
      </c>
      <c r="H739" s="42" t="s">
        <v>4936</v>
      </c>
      <c r="I739" s="42" t="s">
        <v>4938</v>
      </c>
      <c r="J739" s="42" t="s">
        <v>4939</v>
      </c>
      <c r="K739" s="42" t="e">
        <f>VLOOKUP(F739,Input!C:M,9,0)</f>
        <v>#N/A</v>
      </c>
      <c r="L739" s="42" t="e">
        <f>VLOOKUP(F739,Input!C:M,10,0)</f>
        <v>#N/A</v>
      </c>
      <c r="M739" s="42" t="e">
        <f>VLOOKUP(F739,Input!C:M,11,0)</f>
        <v>#N/A</v>
      </c>
      <c r="N739" s="43" t="str">
        <f t="shared" si="11"/>
        <v>738,738,**</v>
      </c>
      <c r="O739" s="42">
        <v>738</v>
      </c>
    </row>
    <row r="740" spans="1:15" ht="14.25">
      <c r="A740" s="13" t="str">
        <f>IFERROR(VLOOKUP($F:$F,scan!$A:$B,2,0),"**")</f>
        <v>**</v>
      </c>
      <c r="B740" s="13" t="str">
        <f>IFERROR(VLOOKUP($F740,scan!A:C,3,0),"**")</f>
        <v>**</v>
      </c>
      <c r="C740" s="42">
        <v>739</v>
      </c>
      <c r="D740" s="42" t="s">
        <v>4936</v>
      </c>
      <c r="E740" s="42" t="s">
        <v>4937</v>
      </c>
      <c r="H740" s="42" t="s">
        <v>4936</v>
      </c>
      <c r="I740" s="42" t="s">
        <v>4938</v>
      </c>
      <c r="J740" s="42" t="s">
        <v>4939</v>
      </c>
      <c r="K740" s="42" t="e">
        <f>VLOOKUP(F740,Input!C:M,9,0)</f>
        <v>#N/A</v>
      </c>
      <c r="L740" s="42" t="e">
        <f>VLOOKUP(F740,Input!C:M,10,0)</f>
        <v>#N/A</v>
      </c>
      <c r="M740" s="42" t="e">
        <f>VLOOKUP(F740,Input!C:M,11,0)</f>
        <v>#N/A</v>
      </c>
      <c r="N740" s="43" t="str">
        <f t="shared" si="11"/>
        <v>739,739,**</v>
      </c>
      <c r="O740" s="42">
        <v>739</v>
      </c>
    </row>
    <row r="741" spans="1:15" ht="14.25">
      <c r="A741" s="13" t="str">
        <f>IFERROR(VLOOKUP($F:$F,scan!$A:$B,2,0),"**")</f>
        <v>**</v>
      </c>
      <c r="B741" s="13" t="str">
        <f>IFERROR(VLOOKUP($F741,scan!A:C,3,0),"**")</f>
        <v>**</v>
      </c>
      <c r="C741" s="42">
        <v>740</v>
      </c>
      <c r="D741" s="42" t="s">
        <v>4936</v>
      </c>
      <c r="E741" s="42" t="s">
        <v>4937</v>
      </c>
      <c r="H741" s="42" t="s">
        <v>4936</v>
      </c>
      <c r="I741" s="42" t="s">
        <v>4938</v>
      </c>
      <c r="J741" s="42" t="s">
        <v>4939</v>
      </c>
      <c r="K741" s="42" t="e">
        <f>VLOOKUP(F741,Input!C:M,9,0)</f>
        <v>#N/A</v>
      </c>
      <c r="L741" s="42" t="e">
        <f>VLOOKUP(F741,Input!C:M,10,0)</f>
        <v>#N/A</v>
      </c>
      <c r="M741" s="42" t="e">
        <f>VLOOKUP(F741,Input!C:M,11,0)</f>
        <v>#N/A</v>
      </c>
      <c r="N741" s="43" t="str">
        <f t="shared" si="11"/>
        <v>740,740,**</v>
      </c>
      <c r="O741" s="42">
        <v>740</v>
      </c>
    </row>
    <row r="742" spans="1:15" ht="14.25">
      <c r="A742" s="13" t="str">
        <f>IFERROR(VLOOKUP($F:$F,scan!$A:$B,2,0),"**")</f>
        <v>**</v>
      </c>
      <c r="B742" s="13" t="str">
        <f>IFERROR(VLOOKUP($F742,scan!A:C,3,0),"**")</f>
        <v>**</v>
      </c>
      <c r="C742" s="42">
        <v>741</v>
      </c>
      <c r="D742" s="42" t="s">
        <v>4936</v>
      </c>
      <c r="E742" s="42" t="s">
        <v>4937</v>
      </c>
      <c r="H742" s="42" t="s">
        <v>4936</v>
      </c>
      <c r="I742" s="42" t="s">
        <v>4938</v>
      </c>
      <c r="J742" s="42" t="s">
        <v>4939</v>
      </c>
      <c r="K742" s="42" t="e">
        <f>VLOOKUP(F742,Input!C:M,9,0)</f>
        <v>#N/A</v>
      </c>
      <c r="L742" s="42" t="e">
        <f>VLOOKUP(F742,Input!C:M,10,0)</f>
        <v>#N/A</v>
      </c>
      <c r="M742" s="42" t="e">
        <f>VLOOKUP(F742,Input!C:M,11,0)</f>
        <v>#N/A</v>
      </c>
      <c r="N742" s="43" t="str">
        <f t="shared" si="11"/>
        <v>741,741,**</v>
      </c>
      <c r="O742" s="42">
        <v>741</v>
      </c>
    </row>
    <row r="743" spans="1:15" ht="14.25">
      <c r="A743" s="13" t="str">
        <f>IFERROR(VLOOKUP($F:$F,scan!$A:$B,2,0),"**")</f>
        <v>**</v>
      </c>
      <c r="B743" s="13" t="str">
        <f>IFERROR(VLOOKUP($F743,scan!A:C,3,0),"**")</f>
        <v>**</v>
      </c>
      <c r="C743" s="42">
        <v>742</v>
      </c>
      <c r="D743" s="42" t="s">
        <v>4936</v>
      </c>
      <c r="E743" s="42" t="s">
        <v>4937</v>
      </c>
      <c r="H743" s="42" t="s">
        <v>4936</v>
      </c>
      <c r="I743" s="42" t="s">
        <v>4938</v>
      </c>
      <c r="J743" s="42" t="s">
        <v>4939</v>
      </c>
      <c r="K743" s="42" t="e">
        <f>VLOOKUP(F743,Input!C:M,9,0)</f>
        <v>#N/A</v>
      </c>
      <c r="L743" s="42" t="e">
        <f>VLOOKUP(F743,Input!C:M,10,0)</f>
        <v>#N/A</v>
      </c>
      <c r="M743" s="42" t="e">
        <f>VLOOKUP(F743,Input!C:M,11,0)</f>
        <v>#N/A</v>
      </c>
      <c r="N743" s="43" t="str">
        <f t="shared" si="11"/>
        <v>742,742,**</v>
      </c>
      <c r="O743" s="42">
        <v>742</v>
      </c>
    </row>
    <row r="744" spans="1:15" ht="14.25">
      <c r="A744" s="13" t="str">
        <f>IFERROR(VLOOKUP($F:$F,scan!$A:$B,2,0),"**")</f>
        <v>**</v>
      </c>
      <c r="B744" s="13" t="str">
        <f>IFERROR(VLOOKUP($F744,scan!A:C,3,0),"**")</f>
        <v>**</v>
      </c>
      <c r="C744" s="42">
        <v>743</v>
      </c>
      <c r="D744" s="42" t="s">
        <v>4936</v>
      </c>
      <c r="E744" s="42" t="s">
        <v>4937</v>
      </c>
      <c r="H744" s="42" t="s">
        <v>4936</v>
      </c>
      <c r="I744" s="42" t="s">
        <v>4938</v>
      </c>
      <c r="J744" s="42" t="s">
        <v>4939</v>
      </c>
      <c r="K744" s="42" t="e">
        <f>VLOOKUP(F744,Input!C:M,9,0)</f>
        <v>#N/A</v>
      </c>
      <c r="L744" s="42" t="e">
        <f>VLOOKUP(F744,Input!C:M,10,0)</f>
        <v>#N/A</v>
      </c>
      <c r="M744" s="42" t="e">
        <f>VLOOKUP(F744,Input!C:M,11,0)</f>
        <v>#N/A</v>
      </c>
      <c r="N744" s="43" t="str">
        <f t="shared" si="11"/>
        <v>743,743,**</v>
      </c>
      <c r="O744" s="42">
        <v>743</v>
      </c>
    </row>
    <row r="745" spans="1:15" ht="14.25">
      <c r="A745" s="13" t="str">
        <f>IFERROR(VLOOKUP($F:$F,scan!$A:$B,2,0),"**")</f>
        <v>**</v>
      </c>
      <c r="B745" s="13" t="str">
        <f>IFERROR(VLOOKUP($F745,scan!A:C,3,0),"**")</f>
        <v>**</v>
      </c>
      <c r="C745" s="42">
        <v>744</v>
      </c>
      <c r="D745" s="42" t="s">
        <v>4936</v>
      </c>
      <c r="E745" s="42" t="s">
        <v>4937</v>
      </c>
      <c r="H745" s="42" t="s">
        <v>4936</v>
      </c>
      <c r="I745" s="42" t="s">
        <v>4938</v>
      </c>
      <c r="J745" s="42" t="s">
        <v>4939</v>
      </c>
      <c r="K745" s="42" t="e">
        <f>VLOOKUP(F745,Input!C:M,9,0)</f>
        <v>#N/A</v>
      </c>
      <c r="L745" s="42" t="e">
        <f>VLOOKUP(F745,Input!C:M,10,0)</f>
        <v>#N/A</v>
      </c>
      <c r="M745" s="42" t="e">
        <f>VLOOKUP(F745,Input!C:M,11,0)</f>
        <v>#N/A</v>
      </c>
      <c r="N745" s="43" t="str">
        <f t="shared" si="11"/>
        <v>744,744,**</v>
      </c>
      <c r="O745" s="42">
        <v>744</v>
      </c>
    </row>
    <row r="746" spans="1:15" ht="14.25">
      <c r="A746" s="13" t="str">
        <f>IFERROR(VLOOKUP($F:$F,scan!$A:$B,2,0),"**")</f>
        <v>**</v>
      </c>
      <c r="B746" s="13" t="str">
        <f>IFERROR(VLOOKUP($F746,scan!A:C,3,0),"**")</f>
        <v>**</v>
      </c>
      <c r="C746" s="42">
        <v>745</v>
      </c>
      <c r="D746" s="42" t="s">
        <v>4936</v>
      </c>
      <c r="E746" s="42" t="s">
        <v>4937</v>
      </c>
      <c r="H746" s="42" t="s">
        <v>4936</v>
      </c>
      <c r="I746" s="42" t="s">
        <v>4938</v>
      </c>
      <c r="J746" s="42" t="s">
        <v>4939</v>
      </c>
      <c r="K746" s="42" t="e">
        <f>VLOOKUP(F746,Input!C:M,9,0)</f>
        <v>#N/A</v>
      </c>
      <c r="L746" s="42" t="e">
        <f>VLOOKUP(F746,Input!C:M,10,0)</f>
        <v>#N/A</v>
      </c>
      <c r="M746" s="42" t="e">
        <f>VLOOKUP(F746,Input!C:M,11,0)</f>
        <v>#N/A</v>
      </c>
      <c r="N746" s="43" t="str">
        <f t="shared" si="11"/>
        <v>745,745,**</v>
      </c>
      <c r="O746" s="42">
        <v>745</v>
      </c>
    </row>
    <row r="747" spans="1:15" ht="14.25">
      <c r="A747" s="13" t="str">
        <f>IFERROR(VLOOKUP($F:$F,scan!$A:$B,2,0),"**")</f>
        <v>**</v>
      </c>
      <c r="B747" s="13" t="str">
        <f>IFERROR(VLOOKUP($F747,scan!A:C,3,0),"**")</f>
        <v>**</v>
      </c>
      <c r="C747" s="42">
        <v>746</v>
      </c>
      <c r="D747" s="42" t="s">
        <v>4936</v>
      </c>
      <c r="E747" s="42" t="s">
        <v>4937</v>
      </c>
      <c r="H747" s="42" t="s">
        <v>4936</v>
      </c>
      <c r="I747" s="42" t="s">
        <v>4938</v>
      </c>
      <c r="J747" s="42" t="s">
        <v>4939</v>
      </c>
      <c r="K747" s="42" t="e">
        <f>VLOOKUP(F747,Input!C:M,9,0)</f>
        <v>#N/A</v>
      </c>
      <c r="L747" s="42" t="e">
        <f>VLOOKUP(F747,Input!C:M,10,0)</f>
        <v>#N/A</v>
      </c>
      <c r="M747" s="42" t="e">
        <f>VLOOKUP(F747,Input!C:M,11,0)</f>
        <v>#N/A</v>
      </c>
      <c r="N747" s="43" t="str">
        <f t="shared" si="11"/>
        <v>746,746,**</v>
      </c>
      <c r="O747" s="42">
        <v>746</v>
      </c>
    </row>
    <row r="748" spans="1:15" ht="14.25">
      <c r="A748" s="13" t="str">
        <f>IFERROR(VLOOKUP($F:$F,scan!$A:$B,2,0),"**")</f>
        <v>**</v>
      </c>
      <c r="B748" s="13" t="str">
        <f>IFERROR(VLOOKUP($F748,scan!A:C,3,0),"**")</f>
        <v>**</v>
      </c>
      <c r="C748" s="42">
        <v>747</v>
      </c>
      <c r="D748" s="42" t="s">
        <v>4936</v>
      </c>
      <c r="E748" s="42" t="s">
        <v>4937</v>
      </c>
      <c r="H748" s="42" t="s">
        <v>4936</v>
      </c>
      <c r="I748" s="42" t="s">
        <v>4938</v>
      </c>
      <c r="J748" s="42" t="s">
        <v>4939</v>
      </c>
      <c r="K748" s="42" t="e">
        <f>VLOOKUP(F748,Input!C:M,9,0)</f>
        <v>#N/A</v>
      </c>
      <c r="L748" s="42" t="e">
        <f>VLOOKUP(F748,Input!C:M,10,0)</f>
        <v>#N/A</v>
      </c>
      <c r="M748" s="42" t="e">
        <f>VLOOKUP(F748,Input!C:M,11,0)</f>
        <v>#N/A</v>
      </c>
      <c r="N748" s="43" t="str">
        <f t="shared" si="11"/>
        <v>747,747,**</v>
      </c>
      <c r="O748" s="42">
        <v>747</v>
      </c>
    </row>
    <row r="749" spans="1:15" ht="14.25">
      <c r="A749" s="13" t="str">
        <f>IFERROR(VLOOKUP($F:$F,scan!$A:$B,2,0),"**")</f>
        <v>**</v>
      </c>
      <c r="B749" s="13" t="str">
        <f>IFERROR(VLOOKUP($F749,scan!A:C,3,0),"**")</f>
        <v>**</v>
      </c>
      <c r="C749" s="42">
        <v>748</v>
      </c>
      <c r="D749" s="42" t="s">
        <v>4936</v>
      </c>
      <c r="E749" s="42" t="s">
        <v>4937</v>
      </c>
      <c r="H749" s="42" t="s">
        <v>4936</v>
      </c>
      <c r="I749" s="42" t="s">
        <v>4938</v>
      </c>
      <c r="J749" s="42" t="s">
        <v>4939</v>
      </c>
      <c r="K749" s="42" t="e">
        <f>VLOOKUP(F749,Input!C:M,9,0)</f>
        <v>#N/A</v>
      </c>
      <c r="L749" s="42" t="e">
        <f>VLOOKUP(F749,Input!C:M,10,0)</f>
        <v>#N/A</v>
      </c>
      <c r="M749" s="42" t="e">
        <f>VLOOKUP(F749,Input!C:M,11,0)</f>
        <v>#N/A</v>
      </c>
      <c r="N749" s="43" t="str">
        <f t="shared" si="11"/>
        <v>748,748,**</v>
      </c>
      <c r="O749" s="42">
        <v>748</v>
      </c>
    </row>
    <row r="750" spans="1:15" ht="14.25">
      <c r="A750" s="13" t="str">
        <f>IFERROR(VLOOKUP($F:$F,scan!$A:$B,2,0),"**")</f>
        <v>**</v>
      </c>
      <c r="B750" s="13" t="str">
        <f>IFERROR(VLOOKUP($F750,scan!A:C,3,0),"**")</f>
        <v>**</v>
      </c>
      <c r="C750" s="42">
        <v>749</v>
      </c>
      <c r="D750" s="42" t="s">
        <v>4936</v>
      </c>
      <c r="E750" s="42" t="s">
        <v>4937</v>
      </c>
      <c r="H750" s="42" t="s">
        <v>4936</v>
      </c>
      <c r="I750" s="42" t="s">
        <v>4938</v>
      </c>
      <c r="J750" s="42" t="s">
        <v>4939</v>
      </c>
      <c r="K750" s="42" t="e">
        <f>VLOOKUP(F750,Input!C:M,9,0)</f>
        <v>#N/A</v>
      </c>
      <c r="L750" s="42" t="e">
        <f>VLOOKUP(F750,Input!C:M,10,0)</f>
        <v>#N/A</v>
      </c>
      <c r="M750" s="42" t="e">
        <f>VLOOKUP(F750,Input!C:M,11,0)</f>
        <v>#N/A</v>
      </c>
      <c r="N750" s="43" t="str">
        <f t="shared" si="11"/>
        <v>749,749,**</v>
      </c>
      <c r="O750" s="42">
        <v>749</v>
      </c>
    </row>
    <row r="751" spans="1:15" ht="14.25">
      <c r="A751" s="13" t="str">
        <f>IFERROR(VLOOKUP($F:$F,scan!$A:$B,2,0),"**")</f>
        <v>**</v>
      </c>
      <c r="B751" s="13" t="str">
        <f>IFERROR(VLOOKUP($F751,scan!A:C,3,0),"**")</f>
        <v>**</v>
      </c>
      <c r="C751" s="42">
        <v>750</v>
      </c>
      <c r="D751" s="42" t="s">
        <v>4936</v>
      </c>
      <c r="E751" s="42" t="s">
        <v>4937</v>
      </c>
      <c r="H751" s="42" t="s">
        <v>4936</v>
      </c>
      <c r="I751" s="42" t="s">
        <v>4938</v>
      </c>
      <c r="J751" s="42" t="s">
        <v>4939</v>
      </c>
      <c r="K751" s="42" t="e">
        <f>VLOOKUP(F751,Input!C:M,9,0)</f>
        <v>#N/A</v>
      </c>
      <c r="L751" s="42" t="e">
        <f>VLOOKUP(F751,Input!C:M,10,0)</f>
        <v>#N/A</v>
      </c>
      <c r="M751" s="42" t="e">
        <f>VLOOKUP(F751,Input!C:M,11,0)</f>
        <v>#N/A</v>
      </c>
      <c r="N751" s="43" t="str">
        <f t="shared" si="11"/>
        <v>750,750,**</v>
      </c>
      <c r="O751" s="42">
        <v>750</v>
      </c>
    </row>
    <row r="752" spans="1:15" ht="14.25">
      <c r="A752" s="13" t="str">
        <f>IFERROR(VLOOKUP($F:$F,scan!$A:$B,2,0),"**")</f>
        <v>**</v>
      </c>
      <c r="B752" s="13" t="str">
        <f>IFERROR(VLOOKUP($F752,scan!A:C,3,0),"**")</f>
        <v>**</v>
      </c>
      <c r="C752" s="42">
        <v>751</v>
      </c>
      <c r="D752" s="42" t="s">
        <v>4936</v>
      </c>
      <c r="E752" s="42" t="s">
        <v>4937</v>
      </c>
      <c r="H752" s="42" t="s">
        <v>4936</v>
      </c>
      <c r="I752" s="42" t="s">
        <v>4938</v>
      </c>
      <c r="J752" s="42" t="s">
        <v>4939</v>
      </c>
      <c r="K752" s="42" t="e">
        <f>VLOOKUP(F752,Input!C:M,9,0)</f>
        <v>#N/A</v>
      </c>
      <c r="L752" s="42" t="e">
        <f>VLOOKUP(F752,Input!C:M,10,0)</f>
        <v>#N/A</v>
      </c>
      <c r="M752" s="42" t="e">
        <f>VLOOKUP(F752,Input!C:M,11,0)</f>
        <v>#N/A</v>
      </c>
      <c r="N752" s="43" t="str">
        <f t="shared" si="11"/>
        <v>751,751,**</v>
      </c>
      <c r="O752" s="42">
        <v>751</v>
      </c>
    </row>
    <row r="753" spans="1:15" ht="14.25">
      <c r="A753" s="13" t="str">
        <f>IFERROR(VLOOKUP($F:$F,scan!$A:$B,2,0),"**")</f>
        <v>**</v>
      </c>
      <c r="B753" s="13" t="str">
        <f>IFERROR(VLOOKUP($F753,scan!A:C,3,0),"**")</f>
        <v>**</v>
      </c>
      <c r="C753" s="42">
        <v>752</v>
      </c>
      <c r="D753" s="42" t="s">
        <v>4936</v>
      </c>
      <c r="E753" s="42" t="s">
        <v>4937</v>
      </c>
      <c r="H753" s="42" t="s">
        <v>4936</v>
      </c>
      <c r="I753" s="42" t="s">
        <v>4938</v>
      </c>
      <c r="J753" s="42" t="s">
        <v>4939</v>
      </c>
      <c r="K753" s="42" t="e">
        <f>VLOOKUP(F753,Input!C:M,9,0)</f>
        <v>#N/A</v>
      </c>
      <c r="L753" s="42" t="e">
        <f>VLOOKUP(F753,Input!C:M,10,0)</f>
        <v>#N/A</v>
      </c>
      <c r="M753" s="42" t="e">
        <f>VLOOKUP(F753,Input!C:M,11,0)</f>
        <v>#N/A</v>
      </c>
      <c r="N753" s="43" t="str">
        <f t="shared" si="11"/>
        <v>752,752,**</v>
      </c>
      <c r="O753" s="42">
        <v>752</v>
      </c>
    </row>
    <row r="754" spans="1:15" ht="14.25">
      <c r="A754" s="13" t="str">
        <f>IFERROR(VLOOKUP($F:$F,scan!$A:$B,2,0),"**")</f>
        <v>**</v>
      </c>
      <c r="B754" s="13" t="str">
        <f>IFERROR(VLOOKUP($F754,scan!A:C,3,0),"**")</f>
        <v>**</v>
      </c>
      <c r="C754" s="42">
        <v>753</v>
      </c>
      <c r="D754" s="42" t="s">
        <v>4936</v>
      </c>
      <c r="E754" s="42" t="s">
        <v>4937</v>
      </c>
      <c r="H754" s="42" t="s">
        <v>4936</v>
      </c>
      <c r="I754" s="42" t="s">
        <v>4938</v>
      </c>
      <c r="J754" s="42" t="s">
        <v>4939</v>
      </c>
      <c r="K754" s="42" t="e">
        <f>VLOOKUP(F754,Input!C:M,9,0)</f>
        <v>#N/A</v>
      </c>
      <c r="L754" s="42" t="e">
        <f>VLOOKUP(F754,Input!C:M,10,0)</f>
        <v>#N/A</v>
      </c>
      <c r="M754" s="42" t="e">
        <f>VLOOKUP(F754,Input!C:M,11,0)</f>
        <v>#N/A</v>
      </c>
      <c r="N754" s="43" t="str">
        <f t="shared" si="11"/>
        <v>753,753,**</v>
      </c>
      <c r="O754" s="42">
        <v>753</v>
      </c>
    </row>
    <row r="755" spans="1:15" ht="14.25">
      <c r="A755" s="13" t="str">
        <f>IFERROR(VLOOKUP($F:$F,scan!$A:$B,2,0),"**")</f>
        <v>**</v>
      </c>
      <c r="B755" s="13" t="str">
        <f>IFERROR(VLOOKUP($F755,scan!A:C,3,0),"**")</f>
        <v>**</v>
      </c>
      <c r="C755" s="42">
        <v>754</v>
      </c>
      <c r="D755" s="42" t="s">
        <v>4936</v>
      </c>
      <c r="E755" s="42" t="s">
        <v>4937</v>
      </c>
      <c r="H755" s="42" t="s">
        <v>4936</v>
      </c>
      <c r="I755" s="42" t="s">
        <v>4938</v>
      </c>
      <c r="J755" s="42" t="s">
        <v>4939</v>
      </c>
      <c r="K755" s="42" t="e">
        <f>VLOOKUP(F755,Input!C:M,9,0)</f>
        <v>#N/A</v>
      </c>
      <c r="L755" s="42" t="e">
        <f>VLOOKUP(F755,Input!C:M,10,0)</f>
        <v>#N/A</v>
      </c>
      <c r="M755" s="42" t="e">
        <f>VLOOKUP(F755,Input!C:M,11,0)</f>
        <v>#N/A</v>
      </c>
      <c r="N755" s="43" t="str">
        <f t="shared" si="11"/>
        <v>754,754,**</v>
      </c>
      <c r="O755" s="42">
        <v>754</v>
      </c>
    </row>
    <row r="756" spans="1:15" ht="14.25">
      <c r="A756" s="13" t="str">
        <f>IFERROR(VLOOKUP($F:$F,scan!$A:$B,2,0),"**")</f>
        <v>**</v>
      </c>
      <c r="B756" s="13" t="str">
        <f>IFERROR(VLOOKUP($F756,scan!A:C,3,0),"**")</f>
        <v>**</v>
      </c>
      <c r="C756" s="42">
        <v>755</v>
      </c>
      <c r="D756" s="42" t="s">
        <v>4936</v>
      </c>
      <c r="E756" s="42" t="s">
        <v>4937</v>
      </c>
      <c r="H756" s="42" t="s">
        <v>4936</v>
      </c>
      <c r="I756" s="42" t="s">
        <v>4938</v>
      </c>
      <c r="J756" s="42" t="s">
        <v>4939</v>
      </c>
      <c r="K756" s="42" t="e">
        <f>VLOOKUP(F756,Input!C:M,9,0)</f>
        <v>#N/A</v>
      </c>
      <c r="L756" s="42" t="e">
        <f>VLOOKUP(F756,Input!C:M,10,0)</f>
        <v>#N/A</v>
      </c>
      <c r="M756" s="42" t="e">
        <f>VLOOKUP(F756,Input!C:M,11,0)</f>
        <v>#N/A</v>
      </c>
      <c r="N756" s="43" t="str">
        <f t="shared" si="11"/>
        <v>755,755,**</v>
      </c>
      <c r="O756" s="42">
        <v>755</v>
      </c>
    </row>
    <row r="757" spans="1:15" ht="14.25">
      <c r="A757" s="13" t="str">
        <f>IFERROR(VLOOKUP($F:$F,scan!$A:$B,2,0),"**")</f>
        <v>**</v>
      </c>
      <c r="B757" s="13" t="str">
        <f>IFERROR(VLOOKUP($F757,scan!A:C,3,0),"**")</f>
        <v>**</v>
      </c>
      <c r="C757" s="42">
        <v>756</v>
      </c>
      <c r="D757" s="42" t="s">
        <v>4936</v>
      </c>
      <c r="E757" s="42" t="s">
        <v>4937</v>
      </c>
      <c r="H757" s="42" t="s">
        <v>4936</v>
      </c>
      <c r="I757" s="42" t="s">
        <v>4938</v>
      </c>
      <c r="J757" s="42" t="s">
        <v>4939</v>
      </c>
      <c r="K757" s="42" t="e">
        <f>VLOOKUP(F757,Input!C:M,9,0)</f>
        <v>#N/A</v>
      </c>
      <c r="L757" s="42" t="e">
        <f>VLOOKUP(F757,Input!C:M,10,0)</f>
        <v>#N/A</v>
      </c>
      <c r="M757" s="42" t="e">
        <f>VLOOKUP(F757,Input!C:M,11,0)</f>
        <v>#N/A</v>
      </c>
      <c r="N757" s="43" t="str">
        <f t="shared" si="11"/>
        <v>756,756,**</v>
      </c>
      <c r="O757" s="42">
        <v>756</v>
      </c>
    </row>
    <row r="758" spans="1:15" ht="14.25">
      <c r="A758" s="13" t="str">
        <f>IFERROR(VLOOKUP($F:$F,scan!$A:$B,2,0),"**")</f>
        <v>**</v>
      </c>
      <c r="B758" s="13" t="str">
        <f>IFERROR(VLOOKUP($F758,scan!A:C,3,0),"**")</f>
        <v>**</v>
      </c>
      <c r="C758" s="42">
        <v>757</v>
      </c>
      <c r="D758" s="42" t="s">
        <v>4936</v>
      </c>
      <c r="E758" s="42" t="s">
        <v>4937</v>
      </c>
      <c r="H758" s="42" t="s">
        <v>4936</v>
      </c>
      <c r="I758" s="42" t="s">
        <v>4938</v>
      </c>
      <c r="J758" s="42" t="s">
        <v>4939</v>
      </c>
      <c r="K758" s="42" t="e">
        <f>VLOOKUP(F758,Input!C:M,9,0)</f>
        <v>#N/A</v>
      </c>
      <c r="L758" s="42" t="e">
        <f>VLOOKUP(F758,Input!C:M,10,0)</f>
        <v>#N/A</v>
      </c>
      <c r="M758" s="42" t="e">
        <f>VLOOKUP(F758,Input!C:M,11,0)</f>
        <v>#N/A</v>
      </c>
      <c r="N758" s="43" t="str">
        <f t="shared" si="11"/>
        <v>757,757,**</v>
      </c>
      <c r="O758" s="42">
        <v>757</v>
      </c>
    </row>
    <row r="759" spans="1:15" ht="14.25">
      <c r="A759" s="13" t="str">
        <f>IFERROR(VLOOKUP($F:$F,scan!$A:$B,2,0),"**")</f>
        <v>**</v>
      </c>
      <c r="B759" s="13" t="str">
        <f>IFERROR(VLOOKUP($F759,scan!A:C,3,0),"**")</f>
        <v>**</v>
      </c>
      <c r="C759" s="42">
        <v>758</v>
      </c>
      <c r="D759" s="42" t="s">
        <v>4936</v>
      </c>
      <c r="E759" s="42" t="s">
        <v>4937</v>
      </c>
      <c r="H759" s="42" t="s">
        <v>4936</v>
      </c>
      <c r="I759" s="42" t="s">
        <v>4938</v>
      </c>
      <c r="J759" s="42" t="s">
        <v>4939</v>
      </c>
      <c r="K759" s="42" t="e">
        <f>VLOOKUP(F759,Input!C:M,9,0)</f>
        <v>#N/A</v>
      </c>
      <c r="L759" s="42" t="e">
        <f>VLOOKUP(F759,Input!C:M,10,0)</f>
        <v>#N/A</v>
      </c>
      <c r="M759" s="42" t="e">
        <f>VLOOKUP(F759,Input!C:M,11,0)</f>
        <v>#N/A</v>
      </c>
      <c r="N759" s="43" t="str">
        <f t="shared" si="11"/>
        <v>758,758,**</v>
      </c>
      <c r="O759" s="42">
        <v>758</v>
      </c>
    </row>
    <row r="760" spans="1:15" ht="14.25">
      <c r="A760" s="13" t="str">
        <f>IFERROR(VLOOKUP($F:$F,scan!$A:$B,2,0),"**")</f>
        <v>**</v>
      </c>
      <c r="B760" s="13" t="str">
        <f>IFERROR(VLOOKUP($F760,scan!A:C,3,0),"**")</f>
        <v>**</v>
      </c>
      <c r="C760" s="42">
        <v>759</v>
      </c>
      <c r="D760" s="42" t="s">
        <v>4936</v>
      </c>
      <c r="E760" s="42" t="s">
        <v>4937</v>
      </c>
      <c r="H760" s="42" t="s">
        <v>4936</v>
      </c>
      <c r="I760" s="42" t="s">
        <v>4938</v>
      </c>
      <c r="J760" s="42" t="s">
        <v>4939</v>
      </c>
      <c r="K760" s="42" t="e">
        <f>VLOOKUP(F760,Input!C:M,9,0)</f>
        <v>#N/A</v>
      </c>
      <c r="L760" s="42" t="e">
        <f>VLOOKUP(F760,Input!C:M,10,0)</f>
        <v>#N/A</v>
      </c>
      <c r="M760" s="42" t="e">
        <f>VLOOKUP(F760,Input!C:M,11,0)</f>
        <v>#N/A</v>
      </c>
      <c r="N760" s="43" t="str">
        <f t="shared" si="11"/>
        <v>759,759,**</v>
      </c>
      <c r="O760" s="42">
        <v>759</v>
      </c>
    </row>
    <row r="761" spans="1:15" ht="14.25">
      <c r="A761" s="13" t="str">
        <f>IFERROR(VLOOKUP($F:$F,scan!$A:$B,2,0),"**")</f>
        <v>**</v>
      </c>
      <c r="B761" s="13" t="str">
        <f>IFERROR(VLOOKUP($F761,scan!A:C,3,0),"**")</f>
        <v>**</v>
      </c>
      <c r="C761" s="42">
        <v>760</v>
      </c>
      <c r="D761" s="42" t="s">
        <v>4936</v>
      </c>
      <c r="E761" s="42" t="s">
        <v>4937</v>
      </c>
      <c r="H761" s="42" t="s">
        <v>4936</v>
      </c>
      <c r="I761" s="42" t="s">
        <v>4938</v>
      </c>
      <c r="J761" s="42" t="s">
        <v>4939</v>
      </c>
      <c r="K761" s="42" t="e">
        <f>VLOOKUP(F761,Input!C:M,9,0)</f>
        <v>#N/A</v>
      </c>
      <c r="L761" s="42" t="e">
        <f>VLOOKUP(F761,Input!C:M,10,0)</f>
        <v>#N/A</v>
      </c>
      <c r="M761" s="42" t="e">
        <f>VLOOKUP(F761,Input!C:M,11,0)</f>
        <v>#N/A</v>
      </c>
      <c r="N761" s="43" t="str">
        <f t="shared" si="11"/>
        <v>760,760,**</v>
      </c>
      <c r="O761" s="42">
        <v>760</v>
      </c>
    </row>
    <row r="762" spans="1:15" ht="14.25">
      <c r="A762" s="13" t="str">
        <f>IFERROR(VLOOKUP($F:$F,scan!$A:$B,2,0),"**")</f>
        <v>**</v>
      </c>
      <c r="B762" s="13" t="str">
        <f>IFERROR(VLOOKUP($F762,scan!A:C,3,0),"**")</f>
        <v>**</v>
      </c>
      <c r="C762" s="42">
        <v>761</v>
      </c>
      <c r="D762" s="42" t="s">
        <v>4936</v>
      </c>
      <c r="E762" s="42" t="s">
        <v>4937</v>
      </c>
      <c r="H762" s="42" t="s">
        <v>4936</v>
      </c>
      <c r="I762" s="42" t="s">
        <v>4938</v>
      </c>
      <c r="J762" s="42" t="s">
        <v>4939</v>
      </c>
      <c r="K762" s="42" t="e">
        <f>VLOOKUP(F762,Input!C:M,9,0)</f>
        <v>#N/A</v>
      </c>
      <c r="L762" s="42" t="e">
        <f>VLOOKUP(F762,Input!C:M,10,0)</f>
        <v>#N/A</v>
      </c>
      <c r="M762" s="42" t="e">
        <f>VLOOKUP(F762,Input!C:M,11,0)</f>
        <v>#N/A</v>
      </c>
      <c r="N762" s="43" t="str">
        <f t="shared" si="11"/>
        <v>761,761,**</v>
      </c>
      <c r="O762" s="42">
        <v>761</v>
      </c>
    </row>
    <row r="763" spans="1:15" ht="14.25">
      <c r="A763" s="13" t="str">
        <f>IFERROR(VLOOKUP($F:$F,scan!$A:$B,2,0),"**")</f>
        <v>**</v>
      </c>
      <c r="B763" s="13" t="str">
        <f>IFERROR(VLOOKUP($F763,scan!A:C,3,0),"**")</f>
        <v>**</v>
      </c>
      <c r="C763" s="42">
        <v>762</v>
      </c>
      <c r="D763" s="42" t="s">
        <v>4936</v>
      </c>
      <c r="E763" s="42" t="s">
        <v>4937</v>
      </c>
      <c r="H763" s="42" t="s">
        <v>4936</v>
      </c>
      <c r="I763" s="42" t="s">
        <v>4938</v>
      </c>
      <c r="J763" s="42" t="s">
        <v>4939</v>
      </c>
      <c r="K763" s="42" t="e">
        <f>VLOOKUP(F763,Input!C:M,9,0)</f>
        <v>#N/A</v>
      </c>
      <c r="L763" s="42" t="e">
        <f>VLOOKUP(F763,Input!C:M,10,0)</f>
        <v>#N/A</v>
      </c>
      <c r="M763" s="42" t="e">
        <f>VLOOKUP(F763,Input!C:M,11,0)</f>
        <v>#N/A</v>
      </c>
      <c r="N763" s="43" t="str">
        <f t="shared" si="11"/>
        <v>762,762,**</v>
      </c>
      <c r="O763" s="42">
        <v>762</v>
      </c>
    </row>
    <row r="764" spans="1:15" ht="14.25">
      <c r="A764" s="13" t="str">
        <f>IFERROR(VLOOKUP($F:$F,scan!$A:$B,2,0),"**")</f>
        <v>**</v>
      </c>
      <c r="B764" s="13" t="str">
        <f>IFERROR(VLOOKUP($F764,scan!A:C,3,0),"**")</f>
        <v>**</v>
      </c>
      <c r="C764" s="42">
        <v>763</v>
      </c>
      <c r="D764" s="42" t="s">
        <v>4936</v>
      </c>
      <c r="E764" s="42" t="s">
        <v>4937</v>
      </c>
      <c r="H764" s="42" t="s">
        <v>4936</v>
      </c>
      <c r="I764" s="42" t="s">
        <v>4938</v>
      </c>
      <c r="J764" s="42" t="s">
        <v>4939</v>
      </c>
      <c r="K764" s="42" t="e">
        <f>VLOOKUP(F764,Input!C:M,9,0)</f>
        <v>#N/A</v>
      </c>
      <c r="L764" s="42" t="e">
        <f>VLOOKUP(F764,Input!C:M,10,0)</f>
        <v>#N/A</v>
      </c>
      <c r="M764" s="42" t="e">
        <f>VLOOKUP(F764,Input!C:M,11,0)</f>
        <v>#N/A</v>
      </c>
      <c r="N764" s="43" t="str">
        <f t="shared" si="11"/>
        <v>763,763,**</v>
      </c>
      <c r="O764" s="42">
        <v>763</v>
      </c>
    </row>
    <row r="765" spans="1:15" ht="14.25">
      <c r="A765" s="13" t="str">
        <f>IFERROR(VLOOKUP($F:$F,scan!$A:$B,2,0),"**")</f>
        <v>**</v>
      </c>
      <c r="B765" s="13" t="str">
        <f>IFERROR(VLOOKUP($F765,scan!A:C,3,0),"**")</f>
        <v>**</v>
      </c>
      <c r="C765" s="42">
        <v>764</v>
      </c>
      <c r="D765" s="42" t="s">
        <v>4936</v>
      </c>
      <c r="E765" s="42" t="s">
        <v>4937</v>
      </c>
      <c r="H765" s="42" t="s">
        <v>4936</v>
      </c>
      <c r="I765" s="42" t="s">
        <v>4938</v>
      </c>
      <c r="J765" s="42" t="s">
        <v>4939</v>
      </c>
      <c r="K765" s="42" t="e">
        <f>VLOOKUP(F765,Input!C:M,9,0)</f>
        <v>#N/A</v>
      </c>
      <c r="L765" s="42" t="e">
        <f>VLOOKUP(F765,Input!C:M,10,0)</f>
        <v>#N/A</v>
      </c>
      <c r="M765" s="42" t="e">
        <f>VLOOKUP(F765,Input!C:M,11,0)</f>
        <v>#N/A</v>
      </c>
      <c r="N765" s="43" t="str">
        <f t="shared" si="11"/>
        <v>764,764,**</v>
      </c>
      <c r="O765" s="42">
        <v>764</v>
      </c>
    </row>
    <row r="766" spans="1:15" ht="14.25">
      <c r="A766" s="13" t="str">
        <f>IFERROR(VLOOKUP($F:$F,scan!$A:$B,2,0),"**")</f>
        <v>**</v>
      </c>
      <c r="B766" s="13" t="str">
        <f>IFERROR(VLOOKUP($F766,scan!A:C,3,0),"**")</f>
        <v>**</v>
      </c>
      <c r="C766" s="42">
        <v>765</v>
      </c>
      <c r="D766" s="42" t="s">
        <v>4936</v>
      </c>
      <c r="E766" s="42" t="s">
        <v>4937</v>
      </c>
      <c r="H766" s="42" t="s">
        <v>4936</v>
      </c>
      <c r="I766" s="42" t="s">
        <v>4938</v>
      </c>
      <c r="J766" s="42" t="s">
        <v>4939</v>
      </c>
      <c r="K766" s="42" t="e">
        <f>VLOOKUP(F766,Input!C:M,9,0)</f>
        <v>#N/A</v>
      </c>
      <c r="L766" s="42" t="e">
        <f>VLOOKUP(F766,Input!C:M,10,0)</f>
        <v>#N/A</v>
      </c>
      <c r="M766" s="42" t="e">
        <f>VLOOKUP(F766,Input!C:M,11,0)</f>
        <v>#N/A</v>
      </c>
      <c r="N766" s="43" t="str">
        <f t="shared" si="11"/>
        <v>765,765,**</v>
      </c>
      <c r="O766" s="42">
        <v>765</v>
      </c>
    </row>
    <row r="767" spans="1:15" ht="14.25">
      <c r="A767" s="13" t="str">
        <f>IFERROR(VLOOKUP($F:$F,scan!$A:$B,2,0),"**")</f>
        <v>**</v>
      </c>
      <c r="B767" s="13" t="str">
        <f>IFERROR(VLOOKUP($F767,scan!A:C,3,0),"**")</f>
        <v>**</v>
      </c>
      <c r="C767" s="42">
        <v>766</v>
      </c>
      <c r="D767" s="42" t="s">
        <v>4936</v>
      </c>
      <c r="E767" s="42" t="s">
        <v>4937</v>
      </c>
      <c r="H767" s="42" t="s">
        <v>4936</v>
      </c>
      <c r="I767" s="42" t="s">
        <v>4938</v>
      </c>
      <c r="J767" s="42" t="s">
        <v>4939</v>
      </c>
      <c r="K767" s="42" t="e">
        <f>VLOOKUP(F767,Input!C:M,9,0)</f>
        <v>#N/A</v>
      </c>
      <c r="L767" s="42" t="e">
        <f>VLOOKUP(F767,Input!C:M,10,0)</f>
        <v>#N/A</v>
      </c>
      <c r="M767" s="42" t="e">
        <f>VLOOKUP(F767,Input!C:M,11,0)</f>
        <v>#N/A</v>
      </c>
      <c r="N767" s="43" t="str">
        <f t="shared" si="11"/>
        <v>766,766,**</v>
      </c>
      <c r="O767" s="42">
        <v>766</v>
      </c>
    </row>
    <row r="768" spans="1:15" ht="14.25">
      <c r="A768" s="13" t="str">
        <f>IFERROR(VLOOKUP($F:$F,scan!$A:$B,2,0),"**")</f>
        <v>**</v>
      </c>
      <c r="B768" s="13" t="str">
        <f>IFERROR(VLOOKUP($F768,scan!A:C,3,0),"**")</f>
        <v>**</v>
      </c>
      <c r="C768" s="42">
        <v>767</v>
      </c>
      <c r="D768" s="42" t="s">
        <v>4936</v>
      </c>
      <c r="E768" s="42" t="s">
        <v>4937</v>
      </c>
      <c r="H768" s="42" t="s">
        <v>4936</v>
      </c>
      <c r="I768" s="42" t="s">
        <v>4938</v>
      </c>
      <c r="J768" s="42" t="s">
        <v>4939</v>
      </c>
      <c r="K768" s="42" t="e">
        <f>VLOOKUP(F768,Input!C:M,9,0)</f>
        <v>#N/A</v>
      </c>
      <c r="L768" s="42" t="e">
        <f>VLOOKUP(F768,Input!C:M,10,0)</f>
        <v>#N/A</v>
      </c>
      <c r="M768" s="42" t="e">
        <f>VLOOKUP(F768,Input!C:M,11,0)</f>
        <v>#N/A</v>
      </c>
      <c r="N768" s="43" t="str">
        <f t="shared" si="11"/>
        <v>767,767,**</v>
      </c>
      <c r="O768" s="42">
        <v>767</v>
      </c>
    </row>
    <row r="769" spans="1:15" ht="14.25">
      <c r="A769" s="13" t="str">
        <f>IFERROR(VLOOKUP($F:$F,scan!$A:$B,2,0),"**")</f>
        <v>**</v>
      </c>
      <c r="B769" s="13" t="str">
        <f>IFERROR(VLOOKUP($F769,scan!A:C,3,0),"**")</f>
        <v>**</v>
      </c>
      <c r="C769" s="42">
        <v>768</v>
      </c>
      <c r="D769" s="42" t="s">
        <v>4936</v>
      </c>
      <c r="E769" s="42" t="s">
        <v>4937</v>
      </c>
      <c r="H769" s="42" t="s">
        <v>4936</v>
      </c>
      <c r="I769" s="42" t="s">
        <v>4938</v>
      </c>
      <c r="J769" s="42" t="s">
        <v>4939</v>
      </c>
      <c r="K769" s="42" t="e">
        <f>VLOOKUP(F769,Input!C:M,9,0)</f>
        <v>#N/A</v>
      </c>
      <c r="L769" s="42" t="e">
        <f>VLOOKUP(F769,Input!C:M,10,0)</f>
        <v>#N/A</v>
      </c>
      <c r="M769" s="42" t="e">
        <f>VLOOKUP(F769,Input!C:M,11,0)</f>
        <v>#N/A</v>
      </c>
      <c r="N769" s="43" t="str">
        <f t="shared" si="11"/>
        <v>768,768,**</v>
      </c>
      <c r="O769" s="42">
        <v>768</v>
      </c>
    </row>
    <row r="770" spans="1:15" ht="14.25">
      <c r="A770" s="13" t="str">
        <f>IFERROR(VLOOKUP($F:$F,scan!$A:$B,2,0),"**")</f>
        <v>**</v>
      </c>
      <c r="B770" s="13" t="str">
        <f>IFERROR(VLOOKUP($F770,scan!A:C,3,0),"**")</f>
        <v>**</v>
      </c>
      <c r="C770" s="42">
        <v>769</v>
      </c>
      <c r="D770" s="42" t="s">
        <v>4936</v>
      </c>
      <c r="E770" s="42" t="s">
        <v>4937</v>
      </c>
      <c r="H770" s="42" t="s">
        <v>4936</v>
      </c>
      <c r="I770" s="42" t="s">
        <v>4938</v>
      </c>
      <c r="J770" s="42" t="s">
        <v>4939</v>
      </c>
      <c r="K770" s="42" t="e">
        <f>VLOOKUP(F770,Input!C:M,9,0)</f>
        <v>#N/A</v>
      </c>
      <c r="L770" s="42" t="e">
        <f>VLOOKUP(F770,Input!C:M,10,0)</f>
        <v>#N/A</v>
      </c>
      <c r="M770" s="42" t="e">
        <f>VLOOKUP(F770,Input!C:M,11,0)</f>
        <v>#N/A</v>
      </c>
      <c r="N770" s="43" t="str">
        <f t="shared" si="11"/>
        <v>769,769,**</v>
      </c>
      <c r="O770" s="42">
        <v>769</v>
      </c>
    </row>
    <row r="771" spans="1:15" ht="14.25">
      <c r="A771" s="13" t="str">
        <f>IFERROR(VLOOKUP($F:$F,scan!$A:$B,2,0),"**")</f>
        <v>**</v>
      </c>
      <c r="B771" s="13" t="str">
        <f>IFERROR(VLOOKUP($F771,scan!A:C,3,0),"**")</f>
        <v>**</v>
      </c>
      <c r="C771" s="42">
        <v>770</v>
      </c>
      <c r="D771" s="42" t="s">
        <v>4936</v>
      </c>
      <c r="E771" s="42" t="s">
        <v>4937</v>
      </c>
      <c r="H771" s="42" t="s">
        <v>4936</v>
      </c>
      <c r="I771" s="42" t="s">
        <v>4938</v>
      </c>
      <c r="J771" s="42" t="s">
        <v>4939</v>
      </c>
      <c r="K771" s="42" t="e">
        <f>VLOOKUP(F771,Input!C:M,9,0)</f>
        <v>#N/A</v>
      </c>
      <c r="L771" s="42" t="e">
        <f>VLOOKUP(F771,Input!C:M,10,0)</f>
        <v>#N/A</v>
      </c>
      <c r="M771" s="42" t="e">
        <f>VLOOKUP(F771,Input!C:M,11,0)</f>
        <v>#N/A</v>
      </c>
      <c r="N771" s="43" t="str">
        <f t="shared" ref="N771:N800" si="12">O771&amp;","&amp;C771&amp;","&amp;B771</f>
        <v>770,770,**</v>
      </c>
      <c r="O771" s="42">
        <v>770</v>
      </c>
    </row>
    <row r="772" spans="1:15" ht="14.25">
      <c r="A772" s="13" t="str">
        <f>IFERROR(VLOOKUP($F:$F,scan!$A:$B,2,0),"**")</f>
        <v>**</v>
      </c>
      <c r="B772" s="13" t="str">
        <f>IFERROR(VLOOKUP($F772,scan!A:C,3,0),"**")</f>
        <v>**</v>
      </c>
      <c r="C772" s="42">
        <v>771</v>
      </c>
      <c r="D772" s="42" t="s">
        <v>4936</v>
      </c>
      <c r="E772" s="42" t="s">
        <v>4937</v>
      </c>
      <c r="H772" s="42" t="s">
        <v>4936</v>
      </c>
      <c r="I772" s="42" t="s">
        <v>4938</v>
      </c>
      <c r="J772" s="42" t="s">
        <v>4939</v>
      </c>
      <c r="K772" s="42" t="e">
        <f>VLOOKUP(F772,Input!C:M,9,0)</f>
        <v>#N/A</v>
      </c>
      <c r="L772" s="42" t="e">
        <f>VLOOKUP(F772,Input!C:M,10,0)</f>
        <v>#N/A</v>
      </c>
      <c r="M772" s="42" t="e">
        <f>VLOOKUP(F772,Input!C:M,11,0)</f>
        <v>#N/A</v>
      </c>
      <c r="N772" s="43" t="str">
        <f t="shared" si="12"/>
        <v>771,771,**</v>
      </c>
      <c r="O772" s="42">
        <v>771</v>
      </c>
    </row>
    <row r="773" spans="1:15" ht="14.25">
      <c r="A773" s="13" t="str">
        <f>IFERROR(VLOOKUP($F:$F,scan!$A:$B,2,0),"**")</f>
        <v>**</v>
      </c>
      <c r="B773" s="13" t="str">
        <f>IFERROR(VLOOKUP($F773,scan!A:C,3,0),"**")</f>
        <v>**</v>
      </c>
      <c r="C773" s="42">
        <v>772</v>
      </c>
      <c r="D773" s="42" t="s">
        <v>4936</v>
      </c>
      <c r="E773" s="42" t="s">
        <v>4937</v>
      </c>
      <c r="H773" s="42" t="s">
        <v>4936</v>
      </c>
      <c r="I773" s="42" t="s">
        <v>4938</v>
      </c>
      <c r="J773" s="42" t="s">
        <v>4939</v>
      </c>
      <c r="K773" s="42" t="e">
        <f>VLOOKUP(F773,Input!C:M,9,0)</f>
        <v>#N/A</v>
      </c>
      <c r="L773" s="42" t="e">
        <f>VLOOKUP(F773,Input!C:M,10,0)</f>
        <v>#N/A</v>
      </c>
      <c r="M773" s="42" t="e">
        <f>VLOOKUP(F773,Input!C:M,11,0)</f>
        <v>#N/A</v>
      </c>
      <c r="N773" s="43" t="str">
        <f t="shared" si="12"/>
        <v>772,772,**</v>
      </c>
      <c r="O773" s="42">
        <v>772</v>
      </c>
    </row>
    <row r="774" spans="1:15" ht="14.25">
      <c r="A774" s="13" t="str">
        <f>IFERROR(VLOOKUP($F:$F,scan!$A:$B,2,0),"**")</f>
        <v>**</v>
      </c>
      <c r="B774" s="13" t="str">
        <f>IFERROR(VLOOKUP($F774,scan!A:C,3,0),"**")</f>
        <v>**</v>
      </c>
      <c r="C774" s="42">
        <v>773</v>
      </c>
      <c r="D774" s="42" t="s">
        <v>4936</v>
      </c>
      <c r="E774" s="42" t="s">
        <v>4937</v>
      </c>
      <c r="H774" s="42" t="s">
        <v>4936</v>
      </c>
      <c r="I774" s="42" t="s">
        <v>4938</v>
      </c>
      <c r="J774" s="42" t="s">
        <v>4939</v>
      </c>
      <c r="K774" s="42" t="e">
        <f>VLOOKUP(F774,Input!C:M,9,0)</f>
        <v>#N/A</v>
      </c>
      <c r="L774" s="42" t="e">
        <f>VLOOKUP(F774,Input!C:M,10,0)</f>
        <v>#N/A</v>
      </c>
      <c r="M774" s="42" t="e">
        <f>VLOOKUP(F774,Input!C:M,11,0)</f>
        <v>#N/A</v>
      </c>
      <c r="N774" s="43" t="str">
        <f t="shared" si="12"/>
        <v>773,773,**</v>
      </c>
      <c r="O774" s="42">
        <v>773</v>
      </c>
    </row>
    <row r="775" spans="1:15" ht="14.25">
      <c r="A775" s="13" t="str">
        <f>IFERROR(VLOOKUP($F:$F,scan!$A:$B,2,0),"**")</f>
        <v>**</v>
      </c>
      <c r="B775" s="13" t="str">
        <f>IFERROR(VLOOKUP($F775,scan!A:C,3,0),"**")</f>
        <v>**</v>
      </c>
      <c r="C775" s="42">
        <v>774</v>
      </c>
      <c r="D775" s="42" t="s">
        <v>4936</v>
      </c>
      <c r="E775" s="42" t="s">
        <v>4937</v>
      </c>
      <c r="H775" s="42" t="s">
        <v>4936</v>
      </c>
      <c r="I775" s="42" t="s">
        <v>4938</v>
      </c>
      <c r="J775" s="42" t="s">
        <v>4939</v>
      </c>
      <c r="K775" s="42" t="e">
        <f>VLOOKUP(F775,Input!C:M,9,0)</f>
        <v>#N/A</v>
      </c>
      <c r="L775" s="42" t="e">
        <f>VLOOKUP(F775,Input!C:M,10,0)</f>
        <v>#N/A</v>
      </c>
      <c r="M775" s="42" t="e">
        <f>VLOOKUP(F775,Input!C:M,11,0)</f>
        <v>#N/A</v>
      </c>
      <c r="N775" s="43" t="str">
        <f t="shared" si="12"/>
        <v>774,774,**</v>
      </c>
      <c r="O775" s="42">
        <v>774</v>
      </c>
    </row>
    <row r="776" spans="1:15" ht="14.25">
      <c r="A776" s="13" t="str">
        <f>IFERROR(VLOOKUP($F:$F,scan!$A:$B,2,0),"**")</f>
        <v>**</v>
      </c>
      <c r="B776" s="13" t="str">
        <f>IFERROR(VLOOKUP($F776,scan!A:C,3,0),"**")</f>
        <v>**</v>
      </c>
      <c r="C776" s="42">
        <v>775</v>
      </c>
      <c r="D776" s="42" t="s">
        <v>4936</v>
      </c>
      <c r="E776" s="42" t="s">
        <v>4937</v>
      </c>
      <c r="H776" s="42" t="s">
        <v>4936</v>
      </c>
      <c r="I776" s="42" t="s">
        <v>4938</v>
      </c>
      <c r="J776" s="42" t="s">
        <v>4939</v>
      </c>
      <c r="K776" s="42" t="e">
        <f>VLOOKUP(F776,Input!C:M,9,0)</f>
        <v>#N/A</v>
      </c>
      <c r="L776" s="42" t="e">
        <f>VLOOKUP(F776,Input!C:M,10,0)</f>
        <v>#N/A</v>
      </c>
      <c r="M776" s="42" t="e">
        <f>VLOOKUP(F776,Input!C:M,11,0)</f>
        <v>#N/A</v>
      </c>
      <c r="N776" s="43" t="str">
        <f t="shared" si="12"/>
        <v>775,775,**</v>
      </c>
      <c r="O776" s="42">
        <v>775</v>
      </c>
    </row>
    <row r="777" spans="1:15" ht="14.25">
      <c r="A777" s="13" t="str">
        <f>IFERROR(VLOOKUP($F:$F,scan!$A:$B,2,0),"**")</f>
        <v>**</v>
      </c>
      <c r="B777" s="13" t="str">
        <f>IFERROR(VLOOKUP($F777,scan!A:C,3,0),"**")</f>
        <v>**</v>
      </c>
      <c r="C777" s="42">
        <v>776</v>
      </c>
      <c r="D777" s="42" t="s">
        <v>4936</v>
      </c>
      <c r="E777" s="42" t="s">
        <v>4937</v>
      </c>
      <c r="H777" s="42" t="s">
        <v>4936</v>
      </c>
      <c r="I777" s="42" t="s">
        <v>4938</v>
      </c>
      <c r="J777" s="42" t="s">
        <v>4939</v>
      </c>
      <c r="K777" s="42" t="e">
        <f>VLOOKUP(F777,Input!C:M,9,0)</f>
        <v>#N/A</v>
      </c>
      <c r="L777" s="42" t="e">
        <f>VLOOKUP(F777,Input!C:M,10,0)</f>
        <v>#N/A</v>
      </c>
      <c r="M777" s="42" t="e">
        <f>VLOOKUP(F777,Input!C:M,11,0)</f>
        <v>#N/A</v>
      </c>
      <c r="N777" s="43" t="str">
        <f t="shared" si="12"/>
        <v>776,776,**</v>
      </c>
      <c r="O777" s="42">
        <v>776</v>
      </c>
    </row>
    <row r="778" spans="1:15" ht="14.25">
      <c r="A778" s="13" t="str">
        <f>IFERROR(VLOOKUP($F:$F,scan!$A:$B,2,0),"**")</f>
        <v>**</v>
      </c>
      <c r="B778" s="13" t="str">
        <f>IFERROR(VLOOKUP($F778,scan!A:C,3,0),"**")</f>
        <v>**</v>
      </c>
      <c r="C778" s="42">
        <v>777</v>
      </c>
      <c r="D778" s="42" t="s">
        <v>4936</v>
      </c>
      <c r="E778" s="42" t="s">
        <v>4937</v>
      </c>
      <c r="H778" s="42" t="s">
        <v>4936</v>
      </c>
      <c r="I778" s="42" t="s">
        <v>4938</v>
      </c>
      <c r="J778" s="42" t="s">
        <v>4939</v>
      </c>
      <c r="K778" s="42" t="e">
        <f>VLOOKUP(F778,Input!C:M,9,0)</f>
        <v>#N/A</v>
      </c>
      <c r="L778" s="42" t="e">
        <f>VLOOKUP(F778,Input!C:M,10,0)</f>
        <v>#N/A</v>
      </c>
      <c r="M778" s="42" t="e">
        <f>VLOOKUP(F778,Input!C:M,11,0)</f>
        <v>#N/A</v>
      </c>
      <c r="N778" s="43" t="str">
        <f t="shared" si="12"/>
        <v>777,777,**</v>
      </c>
      <c r="O778" s="42">
        <v>777</v>
      </c>
    </row>
    <row r="779" spans="1:15" ht="14.25">
      <c r="A779" s="13" t="str">
        <f>IFERROR(VLOOKUP($F:$F,scan!$A:$B,2,0),"**")</f>
        <v>**</v>
      </c>
      <c r="B779" s="13" t="str">
        <f>IFERROR(VLOOKUP($F779,scan!A:C,3,0),"**")</f>
        <v>**</v>
      </c>
      <c r="C779" s="42">
        <v>778</v>
      </c>
      <c r="D779" s="42" t="s">
        <v>4936</v>
      </c>
      <c r="E779" s="42" t="s">
        <v>4937</v>
      </c>
      <c r="H779" s="42" t="s">
        <v>4936</v>
      </c>
      <c r="I779" s="42" t="s">
        <v>4938</v>
      </c>
      <c r="J779" s="42" t="s">
        <v>4939</v>
      </c>
      <c r="K779" s="42" t="e">
        <f>VLOOKUP(F779,Input!C:M,9,0)</f>
        <v>#N/A</v>
      </c>
      <c r="L779" s="42" t="e">
        <f>VLOOKUP(F779,Input!C:M,10,0)</f>
        <v>#N/A</v>
      </c>
      <c r="M779" s="42" t="e">
        <f>VLOOKUP(F779,Input!C:M,11,0)</f>
        <v>#N/A</v>
      </c>
      <c r="N779" s="43" t="str">
        <f t="shared" si="12"/>
        <v>778,778,**</v>
      </c>
      <c r="O779" s="42">
        <v>778</v>
      </c>
    </row>
    <row r="780" spans="1:15" ht="14.25">
      <c r="A780" s="13" t="str">
        <f>IFERROR(VLOOKUP($F:$F,scan!$A:$B,2,0),"**")</f>
        <v>**</v>
      </c>
      <c r="B780" s="13" t="str">
        <f>IFERROR(VLOOKUP($F780,scan!A:C,3,0),"**")</f>
        <v>**</v>
      </c>
      <c r="C780" s="42">
        <v>779</v>
      </c>
      <c r="D780" s="42" t="s">
        <v>4936</v>
      </c>
      <c r="E780" s="42" t="s">
        <v>4937</v>
      </c>
      <c r="H780" s="42" t="s">
        <v>4936</v>
      </c>
      <c r="I780" s="42" t="s">
        <v>4938</v>
      </c>
      <c r="J780" s="42" t="s">
        <v>4939</v>
      </c>
      <c r="K780" s="42" t="e">
        <f>VLOOKUP(F780,Input!C:M,9,0)</f>
        <v>#N/A</v>
      </c>
      <c r="L780" s="42" t="e">
        <f>VLOOKUP(F780,Input!C:M,10,0)</f>
        <v>#N/A</v>
      </c>
      <c r="M780" s="42" t="e">
        <f>VLOOKUP(F780,Input!C:M,11,0)</f>
        <v>#N/A</v>
      </c>
      <c r="N780" s="43" t="str">
        <f t="shared" si="12"/>
        <v>779,779,**</v>
      </c>
      <c r="O780" s="42">
        <v>779</v>
      </c>
    </row>
    <row r="781" spans="1:15" ht="14.25">
      <c r="A781" s="13" t="str">
        <f>IFERROR(VLOOKUP($F:$F,scan!$A:$B,2,0),"**")</f>
        <v>**</v>
      </c>
      <c r="B781" s="13" t="str">
        <f>IFERROR(VLOOKUP($F781,scan!A:C,3,0),"**")</f>
        <v>**</v>
      </c>
      <c r="C781" s="42">
        <v>780</v>
      </c>
      <c r="D781" s="42" t="s">
        <v>4936</v>
      </c>
      <c r="E781" s="42" t="s">
        <v>4937</v>
      </c>
      <c r="H781" s="42" t="s">
        <v>4936</v>
      </c>
      <c r="I781" s="42" t="s">
        <v>4938</v>
      </c>
      <c r="J781" s="42" t="s">
        <v>4939</v>
      </c>
      <c r="K781" s="42" t="e">
        <f>VLOOKUP(F781,Input!C:M,9,0)</f>
        <v>#N/A</v>
      </c>
      <c r="L781" s="42" t="e">
        <f>VLOOKUP(F781,Input!C:M,10,0)</f>
        <v>#N/A</v>
      </c>
      <c r="M781" s="42" t="e">
        <f>VLOOKUP(F781,Input!C:M,11,0)</f>
        <v>#N/A</v>
      </c>
      <c r="N781" s="43" t="str">
        <f t="shared" si="12"/>
        <v>780,780,**</v>
      </c>
      <c r="O781" s="42">
        <v>780</v>
      </c>
    </row>
    <row r="782" spans="1:15" ht="14.25">
      <c r="A782" s="13" t="str">
        <f>IFERROR(VLOOKUP($F:$F,scan!$A:$B,2,0),"**")</f>
        <v>**</v>
      </c>
      <c r="B782" s="13" t="str">
        <f>IFERROR(VLOOKUP($F782,scan!A:C,3,0),"**")</f>
        <v>**</v>
      </c>
      <c r="C782" s="42">
        <v>781</v>
      </c>
      <c r="D782" s="42" t="s">
        <v>4936</v>
      </c>
      <c r="E782" s="42" t="s">
        <v>4937</v>
      </c>
      <c r="H782" s="42" t="s">
        <v>4936</v>
      </c>
      <c r="I782" s="42" t="s">
        <v>4938</v>
      </c>
      <c r="J782" s="42" t="s">
        <v>4939</v>
      </c>
      <c r="K782" s="42" t="e">
        <f>VLOOKUP(F782,Input!C:M,9,0)</f>
        <v>#N/A</v>
      </c>
      <c r="L782" s="42" t="e">
        <f>VLOOKUP(F782,Input!C:M,10,0)</f>
        <v>#N/A</v>
      </c>
      <c r="M782" s="42" t="e">
        <f>VLOOKUP(F782,Input!C:M,11,0)</f>
        <v>#N/A</v>
      </c>
      <c r="N782" s="43" t="str">
        <f t="shared" si="12"/>
        <v>781,781,**</v>
      </c>
      <c r="O782" s="42">
        <v>781</v>
      </c>
    </row>
    <row r="783" spans="1:15" ht="14.25">
      <c r="A783" s="13" t="str">
        <f>IFERROR(VLOOKUP($F:$F,scan!$A:$B,2,0),"**")</f>
        <v>**</v>
      </c>
      <c r="B783" s="13" t="str">
        <f>IFERROR(VLOOKUP($F783,scan!A:C,3,0),"**")</f>
        <v>**</v>
      </c>
      <c r="C783" s="42">
        <v>782</v>
      </c>
      <c r="D783" s="42" t="s">
        <v>4936</v>
      </c>
      <c r="E783" s="42" t="s">
        <v>4937</v>
      </c>
      <c r="H783" s="42" t="s">
        <v>4936</v>
      </c>
      <c r="I783" s="42" t="s">
        <v>4938</v>
      </c>
      <c r="J783" s="42" t="s">
        <v>4939</v>
      </c>
      <c r="K783" s="42" t="e">
        <f>VLOOKUP(F783,Input!C:M,9,0)</f>
        <v>#N/A</v>
      </c>
      <c r="L783" s="42" t="e">
        <f>VLOOKUP(F783,Input!C:M,10,0)</f>
        <v>#N/A</v>
      </c>
      <c r="M783" s="42" t="e">
        <f>VLOOKUP(F783,Input!C:M,11,0)</f>
        <v>#N/A</v>
      </c>
      <c r="N783" s="43" t="str">
        <f t="shared" si="12"/>
        <v>782,782,**</v>
      </c>
      <c r="O783" s="42">
        <v>782</v>
      </c>
    </row>
    <row r="784" spans="1:15" ht="14.25">
      <c r="A784" s="13" t="str">
        <f>IFERROR(VLOOKUP($F:$F,scan!$A:$B,2,0),"**")</f>
        <v>**</v>
      </c>
      <c r="B784" s="13" t="str">
        <f>IFERROR(VLOOKUP($F784,scan!A:C,3,0),"**")</f>
        <v>**</v>
      </c>
      <c r="C784" s="42">
        <v>783</v>
      </c>
      <c r="D784" s="42" t="s">
        <v>4936</v>
      </c>
      <c r="E784" s="42" t="s">
        <v>4937</v>
      </c>
      <c r="H784" s="42" t="s">
        <v>4936</v>
      </c>
      <c r="I784" s="42" t="s">
        <v>4938</v>
      </c>
      <c r="J784" s="42" t="s">
        <v>4939</v>
      </c>
      <c r="K784" s="42" t="e">
        <f>VLOOKUP(F784,Input!C:M,9,0)</f>
        <v>#N/A</v>
      </c>
      <c r="L784" s="42" t="e">
        <f>VLOOKUP(F784,Input!C:M,10,0)</f>
        <v>#N/A</v>
      </c>
      <c r="M784" s="42" t="e">
        <f>VLOOKUP(F784,Input!C:M,11,0)</f>
        <v>#N/A</v>
      </c>
      <c r="N784" s="43" t="str">
        <f t="shared" si="12"/>
        <v>783,783,**</v>
      </c>
      <c r="O784" s="42">
        <v>783</v>
      </c>
    </row>
    <row r="785" spans="1:15" ht="14.25">
      <c r="A785" s="13" t="str">
        <f>IFERROR(VLOOKUP($F:$F,scan!$A:$B,2,0),"**")</f>
        <v>**</v>
      </c>
      <c r="B785" s="13" t="str">
        <f>IFERROR(VLOOKUP($F785,scan!A:C,3,0),"**")</f>
        <v>**</v>
      </c>
      <c r="C785" s="42">
        <v>784</v>
      </c>
      <c r="D785" s="42" t="s">
        <v>4936</v>
      </c>
      <c r="E785" s="42" t="s">
        <v>4937</v>
      </c>
      <c r="H785" s="42" t="s">
        <v>4936</v>
      </c>
      <c r="I785" s="42" t="s">
        <v>4938</v>
      </c>
      <c r="J785" s="42" t="s">
        <v>4939</v>
      </c>
      <c r="K785" s="42" t="e">
        <f>VLOOKUP(F785,Input!C:M,9,0)</f>
        <v>#N/A</v>
      </c>
      <c r="L785" s="42" t="e">
        <f>VLOOKUP(F785,Input!C:M,10,0)</f>
        <v>#N/A</v>
      </c>
      <c r="M785" s="42" t="e">
        <f>VLOOKUP(F785,Input!C:M,11,0)</f>
        <v>#N/A</v>
      </c>
      <c r="N785" s="43" t="str">
        <f t="shared" si="12"/>
        <v>784,784,**</v>
      </c>
      <c r="O785" s="42">
        <v>784</v>
      </c>
    </row>
    <row r="786" spans="1:15" ht="14.25">
      <c r="A786" s="13" t="str">
        <f>IFERROR(VLOOKUP($F:$F,scan!$A:$B,2,0),"**")</f>
        <v>**</v>
      </c>
      <c r="B786" s="13" t="str">
        <f>IFERROR(VLOOKUP($F786,scan!A:C,3,0),"**")</f>
        <v>**</v>
      </c>
      <c r="C786" s="42">
        <v>785</v>
      </c>
      <c r="D786" s="42" t="s">
        <v>4936</v>
      </c>
      <c r="E786" s="42" t="s">
        <v>4937</v>
      </c>
      <c r="H786" s="42" t="s">
        <v>4936</v>
      </c>
      <c r="I786" s="42" t="s">
        <v>4938</v>
      </c>
      <c r="J786" s="42" t="s">
        <v>4939</v>
      </c>
      <c r="K786" s="42" t="e">
        <f>VLOOKUP(F786,Input!C:M,9,0)</f>
        <v>#N/A</v>
      </c>
      <c r="L786" s="42" t="e">
        <f>VLOOKUP(F786,Input!C:M,10,0)</f>
        <v>#N/A</v>
      </c>
      <c r="M786" s="42" t="e">
        <f>VLOOKUP(F786,Input!C:M,11,0)</f>
        <v>#N/A</v>
      </c>
      <c r="N786" s="43" t="str">
        <f t="shared" si="12"/>
        <v>785,785,**</v>
      </c>
      <c r="O786" s="42">
        <v>785</v>
      </c>
    </row>
    <row r="787" spans="1:15" ht="14.25">
      <c r="A787" s="13" t="str">
        <f>IFERROR(VLOOKUP($F:$F,scan!$A:$B,2,0),"**")</f>
        <v>**</v>
      </c>
      <c r="B787" s="13" t="str">
        <f>IFERROR(VLOOKUP($F787,scan!A:C,3,0),"**")</f>
        <v>**</v>
      </c>
      <c r="C787" s="42">
        <v>786</v>
      </c>
      <c r="D787" s="42" t="s">
        <v>4936</v>
      </c>
      <c r="E787" s="42" t="s">
        <v>4937</v>
      </c>
      <c r="H787" s="42" t="s">
        <v>4936</v>
      </c>
      <c r="I787" s="42" t="s">
        <v>4938</v>
      </c>
      <c r="J787" s="42" t="s">
        <v>4939</v>
      </c>
      <c r="K787" s="42" t="e">
        <f>VLOOKUP(F787,Input!C:M,9,0)</f>
        <v>#N/A</v>
      </c>
      <c r="L787" s="42" t="e">
        <f>VLOOKUP(F787,Input!C:M,10,0)</f>
        <v>#N/A</v>
      </c>
      <c r="M787" s="42" t="e">
        <f>VLOOKUP(F787,Input!C:M,11,0)</f>
        <v>#N/A</v>
      </c>
      <c r="N787" s="43" t="str">
        <f t="shared" si="12"/>
        <v>786,786,**</v>
      </c>
      <c r="O787" s="42">
        <v>786</v>
      </c>
    </row>
    <row r="788" spans="1:15" ht="14.25">
      <c r="A788" s="13" t="str">
        <f>IFERROR(VLOOKUP($F:$F,scan!$A:$B,2,0),"**")</f>
        <v>**</v>
      </c>
      <c r="B788" s="13" t="str">
        <f>IFERROR(VLOOKUP($F788,scan!A:C,3,0),"**")</f>
        <v>**</v>
      </c>
      <c r="C788" s="42">
        <v>787</v>
      </c>
      <c r="D788" s="42" t="s">
        <v>4936</v>
      </c>
      <c r="E788" s="42" t="s">
        <v>4937</v>
      </c>
      <c r="H788" s="42" t="s">
        <v>4936</v>
      </c>
      <c r="I788" s="42" t="s">
        <v>4938</v>
      </c>
      <c r="J788" s="42" t="s">
        <v>4939</v>
      </c>
      <c r="K788" s="42" t="e">
        <f>VLOOKUP(F788,Input!C:M,9,0)</f>
        <v>#N/A</v>
      </c>
      <c r="L788" s="42" t="e">
        <f>VLOOKUP(F788,Input!C:M,10,0)</f>
        <v>#N/A</v>
      </c>
      <c r="M788" s="42" t="e">
        <f>VLOOKUP(F788,Input!C:M,11,0)</f>
        <v>#N/A</v>
      </c>
      <c r="N788" s="43" t="str">
        <f t="shared" si="12"/>
        <v>787,787,**</v>
      </c>
      <c r="O788" s="42">
        <v>787</v>
      </c>
    </row>
    <row r="789" spans="1:15" ht="14.25">
      <c r="A789" s="13" t="str">
        <f>IFERROR(VLOOKUP($F:$F,scan!$A:$B,2,0),"**")</f>
        <v>**</v>
      </c>
      <c r="B789" s="13" t="str">
        <f>IFERROR(VLOOKUP($F789,scan!A:C,3,0),"**")</f>
        <v>**</v>
      </c>
      <c r="C789" s="42">
        <v>788</v>
      </c>
      <c r="D789" s="42" t="s">
        <v>4936</v>
      </c>
      <c r="E789" s="42" t="s">
        <v>4937</v>
      </c>
      <c r="H789" s="42" t="s">
        <v>4936</v>
      </c>
      <c r="I789" s="42" t="s">
        <v>4938</v>
      </c>
      <c r="J789" s="42" t="s">
        <v>4939</v>
      </c>
      <c r="K789" s="42" t="e">
        <f>VLOOKUP(F789,Input!C:M,9,0)</f>
        <v>#N/A</v>
      </c>
      <c r="L789" s="42" t="e">
        <f>VLOOKUP(F789,Input!C:M,10,0)</f>
        <v>#N/A</v>
      </c>
      <c r="M789" s="42" t="e">
        <f>VLOOKUP(F789,Input!C:M,11,0)</f>
        <v>#N/A</v>
      </c>
      <c r="N789" s="43" t="str">
        <f t="shared" si="12"/>
        <v>788,788,**</v>
      </c>
      <c r="O789" s="42">
        <v>788</v>
      </c>
    </row>
    <row r="790" spans="1:15" ht="14.25">
      <c r="A790" s="13" t="str">
        <f>IFERROR(VLOOKUP($F:$F,scan!$A:$B,2,0),"**")</f>
        <v>**</v>
      </c>
      <c r="B790" s="13" t="str">
        <f>IFERROR(VLOOKUP($F790,scan!A:C,3,0),"**")</f>
        <v>**</v>
      </c>
      <c r="C790" s="42">
        <v>789</v>
      </c>
      <c r="D790" s="42" t="s">
        <v>4936</v>
      </c>
      <c r="E790" s="42" t="s">
        <v>4937</v>
      </c>
      <c r="H790" s="42" t="s">
        <v>4936</v>
      </c>
      <c r="I790" s="42" t="s">
        <v>4938</v>
      </c>
      <c r="J790" s="42" t="s">
        <v>4939</v>
      </c>
      <c r="K790" s="42" t="e">
        <f>VLOOKUP(F790,Input!C:M,9,0)</f>
        <v>#N/A</v>
      </c>
      <c r="L790" s="42" t="e">
        <f>VLOOKUP(F790,Input!C:M,10,0)</f>
        <v>#N/A</v>
      </c>
      <c r="M790" s="42" t="e">
        <f>VLOOKUP(F790,Input!C:M,11,0)</f>
        <v>#N/A</v>
      </c>
      <c r="N790" s="43" t="str">
        <f t="shared" si="12"/>
        <v>789,789,**</v>
      </c>
      <c r="O790" s="42">
        <v>789</v>
      </c>
    </row>
    <row r="791" spans="1:15" ht="14.25">
      <c r="A791" s="13" t="str">
        <f>IFERROR(VLOOKUP($F:$F,scan!$A:$B,2,0),"**")</f>
        <v>**</v>
      </c>
      <c r="B791" s="13" t="str">
        <f>IFERROR(VLOOKUP($F791,scan!A:C,3,0),"**")</f>
        <v>**</v>
      </c>
      <c r="C791" s="42">
        <v>790</v>
      </c>
      <c r="D791" s="42" t="s">
        <v>4936</v>
      </c>
      <c r="E791" s="42" t="s">
        <v>4937</v>
      </c>
      <c r="H791" s="42" t="s">
        <v>4936</v>
      </c>
      <c r="I791" s="42" t="s">
        <v>4938</v>
      </c>
      <c r="J791" s="42" t="s">
        <v>4939</v>
      </c>
      <c r="K791" s="42" t="e">
        <f>VLOOKUP(F791,Input!C:M,9,0)</f>
        <v>#N/A</v>
      </c>
      <c r="L791" s="42" t="e">
        <f>VLOOKUP(F791,Input!C:M,10,0)</f>
        <v>#N/A</v>
      </c>
      <c r="M791" s="42" t="e">
        <f>VLOOKUP(F791,Input!C:M,11,0)</f>
        <v>#N/A</v>
      </c>
      <c r="N791" s="43" t="str">
        <f t="shared" si="12"/>
        <v>790,790,**</v>
      </c>
      <c r="O791" s="42">
        <v>790</v>
      </c>
    </row>
    <row r="792" spans="1:15" ht="14.25">
      <c r="A792" s="13" t="str">
        <f>IFERROR(VLOOKUP($F:$F,scan!$A:$B,2,0),"**")</f>
        <v>**</v>
      </c>
      <c r="B792" s="13" t="str">
        <f>IFERROR(VLOOKUP($F792,scan!A:C,3,0),"**")</f>
        <v>**</v>
      </c>
      <c r="C792" s="42">
        <v>791</v>
      </c>
      <c r="D792" s="42" t="s">
        <v>4936</v>
      </c>
      <c r="E792" s="42" t="s">
        <v>4937</v>
      </c>
      <c r="H792" s="42" t="s">
        <v>4936</v>
      </c>
      <c r="I792" s="42" t="s">
        <v>4938</v>
      </c>
      <c r="J792" s="42" t="s">
        <v>4939</v>
      </c>
      <c r="K792" s="42" t="e">
        <f>VLOOKUP(F792,Input!C:M,9,0)</f>
        <v>#N/A</v>
      </c>
      <c r="L792" s="42" t="e">
        <f>VLOOKUP(F792,Input!C:M,10,0)</f>
        <v>#N/A</v>
      </c>
      <c r="M792" s="42" t="e">
        <f>VLOOKUP(F792,Input!C:M,11,0)</f>
        <v>#N/A</v>
      </c>
      <c r="N792" s="43" t="str">
        <f t="shared" si="12"/>
        <v>791,791,**</v>
      </c>
      <c r="O792" s="42">
        <v>791</v>
      </c>
    </row>
    <row r="793" spans="1:15" ht="14.25">
      <c r="A793" s="13" t="str">
        <f>IFERROR(VLOOKUP($F:$F,scan!$A:$B,2,0),"**")</f>
        <v>**</v>
      </c>
      <c r="B793" s="13" t="str">
        <f>IFERROR(VLOOKUP($F793,scan!A:C,3,0),"**")</f>
        <v>**</v>
      </c>
      <c r="C793" s="42">
        <v>792</v>
      </c>
      <c r="D793" s="42" t="s">
        <v>4936</v>
      </c>
      <c r="E793" s="42" t="s">
        <v>4937</v>
      </c>
      <c r="H793" s="42" t="s">
        <v>4936</v>
      </c>
      <c r="I793" s="42" t="s">
        <v>4938</v>
      </c>
      <c r="J793" s="42" t="s">
        <v>4939</v>
      </c>
      <c r="K793" s="42" t="e">
        <f>VLOOKUP(F793,Input!C:M,9,0)</f>
        <v>#N/A</v>
      </c>
      <c r="L793" s="42" t="e">
        <f>VLOOKUP(F793,Input!C:M,10,0)</f>
        <v>#N/A</v>
      </c>
      <c r="M793" s="42" t="e">
        <f>VLOOKUP(F793,Input!C:M,11,0)</f>
        <v>#N/A</v>
      </c>
      <c r="N793" s="43" t="str">
        <f t="shared" si="12"/>
        <v>792,792,**</v>
      </c>
      <c r="O793" s="42">
        <v>792</v>
      </c>
    </row>
    <row r="794" spans="1:15" ht="14.25">
      <c r="A794" s="13" t="str">
        <f>IFERROR(VLOOKUP($F:$F,scan!$A:$B,2,0),"**")</f>
        <v>**</v>
      </c>
      <c r="B794" s="13" t="str">
        <f>IFERROR(VLOOKUP($F794,scan!A:C,3,0),"**")</f>
        <v>**</v>
      </c>
      <c r="C794" s="42">
        <v>793</v>
      </c>
      <c r="D794" s="42" t="s">
        <v>4936</v>
      </c>
      <c r="E794" s="42" t="s">
        <v>4937</v>
      </c>
      <c r="H794" s="42" t="s">
        <v>4936</v>
      </c>
      <c r="I794" s="42" t="s">
        <v>4938</v>
      </c>
      <c r="J794" s="42" t="s">
        <v>4939</v>
      </c>
      <c r="K794" s="42" t="e">
        <f>VLOOKUP(F794,Input!C:M,9,0)</f>
        <v>#N/A</v>
      </c>
      <c r="L794" s="42" t="e">
        <f>VLOOKUP(F794,Input!C:M,10,0)</f>
        <v>#N/A</v>
      </c>
      <c r="M794" s="42" t="e">
        <f>VLOOKUP(F794,Input!C:M,11,0)</f>
        <v>#N/A</v>
      </c>
      <c r="N794" s="43" t="str">
        <f t="shared" si="12"/>
        <v>793,793,**</v>
      </c>
      <c r="O794" s="42">
        <v>793</v>
      </c>
    </row>
    <row r="795" spans="1:15" ht="14.25">
      <c r="A795" s="13" t="str">
        <f>IFERROR(VLOOKUP($F:$F,scan!$A:$B,2,0),"**")</f>
        <v>**</v>
      </c>
      <c r="B795" s="13" t="str">
        <f>IFERROR(VLOOKUP($F795,scan!A:C,3,0),"**")</f>
        <v>**</v>
      </c>
      <c r="C795" s="42">
        <v>794</v>
      </c>
      <c r="D795" s="42" t="s">
        <v>4936</v>
      </c>
      <c r="E795" s="42" t="s">
        <v>4937</v>
      </c>
      <c r="H795" s="42" t="s">
        <v>4936</v>
      </c>
      <c r="I795" s="42" t="s">
        <v>4938</v>
      </c>
      <c r="J795" s="42" t="s">
        <v>4939</v>
      </c>
      <c r="K795" s="42" t="e">
        <f>VLOOKUP(F795,Input!C:M,9,0)</f>
        <v>#N/A</v>
      </c>
      <c r="L795" s="42" t="e">
        <f>VLOOKUP(F795,Input!C:M,10,0)</f>
        <v>#N/A</v>
      </c>
      <c r="M795" s="42" t="e">
        <f>VLOOKUP(F795,Input!C:M,11,0)</f>
        <v>#N/A</v>
      </c>
      <c r="N795" s="43" t="str">
        <f t="shared" si="12"/>
        <v>794,794,**</v>
      </c>
      <c r="O795" s="42">
        <v>794</v>
      </c>
    </row>
    <row r="796" spans="1:15" ht="14.25">
      <c r="A796" s="13" t="str">
        <f>IFERROR(VLOOKUP($F:$F,scan!$A:$B,2,0),"**")</f>
        <v>**</v>
      </c>
      <c r="B796" s="13" t="str">
        <f>IFERROR(VLOOKUP($F796,scan!A:C,3,0),"**")</f>
        <v>**</v>
      </c>
      <c r="C796" s="42">
        <v>795</v>
      </c>
      <c r="D796" s="42" t="s">
        <v>4936</v>
      </c>
      <c r="E796" s="42" t="s">
        <v>4937</v>
      </c>
      <c r="H796" s="42" t="s">
        <v>4936</v>
      </c>
      <c r="I796" s="42" t="s">
        <v>4938</v>
      </c>
      <c r="J796" s="42" t="s">
        <v>4939</v>
      </c>
      <c r="K796" s="42" t="e">
        <f>VLOOKUP(F796,Input!C:M,9,0)</f>
        <v>#N/A</v>
      </c>
      <c r="L796" s="42" t="e">
        <f>VLOOKUP(F796,Input!C:M,10,0)</f>
        <v>#N/A</v>
      </c>
      <c r="M796" s="42" t="e">
        <f>VLOOKUP(F796,Input!C:M,11,0)</f>
        <v>#N/A</v>
      </c>
      <c r="N796" s="43" t="str">
        <f t="shared" si="12"/>
        <v>795,795,**</v>
      </c>
      <c r="O796" s="42">
        <v>795</v>
      </c>
    </row>
    <row r="797" spans="1:15" ht="14.25">
      <c r="A797" s="13" t="str">
        <f>IFERROR(VLOOKUP($F:$F,scan!$A:$B,2,0),"**")</f>
        <v>**</v>
      </c>
      <c r="B797" s="13" t="str">
        <f>IFERROR(VLOOKUP($F797,scan!A:C,3,0),"**")</f>
        <v>**</v>
      </c>
      <c r="C797" s="42">
        <v>796</v>
      </c>
      <c r="D797" s="42" t="s">
        <v>4936</v>
      </c>
      <c r="E797" s="42" t="s">
        <v>4937</v>
      </c>
      <c r="H797" s="42" t="s">
        <v>4936</v>
      </c>
      <c r="I797" s="42" t="s">
        <v>4938</v>
      </c>
      <c r="J797" s="42" t="s">
        <v>4939</v>
      </c>
      <c r="K797" s="42" t="e">
        <f>VLOOKUP(F797,Input!C:M,9,0)</f>
        <v>#N/A</v>
      </c>
      <c r="L797" s="42" t="e">
        <f>VLOOKUP(F797,Input!C:M,10,0)</f>
        <v>#N/A</v>
      </c>
      <c r="M797" s="42" t="e">
        <f>VLOOKUP(F797,Input!C:M,11,0)</f>
        <v>#N/A</v>
      </c>
      <c r="N797" s="43" t="str">
        <f t="shared" si="12"/>
        <v>796,796,**</v>
      </c>
      <c r="O797" s="42">
        <v>796</v>
      </c>
    </row>
    <row r="798" spans="1:15" ht="14.25">
      <c r="A798" s="13" t="str">
        <f>IFERROR(VLOOKUP($F:$F,scan!$A:$B,2,0),"**")</f>
        <v>**</v>
      </c>
      <c r="B798" s="13" t="str">
        <f>IFERROR(VLOOKUP($F798,scan!A:C,3,0),"**")</f>
        <v>**</v>
      </c>
      <c r="C798" s="42">
        <v>797</v>
      </c>
      <c r="D798" s="42" t="s">
        <v>4936</v>
      </c>
      <c r="E798" s="42" t="s">
        <v>4937</v>
      </c>
      <c r="H798" s="42" t="s">
        <v>4936</v>
      </c>
      <c r="I798" s="42" t="s">
        <v>4938</v>
      </c>
      <c r="J798" s="42" t="s">
        <v>4939</v>
      </c>
      <c r="K798" s="42" t="e">
        <f>VLOOKUP(F798,Input!C:M,9,0)</f>
        <v>#N/A</v>
      </c>
      <c r="L798" s="42" t="e">
        <f>VLOOKUP(F798,Input!C:M,10,0)</f>
        <v>#N/A</v>
      </c>
      <c r="M798" s="42" t="e">
        <f>VLOOKUP(F798,Input!C:M,11,0)</f>
        <v>#N/A</v>
      </c>
      <c r="N798" s="43" t="str">
        <f t="shared" si="12"/>
        <v>797,797,**</v>
      </c>
      <c r="O798" s="42">
        <v>797</v>
      </c>
    </row>
    <row r="799" spans="1:15" ht="14.25">
      <c r="A799" s="13" t="str">
        <f>IFERROR(VLOOKUP($F:$F,scan!$A:$B,2,0),"**")</f>
        <v>**</v>
      </c>
      <c r="B799" s="13" t="str">
        <f>IFERROR(VLOOKUP($F799,scan!A:C,3,0),"**")</f>
        <v>**</v>
      </c>
      <c r="C799" s="42">
        <v>798</v>
      </c>
      <c r="D799" s="42" t="s">
        <v>4936</v>
      </c>
      <c r="E799" s="42" t="s">
        <v>4937</v>
      </c>
      <c r="H799" s="42" t="s">
        <v>4936</v>
      </c>
      <c r="I799" s="42" t="s">
        <v>4938</v>
      </c>
      <c r="J799" s="42" t="s">
        <v>4939</v>
      </c>
      <c r="K799" s="42" t="e">
        <f>VLOOKUP(F799,Input!C:M,9,0)</f>
        <v>#N/A</v>
      </c>
      <c r="L799" s="42" t="e">
        <f>VLOOKUP(F799,Input!C:M,10,0)</f>
        <v>#N/A</v>
      </c>
      <c r="M799" s="42" t="e">
        <f>VLOOKUP(F799,Input!C:M,11,0)</f>
        <v>#N/A</v>
      </c>
      <c r="N799" s="43" t="str">
        <f t="shared" si="12"/>
        <v>798,798,**</v>
      </c>
      <c r="O799" s="42">
        <v>798</v>
      </c>
    </row>
    <row r="800" spans="1:15" ht="14.25">
      <c r="A800" s="13" t="str">
        <f>IFERROR(VLOOKUP($F:$F,scan!$A:$B,2,0),"**")</f>
        <v>**</v>
      </c>
      <c r="B800" s="13" t="str">
        <f>IFERROR(VLOOKUP($F800,scan!A:C,3,0),"**")</f>
        <v>**</v>
      </c>
      <c r="C800" s="42">
        <v>799</v>
      </c>
      <c r="D800" s="42" t="s">
        <v>4936</v>
      </c>
      <c r="E800" s="42" t="s">
        <v>4937</v>
      </c>
      <c r="H800" s="42" t="s">
        <v>4936</v>
      </c>
      <c r="I800" s="42" t="s">
        <v>4938</v>
      </c>
      <c r="J800" s="42" t="s">
        <v>4939</v>
      </c>
      <c r="K800" s="42" t="e">
        <f>VLOOKUP(F800,Input!C:M,9,0)</f>
        <v>#N/A</v>
      </c>
      <c r="L800" s="42" t="e">
        <f>VLOOKUP(F800,Input!C:M,10,0)</f>
        <v>#N/A</v>
      </c>
      <c r="M800" s="42" t="e">
        <f>VLOOKUP(F800,Input!C:M,11,0)</f>
        <v>#N/A</v>
      </c>
      <c r="N800" s="43" t="str">
        <f t="shared" si="12"/>
        <v>799,799,**</v>
      </c>
      <c r="O800" s="42">
        <v>799</v>
      </c>
    </row>
  </sheetData>
  <phoneticPr fontId="47" type="noConversion"/>
  <conditionalFormatting sqref="F2:F8">
    <cfRule type="duplicateValues" dxfId="239" priority="20"/>
    <cfRule type="duplicateValues" dxfId="238" priority="21"/>
    <cfRule type="duplicateValues" dxfId="237" priority="22" stopIfTrue="1"/>
    <cfRule type="duplicateValues" dxfId="236" priority="23" stopIfTrue="1"/>
    <cfRule type="duplicateValues" dxfId="235" priority="24" stopIfTrue="1"/>
    <cfRule type="duplicateValues" dxfId="234" priority="25" stopIfTrue="1"/>
    <cfRule type="duplicateValues" dxfId="233" priority="26" stopIfTrue="1"/>
    <cfRule type="duplicateValues" dxfId="232" priority="27" stopIfTrue="1"/>
    <cfRule type="duplicateValues" dxfId="231" priority="28" stopIfTrue="1"/>
  </conditionalFormatting>
  <conditionalFormatting sqref="F2:F9">
    <cfRule type="duplicateValues" dxfId="230" priority="3"/>
    <cfRule type="duplicateValues" dxfId="229" priority="6"/>
  </conditionalFormatting>
  <conditionalFormatting sqref="G2:G8">
    <cfRule type="duplicateValues" dxfId="228" priority="7"/>
    <cfRule type="duplicateValues" dxfId="227" priority="8"/>
    <cfRule type="duplicateValues" dxfId="226" priority="10"/>
    <cfRule type="duplicateValues" dxfId="225" priority="11" stopIfTrue="1"/>
    <cfRule type="duplicateValues" dxfId="224" priority="12" stopIfTrue="1"/>
    <cfRule type="duplicateValues" dxfId="223" priority="13" stopIfTrue="1"/>
    <cfRule type="duplicateValues" dxfId="222" priority="14" stopIfTrue="1"/>
    <cfRule type="duplicateValues" dxfId="221" priority="15" stopIfTrue="1"/>
    <cfRule type="duplicateValues" dxfId="220" priority="16" stopIfTrue="1"/>
    <cfRule type="duplicateValues" dxfId="219" priority="17" stopIfTrue="1"/>
    <cfRule type="duplicateValues" dxfId="218" priority="18" stopIfTrue="1"/>
    <cfRule type="duplicateValues" dxfId="217" priority="19"/>
  </conditionalFormatting>
  <conditionalFormatting sqref="G2:G9">
    <cfRule type="duplicateValues" dxfId="216" priority="1"/>
    <cfRule type="duplicateValues" dxfId="215" priority="2"/>
    <cfRule type="duplicateValues" dxfId="214" priority="4"/>
    <cfRule type="duplicateValues" dxfId="213" priority="5"/>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C1125"/>
  <sheetViews>
    <sheetView topLeftCell="A847" workbookViewId="0">
      <selection activeCell="A847" sqref="A1:A1048576"/>
    </sheetView>
  </sheetViews>
  <sheetFormatPr defaultColWidth="9" defaultRowHeight="13.5"/>
  <cols>
    <col min="1" max="1" width="26.125" customWidth="1"/>
    <col min="2" max="3" width="9.125" style="40"/>
    <col min="4" max="16384" width="9" style="1"/>
  </cols>
  <sheetData>
    <row r="1" spans="2:3">
      <c r="B1" s="40" t="s">
        <v>4874</v>
      </c>
      <c r="C1" s="40">
        <f>A1</f>
        <v>0</v>
      </c>
    </row>
    <row r="2" spans="2:3">
      <c r="B2" s="40">
        <v>1</v>
      </c>
      <c r="C2" s="40">
        <f>IF(LEFT(A2,1)="C",A2,C1)</f>
        <v>0</v>
      </c>
    </row>
    <row r="3" spans="2:3">
      <c r="B3" s="40">
        <v>2</v>
      </c>
      <c r="C3" s="40">
        <f t="shared" ref="C3:C66" si="0">IF(LEFT(A3,1)="C",A3,C2)</f>
        <v>0</v>
      </c>
    </row>
    <row r="4" spans="2:3">
      <c r="B4" s="40">
        <v>3</v>
      </c>
      <c r="C4" s="40">
        <f t="shared" si="0"/>
        <v>0</v>
      </c>
    </row>
    <row r="5" spans="2:3">
      <c r="B5" s="40">
        <v>4</v>
      </c>
      <c r="C5" s="40">
        <f t="shared" si="0"/>
        <v>0</v>
      </c>
    </row>
    <row r="6" spans="2:3">
      <c r="B6" s="40">
        <v>5</v>
      </c>
      <c r="C6" s="40">
        <f t="shared" si="0"/>
        <v>0</v>
      </c>
    </row>
    <row r="7" spans="2:3">
      <c r="B7" s="40">
        <v>6</v>
      </c>
      <c r="C7" s="40">
        <f t="shared" si="0"/>
        <v>0</v>
      </c>
    </row>
    <row r="8" spans="2:3">
      <c r="B8" s="40">
        <v>7</v>
      </c>
      <c r="C8" s="40">
        <f t="shared" si="0"/>
        <v>0</v>
      </c>
    </row>
    <row r="9" spans="2:3">
      <c r="B9" s="40">
        <v>8</v>
      </c>
      <c r="C9" s="40">
        <f t="shared" si="0"/>
        <v>0</v>
      </c>
    </row>
    <row r="10" spans="2:3">
      <c r="B10" s="40">
        <v>9</v>
      </c>
      <c r="C10" s="40">
        <f t="shared" si="0"/>
        <v>0</v>
      </c>
    </row>
    <row r="11" spans="2:3">
      <c r="B11" s="40">
        <v>10</v>
      </c>
      <c r="C11" s="40">
        <f t="shared" si="0"/>
        <v>0</v>
      </c>
    </row>
    <row r="12" spans="2:3">
      <c r="B12" s="40">
        <v>11</v>
      </c>
      <c r="C12" s="40">
        <f t="shared" si="0"/>
        <v>0</v>
      </c>
    </row>
    <row r="13" spans="2:3">
      <c r="B13" s="40">
        <v>12</v>
      </c>
      <c r="C13" s="40">
        <f t="shared" si="0"/>
        <v>0</v>
      </c>
    </row>
    <row r="14" spans="2:3">
      <c r="B14" s="40">
        <v>13</v>
      </c>
      <c r="C14" s="40">
        <f t="shared" si="0"/>
        <v>0</v>
      </c>
    </row>
    <row r="15" spans="2:3">
      <c r="B15" s="40">
        <v>14</v>
      </c>
      <c r="C15" s="40">
        <f t="shared" si="0"/>
        <v>0</v>
      </c>
    </row>
    <row r="16" spans="2:3">
      <c r="B16" s="40">
        <v>15</v>
      </c>
      <c r="C16" s="40">
        <f t="shared" si="0"/>
        <v>0</v>
      </c>
    </row>
    <row r="17" spans="2:3">
      <c r="B17" s="40">
        <v>16</v>
      </c>
      <c r="C17" s="40">
        <f t="shared" si="0"/>
        <v>0</v>
      </c>
    </row>
    <row r="18" spans="2:3">
      <c r="B18" s="40">
        <v>17</v>
      </c>
      <c r="C18" s="40">
        <f t="shared" si="0"/>
        <v>0</v>
      </c>
    </row>
    <row r="19" spans="2:3">
      <c r="B19" s="40">
        <v>18</v>
      </c>
      <c r="C19" s="40">
        <f t="shared" si="0"/>
        <v>0</v>
      </c>
    </row>
    <row r="20" spans="2:3">
      <c r="B20" s="40">
        <v>19</v>
      </c>
      <c r="C20" s="40">
        <f t="shared" si="0"/>
        <v>0</v>
      </c>
    </row>
    <row r="21" spans="2:3">
      <c r="B21" s="40">
        <v>20</v>
      </c>
      <c r="C21" s="40">
        <f t="shared" si="0"/>
        <v>0</v>
      </c>
    </row>
    <row r="22" spans="2:3">
      <c r="B22" s="40">
        <v>21</v>
      </c>
      <c r="C22" s="40">
        <f t="shared" si="0"/>
        <v>0</v>
      </c>
    </row>
    <row r="23" spans="2:3">
      <c r="B23" s="40">
        <v>22</v>
      </c>
      <c r="C23" s="40">
        <f t="shared" si="0"/>
        <v>0</v>
      </c>
    </row>
    <row r="24" spans="2:3">
      <c r="B24" s="40">
        <v>23</v>
      </c>
      <c r="C24" s="40">
        <f t="shared" si="0"/>
        <v>0</v>
      </c>
    </row>
    <row r="25" spans="2:3">
      <c r="B25" s="40">
        <v>24</v>
      </c>
      <c r="C25" s="40">
        <f t="shared" si="0"/>
        <v>0</v>
      </c>
    </row>
    <row r="26" spans="2:3">
      <c r="B26" s="40">
        <v>25</v>
      </c>
      <c r="C26" s="40">
        <f t="shared" si="0"/>
        <v>0</v>
      </c>
    </row>
    <row r="27" spans="2:3">
      <c r="B27" s="40">
        <v>26</v>
      </c>
      <c r="C27" s="40">
        <f t="shared" si="0"/>
        <v>0</v>
      </c>
    </row>
    <row r="28" spans="2:3">
      <c r="B28" s="40">
        <v>27</v>
      </c>
      <c r="C28" s="40">
        <f t="shared" si="0"/>
        <v>0</v>
      </c>
    </row>
    <row r="29" spans="2:3">
      <c r="B29" s="40">
        <v>28</v>
      </c>
      <c r="C29" s="40">
        <f t="shared" si="0"/>
        <v>0</v>
      </c>
    </row>
    <row r="30" spans="2:3">
      <c r="B30" s="40">
        <v>29</v>
      </c>
      <c r="C30" s="40">
        <f t="shared" si="0"/>
        <v>0</v>
      </c>
    </row>
    <row r="31" spans="2:3">
      <c r="B31" s="40">
        <v>30</v>
      </c>
      <c r="C31" s="40">
        <f t="shared" si="0"/>
        <v>0</v>
      </c>
    </row>
    <row r="32" spans="2:3">
      <c r="B32" s="40">
        <v>31</v>
      </c>
      <c r="C32" s="40">
        <f t="shared" si="0"/>
        <v>0</v>
      </c>
    </row>
    <row r="33" spans="2:3">
      <c r="B33" s="40">
        <v>32</v>
      </c>
      <c r="C33" s="40">
        <f t="shared" si="0"/>
        <v>0</v>
      </c>
    </row>
    <row r="34" spans="2:3">
      <c r="B34" s="40">
        <v>33</v>
      </c>
      <c r="C34" s="40">
        <f t="shared" si="0"/>
        <v>0</v>
      </c>
    </row>
    <row r="35" spans="2:3">
      <c r="B35" s="40">
        <v>34</v>
      </c>
      <c r="C35" s="40">
        <f t="shared" si="0"/>
        <v>0</v>
      </c>
    </row>
    <row r="36" spans="2:3">
      <c r="B36" s="40">
        <v>35</v>
      </c>
      <c r="C36" s="40">
        <f t="shared" si="0"/>
        <v>0</v>
      </c>
    </row>
    <row r="37" spans="2:3">
      <c r="B37" s="40">
        <v>36</v>
      </c>
      <c r="C37" s="40">
        <f t="shared" si="0"/>
        <v>0</v>
      </c>
    </row>
    <row r="38" spans="2:3">
      <c r="B38" s="40">
        <v>37</v>
      </c>
      <c r="C38" s="40">
        <f t="shared" si="0"/>
        <v>0</v>
      </c>
    </row>
    <row r="39" spans="2:3">
      <c r="B39" s="40">
        <v>38</v>
      </c>
      <c r="C39" s="40">
        <f t="shared" si="0"/>
        <v>0</v>
      </c>
    </row>
    <row r="40" spans="2:3">
      <c r="B40" s="40">
        <v>39</v>
      </c>
      <c r="C40" s="40">
        <f t="shared" si="0"/>
        <v>0</v>
      </c>
    </row>
    <row r="41" spans="2:3">
      <c r="B41" s="40">
        <v>40</v>
      </c>
      <c r="C41" s="40">
        <f t="shared" si="0"/>
        <v>0</v>
      </c>
    </row>
    <row r="42" spans="2:3">
      <c r="B42" s="40">
        <v>41</v>
      </c>
      <c r="C42" s="40">
        <f t="shared" si="0"/>
        <v>0</v>
      </c>
    </row>
    <row r="43" spans="2:3">
      <c r="B43" s="40">
        <v>42</v>
      </c>
      <c r="C43" s="40">
        <f t="shared" si="0"/>
        <v>0</v>
      </c>
    </row>
    <row r="44" spans="2:3">
      <c r="B44" s="40">
        <v>43</v>
      </c>
      <c r="C44" s="40">
        <f t="shared" si="0"/>
        <v>0</v>
      </c>
    </row>
    <row r="45" spans="2:3">
      <c r="B45" s="40">
        <v>44</v>
      </c>
      <c r="C45" s="40">
        <f t="shared" si="0"/>
        <v>0</v>
      </c>
    </row>
    <row r="46" spans="2:3">
      <c r="B46" s="40">
        <v>45</v>
      </c>
      <c r="C46" s="40">
        <f t="shared" si="0"/>
        <v>0</v>
      </c>
    </row>
    <row r="47" spans="2:3">
      <c r="B47" s="40">
        <v>46</v>
      </c>
      <c r="C47" s="40">
        <f t="shared" si="0"/>
        <v>0</v>
      </c>
    </row>
    <row r="48" spans="2:3">
      <c r="B48" s="40">
        <v>47</v>
      </c>
      <c r="C48" s="40">
        <f t="shared" si="0"/>
        <v>0</v>
      </c>
    </row>
    <row r="49" spans="2:3">
      <c r="B49" s="40">
        <v>48</v>
      </c>
      <c r="C49" s="40">
        <f t="shared" si="0"/>
        <v>0</v>
      </c>
    </row>
    <row r="50" spans="2:3">
      <c r="B50" s="40">
        <v>49</v>
      </c>
      <c r="C50" s="40">
        <f t="shared" si="0"/>
        <v>0</v>
      </c>
    </row>
    <row r="51" spans="2:3">
      <c r="B51" s="40">
        <v>50</v>
      </c>
      <c r="C51" s="40">
        <f t="shared" si="0"/>
        <v>0</v>
      </c>
    </row>
    <row r="52" spans="2:3">
      <c r="B52" s="40">
        <v>51</v>
      </c>
      <c r="C52" s="40">
        <f t="shared" si="0"/>
        <v>0</v>
      </c>
    </row>
    <row r="53" spans="2:3">
      <c r="B53" s="40">
        <v>52</v>
      </c>
      <c r="C53" s="40">
        <f t="shared" si="0"/>
        <v>0</v>
      </c>
    </row>
    <row r="54" spans="2:3">
      <c r="B54" s="40">
        <v>53</v>
      </c>
      <c r="C54" s="40">
        <f t="shared" si="0"/>
        <v>0</v>
      </c>
    </row>
    <row r="55" spans="2:3">
      <c r="B55" s="40">
        <v>54</v>
      </c>
      <c r="C55" s="40">
        <f t="shared" si="0"/>
        <v>0</v>
      </c>
    </row>
    <row r="56" spans="2:3">
      <c r="B56" s="40">
        <v>55</v>
      </c>
      <c r="C56" s="40">
        <f t="shared" si="0"/>
        <v>0</v>
      </c>
    </row>
    <row r="57" spans="2:3">
      <c r="B57" s="40">
        <v>56</v>
      </c>
      <c r="C57" s="40">
        <f t="shared" si="0"/>
        <v>0</v>
      </c>
    </row>
    <row r="58" spans="2:3">
      <c r="B58" s="40">
        <v>57</v>
      </c>
      <c r="C58" s="40">
        <f t="shared" si="0"/>
        <v>0</v>
      </c>
    </row>
    <row r="59" spans="2:3">
      <c r="B59" s="40">
        <v>58</v>
      </c>
      <c r="C59" s="40">
        <f t="shared" si="0"/>
        <v>0</v>
      </c>
    </row>
    <row r="60" spans="2:3">
      <c r="B60" s="40">
        <v>59</v>
      </c>
      <c r="C60" s="40">
        <f t="shared" si="0"/>
        <v>0</v>
      </c>
    </row>
    <row r="61" spans="2:3">
      <c r="B61" s="40">
        <v>60</v>
      </c>
      <c r="C61" s="40">
        <f t="shared" si="0"/>
        <v>0</v>
      </c>
    </row>
    <row r="62" spans="2:3">
      <c r="B62" s="40">
        <v>61</v>
      </c>
      <c r="C62" s="40">
        <f t="shared" si="0"/>
        <v>0</v>
      </c>
    </row>
    <row r="63" spans="2:3">
      <c r="B63" s="40">
        <v>62</v>
      </c>
      <c r="C63" s="40">
        <f t="shared" si="0"/>
        <v>0</v>
      </c>
    </row>
    <row r="64" spans="2:3">
      <c r="B64" s="40">
        <v>63</v>
      </c>
      <c r="C64" s="40">
        <f t="shared" si="0"/>
        <v>0</v>
      </c>
    </row>
    <row r="65" spans="2:3">
      <c r="B65" s="40">
        <v>64</v>
      </c>
      <c r="C65" s="40">
        <f t="shared" si="0"/>
        <v>0</v>
      </c>
    </row>
    <row r="66" spans="2:3">
      <c r="B66" s="40">
        <v>65</v>
      </c>
      <c r="C66" s="40">
        <f t="shared" si="0"/>
        <v>0</v>
      </c>
    </row>
    <row r="67" spans="2:3">
      <c r="B67" s="40">
        <v>66</v>
      </c>
      <c r="C67" s="40">
        <f t="shared" ref="C67:C130" si="1">IF(LEFT(A67,1)="C",A67,C66)</f>
        <v>0</v>
      </c>
    </row>
    <row r="68" spans="2:3">
      <c r="B68" s="40">
        <v>67</v>
      </c>
      <c r="C68" s="40">
        <f t="shared" si="1"/>
        <v>0</v>
      </c>
    </row>
    <row r="69" spans="2:3">
      <c r="B69" s="40">
        <v>68</v>
      </c>
      <c r="C69" s="40">
        <f t="shared" si="1"/>
        <v>0</v>
      </c>
    </row>
    <row r="70" spans="2:3">
      <c r="B70" s="40">
        <v>69</v>
      </c>
      <c r="C70" s="40">
        <f t="shared" si="1"/>
        <v>0</v>
      </c>
    </row>
    <row r="71" spans="2:3">
      <c r="B71" s="40">
        <v>70</v>
      </c>
      <c r="C71" s="40">
        <f t="shared" si="1"/>
        <v>0</v>
      </c>
    </row>
    <row r="72" spans="2:3">
      <c r="B72" s="40">
        <v>71</v>
      </c>
      <c r="C72" s="40">
        <f t="shared" si="1"/>
        <v>0</v>
      </c>
    </row>
    <row r="73" spans="2:3">
      <c r="B73" s="40">
        <v>72</v>
      </c>
      <c r="C73" s="40">
        <f t="shared" si="1"/>
        <v>0</v>
      </c>
    </row>
    <row r="74" spans="2:3">
      <c r="B74" s="40">
        <v>73</v>
      </c>
      <c r="C74" s="40">
        <f t="shared" si="1"/>
        <v>0</v>
      </c>
    </row>
    <row r="75" spans="2:3">
      <c r="B75" s="40">
        <v>74</v>
      </c>
      <c r="C75" s="40">
        <f t="shared" si="1"/>
        <v>0</v>
      </c>
    </row>
    <row r="76" spans="2:3">
      <c r="B76" s="40">
        <v>75</v>
      </c>
      <c r="C76" s="40">
        <f t="shared" si="1"/>
        <v>0</v>
      </c>
    </row>
    <row r="77" spans="2:3">
      <c r="B77" s="40">
        <v>76</v>
      </c>
      <c r="C77" s="40">
        <f t="shared" si="1"/>
        <v>0</v>
      </c>
    </row>
    <row r="78" spans="2:3">
      <c r="B78" s="40">
        <v>77</v>
      </c>
      <c r="C78" s="40">
        <f t="shared" si="1"/>
        <v>0</v>
      </c>
    </row>
    <row r="79" spans="2:3">
      <c r="B79" s="40">
        <v>78</v>
      </c>
      <c r="C79" s="40">
        <f t="shared" si="1"/>
        <v>0</v>
      </c>
    </row>
    <row r="80" spans="2:3">
      <c r="B80" s="40">
        <v>79</v>
      </c>
      <c r="C80" s="40">
        <f t="shared" si="1"/>
        <v>0</v>
      </c>
    </row>
    <row r="81" spans="2:3">
      <c r="B81" s="40">
        <v>80</v>
      </c>
      <c r="C81" s="40">
        <f t="shared" si="1"/>
        <v>0</v>
      </c>
    </row>
    <row r="82" spans="2:3">
      <c r="B82" s="40">
        <v>81</v>
      </c>
      <c r="C82" s="40">
        <f t="shared" si="1"/>
        <v>0</v>
      </c>
    </row>
    <row r="83" spans="2:3">
      <c r="B83" s="40">
        <v>82</v>
      </c>
      <c r="C83" s="40">
        <f t="shared" si="1"/>
        <v>0</v>
      </c>
    </row>
    <row r="84" spans="2:3">
      <c r="B84" s="40">
        <v>83</v>
      </c>
      <c r="C84" s="40">
        <f t="shared" si="1"/>
        <v>0</v>
      </c>
    </row>
    <row r="85" spans="2:3">
      <c r="B85" s="40">
        <v>84</v>
      </c>
      <c r="C85" s="40">
        <f t="shared" si="1"/>
        <v>0</v>
      </c>
    </row>
    <row r="86" spans="2:3">
      <c r="B86" s="40">
        <v>85</v>
      </c>
      <c r="C86" s="40">
        <f t="shared" si="1"/>
        <v>0</v>
      </c>
    </row>
    <row r="87" spans="2:3">
      <c r="B87" s="40">
        <v>86</v>
      </c>
      <c r="C87" s="40">
        <f t="shared" si="1"/>
        <v>0</v>
      </c>
    </row>
    <row r="88" spans="2:3">
      <c r="B88" s="40">
        <v>87</v>
      </c>
      <c r="C88" s="40">
        <f t="shared" si="1"/>
        <v>0</v>
      </c>
    </row>
    <row r="89" spans="2:3">
      <c r="B89" s="40">
        <v>88</v>
      </c>
      <c r="C89" s="40">
        <f t="shared" si="1"/>
        <v>0</v>
      </c>
    </row>
    <row r="90" spans="2:3">
      <c r="B90" s="40">
        <v>89</v>
      </c>
      <c r="C90" s="40">
        <f t="shared" si="1"/>
        <v>0</v>
      </c>
    </row>
    <row r="91" spans="2:3">
      <c r="B91" s="40">
        <v>90</v>
      </c>
      <c r="C91" s="40">
        <f t="shared" si="1"/>
        <v>0</v>
      </c>
    </row>
    <row r="92" spans="2:3">
      <c r="B92" s="40">
        <v>91</v>
      </c>
      <c r="C92" s="40">
        <f t="shared" si="1"/>
        <v>0</v>
      </c>
    </row>
    <row r="93" spans="2:3">
      <c r="B93" s="40">
        <v>92</v>
      </c>
      <c r="C93" s="40">
        <f t="shared" si="1"/>
        <v>0</v>
      </c>
    </row>
    <row r="94" spans="2:3">
      <c r="B94" s="40">
        <v>93</v>
      </c>
      <c r="C94" s="40">
        <f t="shared" si="1"/>
        <v>0</v>
      </c>
    </row>
    <row r="95" spans="2:3">
      <c r="B95" s="40">
        <v>94</v>
      </c>
      <c r="C95" s="40">
        <f t="shared" si="1"/>
        <v>0</v>
      </c>
    </row>
    <row r="96" spans="2:3">
      <c r="B96" s="40">
        <v>95</v>
      </c>
      <c r="C96" s="40">
        <f t="shared" si="1"/>
        <v>0</v>
      </c>
    </row>
    <row r="97" spans="2:3">
      <c r="B97" s="40">
        <v>96</v>
      </c>
      <c r="C97" s="40">
        <f t="shared" si="1"/>
        <v>0</v>
      </c>
    </row>
    <row r="98" spans="2:3">
      <c r="B98" s="40">
        <v>97</v>
      </c>
      <c r="C98" s="40">
        <f t="shared" si="1"/>
        <v>0</v>
      </c>
    </row>
    <row r="99" spans="2:3">
      <c r="B99" s="40">
        <v>98</v>
      </c>
      <c r="C99" s="40">
        <f t="shared" si="1"/>
        <v>0</v>
      </c>
    </row>
    <row r="100" spans="2:3">
      <c r="B100" s="40">
        <v>99</v>
      </c>
      <c r="C100" s="40">
        <f t="shared" si="1"/>
        <v>0</v>
      </c>
    </row>
    <row r="101" spans="2:3">
      <c r="B101" s="40">
        <v>100</v>
      </c>
      <c r="C101" s="40">
        <f t="shared" si="1"/>
        <v>0</v>
      </c>
    </row>
    <row r="102" spans="2:3">
      <c r="B102" s="40">
        <v>101</v>
      </c>
      <c r="C102" s="40">
        <f t="shared" si="1"/>
        <v>0</v>
      </c>
    </row>
    <row r="103" spans="2:3">
      <c r="B103" s="40">
        <v>102</v>
      </c>
      <c r="C103" s="40">
        <f t="shared" si="1"/>
        <v>0</v>
      </c>
    </row>
    <row r="104" spans="2:3">
      <c r="B104" s="40">
        <v>103</v>
      </c>
      <c r="C104" s="40">
        <f t="shared" si="1"/>
        <v>0</v>
      </c>
    </row>
    <row r="105" spans="2:3">
      <c r="B105" s="40">
        <v>104</v>
      </c>
      <c r="C105" s="40">
        <f t="shared" si="1"/>
        <v>0</v>
      </c>
    </row>
    <row r="106" spans="2:3">
      <c r="B106" s="40">
        <v>105</v>
      </c>
      <c r="C106" s="40">
        <f t="shared" si="1"/>
        <v>0</v>
      </c>
    </row>
    <row r="107" spans="2:3">
      <c r="B107" s="40">
        <v>106</v>
      </c>
      <c r="C107" s="40">
        <f t="shared" si="1"/>
        <v>0</v>
      </c>
    </row>
    <row r="108" spans="2:3">
      <c r="B108" s="40">
        <v>107</v>
      </c>
      <c r="C108" s="40">
        <f t="shared" si="1"/>
        <v>0</v>
      </c>
    </row>
    <row r="109" spans="2:3">
      <c r="B109" s="40">
        <v>108</v>
      </c>
      <c r="C109" s="40">
        <f t="shared" si="1"/>
        <v>0</v>
      </c>
    </row>
    <row r="110" spans="2:3">
      <c r="B110" s="40">
        <v>109</v>
      </c>
      <c r="C110" s="40">
        <f t="shared" si="1"/>
        <v>0</v>
      </c>
    </row>
    <row r="111" spans="2:3">
      <c r="B111" s="40">
        <v>110</v>
      </c>
      <c r="C111" s="40">
        <f t="shared" si="1"/>
        <v>0</v>
      </c>
    </row>
    <row r="112" spans="2:3">
      <c r="B112" s="40">
        <v>111</v>
      </c>
      <c r="C112" s="40">
        <f t="shared" si="1"/>
        <v>0</v>
      </c>
    </row>
    <row r="113" spans="2:3">
      <c r="B113" s="40">
        <v>112</v>
      </c>
      <c r="C113" s="40">
        <f t="shared" si="1"/>
        <v>0</v>
      </c>
    </row>
    <row r="114" spans="2:3">
      <c r="B114" s="40">
        <v>113</v>
      </c>
      <c r="C114" s="40">
        <f t="shared" si="1"/>
        <v>0</v>
      </c>
    </row>
    <row r="115" spans="2:3">
      <c r="B115" s="40">
        <v>114</v>
      </c>
      <c r="C115" s="40">
        <f t="shared" si="1"/>
        <v>0</v>
      </c>
    </row>
    <row r="116" spans="2:3">
      <c r="B116" s="40">
        <v>115</v>
      </c>
      <c r="C116" s="40">
        <f t="shared" si="1"/>
        <v>0</v>
      </c>
    </row>
    <row r="117" spans="2:3">
      <c r="B117" s="40">
        <v>116</v>
      </c>
      <c r="C117" s="40">
        <f t="shared" si="1"/>
        <v>0</v>
      </c>
    </row>
    <row r="118" spans="2:3">
      <c r="B118" s="40">
        <v>117</v>
      </c>
      <c r="C118" s="40">
        <f t="shared" si="1"/>
        <v>0</v>
      </c>
    </row>
    <row r="119" spans="2:3">
      <c r="B119" s="40">
        <v>118</v>
      </c>
      <c r="C119" s="40">
        <f t="shared" si="1"/>
        <v>0</v>
      </c>
    </row>
    <row r="120" spans="2:3">
      <c r="B120" s="40">
        <v>119</v>
      </c>
      <c r="C120" s="40">
        <f t="shared" si="1"/>
        <v>0</v>
      </c>
    </row>
    <row r="121" spans="2:3">
      <c r="B121" s="40">
        <v>120</v>
      </c>
      <c r="C121" s="40">
        <f t="shared" si="1"/>
        <v>0</v>
      </c>
    </row>
    <row r="122" spans="2:3">
      <c r="B122" s="40">
        <v>121</v>
      </c>
      <c r="C122" s="40">
        <f t="shared" si="1"/>
        <v>0</v>
      </c>
    </row>
    <row r="123" spans="2:3">
      <c r="B123" s="40">
        <v>122</v>
      </c>
      <c r="C123" s="40">
        <f t="shared" si="1"/>
        <v>0</v>
      </c>
    </row>
    <row r="124" spans="2:3">
      <c r="B124" s="40">
        <v>123</v>
      </c>
      <c r="C124" s="40">
        <f t="shared" si="1"/>
        <v>0</v>
      </c>
    </row>
    <row r="125" spans="2:3">
      <c r="B125" s="40">
        <v>124</v>
      </c>
      <c r="C125" s="40">
        <f t="shared" si="1"/>
        <v>0</v>
      </c>
    </row>
    <row r="126" spans="2:3">
      <c r="B126" s="40">
        <v>125</v>
      </c>
      <c r="C126" s="40">
        <f t="shared" si="1"/>
        <v>0</v>
      </c>
    </row>
    <row r="127" spans="2:3">
      <c r="B127" s="40">
        <v>126</v>
      </c>
      <c r="C127" s="40">
        <f t="shared" si="1"/>
        <v>0</v>
      </c>
    </row>
    <row r="128" spans="2:3">
      <c r="B128" s="40">
        <v>127</v>
      </c>
      <c r="C128" s="40">
        <f t="shared" si="1"/>
        <v>0</v>
      </c>
    </row>
    <row r="129" spans="2:3">
      <c r="B129" s="40">
        <v>128</v>
      </c>
      <c r="C129" s="40">
        <f t="shared" si="1"/>
        <v>0</v>
      </c>
    </row>
    <row r="130" spans="2:3">
      <c r="B130" s="40">
        <v>129</v>
      </c>
      <c r="C130" s="40">
        <f t="shared" si="1"/>
        <v>0</v>
      </c>
    </row>
    <row r="131" spans="2:3">
      <c r="B131" s="40">
        <v>130</v>
      </c>
      <c r="C131" s="40">
        <f t="shared" ref="C131:C194" si="2">IF(LEFT(A131,1)="C",A131,C130)</f>
        <v>0</v>
      </c>
    </row>
    <row r="132" spans="2:3">
      <c r="B132" s="40">
        <v>131</v>
      </c>
      <c r="C132" s="40">
        <f t="shared" si="2"/>
        <v>0</v>
      </c>
    </row>
    <row r="133" spans="2:3">
      <c r="B133" s="40">
        <v>132</v>
      </c>
      <c r="C133" s="40">
        <f t="shared" si="2"/>
        <v>0</v>
      </c>
    </row>
    <row r="134" spans="2:3">
      <c r="B134" s="40">
        <v>133</v>
      </c>
      <c r="C134" s="40">
        <f t="shared" si="2"/>
        <v>0</v>
      </c>
    </row>
    <row r="135" spans="2:3">
      <c r="B135" s="40">
        <v>134</v>
      </c>
      <c r="C135" s="40">
        <f t="shared" si="2"/>
        <v>0</v>
      </c>
    </row>
    <row r="136" spans="2:3">
      <c r="B136" s="40">
        <v>135</v>
      </c>
      <c r="C136" s="40">
        <f t="shared" si="2"/>
        <v>0</v>
      </c>
    </row>
    <row r="137" spans="2:3">
      <c r="B137" s="40">
        <v>136</v>
      </c>
      <c r="C137" s="40">
        <f t="shared" si="2"/>
        <v>0</v>
      </c>
    </row>
    <row r="138" spans="2:3">
      <c r="B138" s="40">
        <v>137</v>
      </c>
      <c r="C138" s="40">
        <f t="shared" si="2"/>
        <v>0</v>
      </c>
    </row>
    <row r="139" spans="2:3">
      <c r="B139" s="40">
        <v>138</v>
      </c>
      <c r="C139" s="40">
        <f t="shared" si="2"/>
        <v>0</v>
      </c>
    </row>
    <row r="140" spans="2:3">
      <c r="B140" s="40">
        <v>139</v>
      </c>
      <c r="C140" s="40">
        <f t="shared" si="2"/>
        <v>0</v>
      </c>
    </row>
    <row r="141" spans="2:3">
      <c r="B141" s="40">
        <v>140</v>
      </c>
      <c r="C141" s="40">
        <f t="shared" si="2"/>
        <v>0</v>
      </c>
    </row>
    <row r="142" spans="2:3">
      <c r="B142" s="40">
        <v>141</v>
      </c>
      <c r="C142" s="40">
        <f t="shared" si="2"/>
        <v>0</v>
      </c>
    </row>
    <row r="143" spans="2:3">
      <c r="B143" s="40">
        <v>142</v>
      </c>
      <c r="C143" s="40">
        <f t="shared" si="2"/>
        <v>0</v>
      </c>
    </row>
    <row r="144" spans="2:3">
      <c r="B144" s="40">
        <v>143</v>
      </c>
      <c r="C144" s="40">
        <f t="shared" si="2"/>
        <v>0</v>
      </c>
    </row>
    <row r="145" spans="2:3">
      <c r="B145" s="40">
        <v>144</v>
      </c>
      <c r="C145" s="40">
        <f t="shared" si="2"/>
        <v>0</v>
      </c>
    </row>
    <row r="146" spans="2:3">
      <c r="B146" s="40">
        <v>145</v>
      </c>
      <c r="C146" s="40">
        <f t="shared" si="2"/>
        <v>0</v>
      </c>
    </row>
    <row r="147" spans="2:3">
      <c r="B147" s="40">
        <v>146</v>
      </c>
      <c r="C147" s="40">
        <f t="shared" si="2"/>
        <v>0</v>
      </c>
    </row>
    <row r="148" spans="2:3">
      <c r="B148" s="40">
        <v>147</v>
      </c>
      <c r="C148" s="40">
        <f t="shared" si="2"/>
        <v>0</v>
      </c>
    </row>
    <row r="149" spans="2:3">
      <c r="B149" s="40">
        <v>148</v>
      </c>
      <c r="C149" s="40">
        <f t="shared" si="2"/>
        <v>0</v>
      </c>
    </row>
    <row r="150" spans="2:3">
      <c r="B150" s="40">
        <v>149</v>
      </c>
      <c r="C150" s="40">
        <f t="shared" si="2"/>
        <v>0</v>
      </c>
    </row>
    <row r="151" spans="2:3">
      <c r="B151" s="40">
        <v>150</v>
      </c>
      <c r="C151" s="40">
        <f t="shared" si="2"/>
        <v>0</v>
      </c>
    </row>
    <row r="152" spans="2:3">
      <c r="B152" s="40">
        <v>151</v>
      </c>
      <c r="C152" s="40">
        <f t="shared" si="2"/>
        <v>0</v>
      </c>
    </row>
    <row r="153" spans="2:3">
      <c r="B153" s="40">
        <v>152</v>
      </c>
      <c r="C153" s="40">
        <f t="shared" si="2"/>
        <v>0</v>
      </c>
    </row>
    <row r="154" spans="2:3">
      <c r="B154" s="40">
        <v>153</v>
      </c>
      <c r="C154" s="40">
        <f t="shared" si="2"/>
        <v>0</v>
      </c>
    </row>
    <row r="155" spans="2:3">
      <c r="B155" s="40">
        <v>154</v>
      </c>
      <c r="C155" s="40">
        <f t="shared" si="2"/>
        <v>0</v>
      </c>
    </row>
    <row r="156" spans="2:3">
      <c r="B156" s="40">
        <v>155</v>
      </c>
      <c r="C156" s="40">
        <f t="shared" si="2"/>
        <v>0</v>
      </c>
    </row>
    <row r="157" spans="2:3">
      <c r="B157" s="40">
        <v>156</v>
      </c>
      <c r="C157" s="40">
        <f t="shared" si="2"/>
        <v>0</v>
      </c>
    </row>
    <row r="158" spans="2:3">
      <c r="B158" s="40">
        <v>157</v>
      </c>
      <c r="C158" s="40">
        <f t="shared" si="2"/>
        <v>0</v>
      </c>
    </row>
    <row r="159" spans="2:3">
      <c r="B159" s="40">
        <v>158</v>
      </c>
      <c r="C159" s="40">
        <f t="shared" si="2"/>
        <v>0</v>
      </c>
    </row>
    <row r="160" spans="2:3">
      <c r="B160" s="40">
        <v>159</v>
      </c>
      <c r="C160" s="40">
        <f t="shared" si="2"/>
        <v>0</v>
      </c>
    </row>
    <row r="161" spans="2:3">
      <c r="B161" s="40">
        <v>160</v>
      </c>
      <c r="C161" s="40">
        <f t="shared" si="2"/>
        <v>0</v>
      </c>
    </row>
    <row r="162" spans="2:3">
      <c r="B162" s="40">
        <v>161</v>
      </c>
      <c r="C162" s="40">
        <f t="shared" si="2"/>
        <v>0</v>
      </c>
    </row>
    <row r="163" spans="2:3">
      <c r="B163" s="40">
        <v>162</v>
      </c>
      <c r="C163" s="40">
        <f t="shared" si="2"/>
        <v>0</v>
      </c>
    </row>
    <row r="164" spans="2:3">
      <c r="B164" s="40">
        <v>163</v>
      </c>
      <c r="C164" s="40">
        <f t="shared" si="2"/>
        <v>0</v>
      </c>
    </row>
    <row r="165" spans="2:3">
      <c r="B165" s="40">
        <v>164</v>
      </c>
      <c r="C165" s="40">
        <f t="shared" si="2"/>
        <v>0</v>
      </c>
    </row>
    <row r="166" spans="2:3">
      <c r="B166" s="40">
        <v>165</v>
      </c>
      <c r="C166" s="40">
        <f t="shared" si="2"/>
        <v>0</v>
      </c>
    </row>
    <row r="167" spans="2:3">
      <c r="B167" s="40">
        <v>166</v>
      </c>
      <c r="C167" s="40">
        <f t="shared" si="2"/>
        <v>0</v>
      </c>
    </row>
    <row r="168" spans="2:3">
      <c r="B168" s="40">
        <v>167</v>
      </c>
      <c r="C168" s="40">
        <f t="shared" si="2"/>
        <v>0</v>
      </c>
    </row>
    <row r="169" spans="2:3">
      <c r="B169" s="40">
        <v>168</v>
      </c>
      <c r="C169" s="40">
        <f t="shared" si="2"/>
        <v>0</v>
      </c>
    </row>
    <row r="170" spans="2:3">
      <c r="B170" s="40">
        <v>169</v>
      </c>
      <c r="C170" s="40">
        <f t="shared" si="2"/>
        <v>0</v>
      </c>
    </row>
    <row r="171" spans="2:3">
      <c r="B171" s="40">
        <v>170</v>
      </c>
      <c r="C171" s="40">
        <f t="shared" si="2"/>
        <v>0</v>
      </c>
    </row>
    <row r="172" spans="2:3">
      <c r="B172" s="40">
        <v>171</v>
      </c>
      <c r="C172" s="40">
        <f t="shared" si="2"/>
        <v>0</v>
      </c>
    </row>
    <row r="173" spans="2:3">
      <c r="B173" s="40">
        <v>172</v>
      </c>
      <c r="C173" s="40">
        <f t="shared" si="2"/>
        <v>0</v>
      </c>
    </row>
    <row r="174" spans="2:3">
      <c r="B174" s="40">
        <v>173</v>
      </c>
      <c r="C174" s="40">
        <f t="shared" si="2"/>
        <v>0</v>
      </c>
    </row>
    <row r="175" spans="2:3">
      <c r="B175" s="40">
        <v>174</v>
      </c>
      <c r="C175" s="40">
        <f t="shared" si="2"/>
        <v>0</v>
      </c>
    </row>
    <row r="176" spans="2:3">
      <c r="B176" s="40">
        <v>175</v>
      </c>
      <c r="C176" s="40">
        <f t="shared" si="2"/>
        <v>0</v>
      </c>
    </row>
    <row r="177" spans="2:3">
      <c r="B177" s="40">
        <v>176</v>
      </c>
      <c r="C177" s="40">
        <f t="shared" si="2"/>
        <v>0</v>
      </c>
    </row>
    <row r="178" spans="2:3">
      <c r="B178" s="40">
        <v>177</v>
      </c>
      <c r="C178" s="40">
        <f t="shared" si="2"/>
        <v>0</v>
      </c>
    </row>
    <row r="179" spans="2:3">
      <c r="B179" s="40">
        <v>178</v>
      </c>
      <c r="C179" s="40">
        <f t="shared" si="2"/>
        <v>0</v>
      </c>
    </row>
    <row r="180" spans="2:3">
      <c r="B180" s="40">
        <v>179</v>
      </c>
      <c r="C180" s="40">
        <f t="shared" si="2"/>
        <v>0</v>
      </c>
    </row>
    <row r="181" spans="2:3">
      <c r="B181" s="40">
        <v>180</v>
      </c>
      <c r="C181" s="40">
        <f t="shared" si="2"/>
        <v>0</v>
      </c>
    </row>
    <row r="182" spans="2:3">
      <c r="B182" s="40">
        <v>181</v>
      </c>
      <c r="C182" s="40">
        <f t="shared" si="2"/>
        <v>0</v>
      </c>
    </row>
    <row r="183" spans="2:3">
      <c r="B183" s="40">
        <v>182</v>
      </c>
      <c r="C183" s="40">
        <f t="shared" si="2"/>
        <v>0</v>
      </c>
    </row>
    <row r="184" spans="2:3">
      <c r="B184" s="40">
        <v>183</v>
      </c>
      <c r="C184" s="40">
        <f t="shared" si="2"/>
        <v>0</v>
      </c>
    </row>
    <row r="185" spans="2:3">
      <c r="B185" s="40">
        <v>184</v>
      </c>
      <c r="C185" s="40">
        <f t="shared" si="2"/>
        <v>0</v>
      </c>
    </row>
    <row r="186" spans="2:3">
      <c r="B186" s="40">
        <v>185</v>
      </c>
      <c r="C186" s="40">
        <f t="shared" si="2"/>
        <v>0</v>
      </c>
    </row>
    <row r="187" spans="2:3">
      <c r="B187" s="40">
        <v>186</v>
      </c>
      <c r="C187" s="40">
        <f t="shared" si="2"/>
        <v>0</v>
      </c>
    </row>
    <row r="188" spans="2:3">
      <c r="B188" s="40">
        <v>187</v>
      </c>
      <c r="C188" s="40">
        <f t="shared" si="2"/>
        <v>0</v>
      </c>
    </row>
    <row r="189" spans="2:3">
      <c r="B189" s="40">
        <v>188</v>
      </c>
      <c r="C189" s="40">
        <f t="shared" si="2"/>
        <v>0</v>
      </c>
    </row>
    <row r="190" spans="2:3">
      <c r="B190" s="40">
        <v>189</v>
      </c>
      <c r="C190" s="40">
        <f t="shared" si="2"/>
        <v>0</v>
      </c>
    </row>
    <row r="191" spans="2:3">
      <c r="B191" s="40">
        <v>190</v>
      </c>
      <c r="C191" s="40">
        <f t="shared" si="2"/>
        <v>0</v>
      </c>
    </row>
    <row r="192" spans="2:3">
      <c r="B192" s="40">
        <v>191</v>
      </c>
      <c r="C192" s="40">
        <f t="shared" si="2"/>
        <v>0</v>
      </c>
    </row>
    <row r="193" spans="2:3">
      <c r="B193" s="40">
        <v>192</v>
      </c>
      <c r="C193" s="40">
        <f t="shared" si="2"/>
        <v>0</v>
      </c>
    </row>
    <row r="194" spans="2:3">
      <c r="B194" s="40">
        <v>193</v>
      </c>
      <c r="C194" s="40">
        <f t="shared" si="2"/>
        <v>0</v>
      </c>
    </row>
    <row r="195" spans="2:3">
      <c r="B195" s="40">
        <v>194</v>
      </c>
      <c r="C195" s="40">
        <f t="shared" ref="C195:C258" si="3">IF(LEFT(A195,1)="C",A195,C194)</f>
        <v>0</v>
      </c>
    </row>
    <row r="196" spans="2:3">
      <c r="B196" s="40">
        <v>195</v>
      </c>
      <c r="C196" s="40">
        <f t="shared" si="3"/>
        <v>0</v>
      </c>
    </row>
    <row r="197" spans="2:3">
      <c r="B197" s="40">
        <v>196</v>
      </c>
      <c r="C197" s="40">
        <f t="shared" si="3"/>
        <v>0</v>
      </c>
    </row>
    <row r="198" spans="2:3">
      <c r="B198" s="40">
        <v>197</v>
      </c>
      <c r="C198" s="40">
        <f t="shared" si="3"/>
        <v>0</v>
      </c>
    </row>
    <row r="199" spans="2:3">
      <c r="B199" s="40">
        <v>198</v>
      </c>
      <c r="C199" s="40">
        <f t="shared" si="3"/>
        <v>0</v>
      </c>
    </row>
    <row r="200" spans="2:3">
      <c r="B200" s="40">
        <v>199</v>
      </c>
      <c r="C200" s="40">
        <f t="shared" si="3"/>
        <v>0</v>
      </c>
    </row>
    <row r="201" spans="2:3">
      <c r="B201" s="40">
        <v>200</v>
      </c>
      <c r="C201" s="40">
        <f t="shared" si="3"/>
        <v>0</v>
      </c>
    </row>
    <row r="202" spans="2:3">
      <c r="B202" s="40">
        <v>201</v>
      </c>
      <c r="C202" s="40">
        <f t="shared" si="3"/>
        <v>0</v>
      </c>
    </row>
    <row r="203" spans="2:3">
      <c r="B203" s="40">
        <v>202</v>
      </c>
      <c r="C203" s="40">
        <f t="shared" si="3"/>
        <v>0</v>
      </c>
    </row>
    <row r="204" spans="2:3">
      <c r="B204" s="40">
        <v>203</v>
      </c>
      <c r="C204" s="40">
        <f t="shared" si="3"/>
        <v>0</v>
      </c>
    </row>
    <row r="205" spans="2:3">
      <c r="B205" s="40">
        <v>204</v>
      </c>
      <c r="C205" s="40">
        <f t="shared" si="3"/>
        <v>0</v>
      </c>
    </row>
    <row r="206" spans="2:3">
      <c r="B206" s="40">
        <v>205</v>
      </c>
      <c r="C206" s="40">
        <f t="shared" si="3"/>
        <v>0</v>
      </c>
    </row>
    <row r="207" spans="2:3">
      <c r="B207" s="40">
        <v>206</v>
      </c>
      <c r="C207" s="40">
        <f t="shared" si="3"/>
        <v>0</v>
      </c>
    </row>
    <row r="208" spans="2:3">
      <c r="B208" s="40">
        <v>207</v>
      </c>
      <c r="C208" s="40">
        <f t="shared" si="3"/>
        <v>0</v>
      </c>
    </row>
    <row r="209" spans="2:3">
      <c r="B209" s="40">
        <v>208</v>
      </c>
      <c r="C209" s="40">
        <f t="shared" si="3"/>
        <v>0</v>
      </c>
    </row>
    <row r="210" spans="2:3">
      <c r="B210" s="40">
        <v>209</v>
      </c>
      <c r="C210" s="40">
        <f t="shared" si="3"/>
        <v>0</v>
      </c>
    </row>
    <row r="211" spans="2:3">
      <c r="B211" s="40">
        <v>210</v>
      </c>
      <c r="C211" s="40">
        <f t="shared" si="3"/>
        <v>0</v>
      </c>
    </row>
    <row r="212" spans="2:3">
      <c r="B212" s="40">
        <v>211</v>
      </c>
      <c r="C212" s="40">
        <f t="shared" si="3"/>
        <v>0</v>
      </c>
    </row>
    <row r="213" spans="2:3">
      <c r="B213" s="40">
        <v>212</v>
      </c>
      <c r="C213" s="40">
        <f t="shared" si="3"/>
        <v>0</v>
      </c>
    </row>
    <row r="214" spans="2:3">
      <c r="B214" s="40">
        <v>213</v>
      </c>
      <c r="C214" s="40">
        <f t="shared" si="3"/>
        <v>0</v>
      </c>
    </row>
    <row r="215" spans="2:3">
      <c r="B215" s="40">
        <v>214</v>
      </c>
      <c r="C215" s="40">
        <f t="shared" si="3"/>
        <v>0</v>
      </c>
    </row>
    <row r="216" spans="2:3">
      <c r="B216" s="40">
        <v>215</v>
      </c>
      <c r="C216" s="40">
        <f t="shared" si="3"/>
        <v>0</v>
      </c>
    </row>
    <row r="217" spans="2:3">
      <c r="B217" s="40">
        <v>216</v>
      </c>
      <c r="C217" s="40">
        <f t="shared" si="3"/>
        <v>0</v>
      </c>
    </row>
    <row r="218" spans="2:3">
      <c r="B218" s="40">
        <v>217</v>
      </c>
      <c r="C218" s="40">
        <f t="shared" si="3"/>
        <v>0</v>
      </c>
    </row>
    <row r="219" spans="2:3">
      <c r="B219" s="40">
        <v>218</v>
      </c>
      <c r="C219" s="40">
        <f t="shared" si="3"/>
        <v>0</v>
      </c>
    </row>
    <row r="220" spans="2:3">
      <c r="B220" s="40">
        <v>219</v>
      </c>
      <c r="C220" s="40">
        <f t="shared" si="3"/>
        <v>0</v>
      </c>
    </row>
    <row r="221" spans="2:3">
      <c r="B221" s="40">
        <v>220</v>
      </c>
      <c r="C221" s="40">
        <f t="shared" si="3"/>
        <v>0</v>
      </c>
    </row>
    <row r="222" spans="2:3">
      <c r="B222" s="40">
        <v>221</v>
      </c>
      <c r="C222" s="40">
        <f t="shared" si="3"/>
        <v>0</v>
      </c>
    </row>
    <row r="223" spans="2:3">
      <c r="B223" s="40">
        <v>222</v>
      </c>
      <c r="C223" s="40">
        <f t="shared" si="3"/>
        <v>0</v>
      </c>
    </row>
    <row r="224" spans="2:3">
      <c r="B224" s="40">
        <v>223</v>
      </c>
      <c r="C224" s="40">
        <f t="shared" si="3"/>
        <v>0</v>
      </c>
    </row>
    <row r="225" spans="1:3">
      <c r="B225" s="40">
        <v>224</v>
      </c>
      <c r="C225" s="40">
        <f t="shared" si="3"/>
        <v>0</v>
      </c>
    </row>
    <row r="226" spans="1:3">
      <c r="B226" s="40">
        <v>225</v>
      </c>
      <c r="C226" s="40">
        <f t="shared" si="3"/>
        <v>0</v>
      </c>
    </row>
    <row r="227" spans="1:3">
      <c r="B227" s="40">
        <v>226</v>
      </c>
      <c r="C227" s="40">
        <f t="shared" si="3"/>
        <v>0</v>
      </c>
    </row>
    <row r="228" spans="1:3">
      <c r="B228" s="40">
        <v>227</v>
      </c>
      <c r="C228" s="40">
        <f t="shared" si="3"/>
        <v>0</v>
      </c>
    </row>
    <row r="229" spans="1:3">
      <c r="B229" s="40">
        <v>228</v>
      </c>
      <c r="C229" s="40">
        <f t="shared" si="3"/>
        <v>0</v>
      </c>
    </row>
    <row r="230" spans="1:3">
      <c r="B230" s="40">
        <v>229</v>
      </c>
      <c r="C230" s="40">
        <f t="shared" si="3"/>
        <v>0</v>
      </c>
    </row>
    <row r="231" spans="1:3">
      <c r="A231" s="41"/>
      <c r="B231" s="40">
        <v>230</v>
      </c>
      <c r="C231" s="40">
        <f t="shared" si="3"/>
        <v>0</v>
      </c>
    </row>
    <row r="232" spans="1:3">
      <c r="B232" s="40">
        <v>231</v>
      </c>
      <c r="C232" s="40">
        <f t="shared" si="3"/>
        <v>0</v>
      </c>
    </row>
    <row r="233" spans="1:3">
      <c r="B233" s="40">
        <v>232</v>
      </c>
      <c r="C233" s="40">
        <f t="shared" si="3"/>
        <v>0</v>
      </c>
    </row>
    <row r="234" spans="1:3">
      <c r="B234" s="40">
        <v>233</v>
      </c>
      <c r="C234" s="40">
        <f t="shared" si="3"/>
        <v>0</v>
      </c>
    </row>
    <row r="235" spans="1:3">
      <c r="B235" s="40">
        <v>234</v>
      </c>
      <c r="C235" s="40">
        <f t="shared" si="3"/>
        <v>0</v>
      </c>
    </row>
    <row r="236" spans="1:3">
      <c r="B236" s="40">
        <v>235</v>
      </c>
      <c r="C236" s="40">
        <f t="shared" si="3"/>
        <v>0</v>
      </c>
    </row>
    <row r="237" spans="1:3">
      <c r="B237" s="40">
        <v>236</v>
      </c>
      <c r="C237" s="40">
        <f t="shared" si="3"/>
        <v>0</v>
      </c>
    </row>
    <row r="238" spans="1:3">
      <c r="B238" s="40">
        <v>237</v>
      </c>
      <c r="C238" s="40">
        <f t="shared" si="3"/>
        <v>0</v>
      </c>
    </row>
    <row r="239" spans="1:3">
      <c r="B239" s="40">
        <v>238</v>
      </c>
      <c r="C239" s="40">
        <f t="shared" si="3"/>
        <v>0</v>
      </c>
    </row>
    <row r="240" spans="1:3">
      <c r="B240" s="40">
        <v>239</v>
      </c>
      <c r="C240" s="40">
        <f t="shared" si="3"/>
        <v>0</v>
      </c>
    </row>
    <row r="241" spans="2:3">
      <c r="B241" s="40">
        <v>240</v>
      </c>
      <c r="C241" s="40">
        <f t="shared" si="3"/>
        <v>0</v>
      </c>
    </row>
    <row r="242" spans="2:3">
      <c r="B242" s="40">
        <v>241</v>
      </c>
      <c r="C242" s="40">
        <f t="shared" si="3"/>
        <v>0</v>
      </c>
    </row>
    <row r="243" spans="2:3">
      <c r="B243" s="40">
        <v>242</v>
      </c>
      <c r="C243" s="40">
        <f t="shared" si="3"/>
        <v>0</v>
      </c>
    </row>
    <row r="244" spans="2:3">
      <c r="B244" s="40">
        <v>243</v>
      </c>
      <c r="C244" s="40">
        <f t="shared" si="3"/>
        <v>0</v>
      </c>
    </row>
    <row r="245" spans="2:3">
      <c r="B245" s="40">
        <v>244</v>
      </c>
      <c r="C245" s="40">
        <f t="shared" si="3"/>
        <v>0</v>
      </c>
    </row>
    <row r="246" spans="2:3">
      <c r="B246" s="40">
        <v>245</v>
      </c>
      <c r="C246" s="40">
        <f t="shared" si="3"/>
        <v>0</v>
      </c>
    </row>
    <row r="247" spans="2:3">
      <c r="B247" s="40">
        <v>246</v>
      </c>
      <c r="C247" s="40">
        <f t="shared" si="3"/>
        <v>0</v>
      </c>
    </row>
    <row r="248" spans="2:3">
      <c r="B248" s="40">
        <v>247</v>
      </c>
      <c r="C248" s="40">
        <f t="shared" si="3"/>
        <v>0</v>
      </c>
    </row>
    <row r="249" spans="2:3">
      <c r="B249" s="40">
        <v>248</v>
      </c>
      <c r="C249" s="40">
        <f t="shared" si="3"/>
        <v>0</v>
      </c>
    </row>
    <row r="250" spans="2:3">
      <c r="B250" s="40">
        <v>249</v>
      </c>
      <c r="C250" s="40">
        <f t="shared" si="3"/>
        <v>0</v>
      </c>
    </row>
    <row r="251" spans="2:3">
      <c r="B251" s="40">
        <v>250</v>
      </c>
      <c r="C251" s="40">
        <f t="shared" si="3"/>
        <v>0</v>
      </c>
    </row>
    <row r="252" spans="2:3">
      <c r="B252" s="40">
        <v>251</v>
      </c>
      <c r="C252" s="40">
        <f t="shared" si="3"/>
        <v>0</v>
      </c>
    </row>
    <row r="253" spans="2:3">
      <c r="B253" s="40">
        <v>252</v>
      </c>
      <c r="C253" s="40">
        <f t="shared" si="3"/>
        <v>0</v>
      </c>
    </row>
    <row r="254" spans="2:3">
      <c r="B254" s="40">
        <v>253</v>
      </c>
      <c r="C254" s="40">
        <f t="shared" si="3"/>
        <v>0</v>
      </c>
    </row>
    <row r="255" spans="2:3">
      <c r="B255" s="40">
        <v>254</v>
      </c>
      <c r="C255" s="40">
        <f t="shared" si="3"/>
        <v>0</v>
      </c>
    </row>
    <row r="256" spans="2:3">
      <c r="B256" s="40">
        <v>255</v>
      </c>
      <c r="C256" s="40">
        <f t="shared" si="3"/>
        <v>0</v>
      </c>
    </row>
    <row r="257" spans="2:3">
      <c r="B257" s="40">
        <v>256</v>
      </c>
      <c r="C257" s="40">
        <f t="shared" si="3"/>
        <v>0</v>
      </c>
    </row>
    <row r="258" spans="2:3">
      <c r="B258" s="40">
        <v>257</v>
      </c>
      <c r="C258" s="40">
        <f t="shared" si="3"/>
        <v>0</v>
      </c>
    </row>
    <row r="259" spans="2:3">
      <c r="B259" s="40">
        <v>258</v>
      </c>
      <c r="C259" s="40">
        <f t="shared" ref="C259:C322" si="4">IF(LEFT(A259,1)="C",A259,C258)</f>
        <v>0</v>
      </c>
    </row>
    <row r="260" spans="2:3">
      <c r="B260" s="40">
        <v>259</v>
      </c>
      <c r="C260" s="40">
        <f t="shared" si="4"/>
        <v>0</v>
      </c>
    </row>
    <row r="261" spans="2:3">
      <c r="B261" s="40">
        <v>260</v>
      </c>
      <c r="C261" s="40">
        <f t="shared" si="4"/>
        <v>0</v>
      </c>
    </row>
    <row r="262" spans="2:3">
      <c r="B262" s="40">
        <v>261</v>
      </c>
      <c r="C262" s="40">
        <f t="shared" si="4"/>
        <v>0</v>
      </c>
    </row>
    <row r="263" spans="2:3">
      <c r="B263" s="40">
        <v>262</v>
      </c>
      <c r="C263" s="40">
        <f t="shared" si="4"/>
        <v>0</v>
      </c>
    </row>
    <row r="264" spans="2:3">
      <c r="B264" s="40">
        <v>263</v>
      </c>
      <c r="C264" s="40">
        <f t="shared" si="4"/>
        <v>0</v>
      </c>
    </row>
    <row r="265" spans="2:3">
      <c r="B265" s="40">
        <v>264</v>
      </c>
      <c r="C265" s="40">
        <f t="shared" si="4"/>
        <v>0</v>
      </c>
    </row>
    <row r="266" spans="2:3">
      <c r="B266" s="40">
        <v>265</v>
      </c>
      <c r="C266" s="40">
        <f t="shared" si="4"/>
        <v>0</v>
      </c>
    </row>
    <row r="267" spans="2:3">
      <c r="B267" s="40">
        <v>266</v>
      </c>
      <c r="C267" s="40">
        <f t="shared" si="4"/>
        <v>0</v>
      </c>
    </row>
    <row r="268" spans="2:3">
      <c r="B268" s="40">
        <v>267</v>
      </c>
      <c r="C268" s="40">
        <f t="shared" si="4"/>
        <v>0</v>
      </c>
    </row>
    <row r="269" spans="2:3">
      <c r="B269" s="40">
        <v>268</v>
      </c>
      <c r="C269" s="40">
        <f t="shared" si="4"/>
        <v>0</v>
      </c>
    </row>
    <row r="270" spans="2:3">
      <c r="B270" s="40">
        <v>269</v>
      </c>
      <c r="C270" s="40">
        <f t="shared" si="4"/>
        <v>0</v>
      </c>
    </row>
    <row r="271" spans="2:3">
      <c r="B271" s="40">
        <v>270</v>
      </c>
      <c r="C271" s="40">
        <f t="shared" si="4"/>
        <v>0</v>
      </c>
    </row>
    <row r="272" spans="2:3">
      <c r="B272" s="40">
        <v>271</v>
      </c>
      <c r="C272" s="40">
        <f t="shared" si="4"/>
        <v>0</v>
      </c>
    </row>
    <row r="273" spans="2:3">
      <c r="B273" s="40">
        <v>272</v>
      </c>
      <c r="C273" s="40">
        <f t="shared" si="4"/>
        <v>0</v>
      </c>
    </row>
    <row r="274" spans="2:3">
      <c r="B274" s="40">
        <v>273</v>
      </c>
      <c r="C274" s="40">
        <f t="shared" si="4"/>
        <v>0</v>
      </c>
    </row>
    <row r="275" spans="2:3">
      <c r="B275" s="40">
        <v>274</v>
      </c>
      <c r="C275" s="40">
        <f t="shared" si="4"/>
        <v>0</v>
      </c>
    </row>
    <row r="276" spans="2:3">
      <c r="B276" s="40">
        <v>275</v>
      </c>
      <c r="C276" s="40">
        <f t="shared" si="4"/>
        <v>0</v>
      </c>
    </row>
    <row r="277" spans="2:3">
      <c r="B277" s="40">
        <v>276</v>
      </c>
      <c r="C277" s="40">
        <f t="shared" si="4"/>
        <v>0</v>
      </c>
    </row>
    <row r="278" spans="2:3">
      <c r="B278" s="40">
        <v>277</v>
      </c>
      <c r="C278" s="40">
        <f t="shared" si="4"/>
        <v>0</v>
      </c>
    </row>
    <row r="279" spans="2:3">
      <c r="B279" s="40">
        <v>278</v>
      </c>
      <c r="C279" s="40">
        <f t="shared" si="4"/>
        <v>0</v>
      </c>
    </row>
    <row r="280" spans="2:3">
      <c r="B280" s="40">
        <v>279</v>
      </c>
      <c r="C280" s="40">
        <f t="shared" si="4"/>
        <v>0</v>
      </c>
    </row>
    <row r="281" spans="2:3">
      <c r="B281" s="40">
        <v>280</v>
      </c>
      <c r="C281" s="40">
        <f t="shared" si="4"/>
        <v>0</v>
      </c>
    </row>
    <row r="282" spans="2:3">
      <c r="B282" s="40">
        <v>281</v>
      </c>
      <c r="C282" s="40">
        <f t="shared" si="4"/>
        <v>0</v>
      </c>
    </row>
    <row r="283" spans="2:3">
      <c r="B283" s="40">
        <v>282</v>
      </c>
      <c r="C283" s="40">
        <f t="shared" si="4"/>
        <v>0</v>
      </c>
    </row>
    <row r="284" spans="2:3">
      <c r="B284" s="40">
        <v>283</v>
      </c>
      <c r="C284" s="40">
        <f t="shared" si="4"/>
        <v>0</v>
      </c>
    </row>
    <row r="285" spans="2:3">
      <c r="B285" s="40">
        <v>284</v>
      </c>
      <c r="C285" s="40">
        <f t="shared" si="4"/>
        <v>0</v>
      </c>
    </row>
    <row r="286" spans="2:3">
      <c r="B286" s="40">
        <v>285</v>
      </c>
      <c r="C286" s="40">
        <f t="shared" si="4"/>
        <v>0</v>
      </c>
    </row>
    <row r="287" spans="2:3">
      <c r="B287" s="40">
        <v>286</v>
      </c>
      <c r="C287" s="40">
        <f t="shared" si="4"/>
        <v>0</v>
      </c>
    </row>
    <row r="288" spans="2:3">
      <c r="B288" s="40">
        <v>287</v>
      </c>
      <c r="C288" s="40">
        <f t="shared" si="4"/>
        <v>0</v>
      </c>
    </row>
    <row r="289" spans="1:3">
      <c r="B289" s="40">
        <v>288</v>
      </c>
      <c r="C289" s="40">
        <f t="shared" si="4"/>
        <v>0</v>
      </c>
    </row>
    <row r="290" spans="1:3">
      <c r="B290" s="40">
        <v>289</v>
      </c>
      <c r="C290" s="40">
        <f t="shared" si="4"/>
        <v>0</v>
      </c>
    </row>
    <row r="291" spans="1:3">
      <c r="B291" s="40">
        <v>290</v>
      </c>
      <c r="C291" s="40">
        <f t="shared" si="4"/>
        <v>0</v>
      </c>
    </row>
    <row r="292" spans="1:3">
      <c r="B292" s="40">
        <v>291</v>
      </c>
      <c r="C292" s="40">
        <f t="shared" si="4"/>
        <v>0</v>
      </c>
    </row>
    <row r="293" spans="1:3">
      <c r="B293" s="40">
        <v>292</v>
      </c>
      <c r="C293" s="40">
        <f t="shared" si="4"/>
        <v>0</v>
      </c>
    </row>
    <row r="294" spans="1:3">
      <c r="B294" s="40">
        <v>293</v>
      </c>
      <c r="C294" s="40">
        <f t="shared" si="4"/>
        <v>0</v>
      </c>
    </row>
    <row r="295" spans="1:3">
      <c r="A295" s="41"/>
      <c r="B295" s="40">
        <v>294</v>
      </c>
      <c r="C295" s="40">
        <f t="shared" si="4"/>
        <v>0</v>
      </c>
    </row>
    <row r="296" spans="1:3">
      <c r="B296" s="40">
        <v>295</v>
      </c>
      <c r="C296" s="40">
        <f t="shared" si="4"/>
        <v>0</v>
      </c>
    </row>
    <row r="297" spans="1:3">
      <c r="B297" s="40">
        <v>296</v>
      </c>
      <c r="C297" s="40">
        <f t="shared" si="4"/>
        <v>0</v>
      </c>
    </row>
    <row r="298" spans="1:3">
      <c r="B298" s="40">
        <v>297</v>
      </c>
      <c r="C298" s="40">
        <f t="shared" si="4"/>
        <v>0</v>
      </c>
    </row>
    <row r="299" spans="1:3">
      <c r="B299" s="40">
        <v>298</v>
      </c>
      <c r="C299" s="40">
        <f t="shared" si="4"/>
        <v>0</v>
      </c>
    </row>
    <row r="300" spans="1:3">
      <c r="B300" s="40">
        <v>299</v>
      </c>
      <c r="C300" s="40">
        <f t="shared" si="4"/>
        <v>0</v>
      </c>
    </row>
    <row r="301" spans="1:3">
      <c r="B301" s="40">
        <v>300</v>
      </c>
      <c r="C301" s="40">
        <f t="shared" si="4"/>
        <v>0</v>
      </c>
    </row>
    <row r="302" spans="1:3">
      <c r="B302" s="40">
        <v>301</v>
      </c>
      <c r="C302" s="40">
        <f t="shared" si="4"/>
        <v>0</v>
      </c>
    </row>
    <row r="303" spans="1:3">
      <c r="B303" s="40">
        <v>302</v>
      </c>
      <c r="C303" s="40">
        <f t="shared" si="4"/>
        <v>0</v>
      </c>
    </row>
    <row r="304" spans="1:3">
      <c r="B304" s="40">
        <v>303</v>
      </c>
      <c r="C304" s="40">
        <f t="shared" si="4"/>
        <v>0</v>
      </c>
    </row>
    <row r="305" spans="2:3">
      <c r="B305" s="40">
        <v>304</v>
      </c>
      <c r="C305" s="40">
        <f t="shared" si="4"/>
        <v>0</v>
      </c>
    </row>
    <row r="306" spans="2:3">
      <c r="B306" s="40">
        <v>305</v>
      </c>
      <c r="C306" s="40">
        <f t="shared" si="4"/>
        <v>0</v>
      </c>
    </row>
    <row r="307" spans="2:3">
      <c r="B307" s="40">
        <v>306</v>
      </c>
      <c r="C307" s="40">
        <f t="shared" si="4"/>
        <v>0</v>
      </c>
    </row>
    <row r="308" spans="2:3">
      <c r="B308" s="40">
        <v>307</v>
      </c>
      <c r="C308" s="40">
        <f t="shared" si="4"/>
        <v>0</v>
      </c>
    </row>
    <row r="309" spans="2:3">
      <c r="B309" s="40">
        <v>308</v>
      </c>
      <c r="C309" s="40">
        <f t="shared" si="4"/>
        <v>0</v>
      </c>
    </row>
    <row r="310" spans="2:3">
      <c r="B310" s="40">
        <v>309</v>
      </c>
      <c r="C310" s="40">
        <f t="shared" si="4"/>
        <v>0</v>
      </c>
    </row>
    <row r="311" spans="2:3">
      <c r="B311" s="40">
        <v>310</v>
      </c>
      <c r="C311" s="40">
        <f t="shared" si="4"/>
        <v>0</v>
      </c>
    </row>
    <row r="312" spans="2:3">
      <c r="B312" s="40">
        <v>311</v>
      </c>
      <c r="C312" s="40">
        <f t="shared" si="4"/>
        <v>0</v>
      </c>
    </row>
    <row r="313" spans="2:3">
      <c r="B313" s="40">
        <v>312</v>
      </c>
      <c r="C313" s="40">
        <f t="shared" si="4"/>
        <v>0</v>
      </c>
    </row>
    <row r="314" spans="2:3">
      <c r="B314" s="40">
        <v>313</v>
      </c>
      <c r="C314" s="40">
        <f t="shared" si="4"/>
        <v>0</v>
      </c>
    </row>
    <row r="315" spans="2:3">
      <c r="B315" s="40">
        <v>314</v>
      </c>
      <c r="C315" s="40">
        <f t="shared" si="4"/>
        <v>0</v>
      </c>
    </row>
    <row r="316" spans="2:3">
      <c r="B316" s="40">
        <v>315</v>
      </c>
      <c r="C316" s="40">
        <f t="shared" si="4"/>
        <v>0</v>
      </c>
    </row>
    <row r="317" spans="2:3">
      <c r="B317" s="40">
        <v>316</v>
      </c>
      <c r="C317" s="40">
        <f t="shared" si="4"/>
        <v>0</v>
      </c>
    </row>
    <row r="318" spans="2:3">
      <c r="B318" s="40">
        <v>317</v>
      </c>
      <c r="C318" s="40">
        <f t="shared" si="4"/>
        <v>0</v>
      </c>
    </row>
    <row r="319" spans="2:3">
      <c r="B319" s="40">
        <v>318</v>
      </c>
      <c r="C319" s="40">
        <f t="shared" si="4"/>
        <v>0</v>
      </c>
    </row>
    <row r="320" spans="2:3">
      <c r="B320" s="40">
        <v>319</v>
      </c>
      <c r="C320" s="40">
        <f t="shared" si="4"/>
        <v>0</v>
      </c>
    </row>
    <row r="321" spans="2:3">
      <c r="B321" s="40">
        <v>320</v>
      </c>
      <c r="C321" s="40">
        <f t="shared" si="4"/>
        <v>0</v>
      </c>
    </row>
    <row r="322" spans="2:3">
      <c r="B322" s="40">
        <v>321</v>
      </c>
      <c r="C322" s="40">
        <f t="shared" si="4"/>
        <v>0</v>
      </c>
    </row>
    <row r="323" spans="2:3">
      <c r="B323" s="40">
        <v>322</v>
      </c>
      <c r="C323" s="40">
        <f t="shared" ref="C323:C386" si="5">IF(LEFT(A323,1)="C",A323,C322)</f>
        <v>0</v>
      </c>
    </row>
    <row r="324" spans="2:3">
      <c r="B324" s="40">
        <v>323</v>
      </c>
      <c r="C324" s="40">
        <f t="shared" si="5"/>
        <v>0</v>
      </c>
    </row>
    <row r="325" spans="2:3">
      <c r="B325" s="40">
        <v>324</v>
      </c>
      <c r="C325" s="40">
        <f t="shared" si="5"/>
        <v>0</v>
      </c>
    </row>
    <row r="326" spans="2:3">
      <c r="B326" s="40">
        <v>325</v>
      </c>
      <c r="C326" s="40">
        <f t="shared" si="5"/>
        <v>0</v>
      </c>
    </row>
    <row r="327" spans="2:3">
      <c r="B327" s="40">
        <v>326</v>
      </c>
      <c r="C327" s="40">
        <f t="shared" si="5"/>
        <v>0</v>
      </c>
    </row>
    <row r="328" spans="2:3">
      <c r="B328" s="40">
        <v>327</v>
      </c>
      <c r="C328" s="40">
        <f t="shared" si="5"/>
        <v>0</v>
      </c>
    </row>
    <row r="329" spans="2:3">
      <c r="B329" s="40">
        <v>328</v>
      </c>
      <c r="C329" s="40">
        <f t="shared" si="5"/>
        <v>0</v>
      </c>
    </row>
    <row r="330" spans="2:3">
      <c r="B330" s="40">
        <v>329</v>
      </c>
      <c r="C330" s="40">
        <f t="shared" si="5"/>
        <v>0</v>
      </c>
    </row>
    <row r="331" spans="2:3">
      <c r="B331" s="40">
        <v>330</v>
      </c>
      <c r="C331" s="40">
        <f t="shared" si="5"/>
        <v>0</v>
      </c>
    </row>
    <row r="332" spans="2:3">
      <c r="B332" s="40">
        <v>331</v>
      </c>
      <c r="C332" s="40">
        <f t="shared" si="5"/>
        <v>0</v>
      </c>
    </row>
    <row r="333" spans="2:3">
      <c r="B333" s="40">
        <v>332</v>
      </c>
      <c r="C333" s="40">
        <f t="shared" si="5"/>
        <v>0</v>
      </c>
    </row>
    <row r="334" spans="2:3">
      <c r="B334" s="40">
        <v>333</v>
      </c>
      <c r="C334" s="40">
        <f t="shared" si="5"/>
        <v>0</v>
      </c>
    </row>
    <row r="335" spans="2:3">
      <c r="B335" s="40">
        <v>334</v>
      </c>
      <c r="C335" s="40">
        <f t="shared" si="5"/>
        <v>0</v>
      </c>
    </row>
    <row r="336" spans="2:3">
      <c r="B336" s="40">
        <v>335</v>
      </c>
      <c r="C336" s="40">
        <f t="shared" si="5"/>
        <v>0</v>
      </c>
    </row>
    <row r="337" spans="1:3">
      <c r="B337" s="40">
        <v>336</v>
      </c>
      <c r="C337" s="40">
        <f t="shared" si="5"/>
        <v>0</v>
      </c>
    </row>
    <row r="338" spans="1:3">
      <c r="A338" s="41"/>
      <c r="B338" s="40">
        <v>337</v>
      </c>
      <c r="C338" s="40">
        <f t="shared" si="5"/>
        <v>0</v>
      </c>
    </row>
    <row r="339" spans="1:3">
      <c r="B339" s="40">
        <v>338</v>
      </c>
      <c r="C339" s="40">
        <f t="shared" si="5"/>
        <v>0</v>
      </c>
    </row>
    <row r="340" spans="1:3">
      <c r="B340" s="40">
        <v>339</v>
      </c>
      <c r="C340" s="40">
        <f t="shared" si="5"/>
        <v>0</v>
      </c>
    </row>
    <row r="341" spans="1:3">
      <c r="B341" s="40">
        <v>340</v>
      </c>
      <c r="C341" s="40">
        <f t="shared" si="5"/>
        <v>0</v>
      </c>
    </row>
    <row r="342" spans="1:3">
      <c r="B342" s="40">
        <v>341</v>
      </c>
      <c r="C342" s="40">
        <f t="shared" si="5"/>
        <v>0</v>
      </c>
    </row>
    <row r="343" spans="1:3">
      <c r="B343" s="40">
        <v>342</v>
      </c>
      <c r="C343" s="40">
        <f t="shared" si="5"/>
        <v>0</v>
      </c>
    </row>
    <row r="344" spans="1:3">
      <c r="B344" s="40">
        <v>343</v>
      </c>
      <c r="C344" s="40">
        <f t="shared" si="5"/>
        <v>0</v>
      </c>
    </row>
    <row r="345" spans="1:3">
      <c r="B345" s="40">
        <v>344</v>
      </c>
      <c r="C345" s="40">
        <f t="shared" si="5"/>
        <v>0</v>
      </c>
    </row>
    <row r="346" spans="1:3">
      <c r="B346" s="40">
        <v>345</v>
      </c>
      <c r="C346" s="40">
        <f t="shared" si="5"/>
        <v>0</v>
      </c>
    </row>
    <row r="347" spans="1:3">
      <c r="B347" s="40">
        <v>346</v>
      </c>
      <c r="C347" s="40">
        <f t="shared" si="5"/>
        <v>0</v>
      </c>
    </row>
    <row r="348" spans="1:3">
      <c r="B348" s="40">
        <v>347</v>
      </c>
      <c r="C348" s="40">
        <f t="shared" si="5"/>
        <v>0</v>
      </c>
    </row>
    <row r="349" spans="1:3">
      <c r="B349" s="40">
        <v>348</v>
      </c>
      <c r="C349" s="40">
        <f t="shared" si="5"/>
        <v>0</v>
      </c>
    </row>
    <row r="350" spans="1:3">
      <c r="B350" s="40">
        <v>349</v>
      </c>
      <c r="C350" s="40">
        <f t="shared" si="5"/>
        <v>0</v>
      </c>
    </row>
    <row r="351" spans="1:3">
      <c r="B351" s="40">
        <v>350</v>
      </c>
      <c r="C351" s="40">
        <f t="shared" si="5"/>
        <v>0</v>
      </c>
    </row>
    <row r="352" spans="1:3">
      <c r="B352" s="40">
        <v>351</v>
      </c>
      <c r="C352" s="40">
        <f t="shared" si="5"/>
        <v>0</v>
      </c>
    </row>
    <row r="353" spans="2:3">
      <c r="B353" s="40">
        <v>352</v>
      </c>
      <c r="C353" s="40">
        <f t="shared" si="5"/>
        <v>0</v>
      </c>
    </row>
    <row r="354" spans="2:3">
      <c r="B354" s="40">
        <v>353</v>
      </c>
      <c r="C354" s="40">
        <f t="shared" si="5"/>
        <v>0</v>
      </c>
    </row>
    <row r="355" spans="2:3">
      <c r="B355" s="40">
        <v>354</v>
      </c>
      <c r="C355" s="40">
        <f t="shared" si="5"/>
        <v>0</v>
      </c>
    </row>
    <row r="356" spans="2:3">
      <c r="B356" s="40">
        <v>355</v>
      </c>
      <c r="C356" s="40">
        <f t="shared" si="5"/>
        <v>0</v>
      </c>
    </row>
    <row r="357" spans="2:3">
      <c r="B357" s="40">
        <v>356</v>
      </c>
      <c r="C357" s="40">
        <f t="shared" si="5"/>
        <v>0</v>
      </c>
    </row>
    <row r="358" spans="2:3">
      <c r="B358" s="40">
        <v>357</v>
      </c>
      <c r="C358" s="40">
        <f t="shared" si="5"/>
        <v>0</v>
      </c>
    </row>
    <row r="359" spans="2:3">
      <c r="B359" s="40">
        <v>358</v>
      </c>
      <c r="C359" s="40">
        <f t="shared" si="5"/>
        <v>0</v>
      </c>
    </row>
    <row r="360" spans="2:3">
      <c r="B360" s="40">
        <v>359</v>
      </c>
      <c r="C360" s="40">
        <f t="shared" si="5"/>
        <v>0</v>
      </c>
    </row>
    <row r="361" spans="2:3">
      <c r="B361" s="40">
        <v>360</v>
      </c>
      <c r="C361" s="40">
        <f t="shared" si="5"/>
        <v>0</v>
      </c>
    </row>
    <row r="362" spans="2:3">
      <c r="B362" s="40">
        <v>361</v>
      </c>
      <c r="C362" s="40">
        <f t="shared" si="5"/>
        <v>0</v>
      </c>
    </row>
    <row r="363" spans="2:3">
      <c r="B363" s="40">
        <v>362</v>
      </c>
      <c r="C363" s="40">
        <f t="shared" si="5"/>
        <v>0</v>
      </c>
    </row>
    <row r="364" spans="2:3">
      <c r="B364" s="40">
        <v>363</v>
      </c>
      <c r="C364" s="40">
        <f t="shared" si="5"/>
        <v>0</v>
      </c>
    </row>
    <row r="365" spans="2:3">
      <c r="B365" s="40">
        <v>364</v>
      </c>
      <c r="C365" s="40">
        <f t="shared" si="5"/>
        <v>0</v>
      </c>
    </row>
    <row r="366" spans="2:3">
      <c r="B366" s="40">
        <v>365</v>
      </c>
      <c r="C366" s="40">
        <f t="shared" si="5"/>
        <v>0</v>
      </c>
    </row>
    <row r="367" spans="2:3">
      <c r="B367" s="40">
        <v>366</v>
      </c>
      <c r="C367" s="40">
        <f t="shared" si="5"/>
        <v>0</v>
      </c>
    </row>
    <row r="368" spans="2:3">
      <c r="B368" s="40">
        <v>367</v>
      </c>
      <c r="C368" s="40">
        <f t="shared" si="5"/>
        <v>0</v>
      </c>
    </row>
    <row r="369" spans="2:3">
      <c r="B369" s="40">
        <v>368</v>
      </c>
      <c r="C369" s="40">
        <f t="shared" si="5"/>
        <v>0</v>
      </c>
    </row>
    <row r="370" spans="2:3">
      <c r="B370" s="40">
        <v>369</v>
      </c>
      <c r="C370" s="40">
        <f t="shared" si="5"/>
        <v>0</v>
      </c>
    </row>
    <row r="371" spans="2:3">
      <c r="B371" s="40">
        <v>370</v>
      </c>
      <c r="C371" s="40">
        <f t="shared" si="5"/>
        <v>0</v>
      </c>
    </row>
    <row r="372" spans="2:3">
      <c r="B372" s="40">
        <v>371</v>
      </c>
      <c r="C372" s="40">
        <f t="shared" si="5"/>
        <v>0</v>
      </c>
    </row>
    <row r="373" spans="2:3">
      <c r="B373" s="40">
        <v>372</v>
      </c>
      <c r="C373" s="40">
        <f t="shared" si="5"/>
        <v>0</v>
      </c>
    </row>
    <row r="374" spans="2:3">
      <c r="B374" s="40">
        <v>373</v>
      </c>
      <c r="C374" s="40">
        <f t="shared" si="5"/>
        <v>0</v>
      </c>
    </row>
    <row r="375" spans="2:3">
      <c r="B375" s="40">
        <v>374</v>
      </c>
      <c r="C375" s="40">
        <f t="shared" si="5"/>
        <v>0</v>
      </c>
    </row>
    <row r="376" spans="2:3">
      <c r="B376" s="40">
        <v>375</v>
      </c>
      <c r="C376" s="40">
        <f t="shared" si="5"/>
        <v>0</v>
      </c>
    </row>
    <row r="377" spans="2:3">
      <c r="B377" s="40">
        <v>376</v>
      </c>
      <c r="C377" s="40">
        <f t="shared" si="5"/>
        <v>0</v>
      </c>
    </row>
    <row r="378" spans="2:3">
      <c r="B378" s="40">
        <v>377</v>
      </c>
      <c r="C378" s="40">
        <f t="shared" si="5"/>
        <v>0</v>
      </c>
    </row>
    <row r="379" spans="2:3">
      <c r="B379" s="40">
        <v>378</v>
      </c>
      <c r="C379" s="40">
        <f t="shared" si="5"/>
        <v>0</v>
      </c>
    </row>
    <row r="380" spans="2:3">
      <c r="B380" s="40">
        <v>379</v>
      </c>
      <c r="C380" s="40">
        <f t="shared" si="5"/>
        <v>0</v>
      </c>
    </row>
    <row r="381" spans="2:3">
      <c r="B381" s="40">
        <v>380</v>
      </c>
      <c r="C381" s="40">
        <f t="shared" si="5"/>
        <v>0</v>
      </c>
    </row>
    <row r="382" spans="2:3">
      <c r="B382" s="40">
        <v>381</v>
      </c>
      <c r="C382" s="40">
        <f t="shared" si="5"/>
        <v>0</v>
      </c>
    </row>
    <row r="383" spans="2:3">
      <c r="B383" s="40">
        <v>382</v>
      </c>
      <c r="C383" s="40">
        <f t="shared" si="5"/>
        <v>0</v>
      </c>
    </row>
    <row r="384" spans="2:3">
      <c r="B384" s="40">
        <v>383</v>
      </c>
      <c r="C384" s="40">
        <f t="shared" si="5"/>
        <v>0</v>
      </c>
    </row>
    <row r="385" spans="2:3">
      <c r="B385" s="40">
        <v>384</v>
      </c>
      <c r="C385" s="40">
        <f t="shared" si="5"/>
        <v>0</v>
      </c>
    </row>
    <row r="386" spans="2:3">
      <c r="B386" s="40">
        <v>385</v>
      </c>
      <c r="C386" s="40">
        <f t="shared" si="5"/>
        <v>0</v>
      </c>
    </row>
    <row r="387" spans="2:3">
      <c r="B387" s="40">
        <v>386</v>
      </c>
      <c r="C387" s="40">
        <f t="shared" ref="C387:C450" si="6">IF(LEFT(A387,1)="C",A387,C386)</f>
        <v>0</v>
      </c>
    </row>
    <row r="388" spans="2:3">
      <c r="B388" s="40">
        <v>387</v>
      </c>
      <c r="C388" s="40">
        <f t="shared" si="6"/>
        <v>0</v>
      </c>
    </row>
    <row r="389" spans="2:3">
      <c r="B389" s="40">
        <v>388</v>
      </c>
      <c r="C389" s="40">
        <f t="shared" si="6"/>
        <v>0</v>
      </c>
    </row>
    <row r="390" spans="2:3">
      <c r="B390" s="40">
        <v>389</v>
      </c>
      <c r="C390" s="40">
        <f t="shared" si="6"/>
        <v>0</v>
      </c>
    </row>
    <row r="391" spans="2:3">
      <c r="B391" s="40">
        <v>390</v>
      </c>
      <c r="C391" s="40">
        <f t="shared" si="6"/>
        <v>0</v>
      </c>
    </row>
    <row r="392" spans="2:3">
      <c r="B392" s="40">
        <v>391</v>
      </c>
      <c r="C392" s="40">
        <f t="shared" si="6"/>
        <v>0</v>
      </c>
    </row>
    <row r="393" spans="2:3">
      <c r="B393" s="40">
        <v>392</v>
      </c>
      <c r="C393" s="40">
        <f t="shared" si="6"/>
        <v>0</v>
      </c>
    </row>
    <row r="394" spans="2:3">
      <c r="B394" s="40">
        <v>393</v>
      </c>
      <c r="C394" s="40">
        <f t="shared" si="6"/>
        <v>0</v>
      </c>
    </row>
    <row r="395" spans="2:3">
      <c r="B395" s="40">
        <v>394</v>
      </c>
      <c r="C395" s="40">
        <f t="shared" si="6"/>
        <v>0</v>
      </c>
    </row>
    <row r="396" spans="2:3">
      <c r="B396" s="40">
        <v>395</v>
      </c>
      <c r="C396" s="40">
        <f t="shared" si="6"/>
        <v>0</v>
      </c>
    </row>
    <row r="397" spans="2:3">
      <c r="B397" s="40">
        <v>396</v>
      </c>
      <c r="C397" s="40">
        <f t="shared" si="6"/>
        <v>0</v>
      </c>
    </row>
    <row r="398" spans="2:3">
      <c r="B398" s="40">
        <v>397</v>
      </c>
      <c r="C398" s="40">
        <f t="shared" si="6"/>
        <v>0</v>
      </c>
    </row>
    <row r="399" spans="2:3">
      <c r="B399" s="40">
        <v>398</v>
      </c>
      <c r="C399" s="40">
        <f t="shared" si="6"/>
        <v>0</v>
      </c>
    </row>
    <row r="400" spans="2:3">
      <c r="B400" s="40">
        <v>399</v>
      </c>
      <c r="C400" s="40">
        <f t="shared" si="6"/>
        <v>0</v>
      </c>
    </row>
    <row r="401" spans="2:3">
      <c r="B401" s="40">
        <v>400</v>
      </c>
      <c r="C401" s="40">
        <f t="shared" si="6"/>
        <v>0</v>
      </c>
    </row>
    <row r="402" spans="2:3">
      <c r="B402" s="40">
        <v>401</v>
      </c>
      <c r="C402" s="40">
        <f t="shared" si="6"/>
        <v>0</v>
      </c>
    </row>
    <row r="403" spans="2:3">
      <c r="B403" s="40">
        <v>402</v>
      </c>
      <c r="C403" s="40">
        <f t="shared" si="6"/>
        <v>0</v>
      </c>
    </row>
    <row r="404" spans="2:3">
      <c r="B404" s="40">
        <v>403</v>
      </c>
      <c r="C404" s="40">
        <f t="shared" si="6"/>
        <v>0</v>
      </c>
    </row>
    <row r="405" spans="2:3">
      <c r="B405" s="40">
        <v>404</v>
      </c>
      <c r="C405" s="40">
        <f t="shared" si="6"/>
        <v>0</v>
      </c>
    </row>
    <row r="406" spans="2:3">
      <c r="B406" s="40">
        <v>405</v>
      </c>
      <c r="C406" s="40">
        <f t="shared" si="6"/>
        <v>0</v>
      </c>
    </row>
    <row r="407" spans="2:3">
      <c r="B407" s="40">
        <v>406</v>
      </c>
      <c r="C407" s="40">
        <f t="shared" si="6"/>
        <v>0</v>
      </c>
    </row>
    <row r="408" spans="2:3">
      <c r="B408" s="40">
        <v>407</v>
      </c>
      <c r="C408" s="40">
        <f t="shared" si="6"/>
        <v>0</v>
      </c>
    </row>
    <row r="409" spans="2:3">
      <c r="B409" s="40">
        <v>408</v>
      </c>
      <c r="C409" s="40">
        <f t="shared" si="6"/>
        <v>0</v>
      </c>
    </row>
    <row r="410" spans="2:3">
      <c r="B410" s="40">
        <v>409</v>
      </c>
      <c r="C410" s="40">
        <f t="shared" si="6"/>
        <v>0</v>
      </c>
    </row>
    <row r="411" spans="2:3">
      <c r="B411" s="40">
        <v>410</v>
      </c>
      <c r="C411" s="40">
        <f t="shared" si="6"/>
        <v>0</v>
      </c>
    </row>
    <row r="412" spans="2:3">
      <c r="B412" s="40">
        <v>411</v>
      </c>
      <c r="C412" s="40">
        <f t="shared" si="6"/>
        <v>0</v>
      </c>
    </row>
    <row r="413" spans="2:3">
      <c r="B413" s="40">
        <v>412</v>
      </c>
      <c r="C413" s="40">
        <f t="shared" si="6"/>
        <v>0</v>
      </c>
    </row>
    <row r="414" spans="2:3">
      <c r="B414" s="40">
        <v>413</v>
      </c>
      <c r="C414" s="40">
        <f t="shared" si="6"/>
        <v>0</v>
      </c>
    </row>
    <row r="415" spans="2:3">
      <c r="B415" s="40">
        <v>414</v>
      </c>
      <c r="C415" s="40">
        <f t="shared" si="6"/>
        <v>0</v>
      </c>
    </row>
    <row r="416" spans="2:3">
      <c r="B416" s="40">
        <v>415</v>
      </c>
      <c r="C416" s="40">
        <f t="shared" si="6"/>
        <v>0</v>
      </c>
    </row>
    <row r="417" spans="2:3">
      <c r="B417" s="40">
        <v>416</v>
      </c>
      <c r="C417" s="40">
        <f t="shared" si="6"/>
        <v>0</v>
      </c>
    </row>
    <row r="418" spans="2:3">
      <c r="B418" s="40">
        <v>417</v>
      </c>
      <c r="C418" s="40">
        <f t="shared" si="6"/>
        <v>0</v>
      </c>
    </row>
    <row r="419" spans="2:3">
      <c r="B419" s="40">
        <v>418</v>
      </c>
      <c r="C419" s="40">
        <f t="shared" si="6"/>
        <v>0</v>
      </c>
    </row>
    <row r="420" spans="2:3">
      <c r="B420" s="40">
        <v>419</v>
      </c>
      <c r="C420" s="40">
        <f t="shared" si="6"/>
        <v>0</v>
      </c>
    </row>
    <row r="421" spans="2:3">
      <c r="B421" s="40">
        <v>420</v>
      </c>
      <c r="C421" s="40">
        <f t="shared" si="6"/>
        <v>0</v>
      </c>
    </row>
    <row r="422" spans="2:3">
      <c r="B422" s="40">
        <v>421</v>
      </c>
      <c r="C422" s="40">
        <f t="shared" si="6"/>
        <v>0</v>
      </c>
    </row>
    <row r="423" spans="2:3">
      <c r="B423" s="40">
        <v>422</v>
      </c>
      <c r="C423" s="40">
        <f t="shared" si="6"/>
        <v>0</v>
      </c>
    </row>
    <row r="424" spans="2:3">
      <c r="B424" s="40">
        <v>423</v>
      </c>
      <c r="C424" s="40">
        <f t="shared" si="6"/>
        <v>0</v>
      </c>
    </row>
    <row r="425" spans="2:3">
      <c r="B425" s="40">
        <v>424</v>
      </c>
      <c r="C425" s="40">
        <f t="shared" si="6"/>
        <v>0</v>
      </c>
    </row>
    <row r="426" spans="2:3">
      <c r="B426" s="40">
        <v>425</v>
      </c>
      <c r="C426" s="40">
        <f t="shared" si="6"/>
        <v>0</v>
      </c>
    </row>
    <row r="427" spans="2:3">
      <c r="B427" s="40">
        <v>426</v>
      </c>
      <c r="C427" s="40">
        <f t="shared" si="6"/>
        <v>0</v>
      </c>
    </row>
    <row r="428" spans="2:3">
      <c r="B428" s="40">
        <v>427</v>
      </c>
      <c r="C428" s="40">
        <f t="shared" si="6"/>
        <v>0</v>
      </c>
    </row>
    <row r="429" spans="2:3">
      <c r="B429" s="40">
        <v>428</v>
      </c>
      <c r="C429" s="40">
        <f t="shared" si="6"/>
        <v>0</v>
      </c>
    </row>
    <row r="430" spans="2:3">
      <c r="B430" s="40">
        <v>429</v>
      </c>
      <c r="C430" s="40">
        <f t="shared" si="6"/>
        <v>0</v>
      </c>
    </row>
    <row r="431" spans="2:3">
      <c r="B431" s="40">
        <v>430</v>
      </c>
      <c r="C431" s="40">
        <f t="shared" si="6"/>
        <v>0</v>
      </c>
    </row>
    <row r="432" spans="2:3">
      <c r="B432" s="40">
        <v>431</v>
      </c>
      <c r="C432" s="40">
        <f t="shared" si="6"/>
        <v>0</v>
      </c>
    </row>
    <row r="433" spans="2:3">
      <c r="B433" s="40">
        <v>432</v>
      </c>
      <c r="C433" s="40">
        <f t="shared" si="6"/>
        <v>0</v>
      </c>
    </row>
    <row r="434" spans="2:3">
      <c r="B434" s="40">
        <v>433</v>
      </c>
      <c r="C434" s="40">
        <f t="shared" si="6"/>
        <v>0</v>
      </c>
    </row>
    <row r="435" spans="2:3">
      <c r="B435" s="40">
        <v>434</v>
      </c>
      <c r="C435" s="40">
        <f t="shared" si="6"/>
        <v>0</v>
      </c>
    </row>
    <row r="436" spans="2:3">
      <c r="B436" s="40">
        <v>435</v>
      </c>
      <c r="C436" s="40">
        <f t="shared" si="6"/>
        <v>0</v>
      </c>
    </row>
    <row r="437" spans="2:3">
      <c r="B437" s="40">
        <v>436</v>
      </c>
      <c r="C437" s="40">
        <f t="shared" si="6"/>
        <v>0</v>
      </c>
    </row>
    <row r="438" spans="2:3">
      <c r="B438" s="40">
        <v>437</v>
      </c>
      <c r="C438" s="40">
        <f t="shared" si="6"/>
        <v>0</v>
      </c>
    </row>
    <row r="439" spans="2:3">
      <c r="B439" s="40">
        <v>438</v>
      </c>
      <c r="C439" s="40">
        <f t="shared" si="6"/>
        <v>0</v>
      </c>
    </row>
    <row r="440" spans="2:3">
      <c r="B440" s="40">
        <v>439</v>
      </c>
      <c r="C440" s="40">
        <f t="shared" si="6"/>
        <v>0</v>
      </c>
    </row>
    <row r="441" spans="2:3">
      <c r="B441" s="40">
        <v>440</v>
      </c>
      <c r="C441" s="40">
        <f t="shared" si="6"/>
        <v>0</v>
      </c>
    </row>
    <row r="442" spans="2:3">
      <c r="B442" s="40">
        <v>441</v>
      </c>
      <c r="C442" s="40">
        <f t="shared" si="6"/>
        <v>0</v>
      </c>
    </row>
    <row r="443" spans="2:3">
      <c r="B443" s="40">
        <v>442</v>
      </c>
      <c r="C443" s="40">
        <f t="shared" si="6"/>
        <v>0</v>
      </c>
    </row>
    <row r="444" spans="2:3">
      <c r="B444" s="40">
        <v>443</v>
      </c>
      <c r="C444" s="40">
        <f t="shared" si="6"/>
        <v>0</v>
      </c>
    </row>
    <row r="445" spans="2:3">
      <c r="B445" s="40">
        <v>444</v>
      </c>
      <c r="C445" s="40">
        <f t="shared" si="6"/>
        <v>0</v>
      </c>
    </row>
    <row r="446" spans="2:3">
      <c r="B446" s="40">
        <v>445</v>
      </c>
      <c r="C446" s="40">
        <f t="shared" si="6"/>
        <v>0</v>
      </c>
    </row>
    <row r="447" spans="2:3">
      <c r="B447" s="40">
        <v>446</v>
      </c>
      <c r="C447" s="40">
        <f t="shared" si="6"/>
        <v>0</v>
      </c>
    </row>
    <row r="448" spans="2:3">
      <c r="B448" s="40">
        <v>447</v>
      </c>
      <c r="C448" s="40">
        <f t="shared" si="6"/>
        <v>0</v>
      </c>
    </row>
    <row r="449" spans="2:3">
      <c r="B449" s="40">
        <v>448</v>
      </c>
      <c r="C449" s="40">
        <f t="shared" si="6"/>
        <v>0</v>
      </c>
    </row>
    <row r="450" spans="2:3">
      <c r="B450" s="40">
        <v>449</v>
      </c>
      <c r="C450" s="40">
        <f t="shared" si="6"/>
        <v>0</v>
      </c>
    </row>
    <row r="451" spans="2:3">
      <c r="B451" s="40">
        <v>450</v>
      </c>
      <c r="C451" s="40">
        <f t="shared" ref="C451:C514" si="7">IF(LEFT(A451,1)="C",A451,C450)</f>
        <v>0</v>
      </c>
    </row>
    <row r="452" spans="2:3">
      <c r="B452" s="40">
        <v>451</v>
      </c>
      <c r="C452" s="40">
        <f t="shared" si="7"/>
        <v>0</v>
      </c>
    </row>
    <row r="453" spans="2:3">
      <c r="B453" s="40">
        <v>452</v>
      </c>
      <c r="C453" s="40">
        <f t="shared" si="7"/>
        <v>0</v>
      </c>
    </row>
    <row r="454" spans="2:3">
      <c r="B454" s="40">
        <v>453</v>
      </c>
      <c r="C454" s="40">
        <f t="shared" si="7"/>
        <v>0</v>
      </c>
    </row>
    <row r="455" spans="2:3">
      <c r="B455" s="40">
        <v>454</v>
      </c>
      <c r="C455" s="40">
        <f t="shared" si="7"/>
        <v>0</v>
      </c>
    </row>
    <row r="456" spans="2:3">
      <c r="B456" s="40">
        <v>455</v>
      </c>
      <c r="C456" s="40">
        <f t="shared" si="7"/>
        <v>0</v>
      </c>
    </row>
    <row r="457" spans="2:3">
      <c r="B457" s="40">
        <v>456</v>
      </c>
      <c r="C457" s="40">
        <f t="shared" si="7"/>
        <v>0</v>
      </c>
    </row>
    <row r="458" spans="2:3">
      <c r="B458" s="40">
        <v>457</v>
      </c>
      <c r="C458" s="40">
        <f t="shared" si="7"/>
        <v>0</v>
      </c>
    </row>
    <row r="459" spans="2:3">
      <c r="B459" s="40">
        <v>458</v>
      </c>
      <c r="C459" s="40">
        <f t="shared" si="7"/>
        <v>0</v>
      </c>
    </row>
    <row r="460" spans="2:3">
      <c r="B460" s="40">
        <v>459</v>
      </c>
      <c r="C460" s="40">
        <f t="shared" si="7"/>
        <v>0</v>
      </c>
    </row>
    <row r="461" spans="2:3">
      <c r="B461" s="40">
        <v>460</v>
      </c>
      <c r="C461" s="40">
        <f t="shared" si="7"/>
        <v>0</v>
      </c>
    </row>
    <row r="462" spans="2:3">
      <c r="B462" s="40">
        <v>461</v>
      </c>
      <c r="C462" s="40">
        <f t="shared" si="7"/>
        <v>0</v>
      </c>
    </row>
    <row r="463" spans="2:3">
      <c r="B463" s="40">
        <v>462</v>
      </c>
      <c r="C463" s="40">
        <f t="shared" si="7"/>
        <v>0</v>
      </c>
    </row>
    <row r="464" spans="2:3">
      <c r="B464" s="40">
        <v>463</v>
      </c>
      <c r="C464" s="40">
        <f t="shared" si="7"/>
        <v>0</v>
      </c>
    </row>
    <row r="465" spans="2:3">
      <c r="B465" s="40">
        <v>464</v>
      </c>
      <c r="C465" s="40">
        <f t="shared" si="7"/>
        <v>0</v>
      </c>
    </row>
    <row r="466" spans="2:3">
      <c r="B466" s="40">
        <v>465</v>
      </c>
      <c r="C466" s="40">
        <f t="shared" si="7"/>
        <v>0</v>
      </c>
    </row>
    <row r="467" spans="2:3">
      <c r="B467" s="40">
        <v>466</v>
      </c>
      <c r="C467" s="40">
        <f t="shared" si="7"/>
        <v>0</v>
      </c>
    </row>
    <row r="468" spans="2:3">
      <c r="B468" s="40">
        <v>467</v>
      </c>
      <c r="C468" s="40">
        <f t="shared" si="7"/>
        <v>0</v>
      </c>
    </row>
    <row r="469" spans="2:3">
      <c r="B469" s="40">
        <v>468</v>
      </c>
      <c r="C469" s="40">
        <f t="shared" si="7"/>
        <v>0</v>
      </c>
    </row>
    <row r="470" spans="2:3">
      <c r="B470" s="40">
        <v>469</v>
      </c>
      <c r="C470" s="40">
        <f t="shared" si="7"/>
        <v>0</v>
      </c>
    </row>
    <row r="471" spans="2:3">
      <c r="B471" s="40">
        <v>470</v>
      </c>
      <c r="C471" s="40">
        <f t="shared" si="7"/>
        <v>0</v>
      </c>
    </row>
    <row r="472" spans="2:3">
      <c r="B472" s="40">
        <v>471</v>
      </c>
      <c r="C472" s="40">
        <f t="shared" si="7"/>
        <v>0</v>
      </c>
    </row>
    <row r="473" spans="2:3">
      <c r="B473" s="40">
        <v>472</v>
      </c>
      <c r="C473" s="40">
        <f t="shared" si="7"/>
        <v>0</v>
      </c>
    </row>
    <row r="474" spans="2:3">
      <c r="B474" s="40">
        <v>473</v>
      </c>
      <c r="C474" s="40">
        <f t="shared" si="7"/>
        <v>0</v>
      </c>
    </row>
    <row r="475" spans="2:3">
      <c r="B475" s="40">
        <v>474</v>
      </c>
      <c r="C475" s="40">
        <f t="shared" si="7"/>
        <v>0</v>
      </c>
    </row>
    <row r="476" spans="2:3">
      <c r="B476" s="40">
        <v>475</v>
      </c>
      <c r="C476" s="40">
        <f t="shared" si="7"/>
        <v>0</v>
      </c>
    </row>
    <row r="477" spans="2:3">
      <c r="B477" s="40">
        <v>476</v>
      </c>
      <c r="C477" s="40">
        <f t="shared" si="7"/>
        <v>0</v>
      </c>
    </row>
    <row r="478" spans="2:3">
      <c r="B478" s="40">
        <v>477</v>
      </c>
      <c r="C478" s="40">
        <f t="shared" si="7"/>
        <v>0</v>
      </c>
    </row>
    <row r="479" spans="2:3">
      <c r="B479" s="40">
        <v>478</v>
      </c>
      <c r="C479" s="40">
        <f t="shared" si="7"/>
        <v>0</v>
      </c>
    </row>
    <row r="480" spans="2:3">
      <c r="B480" s="40">
        <v>479</v>
      </c>
      <c r="C480" s="40">
        <f t="shared" si="7"/>
        <v>0</v>
      </c>
    </row>
    <row r="481" spans="2:3">
      <c r="B481" s="40">
        <v>480</v>
      </c>
      <c r="C481" s="40">
        <f t="shared" si="7"/>
        <v>0</v>
      </c>
    </row>
    <row r="482" spans="2:3">
      <c r="B482" s="40">
        <v>481</v>
      </c>
      <c r="C482" s="40">
        <f t="shared" si="7"/>
        <v>0</v>
      </c>
    </row>
    <row r="483" spans="2:3">
      <c r="B483" s="40">
        <v>482</v>
      </c>
      <c r="C483" s="40">
        <f t="shared" si="7"/>
        <v>0</v>
      </c>
    </row>
    <row r="484" spans="2:3">
      <c r="B484" s="40">
        <v>483</v>
      </c>
      <c r="C484" s="40">
        <f t="shared" si="7"/>
        <v>0</v>
      </c>
    </row>
    <row r="485" spans="2:3">
      <c r="B485" s="40">
        <v>484</v>
      </c>
      <c r="C485" s="40">
        <f t="shared" si="7"/>
        <v>0</v>
      </c>
    </row>
    <row r="486" spans="2:3">
      <c r="B486" s="40">
        <v>485</v>
      </c>
      <c r="C486" s="40">
        <f t="shared" si="7"/>
        <v>0</v>
      </c>
    </row>
    <row r="487" spans="2:3">
      <c r="B487" s="40">
        <v>486</v>
      </c>
      <c r="C487" s="40">
        <f t="shared" si="7"/>
        <v>0</v>
      </c>
    </row>
    <row r="488" spans="2:3">
      <c r="B488" s="40">
        <v>487</v>
      </c>
      <c r="C488" s="40">
        <f t="shared" si="7"/>
        <v>0</v>
      </c>
    </row>
    <row r="489" spans="2:3">
      <c r="B489" s="40">
        <v>488</v>
      </c>
      <c r="C489" s="40">
        <f t="shared" si="7"/>
        <v>0</v>
      </c>
    </row>
    <row r="490" spans="2:3">
      <c r="B490" s="40">
        <v>489</v>
      </c>
      <c r="C490" s="40">
        <f t="shared" si="7"/>
        <v>0</v>
      </c>
    </row>
    <row r="491" spans="2:3">
      <c r="B491" s="40">
        <v>490</v>
      </c>
      <c r="C491" s="40">
        <f t="shared" si="7"/>
        <v>0</v>
      </c>
    </row>
    <row r="492" spans="2:3">
      <c r="B492" s="40">
        <v>491</v>
      </c>
      <c r="C492" s="40">
        <f t="shared" si="7"/>
        <v>0</v>
      </c>
    </row>
    <row r="493" spans="2:3">
      <c r="B493" s="40">
        <v>492</v>
      </c>
      <c r="C493" s="40">
        <f t="shared" si="7"/>
        <v>0</v>
      </c>
    </row>
    <row r="494" spans="2:3">
      <c r="B494" s="40">
        <v>493</v>
      </c>
      <c r="C494" s="40">
        <f t="shared" si="7"/>
        <v>0</v>
      </c>
    </row>
    <row r="495" spans="2:3">
      <c r="B495" s="40">
        <v>494</v>
      </c>
      <c r="C495" s="40">
        <f t="shared" si="7"/>
        <v>0</v>
      </c>
    </row>
    <row r="496" spans="2:3">
      <c r="B496" s="40">
        <v>495</v>
      </c>
      <c r="C496" s="40">
        <f t="shared" si="7"/>
        <v>0</v>
      </c>
    </row>
    <row r="497" spans="2:3">
      <c r="B497" s="40">
        <v>496</v>
      </c>
      <c r="C497" s="40">
        <f t="shared" si="7"/>
        <v>0</v>
      </c>
    </row>
    <row r="498" spans="2:3">
      <c r="B498" s="40">
        <v>497</v>
      </c>
      <c r="C498" s="40">
        <f t="shared" si="7"/>
        <v>0</v>
      </c>
    </row>
    <row r="499" spans="2:3">
      <c r="B499" s="40">
        <v>498</v>
      </c>
      <c r="C499" s="40">
        <f t="shared" si="7"/>
        <v>0</v>
      </c>
    </row>
    <row r="500" spans="2:3">
      <c r="B500" s="40">
        <v>499</v>
      </c>
      <c r="C500" s="40">
        <f t="shared" si="7"/>
        <v>0</v>
      </c>
    </row>
    <row r="501" spans="2:3">
      <c r="B501" s="40">
        <v>500</v>
      </c>
      <c r="C501" s="40">
        <f t="shared" si="7"/>
        <v>0</v>
      </c>
    </row>
    <row r="502" spans="2:3">
      <c r="B502" s="40">
        <v>501</v>
      </c>
      <c r="C502" s="40">
        <f t="shared" si="7"/>
        <v>0</v>
      </c>
    </row>
    <row r="503" spans="2:3">
      <c r="B503" s="40">
        <v>502</v>
      </c>
      <c r="C503" s="40">
        <f t="shared" si="7"/>
        <v>0</v>
      </c>
    </row>
    <row r="504" spans="2:3">
      <c r="B504" s="40">
        <v>503</v>
      </c>
      <c r="C504" s="40">
        <f t="shared" si="7"/>
        <v>0</v>
      </c>
    </row>
    <row r="505" spans="2:3">
      <c r="B505" s="40">
        <v>504</v>
      </c>
      <c r="C505" s="40">
        <f t="shared" si="7"/>
        <v>0</v>
      </c>
    </row>
    <row r="506" spans="2:3">
      <c r="B506" s="40">
        <v>505</v>
      </c>
      <c r="C506" s="40">
        <f t="shared" si="7"/>
        <v>0</v>
      </c>
    </row>
    <row r="507" spans="2:3">
      <c r="B507" s="40">
        <v>506</v>
      </c>
      <c r="C507" s="40">
        <f t="shared" si="7"/>
        <v>0</v>
      </c>
    </row>
    <row r="508" spans="2:3">
      <c r="B508" s="40">
        <v>507</v>
      </c>
      <c r="C508" s="40">
        <f t="shared" si="7"/>
        <v>0</v>
      </c>
    </row>
    <row r="509" spans="2:3">
      <c r="B509" s="40">
        <v>508</v>
      </c>
      <c r="C509" s="40">
        <f t="shared" si="7"/>
        <v>0</v>
      </c>
    </row>
    <row r="510" spans="2:3">
      <c r="B510" s="40">
        <v>509</v>
      </c>
      <c r="C510" s="40">
        <f t="shared" si="7"/>
        <v>0</v>
      </c>
    </row>
    <row r="511" spans="2:3">
      <c r="B511" s="40">
        <v>510</v>
      </c>
      <c r="C511" s="40">
        <f t="shared" si="7"/>
        <v>0</v>
      </c>
    </row>
    <row r="512" spans="2:3">
      <c r="B512" s="40">
        <v>511</v>
      </c>
      <c r="C512" s="40">
        <f t="shared" si="7"/>
        <v>0</v>
      </c>
    </row>
    <row r="513" spans="2:3">
      <c r="B513" s="40">
        <v>512</v>
      </c>
      <c r="C513" s="40">
        <f t="shared" si="7"/>
        <v>0</v>
      </c>
    </row>
    <row r="514" spans="2:3">
      <c r="B514" s="40">
        <v>513</v>
      </c>
      <c r="C514" s="40">
        <f t="shared" si="7"/>
        <v>0</v>
      </c>
    </row>
    <row r="515" spans="2:3">
      <c r="B515" s="40">
        <v>514</v>
      </c>
      <c r="C515" s="40">
        <f t="shared" ref="C515:C578" si="8">IF(LEFT(A515,1)="C",A515,C514)</f>
        <v>0</v>
      </c>
    </row>
    <row r="516" spans="2:3">
      <c r="B516" s="40">
        <v>515</v>
      </c>
      <c r="C516" s="40">
        <f t="shared" si="8"/>
        <v>0</v>
      </c>
    </row>
    <row r="517" spans="2:3">
      <c r="B517" s="40">
        <v>516</v>
      </c>
      <c r="C517" s="40">
        <f t="shared" si="8"/>
        <v>0</v>
      </c>
    </row>
    <row r="518" spans="2:3">
      <c r="B518" s="40">
        <v>517</v>
      </c>
      <c r="C518" s="40">
        <f t="shared" si="8"/>
        <v>0</v>
      </c>
    </row>
    <row r="519" spans="2:3">
      <c r="B519" s="40">
        <v>518</v>
      </c>
      <c r="C519" s="40">
        <f t="shared" si="8"/>
        <v>0</v>
      </c>
    </row>
    <row r="520" spans="2:3">
      <c r="B520" s="40">
        <v>519</v>
      </c>
      <c r="C520" s="40">
        <f t="shared" si="8"/>
        <v>0</v>
      </c>
    </row>
    <row r="521" spans="2:3">
      <c r="B521" s="40">
        <v>520</v>
      </c>
      <c r="C521" s="40">
        <f t="shared" si="8"/>
        <v>0</v>
      </c>
    </row>
    <row r="522" spans="2:3">
      <c r="B522" s="40">
        <v>521</v>
      </c>
      <c r="C522" s="40">
        <f t="shared" si="8"/>
        <v>0</v>
      </c>
    </row>
    <row r="523" spans="2:3">
      <c r="B523" s="40">
        <v>522</v>
      </c>
      <c r="C523" s="40">
        <f t="shared" si="8"/>
        <v>0</v>
      </c>
    </row>
    <row r="524" spans="2:3">
      <c r="B524" s="40">
        <v>523</v>
      </c>
      <c r="C524" s="40">
        <f t="shared" si="8"/>
        <v>0</v>
      </c>
    </row>
    <row r="525" spans="2:3">
      <c r="B525" s="40">
        <v>524</v>
      </c>
      <c r="C525" s="40">
        <f t="shared" si="8"/>
        <v>0</v>
      </c>
    </row>
    <row r="526" spans="2:3">
      <c r="B526" s="40">
        <v>525</v>
      </c>
      <c r="C526" s="40">
        <f t="shared" si="8"/>
        <v>0</v>
      </c>
    </row>
    <row r="527" spans="2:3">
      <c r="B527" s="40">
        <v>526</v>
      </c>
      <c r="C527" s="40">
        <f t="shared" si="8"/>
        <v>0</v>
      </c>
    </row>
    <row r="528" spans="2:3">
      <c r="B528" s="40">
        <v>527</v>
      </c>
      <c r="C528" s="40">
        <f t="shared" si="8"/>
        <v>0</v>
      </c>
    </row>
    <row r="529" spans="2:3">
      <c r="B529" s="40">
        <v>528</v>
      </c>
      <c r="C529" s="40">
        <f t="shared" si="8"/>
        <v>0</v>
      </c>
    </row>
    <row r="530" spans="2:3">
      <c r="B530" s="40">
        <v>529</v>
      </c>
      <c r="C530" s="40">
        <f t="shared" si="8"/>
        <v>0</v>
      </c>
    </row>
    <row r="531" spans="2:3">
      <c r="B531" s="40">
        <v>530</v>
      </c>
      <c r="C531" s="40">
        <f t="shared" si="8"/>
        <v>0</v>
      </c>
    </row>
    <row r="532" spans="2:3">
      <c r="B532" s="40">
        <v>531</v>
      </c>
      <c r="C532" s="40">
        <f t="shared" si="8"/>
        <v>0</v>
      </c>
    </row>
    <row r="533" spans="2:3">
      <c r="B533" s="40">
        <v>532</v>
      </c>
      <c r="C533" s="40">
        <f t="shared" si="8"/>
        <v>0</v>
      </c>
    </row>
    <row r="534" spans="2:3">
      <c r="B534" s="40">
        <v>533</v>
      </c>
      <c r="C534" s="40">
        <f t="shared" si="8"/>
        <v>0</v>
      </c>
    </row>
    <row r="535" spans="2:3">
      <c r="B535" s="40">
        <v>534</v>
      </c>
      <c r="C535" s="40">
        <f t="shared" si="8"/>
        <v>0</v>
      </c>
    </row>
    <row r="536" spans="2:3">
      <c r="B536" s="40">
        <v>535</v>
      </c>
      <c r="C536" s="40">
        <f t="shared" si="8"/>
        <v>0</v>
      </c>
    </row>
    <row r="537" spans="2:3">
      <c r="B537" s="40">
        <v>536</v>
      </c>
      <c r="C537" s="40">
        <f t="shared" si="8"/>
        <v>0</v>
      </c>
    </row>
    <row r="538" spans="2:3">
      <c r="B538" s="40">
        <v>537</v>
      </c>
      <c r="C538" s="40">
        <f t="shared" si="8"/>
        <v>0</v>
      </c>
    </row>
    <row r="539" spans="2:3">
      <c r="B539" s="40">
        <v>538</v>
      </c>
      <c r="C539" s="40">
        <f t="shared" si="8"/>
        <v>0</v>
      </c>
    </row>
    <row r="540" spans="2:3">
      <c r="B540" s="40">
        <v>539</v>
      </c>
      <c r="C540" s="40">
        <f t="shared" si="8"/>
        <v>0</v>
      </c>
    </row>
    <row r="541" spans="2:3">
      <c r="B541" s="40">
        <v>540</v>
      </c>
      <c r="C541" s="40">
        <f t="shared" si="8"/>
        <v>0</v>
      </c>
    </row>
    <row r="542" spans="2:3">
      <c r="B542" s="40">
        <v>541</v>
      </c>
      <c r="C542" s="40">
        <f t="shared" si="8"/>
        <v>0</v>
      </c>
    </row>
    <row r="543" spans="2:3">
      <c r="B543" s="40">
        <v>542</v>
      </c>
      <c r="C543" s="40">
        <f t="shared" si="8"/>
        <v>0</v>
      </c>
    </row>
    <row r="544" spans="2:3">
      <c r="B544" s="40">
        <v>543</v>
      </c>
      <c r="C544" s="40">
        <f t="shared" si="8"/>
        <v>0</v>
      </c>
    </row>
    <row r="545" spans="2:3">
      <c r="B545" s="40">
        <v>544</v>
      </c>
      <c r="C545" s="40">
        <f t="shared" si="8"/>
        <v>0</v>
      </c>
    </row>
    <row r="546" spans="2:3">
      <c r="B546" s="40">
        <v>545</v>
      </c>
      <c r="C546" s="40">
        <f t="shared" si="8"/>
        <v>0</v>
      </c>
    </row>
    <row r="547" spans="2:3">
      <c r="B547" s="40">
        <v>546</v>
      </c>
      <c r="C547" s="40">
        <f t="shared" si="8"/>
        <v>0</v>
      </c>
    </row>
    <row r="548" spans="2:3">
      <c r="B548" s="40">
        <v>547</v>
      </c>
      <c r="C548" s="40">
        <f t="shared" si="8"/>
        <v>0</v>
      </c>
    </row>
    <row r="549" spans="2:3">
      <c r="B549" s="40">
        <v>548</v>
      </c>
      <c r="C549" s="40">
        <f t="shared" si="8"/>
        <v>0</v>
      </c>
    </row>
    <row r="550" spans="2:3">
      <c r="B550" s="40">
        <v>549</v>
      </c>
      <c r="C550" s="40">
        <f t="shared" si="8"/>
        <v>0</v>
      </c>
    </row>
    <row r="551" spans="2:3">
      <c r="B551" s="40">
        <v>550</v>
      </c>
      <c r="C551" s="40">
        <f t="shared" si="8"/>
        <v>0</v>
      </c>
    </row>
    <row r="552" spans="2:3">
      <c r="B552" s="40">
        <v>551</v>
      </c>
      <c r="C552" s="40">
        <f t="shared" si="8"/>
        <v>0</v>
      </c>
    </row>
    <row r="553" spans="2:3">
      <c r="B553" s="40">
        <v>552</v>
      </c>
      <c r="C553" s="40">
        <f t="shared" si="8"/>
        <v>0</v>
      </c>
    </row>
    <row r="554" spans="2:3">
      <c r="B554" s="40">
        <v>553</v>
      </c>
      <c r="C554" s="40">
        <f t="shared" si="8"/>
        <v>0</v>
      </c>
    </row>
    <row r="555" spans="2:3">
      <c r="B555" s="40">
        <v>554</v>
      </c>
      <c r="C555" s="40">
        <f t="shared" si="8"/>
        <v>0</v>
      </c>
    </row>
    <row r="556" spans="2:3">
      <c r="B556" s="40">
        <v>555</v>
      </c>
      <c r="C556" s="40">
        <f t="shared" si="8"/>
        <v>0</v>
      </c>
    </row>
    <row r="557" spans="2:3">
      <c r="B557" s="40">
        <v>556</v>
      </c>
      <c r="C557" s="40">
        <f t="shared" si="8"/>
        <v>0</v>
      </c>
    </row>
    <row r="558" spans="2:3">
      <c r="B558" s="40">
        <v>557</v>
      </c>
      <c r="C558" s="40">
        <f t="shared" si="8"/>
        <v>0</v>
      </c>
    </row>
    <row r="559" spans="2:3">
      <c r="B559" s="40">
        <v>558</v>
      </c>
      <c r="C559" s="40">
        <f t="shared" si="8"/>
        <v>0</v>
      </c>
    </row>
    <row r="560" spans="2:3">
      <c r="B560" s="40">
        <v>559</v>
      </c>
      <c r="C560" s="40">
        <f t="shared" si="8"/>
        <v>0</v>
      </c>
    </row>
    <row r="561" spans="2:3">
      <c r="B561" s="40">
        <v>560</v>
      </c>
      <c r="C561" s="40">
        <f t="shared" si="8"/>
        <v>0</v>
      </c>
    </row>
    <row r="562" spans="2:3">
      <c r="B562" s="40">
        <v>561</v>
      </c>
      <c r="C562" s="40">
        <f t="shared" si="8"/>
        <v>0</v>
      </c>
    </row>
    <row r="563" spans="2:3">
      <c r="B563" s="40">
        <v>562</v>
      </c>
      <c r="C563" s="40">
        <f t="shared" si="8"/>
        <v>0</v>
      </c>
    </row>
    <row r="564" spans="2:3">
      <c r="B564" s="40">
        <v>563</v>
      </c>
      <c r="C564" s="40">
        <f t="shared" si="8"/>
        <v>0</v>
      </c>
    </row>
    <row r="565" spans="2:3">
      <c r="B565" s="40">
        <v>564</v>
      </c>
      <c r="C565" s="40">
        <f t="shared" si="8"/>
        <v>0</v>
      </c>
    </row>
    <row r="566" spans="2:3">
      <c r="B566" s="40">
        <v>565</v>
      </c>
      <c r="C566" s="40">
        <f t="shared" si="8"/>
        <v>0</v>
      </c>
    </row>
    <row r="567" spans="2:3">
      <c r="B567" s="40">
        <v>566</v>
      </c>
      <c r="C567" s="40">
        <f t="shared" si="8"/>
        <v>0</v>
      </c>
    </row>
    <row r="568" spans="2:3">
      <c r="B568" s="40">
        <v>567</v>
      </c>
      <c r="C568" s="40">
        <f t="shared" si="8"/>
        <v>0</v>
      </c>
    </row>
    <row r="569" spans="2:3">
      <c r="B569" s="40">
        <v>568</v>
      </c>
      <c r="C569" s="40">
        <f t="shared" si="8"/>
        <v>0</v>
      </c>
    </row>
    <row r="570" spans="2:3">
      <c r="B570" s="40">
        <v>569</v>
      </c>
      <c r="C570" s="40">
        <f t="shared" si="8"/>
        <v>0</v>
      </c>
    </row>
    <row r="571" spans="2:3">
      <c r="B571" s="40">
        <v>570</v>
      </c>
      <c r="C571" s="40">
        <f t="shared" si="8"/>
        <v>0</v>
      </c>
    </row>
    <row r="572" spans="2:3">
      <c r="B572" s="40">
        <v>571</v>
      </c>
      <c r="C572" s="40">
        <f t="shared" si="8"/>
        <v>0</v>
      </c>
    </row>
    <row r="573" spans="2:3">
      <c r="B573" s="40">
        <v>572</v>
      </c>
      <c r="C573" s="40">
        <f t="shared" si="8"/>
        <v>0</v>
      </c>
    </row>
    <row r="574" spans="2:3">
      <c r="B574" s="40">
        <v>573</v>
      </c>
      <c r="C574" s="40">
        <f t="shared" si="8"/>
        <v>0</v>
      </c>
    </row>
    <row r="575" spans="2:3">
      <c r="B575" s="40">
        <v>574</v>
      </c>
      <c r="C575" s="40">
        <f t="shared" si="8"/>
        <v>0</v>
      </c>
    </row>
    <row r="576" spans="2:3">
      <c r="B576" s="40">
        <v>575</v>
      </c>
      <c r="C576" s="40">
        <f t="shared" si="8"/>
        <v>0</v>
      </c>
    </row>
    <row r="577" spans="2:3">
      <c r="B577" s="40">
        <v>576</v>
      </c>
      <c r="C577" s="40">
        <f t="shared" si="8"/>
        <v>0</v>
      </c>
    </row>
    <row r="578" spans="2:3">
      <c r="B578" s="40">
        <v>577</v>
      </c>
      <c r="C578" s="40">
        <f t="shared" si="8"/>
        <v>0</v>
      </c>
    </row>
    <row r="579" spans="2:3">
      <c r="B579" s="40">
        <v>578</v>
      </c>
      <c r="C579" s="40">
        <f t="shared" ref="C579:C642" si="9">IF(LEFT(A579,1)="C",A579,C578)</f>
        <v>0</v>
      </c>
    </row>
    <row r="580" spans="2:3">
      <c r="B580" s="40">
        <v>579</v>
      </c>
      <c r="C580" s="40">
        <f t="shared" si="9"/>
        <v>0</v>
      </c>
    </row>
    <row r="581" spans="2:3">
      <c r="B581" s="40">
        <v>580</v>
      </c>
      <c r="C581" s="40">
        <f t="shared" si="9"/>
        <v>0</v>
      </c>
    </row>
    <row r="582" spans="2:3">
      <c r="B582" s="40">
        <v>581</v>
      </c>
      <c r="C582" s="40">
        <f t="shared" si="9"/>
        <v>0</v>
      </c>
    </row>
    <row r="583" spans="2:3">
      <c r="B583" s="40">
        <v>582</v>
      </c>
      <c r="C583" s="40">
        <f t="shared" si="9"/>
        <v>0</v>
      </c>
    </row>
    <row r="584" spans="2:3">
      <c r="B584" s="40">
        <v>583</v>
      </c>
      <c r="C584" s="40">
        <f t="shared" si="9"/>
        <v>0</v>
      </c>
    </row>
    <row r="585" spans="2:3">
      <c r="B585" s="40">
        <v>584</v>
      </c>
      <c r="C585" s="40">
        <f t="shared" si="9"/>
        <v>0</v>
      </c>
    </row>
    <row r="586" spans="2:3">
      <c r="B586" s="40">
        <v>585</v>
      </c>
      <c r="C586" s="40">
        <f t="shared" si="9"/>
        <v>0</v>
      </c>
    </row>
    <row r="587" spans="2:3">
      <c r="B587" s="40">
        <v>586</v>
      </c>
      <c r="C587" s="40">
        <f t="shared" si="9"/>
        <v>0</v>
      </c>
    </row>
    <row r="588" spans="2:3">
      <c r="B588" s="40">
        <v>587</v>
      </c>
      <c r="C588" s="40">
        <f t="shared" si="9"/>
        <v>0</v>
      </c>
    </row>
    <row r="589" spans="2:3">
      <c r="B589" s="40">
        <v>588</v>
      </c>
      <c r="C589" s="40">
        <f t="shared" si="9"/>
        <v>0</v>
      </c>
    </row>
    <row r="590" spans="2:3">
      <c r="B590" s="40">
        <v>589</v>
      </c>
      <c r="C590" s="40">
        <f t="shared" si="9"/>
        <v>0</v>
      </c>
    </row>
    <row r="591" spans="2:3">
      <c r="B591" s="40">
        <v>590</v>
      </c>
      <c r="C591" s="40">
        <f t="shared" si="9"/>
        <v>0</v>
      </c>
    </row>
    <row r="592" spans="2:3">
      <c r="B592" s="40">
        <v>591</v>
      </c>
      <c r="C592" s="40">
        <f t="shared" si="9"/>
        <v>0</v>
      </c>
    </row>
    <row r="593" spans="2:3">
      <c r="B593" s="40">
        <v>592</v>
      </c>
      <c r="C593" s="40">
        <f t="shared" si="9"/>
        <v>0</v>
      </c>
    </row>
    <row r="594" spans="2:3">
      <c r="B594" s="40">
        <v>593</v>
      </c>
      <c r="C594" s="40">
        <f t="shared" si="9"/>
        <v>0</v>
      </c>
    </row>
    <row r="595" spans="2:3">
      <c r="B595" s="40">
        <v>594</v>
      </c>
      <c r="C595" s="40">
        <f t="shared" si="9"/>
        <v>0</v>
      </c>
    </row>
    <row r="596" spans="2:3">
      <c r="B596" s="40">
        <v>595</v>
      </c>
      <c r="C596" s="40">
        <f t="shared" si="9"/>
        <v>0</v>
      </c>
    </row>
    <row r="597" spans="2:3">
      <c r="B597" s="40">
        <v>596</v>
      </c>
      <c r="C597" s="40">
        <f t="shared" si="9"/>
        <v>0</v>
      </c>
    </row>
    <row r="598" spans="2:3">
      <c r="B598" s="40">
        <v>597</v>
      </c>
      <c r="C598" s="40">
        <f t="shared" si="9"/>
        <v>0</v>
      </c>
    </row>
    <row r="599" spans="2:3">
      <c r="B599" s="40">
        <v>598</v>
      </c>
      <c r="C599" s="40">
        <f t="shared" si="9"/>
        <v>0</v>
      </c>
    </row>
    <row r="600" spans="2:3">
      <c r="B600" s="40">
        <v>599</v>
      </c>
      <c r="C600" s="40">
        <f t="shared" si="9"/>
        <v>0</v>
      </c>
    </row>
    <row r="601" spans="2:3">
      <c r="B601" s="40">
        <v>600</v>
      </c>
      <c r="C601" s="40">
        <f t="shared" si="9"/>
        <v>0</v>
      </c>
    </row>
    <row r="602" spans="2:3">
      <c r="B602" s="40">
        <v>601</v>
      </c>
      <c r="C602" s="40">
        <f t="shared" si="9"/>
        <v>0</v>
      </c>
    </row>
    <row r="603" spans="2:3">
      <c r="B603" s="40">
        <v>602</v>
      </c>
      <c r="C603" s="40">
        <f t="shared" si="9"/>
        <v>0</v>
      </c>
    </row>
    <row r="604" spans="2:3">
      <c r="B604" s="40">
        <v>603</v>
      </c>
      <c r="C604" s="40">
        <f t="shared" si="9"/>
        <v>0</v>
      </c>
    </row>
    <row r="605" spans="2:3">
      <c r="B605" s="40">
        <v>604</v>
      </c>
      <c r="C605" s="40">
        <f t="shared" si="9"/>
        <v>0</v>
      </c>
    </row>
    <row r="606" spans="2:3">
      <c r="B606" s="40">
        <v>605</v>
      </c>
      <c r="C606" s="40">
        <f t="shared" si="9"/>
        <v>0</v>
      </c>
    </row>
    <row r="607" spans="2:3">
      <c r="B607" s="40">
        <v>606</v>
      </c>
      <c r="C607" s="40">
        <f t="shared" si="9"/>
        <v>0</v>
      </c>
    </row>
    <row r="608" spans="2:3">
      <c r="B608" s="40">
        <v>607</v>
      </c>
      <c r="C608" s="40">
        <f t="shared" si="9"/>
        <v>0</v>
      </c>
    </row>
    <row r="609" spans="2:3">
      <c r="B609" s="40">
        <v>608</v>
      </c>
      <c r="C609" s="40">
        <f t="shared" si="9"/>
        <v>0</v>
      </c>
    </row>
    <row r="610" spans="2:3">
      <c r="B610" s="40">
        <v>609</v>
      </c>
      <c r="C610" s="40">
        <f t="shared" si="9"/>
        <v>0</v>
      </c>
    </row>
    <row r="611" spans="2:3">
      <c r="B611" s="40">
        <v>610</v>
      </c>
      <c r="C611" s="40">
        <f t="shared" si="9"/>
        <v>0</v>
      </c>
    </row>
    <row r="612" spans="2:3">
      <c r="B612" s="40">
        <v>611</v>
      </c>
      <c r="C612" s="40">
        <f t="shared" si="9"/>
        <v>0</v>
      </c>
    </row>
    <row r="613" spans="2:3">
      <c r="B613" s="40">
        <v>612</v>
      </c>
      <c r="C613" s="40">
        <f t="shared" si="9"/>
        <v>0</v>
      </c>
    </row>
    <row r="614" spans="2:3">
      <c r="B614" s="40">
        <v>613</v>
      </c>
      <c r="C614" s="40">
        <f t="shared" si="9"/>
        <v>0</v>
      </c>
    </row>
    <row r="615" spans="2:3">
      <c r="B615" s="40">
        <v>614</v>
      </c>
      <c r="C615" s="40">
        <f t="shared" si="9"/>
        <v>0</v>
      </c>
    </row>
    <row r="616" spans="2:3">
      <c r="B616" s="40">
        <v>615</v>
      </c>
      <c r="C616" s="40">
        <f t="shared" si="9"/>
        <v>0</v>
      </c>
    </row>
    <row r="617" spans="2:3">
      <c r="B617" s="40">
        <v>616</v>
      </c>
      <c r="C617" s="40">
        <f t="shared" si="9"/>
        <v>0</v>
      </c>
    </row>
    <row r="618" spans="2:3">
      <c r="B618" s="40">
        <v>617</v>
      </c>
      <c r="C618" s="40">
        <f t="shared" si="9"/>
        <v>0</v>
      </c>
    </row>
    <row r="619" spans="2:3">
      <c r="B619" s="40">
        <v>618</v>
      </c>
      <c r="C619" s="40">
        <f t="shared" si="9"/>
        <v>0</v>
      </c>
    </row>
    <row r="620" spans="2:3">
      <c r="B620" s="40">
        <v>619</v>
      </c>
      <c r="C620" s="40">
        <f t="shared" si="9"/>
        <v>0</v>
      </c>
    </row>
    <row r="621" spans="2:3">
      <c r="B621" s="40">
        <v>620</v>
      </c>
      <c r="C621" s="40">
        <f t="shared" si="9"/>
        <v>0</v>
      </c>
    </row>
    <row r="622" spans="2:3">
      <c r="B622" s="40">
        <v>621</v>
      </c>
      <c r="C622" s="40">
        <f t="shared" si="9"/>
        <v>0</v>
      </c>
    </row>
    <row r="623" spans="2:3">
      <c r="B623" s="40">
        <v>622</v>
      </c>
      <c r="C623" s="40">
        <f t="shared" si="9"/>
        <v>0</v>
      </c>
    </row>
    <row r="624" spans="2:3">
      <c r="B624" s="40">
        <v>623</v>
      </c>
      <c r="C624" s="40">
        <f t="shared" si="9"/>
        <v>0</v>
      </c>
    </row>
    <row r="625" spans="1:3">
      <c r="A625" s="41"/>
      <c r="B625" s="40">
        <v>624</v>
      </c>
      <c r="C625" s="40">
        <f t="shared" si="9"/>
        <v>0</v>
      </c>
    </row>
    <row r="626" spans="1:3">
      <c r="B626" s="40">
        <v>625</v>
      </c>
      <c r="C626" s="40">
        <f t="shared" si="9"/>
        <v>0</v>
      </c>
    </row>
    <row r="627" spans="1:3">
      <c r="B627" s="40">
        <v>626</v>
      </c>
      <c r="C627" s="40">
        <f t="shared" si="9"/>
        <v>0</v>
      </c>
    </row>
    <row r="628" spans="1:3">
      <c r="B628" s="40">
        <v>627</v>
      </c>
      <c r="C628" s="40">
        <f t="shared" si="9"/>
        <v>0</v>
      </c>
    </row>
    <row r="629" spans="1:3">
      <c r="B629" s="40">
        <v>628</v>
      </c>
      <c r="C629" s="40">
        <f t="shared" si="9"/>
        <v>0</v>
      </c>
    </row>
    <row r="630" spans="1:3">
      <c r="B630" s="40">
        <v>629</v>
      </c>
      <c r="C630" s="40">
        <f t="shared" si="9"/>
        <v>0</v>
      </c>
    </row>
    <row r="631" spans="1:3">
      <c r="B631" s="40">
        <v>630</v>
      </c>
      <c r="C631" s="40">
        <f t="shared" si="9"/>
        <v>0</v>
      </c>
    </row>
    <row r="632" spans="1:3">
      <c r="B632" s="40">
        <v>631</v>
      </c>
      <c r="C632" s="40">
        <f t="shared" si="9"/>
        <v>0</v>
      </c>
    </row>
    <row r="633" spans="1:3">
      <c r="B633" s="40">
        <v>632</v>
      </c>
      <c r="C633" s="40">
        <f t="shared" si="9"/>
        <v>0</v>
      </c>
    </row>
    <row r="634" spans="1:3">
      <c r="B634" s="40">
        <v>633</v>
      </c>
      <c r="C634" s="40">
        <f t="shared" si="9"/>
        <v>0</v>
      </c>
    </row>
    <row r="635" spans="1:3">
      <c r="B635" s="40">
        <v>634</v>
      </c>
      <c r="C635" s="40">
        <f t="shared" si="9"/>
        <v>0</v>
      </c>
    </row>
    <row r="636" spans="1:3">
      <c r="B636" s="40">
        <v>635</v>
      </c>
      <c r="C636" s="40">
        <f t="shared" si="9"/>
        <v>0</v>
      </c>
    </row>
    <row r="637" spans="1:3">
      <c r="B637" s="40">
        <v>636</v>
      </c>
      <c r="C637" s="40">
        <f t="shared" si="9"/>
        <v>0</v>
      </c>
    </row>
    <row r="638" spans="1:3">
      <c r="B638" s="40">
        <v>637</v>
      </c>
      <c r="C638" s="40">
        <f t="shared" si="9"/>
        <v>0</v>
      </c>
    </row>
    <row r="639" spans="1:3">
      <c r="B639" s="40">
        <v>638</v>
      </c>
      <c r="C639" s="40">
        <f t="shared" si="9"/>
        <v>0</v>
      </c>
    </row>
    <row r="640" spans="1:3">
      <c r="B640" s="40">
        <v>639</v>
      </c>
      <c r="C640" s="40">
        <f t="shared" si="9"/>
        <v>0</v>
      </c>
    </row>
    <row r="641" spans="2:3">
      <c r="B641" s="40">
        <v>640</v>
      </c>
      <c r="C641" s="40">
        <f t="shared" si="9"/>
        <v>0</v>
      </c>
    </row>
    <row r="642" spans="2:3">
      <c r="B642" s="40">
        <v>641</v>
      </c>
      <c r="C642" s="40">
        <f t="shared" si="9"/>
        <v>0</v>
      </c>
    </row>
    <row r="643" spans="2:3">
      <c r="B643" s="40">
        <v>642</v>
      </c>
      <c r="C643" s="40">
        <f t="shared" ref="C643:C706" si="10">IF(LEFT(A643,1)="C",A643,C642)</f>
        <v>0</v>
      </c>
    </row>
    <row r="644" spans="2:3">
      <c r="B644" s="40">
        <v>643</v>
      </c>
      <c r="C644" s="40">
        <f t="shared" si="10"/>
        <v>0</v>
      </c>
    </row>
    <row r="645" spans="2:3">
      <c r="B645" s="40">
        <v>644</v>
      </c>
      <c r="C645" s="40">
        <f t="shared" si="10"/>
        <v>0</v>
      </c>
    </row>
    <row r="646" spans="2:3">
      <c r="B646" s="40">
        <v>645</v>
      </c>
      <c r="C646" s="40">
        <f t="shared" si="10"/>
        <v>0</v>
      </c>
    </row>
    <row r="647" spans="2:3">
      <c r="B647" s="40">
        <v>646</v>
      </c>
      <c r="C647" s="40">
        <f t="shared" si="10"/>
        <v>0</v>
      </c>
    </row>
    <row r="648" spans="2:3">
      <c r="B648" s="40">
        <v>647</v>
      </c>
      <c r="C648" s="40">
        <f t="shared" si="10"/>
        <v>0</v>
      </c>
    </row>
    <row r="649" spans="2:3">
      <c r="B649" s="40">
        <v>648</v>
      </c>
      <c r="C649" s="40">
        <f t="shared" si="10"/>
        <v>0</v>
      </c>
    </row>
    <row r="650" spans="2:3">
      <c r="B650" s="40">
        <v>649</v>
      </c>
      <c r="C650" s="40">
        <f t="shared" si="10"/>
        <v>0</v>
      </c>
    </row>
    <row r="651" spans="2:3">
      <c r="B651" s="40">
        <v>650</v>
      </c>
      <c r="C651" s="40">
        <f t="shared" si="10"/>
        <v>0</v>
      </c>
    </row>
    <row r="652" spans="2:3">
      <c r="B652" s="40">
        <v>651</v>
      </c>
      <c r="C652" s="40">
        <f t="shared" si="10"/>
        <v>0</v>
      </c>
    </row>
    <row r="653" spans="2:3">
      <c r="B653" s="40">
        <v>652</v>
      </c>
      <c r="C653" s="40">
        <f t="shared" si="10"/>
        <v>0</v>
      </c>
    </row>
    <row r="654" spans="2:3">
      <c r="B654" s="40">
        <v>653</v>
      </c>
      <c r="C654" s="40">
        <f t="shared" si="10"/>
        <v>0</v>
      </c>
    </row>
    <row r="655" spans="2:3">
      <c r="B655" s="40">
        <v>654</v>
      </c>
      <c r="C655" s="40">
        <f t="shared" si="10"/>
        <v>0</v>
      </c>
    </row>
    <row r="656" spans="2:3">
      <c r="B656" s="40">
        <v>655</v>
      </c>
      <c r="C656" s="40">
        <f t="shared" si="10"/>
        <v>0</v>
      </c>
    </row>
    <row r="657" spans="2:3">
      <c r="B657" s="40">
        <v>656</v>
      </c>
      <c r="C657" s="40">
        <f t="shared" si="10"/>
        <v>0</v>
      </c>
    </row>
    <row r="658" spans="2:3">
      <c r="B658" s="40">
        <v>657</v>
      </c>
      <c r="C658" s="40">
        <f t="shared" si="10"/>
        <v>0</v>
      </c>
    </row>
    <row r="659" spans="2:3">
      <c r="B659" s="40">
        <v>658</v>
      </c>
      <c r="C659" s="40">
        <f t="shared" si="10"/>
        <v>0</v>
      </c>
    </row>
    <row r="660" spans="2:3">
      <c r="B660" s="40">
        <v>659</v>
      </c>
      <c r="C660" s="40">
        <f t="shared" si="10"/>
        <v>0</v>
      </c>
    </row>
    <row r="661" spans="2:3">
      <c r="B661" s="40">
        <v>660</v>
      </c>
      <c r="C661" s="40">
        <f t="shared" si="10"/>
        <v>0</v>
      </c>
    </row>
    <row r="662" spans="2:3">
      <c r="B662" s="40">
        <v>661</v>
      </c>
      <c r="C662" s="40">
        <f t="shared" si="10"/>
        <v>0</v>
      </c>
    </row>
    <row r="663" spans="2:3">
      <c r="B663" s="40">
        <v>662</v>
      </c>
      <c r="C663" s="40">
        <f t="shared" si="10"/>
        <v>0</v>
      </c>
    </row>
    <row r="664" spans="2:3">
      <c r="B664" s="40">
        <v>663</v>
      </c>
      <c r="C664" s="40">
        <f t="shared" si="10"/>
        <v>0</v>
      </c>
    </row>
    <row r="665" spans="2:3">
      <c r="B665" s="40">
        <v>664</v>
      </c>
      <c r="C665" s="40">
        <f t="shared" si="10"/>
        <v>0</v>
      </c>
    </row>
    <row r="666" spans="2:3">
      <c r="B666" s="40">
        <v>665</v>
      </c>
      <c r="C666" s="40">
        <f t="shared" si="10"/>
        <v>0</v>
      </c>
    </row>
    <row r="667" spans="2:3">
      <c r="B667" s="40">
        <v>666</v>
      </c>
      <c r="C667" s="40">
        <f t="shared" si="10"/>
        <v>0</v>
      </c>
    </row>
    <row r="668" spans="2:3">
      <c r="B668" s="40">
        <v>667</v>
      </c>
      <c r="C668" s="40">
        <f t="shared" si="10"/>
        <v>0</v>
      </c>
    </row>
    <row r="669" spans="2:3">
      <c r="B669" s="40">
        <v>668</v>
      </c>
      <c r="C669" s="40">
        <f t="shared" si="10"/>
        <v>0</v>
      </c>
    </row>
    <row r="670" spans="2:3">
      <c r="B670" s="40">
        <v>669</v>
      </c>
      <c r="C670" s="40">
        <f t="shared" si="10"/>
        <v>0</v>
      </c>
    </row>
    <row r="671" spans="2:3">
      <c r="B671" s="40">
        <v>670</v>
      </c>
      <c r="C671" s="40">
        <f t="shared" si="10"/>
        <v>0</v>
      </c>
    </row>
    <row r="672" spans="2:3">
      <c r="B672" s="40">
        <v>671</v>
      </c>
      <c r="C672" s="40">
        <f t="shared" si="10"/>
        <v>0</v>
      </c>
    </row>
    <row r="673" spans="2:3">
      <c r="B673" s="40">
        <v>672</v>
      </c>
      <c r="C673" s="40">
        <f t="shared" si="10"/>
        <v>0</v>
      </c>
    </row>
    <row r="674" spans="2:3">
      <c r="B674" s="40">
        <v>673</v>
      </c>
      <c r="C674" s="40">
        <f t="shared" si="10"/>
        <v>0</v>
      </c>
    </row>
    <row r="675" spans="2:3">
      <c r="B675" s="40">
        <v>674</v>
      </c>
      <c r="C675" s="40">
        <f t="shared" si="10"/>
        <v>0</v>
      </c>
    </row>
    <row r="676" spans="2:3">
      <c r="B676" s="40">
        <v>675</v>
      </c>
      <c r="C676" s="40">
        <f t="shared" si="10"/>
        <v>0</v>
      </c>
    </row>
    <row r="677" spans="2:3">
      <c r="B677" s="40">
        <v>676</v>
      </c>
      <c r="C677" s="40">
        <f t="shared" si="10"/>
        <v>0</v>
      </c>
    </row>
    <row r="678" spans="2:3">
      <c r="B678" s="40">
        <v>677</v>
      </c>
      <c r="C678" s="40">
        <f t="shared" si="10"/>
        <v>0</v>
      </c>
    </row>
    <row r="679" spans="2:3">
      <c r="B679" s="40">
        <v>678</v>
      </c>
      <c r="C679" s="40">
        <f t="shared" si="10"/>
        <v>0</v>
      </c>
    </row>
    <row r="680" spans="2:3">
      <c r="B680" s="40">
        <v>679</v>
      </c>
      <c r="C680" s="40">
        <f t="shared" si="10"/>
        <v>0</v>
      </c>
    </row>
    <row r="681" spans="2:3">
      <c r="B681" s="40">
        <v>680</v>
      </c>
      <c r="C681" s="40">
        <f t="shared" si="10"/>
        <v>0</v>
      </c>
    </row>
    <row r="682" spans="2:3">
      <c r="B682" s="40">
        <v>681</v>
      </c>
      <c r="C682" s="40">
        <f t="shared" si="10"/>
        <v>0</v>
      </c>
    </row>
    <row r="683" spans="2:3">
      <c r="B683" s="40">
        <v>682</v>
      </c>
      <c r="C683" s="40">
        <f t="shared" si="10"/>
        <v>0</v>
      </c>
    </row>
    <row r="684" spans="2:3">
      <c r="B684" s="40">
        <v>683</v>
      </c>
      <c r="C684" s="40">
        <f t="shared" si="10"/>
        <v>0</v>
      </c>
    </row>
    <row r="685" spans="2:3">
      <c r="B685" s="40">
        <v>684</v>
      </c>
      <c r="C685" s="40">
        <f t="shared" si="10"/>
        <v>0</v>
      </c>
    </row>
    <row r="686" spans="2:3">
      <c r="B686" s="40">
        <v>685</v>
      </c>
      <c r="C686" s="40">
        <f t="shared" si="10"/>
        <v>0</v>
      </c>
    </row>
    <row r="687" spans="2:3">
      <c r="B687" s="40">
        <v>686</v>
      </c>
      <c r="C687" s="40">
        <f t="shared" si="10"/>
        <v>0</v>
      </c>
    </row>
    <row r="688" spans="2:3">
      <c r="B688" s="40">
        <v>687</v>
      </c>
      <c r="C688" s="40">
        <f t="shared" si="10"/>
        <v>0</v>
      </c>
    </row>
    <row r="689" spans="2:3">
      <c r="B689" s="40">
        <v>688</v>
      </c>
      <c r="C689" s="40">
        <f t="shared" si="10"/>
        <v>0</v>
      </c>
    </row>
    <row r="690" spans="2:3">
      <c r="B690" s="40">
        <v>689</v>
      </c>
      <c r="C690" s="40">
        <f t="shared" si="10"/>
        <v>0</v>
      </c>
    </row>
    <row r="691" spans="2:3">
      <c r="B691" s="40">
        <v>690</v>
      </c>
      <c r="C691" s="40">
        <f t="shared" si="10"/>
        <v>0</v>
      </c>
    </row>
    <row r="692" spans="2:3">
      <c r="B692" s="40">
        <v>691</v>
      </c>
      <c r="C692" s="40">
        <f t="shared" si="10"/>
        <v>0</v>
      </c>
    </row>
    <row r="693" spans="2:3">
      <c r="B693" s="40">
        <v>692</v>
      </c>
      <c r="C693" s="40">
        <f t="shared" si="10"/>
        <v>0</v>
      </c>
    </row>
    <row r="694" spans="2:3">
      <c r="B694" s="40">
        <v>693</v>
      </c>
      <c r="C694" s="40">
        <f t="shared" si="10"/>
        <v>0</v>
      </c>
    </row>
    <row r="695" spans="2:3">
      <c r="B695" s="40">
        <v>694</v>
      </c>
      <c r="C695" s="40">
        <f t="shared" si="10"/>
        <v>0</v>
      </c>
    </row>
    <row r="696" spans="2:3">
      <c r="B696" s="40">
        <v>695</v>
      </c>
      <c r="C696" s="40">
        <f t="shared" si="10"/>
        <v>0</v>
      </c>
    </row>
    <row r="697" spans="2:3">
      <c r="B697" s="40">
        <v>696</v>
      </c>
      <c r="C697" s="40">
        <f t="shared" si="10"/>
        <v>0</v>
      </c>
    </row>
    <row r="698" spans="2:3">
      <c r="B698" s="40">
        <v>697</v>
      </c>
      <c r="C698" s="40">
        <f t="shared" si="10"/>
        <v>0</v>
      </c>
    </row>
    <row r="699" spans="2:3">
      <c r="B699" s="40">
        <v>698</v>
      </c>
      <c r="C699" s="40">
        <f t="shared" si="10"/>
        <v>0</v>
      </c>
    </row>
    <row r="700" spans="2:3">
      <c r="B700" s="40">
        <v>699</v>
      </c>
      <c r="C700" s="40">
        <f t="shared" si="10"/>
        <v>0</v>
      </c>
    </row>
    <row r="701" spans="2:3">
      <c r="B701" s="40">
        <v>700</v>
      </c>
      <c r="C701" s="40">
        <f t="shared" si="10"/>
        <v>0</v>
      </c>
    </row>
    <row r="702" spans="2:3">
      <c r="B702" s="40">
        <v>701</v>
      </c>
      <c r="C702" s="40">
        <f t="shared" si="10"/>
        <v>0</v>
      </c>
    </row>
    <row r="703" spans="2:3">
      <c r="B703" s="40">
        <v>702</v>
      </c>
      <c r="C703" s="40">
        <f t="shared" si="10"/>
        <v>0</v>
      </c>
    </row>
    <row r="704" spans="2:3">
      <c r="B704" s="40">
        <v>703</v>
      </c>
      <c r="C704" s="40">
        <f t="shared" si="10"/>
        <v>0</v>
      </c>
    </row>
    <row r="705" spans="2:3">
      <c r="B705" s="40">
        <v>704</v>
      </c>
      <c r="C705" s="40">
        <f t="shared" si="10"/>
        <v>0</v>
      </c>
    </row>
    <row r="706" spans="2:3">
      <c r="B706" s="40">
        <v>705</v>
      </c>
      <c r="C706" s="40">
        <f t="shared" si="10"/>
        <v>0</v>
      </c>
    </row>
    <row r="707" spans="2:3">
      <c r="B707" s="40">
        <v>706</v>
      </c>
      <c r="C707" s="40">
        <f t="shared" ref="C707:C770" si="11">IF(LEFT(A707,1)="C",A707,C706)</f>
        <v>0</v>
      </c>
    </row>
    <row r="708" spans="2:3">
      <c r="B708" s="40">
        <v>707</v>
      </c>
      <c r="C708" s="40">
        <f t="shared" si="11"/>
        <v>0</v>
      </c>
    </row>
    <row r="709" spans="2:3">
      <c r="B709" s="40">
        <v>708</v>
      </c>
      <c r="C709" s="40">
        <f t="shared" si="11"/>
        <v>0</v>
      </c>
    </row>
    <row r="710" spans="2:3">
      <c r="B710" s="40">
        <v>709</v>
      </c>
      <c r="C710" s="40">
        <f t="shared" si="11"/>
        <v>0</v>
      </c>
    </row>
    <row r="711" spans="2:3">
      <c r="B711" s="40">
        <v>710</v>
      </c>
      <c r="C711" s="40">
        <f t="shared" si="11"/>
        <v>0</v>
      </c>
    </row>
    <row r="712" spans="2:3">
      <c r="B712" s="40">
        <v>711</v>
      </c>
      <c r="C712" s="40">
        <f t="shared" si="11"/>
        <v>0</v>
      </c>
    </row>
    <row r="713" spans="2:3">
      <c r="B713" s="40">
        <v>712</v>
      </c>
      <c r="C713" s="40">
        <f t="shared" si="11"/>
        <v>0</v>
      </c>
    </row>
    <row r="714" spans="2:3">
      <c r="B714" s="40">
        <v>713</v>
      </c>
      <c r="C714" s="40">
        <f t="shared" si="11"/>
        <v>0</v>
      </c>
    </row>
    <row r="715" spans="2:3">
      <c r="B715" s="40">
        <v>714</v>
      </c>
      <c r="C715" s="40">
        <f t="shared" si="11"/>
        <v>0</v>
      </c>
    </row>
    <row r="716" spans="2:3">
      <c r="B716" s="40">
        <v>715</v>
      </c>
      <c r="C716" s="40">
        <f t="shared" si="11"/>
        <v>0</v>
      </c>
    </row>
    <row r="717" spans="2:3">
      <c r="B717" s="40">
        <v>716</v>
      </c>
      <c r="C717" s="40">
        <f t="shared" si="11"/>
        <v>0</v>
      </c>
    </row>
    <row r="718" spans="2:3">
      <c r="B718" s="40">
        <v>717</v>
      </c>
      <c r="C718" s="40">
        <f t="shared" si="11"/>
        <v>0</v>
      </c>
    </row>
    <row r="719" spans="2:3">
      <c r="B719" s="40">
        <v>718</v>
      </c>
      <c r="C719" s="40">
        <f t="shared" si="11"/>
        <v>0</v>
      </c>
    </row>
    <row r="720" spans="2:3">
      <c r="B720" s="40">
        <v>719</v>
      </c>
      <c r="C720" s="40">
        <f t="shared" si="11"/>
        <v>0</v>
      </c>
    </row>
    <row r="721" spans="2:3">
      <c r="B721" s="40">
        <v>720</v>
      </c>
      <c r="C721" s="40">
        <f t="shared" si="11"/>
        <v>0</v>
      </c>
    </row>
    <row r="722" spans="2:3">
      <c r="B722" s="40">
        <v>721</v>
      </c>
      <c r="C722" s="40">
        <f t="shared" si="11"/>
        <v>0</v>
      </c>
    </row>
    <row r="723" spans="2:3">
      <c r="B723" s="40">
        <v>722</v>
      </c>
      <c r="C723" s="40">
        <f t="shared" si="11"/>
        <v>0</v>
      </c>
    </row>
    <row r="724" spans="2:3">
      <c r="B724" s="40">
        <v>723</v>
      </c>
      <c r="C724" s="40">
        <f t="shared" si="11"/>
        <v>0</v>
      </c>
    </row>
    <row r="725" spans="2:3">
      <c r="B725" s="40">
        <v>724</v>
      </c>
      <c r="C725" s="40">
        <f t="shared" si="11"/>
        <v>0</v>
      </c>
    </row>
    <row r="726" spans="2:3">
      <c r="B726" s="40">
        <v>725</v>
      </c>
      <c r="C726" s="40">
        <f t="shared" si="11"/>
        <v>0</v>
      </c>
    </row>
    <row r="727" spans="2:3">
      <c r="B727" s="40">
        <v>726</v>
      </c>
      <c r="C727" s="40">
        <f t="shared" si="11"/>
        <v>0</v>
      </c>
    </row>
    <row r="728" spans="2:3">
      <c r="B728" s="40">
        <v>727</v>
      </c>
      <c r="C728" s="40">
        <f t="shared" si="11"/>
        <v>0</v>
      </c>
    </row>
    <row r="729" spans="2:3">
      <c r="B729" s="40">
        <v>728</v>
      </c>
      <c r="C729" s="40">
        <f t="shared" si="11"/>
        <v>0</v>
      </c>
    </row>
    <row r="730" spans="2:3">
      <c r="B730" s="40">
        <v>729</v>
      </c>
      <c r="C730" s="40">
        <f t="shared" si="11"/>
        <v>0</v>
      </c>
    </row>
    <row r="731" spans="2:3">
      <c r="B731" s="40">
        <v>730</v>
      </c>
      <c r="C731" s="40">
        <f t="shared" si="11"/>
        <v>0</v>
      </c>
    </row>
    <row r="732" spans="2:3">
      <c r="B732" s="40">
        <v>731</v>
      </c>
      <c r="C732" s="40">
        <f t="shared" si="11"/>
        <v>0</v>
      </c>
    </row>
    <row r="733" spans="2:3">
      <c r="B733" s="40">
        <v>732</v>
      </c>
      <c r="C733" s="40">
        <f t="shared" si="11"/>
        <v>0</v>
      </c>
    </row>
    <row r="734" spans="2:3">
      <c r="B734" s="40">
        <v>733</v>
      </c>
      <c r="C734" s="40">
        <f t="shared" si="11"/>
        <v>0</v>
      </c>
    </row>
    <row r="735" spans="2:3">
      <c r="B735" s="40">
        <v>734</v>
      </c>
      <c r="C735" s="40">
        <f t="shared" si="11"/>
        <v>0</v>
      </c>
    </row>
    <row r="736" spans="2:3">
      <c r="B736" s="40">
        <v>735</v>
      </c>
      <c r="C736" s="40">
        <f t="shared" si="11"/>
        <v>0</v>
      </c>
    </row>
    <row r="737" spans="2:3">
      <c r="B737" s="40">
        <v>736</v>
      </c>
      <c r="C737" s="40">
        <f t="shared" si="11"/>
        <v>0</v>
      </c>
    </row>
    <row r="738" spans="2:3">
      <c r="B738" s="40">
        <v>737</v>
      </c>
      <c r="C738" s="40">
        <f t="shared" si="11"/>
        <v>0</v>
      </c>
    </row>
    <row r="739" spans="2:3">
      <c r="B739" s="40">
        <v>738</v>
      </c>
      <c r="C739" s="40">
        <f t="shared" si="11"/>
        <v>0</v>
      </c>
    </row>
    <row r="740" spans="2:3">
      <c r="B740" s="40">
        <v>739</v>
      </c>
      <c r="C740" s="40">
        <f t="shared" si="11"/>
        <v>0</v>
      </c>
    </row>
    <row r="741" spans="2:3">
      <c r="B741" s="40">
        <v>740</v>
      </c>
      <c r="C741" s="40">
        <f t="shared" si="11"/>
        <v>0</v>
      </c>
    </row>
    <row r="742" spans="2:3">
      <c r="B742" s="40">
        <v>741</v>
      </c>
      <c r="C742" s="40">
        <f t="shared" si="11"/>
        <v>0</v>
      </c>
    </row>
    <row r="743" spans="2:3">
      <c r="B743" s="40">
        <v>742</v>
      </c>
      <c r="C743" s="40">
        <f t="shared" si="11"/>
        <v>0</v>
      </c>
    </row>
    <row r="744" spans="2:3">
      <c r="B744" s="40">
        <v>743</v>
      </c>
      <c r="C744" s="40">
        <f t="shared" si="11"/>
        <v>0</v>
      </c>
    </row>
    <row r="745" spans="2:3">
      <c r="B745" s="40">
        <v>744</v>
      </c>
      <c r="C745" s="40">
        <f t="shared" si="11"/>
        <v>0</v>
      </c>
    </row>
    <row r="746" spans="2:3">
      <c r="B746" s="40">
        <v>745</v>
      </c>
      <c r="C746" s="40">
        <f t="shared" si="11"/>
        <v>0</v>
      </c>
    </row>
    <row r="747" spans="2:3">
      <c r="B747" s="40">
        <v>746</v>
      </c>
      <c r="C747" s="40">
        <f t="shared" si="11"/>
        <v>0</v>
      </c>
    </row>
    <row r="748" spans="2:3">
      <c r="B748" s="40">
        <v>747</v>
      </c>
      <c r="C748" s="40">
        <f t="shared" si="11"/>
        <v>0</v>
      </c>
    </row>
    <row r="749" spans="2:3">
      <c r="B749" s="40">
        <v>748</v>
      </c>
      <c r="C749" s="40">
        <f t="shared" si="11"/>
        <v>0</v>
      </c>
    </row>
    <row r="750" spans="2:3">
      <c r="B750" s="40">
        <v>749</v>
      </c>
      <c r="C750" s="40">
        <f t="shared" si="11"/>
        <v>0</v>
      </c>
    </row>
    <row r="751" spans="2:3">
      <c r="B751" s="40">
        <v>750</v>
      </c>
      <c r="C751" s="40">
        <f t="shared" si="11"/>
        <v>0</v>
      </c>
    </row>
    <row r="752" spans="2:3">
      <c r="B752" s="40">
        <v>751</v>
      </c>
      <c r="C752" s="40">
        <f t="shared" si="11"/>
        <v>0</v>
      </c>
    </row>
    <row r="753" spans="2:3">
      <c r="B753" s="40">
        <v>752</v>
      </c>
      <c r="C753" s="40">
        <f t="shared" si="11"/>
        <v>0</v>
      </c>
    </row>
    <row r="754" spans="2:3">
      <c r="B754" s="40">
        <v>753</v>
      </c>
      <c r="C754" s="40">
        <f t="shared" si="11"/>
        <v>0</v>
      </c>
    </row>
    <row r="755" spans="2:3">
      <c r="B755" s="40">
        <v>754</v>
      </c>
      <c r="C755" s="40">
        <f t="shared" si="11"/>
        <v>0</v>
      </c>
    </row>
    <row r="756" spans="2:3">
      <c r="B756" s="40">
        <v>755</v>
      </c>
      <c r="C756" s="40">
        <f t="shared" si="11"/>
        <v>0</v>
      </c>
    </row>
    <row r="757" spans="2:3">
      <c r="B757" s="40">
        <v>756</v>
      </c>
      <c r="C757" s="40">
        <f t="shared" si="11"/>
        <v>0</v>
      </c>
    </row>
    <row r="758" spans="2:3">
      <c r="B758" s="40">
        <v>757</v>
      </c>
      <c r="C758" s="40">
        <f t="shared" si="11"/>
        <v>0</v>
      </c>
    </row>
    <row r="759" spans="2:3">
      <c r="B759" s="40">
        <v>758</v>
      </c>
      <c r="C759" s="40">
        <f t="shared" si="11"/>
        <v>0</v>
      </c>
    </row>
    <row r="760" spans="2:3">
      <c r="B760" s="40">
        <v>759</v>
      </c>
      <c r="C760" s="40">
        <f t="shared" si="11"/>
        <v>0</v>
      </c>
    </row>
    <row r="761" spans="2:3">
      <c r="B761" s="40">
        <v>760</v>
      </c>
      <c r="C761" s="40">
        <f t="shared" si="11"/>
        <v>0</v>
      </c>
    </row>
    <row r="762" spans="2:3">
      <c r="B762" s="40">
        <v>761</v>
      </c>
      <c r="C762" s="40">
        <f t="shared" si="11"/>
        <v>0</v>
      </c>
    </row>
    <row r="763" spans="2:3">
      <c r="B763" s="40">
        <v>762</v>
      </c>
      <c r="C763" s="40">
        <f t="shared" si="11"/>
        <v>0</v>
      </c>
    </row>
    <row r="764" spans="2:3">
      <c r="B764" s="40">
        <v>763</v>
      </c>
      <c r="C764" s="40">
        <f t="shared" si="11"/>
        <v>0</v>
      </c>
    </row>
    <row r="765" spans="2:3">
      <c r="B765" s="40">
        <v>764</v>
      </c>
      <c r="C765" s="40">
        <f t="shared" si="11"/>
        <v>0</v>
      </c>
    </row>
    <row r="766" spans="2:3">
      <c r="B766" s="40">
        <v>765</v>
      </c>
      <c r="C766" s="40">
        <f t="shared" si="11"/>
        <v>0</v>
      </c>
    </row>
    <row r="767" spans="2:3">
      <c r="B767" s="40">
        <v>766</v>
      </c>
      <c r="C767" s="40">
        <f t="shared" si="11"/>
        <v>0</v>
      </c>
    </row>
    <row r="768" spans="2:3">
      <c r="B768" s="40">
        <v>767</v>
      </c>
      <c r="C768" s="40">
        <f t="shared" si="11"/>
        <v>0</v>
      </c>
    </row>
    <row r="769" spans="2:3">
      <c r="B769" s="40">
        <v>768</v>
      </c>
      <c r="C769" s="40">
        <f t="shared" si="11"/>
        <v>0</v>
      </c>
    </row>
    <row r="770" spans="2:3">
      <c r="B770" s="40">
        <v>769</v>
      </c>
      <c r="C770" s="40">
        <f t="shared" si="11"/>
        <v>0</v>
      </c>
    </row>
    <row r="771" spans="2:3">
      <c r="B771" s="40">
        <v>770</v>
      </c>
      <c r="C771" s="40">
        <f t="shared" ref="C771:C834" si="12">IF(LEFT(A771,1)="C",A771,C770)</f>
        <v>0</v>
      </c>
    </row>
    <row r="772" spans="2:3">
      <c r="B772" s="40">
        <v>771</v>
      </c>
      <c r="C772" s="40">
        <f t="shared" si="12"/>
        <v>0</v>
      </c>
    </row>
    <row r="773" spans="2:3">
      <c r="B773" s="40">
        <v>772</v>
      </c>
      <c r="C773" s="40">
        <f t="shared" si="12"/>
        <v>0</v>
      </c>
    </row>
    <row r="774" spans="2:3">
      <c r="B774" s="40">
        <v>773</v>
      </c>
      <c r="C774" s="40">
        <f t="shared" si="12"/>
        <v>0</v>
      </c>
    </row>
    <row r="775" spans="2:3">
      <c r="B775" s="40">
        <v>774</v>
      </c>
      <c r="C775" s="40">
        <f t="shared" si="12"/>
        <v>0</v>
      </c>
    </row>
    <row r="776" spans="2:3">
      <c r="B776" s="40">
        <v>775</v>
      </c>
      <c r="C776" s="40">
        <f t="shared" si="12"/>
        <v>0</v>
      </c>
    </row>
    <row r="777" spans="2:3">
      <c r="B777" s="40">
        <v>776</v>
      </c>
      <c r="C777" s="40">
        <f t="shared" si="12"/>
        <v>0</v>
      </c>
    </row>
    <row r="778" spans="2:3">
      <c r="B778" s="40">
        <v>777</v>
      </c>
      <c r="C778" s="40">
        <f t="shared" si="12"/>
        <v>0</v>
      </c>
    </row>
    <row r="779" spans="2:3">
      <c r="B779" s="40">
        <v>778</v>
      </c>
      <c r="C779" s="40">
        <f t="shared" si="12"/>
        <v>0</v>
      </c>
    </row>
    <row r="780" spans="2:3">
      <c r="B780" s="40">
        <v>779</v>
      </c>
      <c r="C780" s="40">
        <f t="shared" si="12"/>
        <v>0</v>
      </c>
    </row>
    <row r="781" spans="2:3">
      <c r="B781" s="40">
        <v>780</v>
      </c>
      <c r="C781" s="40">
        <f t="shared" si="12"/>
        <v>0</v>
      </c>
    </row>
    <row r="782" spans="2:3">
      <c r="B782" s="40">
        <v>781</v>
      </c>
      <c r="C782" s="40">
        <f t="shared" si="12"/>
        <v>0</v>
      </c>
    </row>
    <row r="783" spans="2:3">
      <c r="B783" s="40">
        <v>782</v>
      </c>
      <c r="C783" s="40">
        <f t="shared" si="12"/>
        <v>0</v>
      </c>
    </row>
    <row r="784" spans="2:3">
      <c r="B784" s="40">
        <v>783</v>
      </c>
      <c r="C784" s="40">
        <f t="shared" si="12"/>
        <v>0</v>
      </c>
    </row>
    <row r="785" spans="2:3">
      <c r="B785" s="40">
        <v>784</v>
      </c>
      <c r="C785" s="40">
        <f t="shared" si="12"/>
        <v>0</v>
      </c>
    </row>
    <row r="786" spans="2:3">
      <c r="B786" s="40">
        <v>785</v>
      </c>
      <c r="C786" s="40">
        <f t="shared" si="12"/>
        <v>0</v>
      </c>
    </row>
    <row r="787" spans="2:3">
      <c r="B787" s="40">
        <v>786</v>
      </c>
      <c r="C787" s="40">
        <f t="shared" si="12"/>
        <v>0</v>
      </c>
    </row>
    <row r="788" spans="2:3">
      <c r="B788" s="40">
        <v>787</v>
      </c>
      <c r="C788" s="40">
        <f t="shared" si="12"/>
        <v>0</v>
      </c>
    </row>
    <row r="789" spans="2:3">
      <c r="B789" s="40">
        <v>788</v>
      </c>
      <c r="C789" s="40">
        <f t="shared" si="12"/>
        <v>0</v>
      </c>
    </row>
    <row r="790" spans="2:3">
      <c r="B790" s="40">
        <v>789</v>
      </c>
      <c r="C790" s="40">
        <f t="shared" si="12"/>
        <v>0</v>
      </c>
    </row>
    <row r="791" spans="2:3">
      <c r="B791" s="40">
        <v>790</v>
      </c>
      <c r="C791" s="40">
        <f t="shared" si="12"/>
        <v>0</v>
      </c>
    </row>
    <row r="792" spans="2:3">
      <c r="B792" s="40">
        <v>791</v>
      </c>
      <c r="C792" s="40">
        <f t="shared" si="12"/>
        <v>0</v>
      </c>
    </row>
    <row r="793" spans="2:3">
      <c r="B793" s="40">
        <v>792</v>
      </c>
      <c r="C793" s="40">
        <f t="shared" si="12"/>
        <v>0</v>
      </c>
    </row>
    <row r="794" spans="2:3">
      <c r="B794" s="40">
        <v>793</v>
      </c>
      <c r="C794" s="40">
        <f t="shared" si="12"/>
        <v>0</v>
      </c>
    </row>
    <row r="795" spans="2:3">
      <c r="B795" s="40">
        <v>794</v>
      </c>
      <c r="C795" s="40">
        <f t="shared" si="12"/>
        <v>0</v>
      </c>
    </row>
    <row r="796" spans="2:3">
      <c r="B796" s="40">
        <v>795</v>
      </c>
      <c r="C796" s="40">
        <f t="shared" si="12"/>
        <v>0</v>
      </c>
    </row>
    <row r="797" spans="2:3">
      <c r="B797" s="40">
        <v>796</v>
      </c>
      <c r="C797" s="40">
        <f t="shared" si="12"/>
        <v>0</v>
      </c>
    </row>
    <row r="798" spans="2:3">
      <c r="B798" s="40">
        <v>797</v>
      </c>
      <c r="C798" s="40">
        <f t="shared" si="12"/>
        <v>0</v>
      </c>
    </row>
    <row r="799" spans="2:3">
      <c r="B799" s="40">
        <v>798</v>
      </c>
      <c r="C799" s="40">
        <f t="shared" si="12"/>
        <v>0</v>
      </c>
    </row>
    <row r="800" spans="2:3">
      <c r="B800" s="40">
        <v>799</v>
      </c>
      <c r="C800" s="40">
        <f t="shared" si="12"/>
        <v>0</v>
      </c>
    </row>
    <row r="801" spans="2:3">
      <c r="B801" s="40">
        <v>800</v>
      </c>
      <c r="C801" s="40">
        <f t="shared" si="12"/>
        <v>0</v>
      </c>
    </row>
    <row r="802" spans="2:3">
      <c r="B802" s="40">
        <v>801</v>
      </c>
      <c r="C802" s="40">
        <f t="shared" si="12"/>
        <v>0</v>
      </c>
    </row>
    <row r="803" spans="2:3">
      <c r="B803" s="40">
        <v>802</v>
      </c>
      <c r="C803" s="40">
        <f t="shared" si="12"/>
        <v>0</v>
      </c>
    </row>
    <row r="804" spans="2:3">
      <c r="B804" s="40">
        <v>803</v>
      </c>
      <c r="C804" s="40">
        <f t="shared" si="12"/>
        <v>0</v>
      </c>
    </row>
    <row r="805" spans="2:3">
      <c r="B805" s="40">
        <v>804</v>
      </c>
      <c r="C805" s="40">
        <f t="shared" si="12"/>
        <v>0</v>
      </c>
    </row>
    <row r="806" spans="2:3">
      <c r="B806" s="40">
        <v>805</v>
      </c>
      <c r="C806" s="40">
        <f t="shared" si="12"/>
        <v>0</v>
      </c>
    </row>
    <row r="807" spans="2:3">
      <c r="B807" s="40">
        <v>806</v>
      </c>
      <c r="C807" s="40">
        <f t="shared" si="12"/>
        <v>0</v>
      </c>
    </row>
    <row r="808" spans="2:3">
      <c r="B808" s="40">
        <v>807</v>
      </c>
      <c r="C808" s="40">
        <f t="shared" si="12"/>
        <v>0</v>
      </c>
    </row>
    <row r="809" spans="2:3">
      <c r="B809" s="40">
        <v>808</v>
      </c>
      <c r="C809" s="40">
        <f t="shared" si="12"/>
        <v>0</v>
      </c>
    </row>
    <row r="810" spans="2:3">
      <c r="B810" s="40">
        <v>809</v>
      </c>
      <c r="C810" s="40">
        <f t="shared" si="12"/>
        <v>0</v>
      </c>
    </row>
    <row r="811" spans="2:3">
      <c r="B811" s="40">
        <v>810</v>
      </c>
      <c r="C811" s="40">
        <f t="shared" si="12"/>
        <v>0</v>
      </c>
    </row>
    <row r="812" spans="2:3">
      <c r="B812" s="40">
        <v>811</v>
      </c>
      <c r="C812" s="40">
        <f t="shared" si="12"/>
        <v>0</v>
      </c>
    </row>
    <row r="813" spans="2:3">
      <c r="B813" s="40">
        <v>812</v>
      </c>
      <c r="C813" s="40">
        <f t="shared" si="12"/>
        <v>0</v>
      </c>
    </row>
    <row r="814" spans="2:3">
      <c r="B814" s="40">
        <v>813</v>
      </c>
      <c r="C814" s="40">
        <f t="shared" si="12"/>
        <v>0</v>
      </c>
    </row>
    <row r="815" spans="2:3">
      <c r="B815" s="40">
        <v>814</v>
      </c>
      <c r="C815" s="40">
        <f t="shared" si="12"/>
        <v>0</v>
      </c>
    </row>
    <row r="816" spans="2:3">
      <c r="B816" s="40">
        <v>815</v>
      </c>
      <c r="C816" s="40">
        <f t="shared" si="12"/>
        <v>0</v>
      </c>
    </row>
    <row r="817" spans="2:3">
      <c r="B817" s="40">
        <v>816</v>
      </c>
      <c r="C817" s="40">
        <f t="shared" si="12"/>
        <v>0</v>
      </c>
    </row>
    <row r="818" spans="2:3">
      <c r="B818" s="40">
        <v>817</v>
      </c>
      <c r="C818" s="40">
        <f t="shared" si="12"/>
        <v>0</v>
      </c>
    </row>
    <row r="819" spans="2:3">
      <c r="B819" s="40">
        <v>818</v>
      </c>
      <c r="C819" s="40">
        <f t="shared" si="12"/>
        <v>0</v>
      </c>
    </row>
    <row r="820" spans="2:3">
      <c r="B820" s="40">
        <v>819</v>
      </c>
      <c r="C820" s="40">
        <f t="shared" si="12"/>
        <v>0</v>
      </c>
    </row>
    <row r="821" spans="2:3">
      <c r="B821" s="40">
        <v>820</v>
      </c>
      <c r="C821" s="40">
        <f t="shared" si="12"/>
        <v>0</v>
      </c>
    </row>
    <row r="822" spans="2:3">
      <c r="B822" s="40">
        <v>821</v>
      </c>
      <c r="C822" s="40">
        <f t="shared" si="12"/>
        <v>0</v>
      </c>
    </row>
    <row r="823" spans="2:3">
      <c r="B823" s="40">
        <v>822</v>
      </c>
      <c r="C823" s="40">
        <f t="shared" si="12"/>
        <v>0</v>
      </c>
    </row>
    <row r="824" spans="2:3">
      <c r="B824" s="40">
        <v>823</v>
      </c>
      <c r="C824" s="40">
        <f t="shared" si="12"/>
        <v>0</v>
      </c>
    </row>
    <row r="825" spans="2:3">
      <c r="B825" s="40">
        <v>824</v>
      </c>
      <c r="C825" s="40">
        <f t="shared" si="12"/>
        <v>0</v>
      </c>
    </row>
    <row r="826" spans="2:3">
      <c r="B826" s="40">
        <v>825</v>
      </c>
      <c r="C826" s="40">
        <f t="shared" si="12"/>
        <v>0</v>
      </c>
    </row>
    <row r="827" spans="2:3">
      <c r="B827" s="40">
        <v>826</v>
      </c>
      <c r="C827" s="40">
        <f t="shared" si="12"/>
        <v>0</v>
      </c>
    </row>
    <row r="828" spans="2:3">
      <c r="B828" s="40">
        <v>827</v>
      </c>
      <c r="C828" s="40">
        <f t="shared" si="12"/>
        <v>0</v>
      </c>
    </row>
    <row r="829" spans="2:3">
      <c r="B829" s="40">
        <v>828</v>
      </c>
      <c r="C829" s="40">
        <f t="shared" si="12"/>
        <v>0</v>
      </c>
    </row>
    <row r="830" spans="2:3">
      <c r="B830" s="40">
        <v>829</v>
      </c>
      <c r="C830" s="40">
        <f t="shared" si="12"/>
        <v>0</v>
      </c>
    </row>
    <row r="831" spans="2:3">
      <c r="B831" s="40">
        <v>830</v>
      </c>
      <c r="C831" s="40">
        <f t="shared" si="12"/>
        <v>0</v>
      </c>
    </row>
    <row r="832" spans="2:3">
      <c r="B832" s="40">
        <v>831</v>
      </c>
      <c r="C832" s="40">
        <f t="shared" si="12"/>
        <v>0</v>
      </c>
    </row>
    <row r="833" spans="2:3">
      <c r="B833" s="40">
        <v>832</v>
      </c>
      <c r="C833" s="40">
        <f t="shared" si="12"/>
        <v>0</v>
      </c>
    </row>
    <row r="834" spans="2:3">
      <c r="B834" s="40">
        <v>833</v>
      </c>
      <c r="C834" s="40">
        <f t="shared" si="12"/>
        <v>0</v>
      </c>
    </row>
    <row r="835" spans="2:3">
      <c r="B835" s="40">
        <v>834</v>
      </c>
      <c r="C835" s="40">
        <f t="shared" ref="C835:C898" si="13">IF(LEFT(A835,1)="C",A835,C834)</f>
        <v>0</v>
      </c>
    </row>
    <row r="836" spans="2:3">
      <c r="B836" s="40">
        <v>835</v>
      </c>
      <c r="C836" s="40">
        <f t="shared" si="13"/>
        <v>0</v>
      </c>
    </row>
    <row r="837" spans="2:3">
      <c r="B837" s="40">
        <v>836</v>
      </c>
      <c r="C837" s="40">
        <f t="shared" si="13"/>
        <v>0</v>
      </c>
    </row>
    <row r="838" spans="2:3">
      <c r="B838" s="40">
        <v>837</v>
      </c>
      <c r="C838" s="40">
        <f t="shared" si="13"/>
        <v>0</v>
      </c>
    </row>
    <row r="839" spans="2:3">
      <c r="B839" s="40">
        <v>838</v>
      </c>
      <c r="C839" s="40">
        <f t="shared" si="13"/>
        <v>0</v>
      </c>
    </row>
    <row r="840" spans="2:3">
      <c r="B840" s="40">
        <v>839</v>
      </c>
      <c r="C840" s="40">
        <f t="shared" si="13"/>
        <v>0</v>
      </c>
    </row>
    <row r="841" spans="2:3">
      <c r="B841" s="40">
        <v>840</v>
      </c>
      <c r="C841" s="40">
        <f t="shared" si="13"/>
        <v>0</v>
      </c>
    </row>
    <row r="842" spans="2:3">
      <c r="B842" s="40">
        <v>841</v>
      </c>
      <c r="C842" s="40">
        <f t="shared" si="13"/>
        <v>0</v>
      </c>
    </row>
    <row r="843" spans="2:3">
      <c r="B843" s="40">
        <v>842</v>
      </c>
      <c r="C843" s="40">
        <f t="shared" si="13"/>
        <v>0</v>
      </c>
    </row>
    <row r="844" spans="2:3">
      <c r="B844" s="40">
        <v>843</v>
      </c>
      <c r="C844" s="40">
        <f t="shared" si="13"/>
        <v>0</v>
      </c>
    </row>
    <row r="845" spans="2:3">
      <c r="B845" s="40">
        <v>844</v>
      </c>
      <c r="C845" s="40">
        <f t="shared" si="13"/>
        <v>0</v>
      </c>
    </row>
    <row r="846" spans="2:3">
      <c r="B846" s="40">
        <v>845</v>
      </c>
      <c r="C846" s="40">
        <f t="shared" si="13"/>
        <v>0</v>
      </c>
    </row>
    <row r="847" spans="2:3">
      <c r="B847" s="40">
        <v>846</v>
      </c>
      <c r="C847" s="40">
        <f t="shared" si="13"/>
        <v>0</v>
      </c>
    </row>
    <row r="848" spans="2:3">
      <c r="B848" s="40">
        <v>847</v>
      </c>
      <c r="C848" s="40">
        <f t="shared" si="13"/>
        <v>0</v>
      </c>
    </row>
    <row r="849" spans="2:3">
      <c r="B849" s="40">
        <v>848</v>
      </c>
      <c r="C849" s="40">
        <f t="shared" si="13"/>
        <v>0</v>
      </c>
    </row>
    <row r="850" spans="2:3">
      <c r="B850" s="40">
        <v>849</v>
      </c>
      <c r="C850" s="40">
        <f t="shared" si="13"/>
        <v>0</v>
      </c>
    </row>
    <row r="851" spans="2:3">
      <c r="B851" s="40">
        <v>850</v>
      </c>
      <c r="C851" s="40">
        <f t="shared" si="13"/>
        <v>0</v>
      </c>
    </row>
    <row r="852" spans="2:3">
      <c r="B852" s="40">
        <v>851</v>
      </c>
      <c r="C852" s="40">
        <f t="shared" si="13"/>
        <v>0</v>
      </c>
    </row>
    <row r="853" spans="2:3">
      <c r="B853" s="40">
        <v>852</v>
      </c>
      <c r="C853" s="40">
        <f t="shared" si="13"/>
        <v>0</v>
      </c>
    </row>
    <row r="854" spans="2:3">
      <c r="B854" s="40">
        <v>853</v>
      </c>
      <c r="C854" s="40">
        <f t="shared" si="13"/>
        <v>0</v>
      </c>
    </row>
    <row r="855" spans="2:3">
      <c r="B855" s="40">
        <v>854</v>
      </c>
      <c r="C855" s="40">
        <f t="shared" si="13"/>
        <v>0</v>
      </c>
    </row>
    <row r="856" spans="2:3">
      <c r="B856" s="40">
        <v>855</v>
      </c>
      <c r="C856" s="40">
        <f t="shared" si="13"/>
        <v>0</v>
      </c>
    </row>
    <row r="857" spans="2:3">
      <c r="B857" s="40">
        <v>856</v>
      </c>
      <c r="C857" s="40">
        <f t="shared" si="13"/>
        <v>0</v>
      </c>
    </row>
    <row r="858" spans="2:3">
      <c r="B858" s="40">
        <v>857</v>
      </c>
      <c r="C858" s="40">
        <f t="shared" si="13"/>
        <v>0</v>
      </c>
    </row>
    <row r="859" spans="2:3">
      <c r="B859" s="40">
        <v>858</v>
      </c>
      <c r="C859" s="40">
        <f t="shared" si="13"/>
        <v>0</v>
      </c>
    </row>
    <row r="860" spans="2:3">
      <c r="B860" s="40">
        <v>859</v>
      </c>
      <c r="C860" s="40">
        <f t="shared" si="13"/>
        <v>0</v>
      </c>
    </row>
    <row r="861" spans="2:3">
      <c r="B861" s="40">
        <v>860</v>
      </c>
      <c r="C861" s="40">
        <f t="shared" si="13"/>
        <v>0</v>
      </c>
    </row>
    <row r="862" spans="2:3">
      <c r="B862" s="40">
        <v>861</v>
      </c>
      <c r="C862" s="40">
        <f t="shared" si="13"/>
        <v>0</v>
      </c>
    </row>
    <row r="863" spans="2:3">
      <c r="B863" s="40">
        <v>862</v>
      </c>
      <c r="C863" s="40">
        <f t="shared" si="13"/>
        <v>0</v>
      </c>
    </row>
    <row r="864" spans="2:3">
      <c r="B864" s="40">
        <v>863</v>
      </c>
      <c r="C864" s="40">
        <f t="shared" si="13"/>
        <v>0</v>
      </c>
    </row>
    <row r="865" spans="2:3">
      <c r="B865" s="40">
        <v>864</v>
      </c>
      <c r="C865" s="40">
        <f t="shared" si="13"/>
        <v>0</v>
      </c>
    </row>
    <row r="866" spans="2:3">
      <c r="B866" s="40">
        <v>865</v>
      </c>
      <c r="C866" s="40">
        <f t="shared" si="13"/>
        <v>0</v>
      </c>
    </row>
    <row r="867" spans="2:3">
      <c r="B867" s="40">
        <v>866</v>
      </c>
      <c r="C867" s="40">
        <f t="shared" si="13"/>
        <v>0</v>
      </c>
    </row>
    <row r="868" spans="2:3">
      <c r="B868" s="40">
        <v>867</v>
      </c>
      <c r="C868" s="40">
        <f t="shared" si="13"/>
        <v>0</v>
      </c>
    </row>
    <row r="869" spans="2:3">
      <c r="B869" s="40">
        <v>868</v>
      </c>
      <c r="C869" s="40">
        <f t="shared" si="13"/>
        <v>0</v>
      </c>
    </row>
    <row r="870" spans="2:3">
      <c r="B870" s="40">
        <v>869</v>
      </c>
      <c r="C870" s="40">
        <f t="shared" si="13"/>
        <v>0</v>
      </c>
    </row>
    <row r="871" spans="2:3">
      <c r="B871" s="40">
        <v>870</v>
      </c>
      <c r="C871" s="40">
        <f t="shared" si="13"/>
        <v>0</v>
      </c>
    </row>
    <row r="872" spans="2:3">
      <c r="B872" s="40">
        <v>871</v>
      </c>
      <c r="C872" s="40">
        <f t="shared" si="13"/>
        <v>0</v>
      </c>
    </row>
    <row r="873" spans="2:3">
      <c r="B873" s="40">
        <v>872</v>
      </c>
      <c r="C873" s="40">
        <f t="shared" si="13"/>
        <v>0</v>
      </c>
    </row>
    <row r="874" spans="2:3">
      <c r="B874" s="40">
        <v>873</v>
      </c>
      <c r="C874" s="40">
        <f t="shared" si="13"/>
        <v>0</v>
      </c>
    </row>
    <row r="875" spans="2:3">
      <c r="B875" s="40">
        <v>874</v>
      </c>
      <c r="C875" s="40">
        <f t="shared" si="13"/>
        <v>0</v>
      </c>
    </row>
    <row r="876" spans="2:3">
      <c r="B876" s="40">
        <v>875</v>
      </c>
      <c r="C876" s="40">
        <f t="shared" si="13"/>
        <v>0</v>
      </c>
    </row>
    <row r="877" spans="2:3">
      <c r="B877" s="40">
        <v>876</v>
      </c>
      <c r="C877" s="40">
        <f t="shared" si="13"/>
        <v>0</v>
      </c>
    </row>
    <row r="878" spans="2:3">
      <c r="B878" s="40">
        <v>877</v>
      </c>
      <c r="C878" s="40">
        <f t="shared" si="13"/>
        <v>0</v>
      </c>
    </row>
    <row r="879" spans="2:3">
      <c r="B879" s="40">
        <v>878</v>
      </c>
      <c r="C879" s="40">
        <f t="shared" si="13"/>
        <v>0</v>
      </c>
    </row>
    <row r="880" spans="2:3">
      <c r="B880" s="40">
        <v>879</v>
      </c>
      <c r="C880" s="40">
        <f t="shared" si="13"/>
        <v>0</v>
      </c>
    </row>
    <row r="881" spans="2:3">
      <c r="B881" s="40">
        <v>880</v>
      </c>
      <c r="C881" s="40">
        <f t="shared" si="13"/>
        <v>0</v>
      </c>
    </row>
    <row r="882" spans="2:3">
      <c r="B882" s="40">
        <v>881</v>
      </c>
      <c r="C882" s="40">
        <f t="shared" si="13"/>
        <v>0</v>
      </c>
    </row>
    <row r="883" spans="2:3">
      <c r="B883" s="40">
        <v>882</v>
      </c>
      <c r="C883" s="40">
        <f t="shared" si="13"/>
        <v>0</v>
      </c>
    </row>
    <row r="884" spans="2:3">
      <c r="B884" s="40">
        <v>883</v>
      </c>
      <c r="C884" s="40">
        <f t="shared" si="13"/>
        <v>0</v>
      </c>
    </row>
    <row r="885" spans="2:3">
      <c r="B885" s="40">
        <v>884</v>
      </c>
      <c r="C885" s="40">
        <f t="shared" si="13"/>
        <v>0</v>
      </c>
    </row>
    <row r="886" spans="2:3">
      <c r="B886" s="40">
        <v>885</v>
      </c>
      <c r="C886" s="40">
        <f t="shared" si="13"/>
        <v>0</v>
      </c>
    </row>
    <row r="887" spans="2:3">
      <c r="B887" s="40">
        <v>886</v>
      </c>
      <c r="C887" s="40">
        <f t="shared" si="13"/>
        <v>0</v>
      </c>
    </row>
    <row r="888" spans="2:3">
      <c r="B888" s="40">
        <v>887</v>
      </c>
      <c r="C888" s="40">
        <f t="shared" si="13"/>
        <v>0</v>
      </c>
    </row>
    <row r="889" spans="2:3">
      <c r="B889" s="40">
        <v>888</v>
      </c>
      <c r="C889" s="40">
        <f t="shared" si="13"/>
        <v>0</v>
      </c>
    </row>
    <row r="890" spans="2:3">
      <c r="B890" s="40">
        <v>889</v>
      </c>
      <c r="C890" s="40">
        <f t="shared" si="13"/>
        <v>0</v>
      </c>
    </row>
    <row r="891" spans="2:3">
      <c r="B891" s="40">
        <v>890</v>
      </c>
      <c r="C891" s="40">
        <f t="shared" si="13"/>
        <v>0</v>
      </c>
    </row>
    <row r="892" spans="2:3">
      <c r="B892" s="40">
        <v>891</v>
      </c>
      <c r="C892" s="40">
        <f t="shared" si="13"/>
        <v>0</v>
      </c>
    </row>
    <row r="893" spans="2:3">
      <c r="B893" s="40">
        <v>892</v>
      </c>
      <c r="C893" s="40">
        <f t="shared" si="13"/>
        <v>0</v>
      </c>
    </row>
    <row r="894" spans="2:3">
      <c r="B894" s="40">
        <v>893</v>
      </c>
      <c r="C894" s="40">
        <f t="shared" si="13"/>
        <v>0</v>
      </c>
    </row>
    <row r="895" spans="2:3">
      <c r="B895" s="40">
        <v>894</v>
      </c>
      <c r="C895" s="40">
        <f t="shared" si="13"/>
        <v>0</v>
      </c>
    </row>
    <row r="896" spans="2:3">
      <c r="B896" s="40">
        <v>895</v>
      </c>
      <c r="C896" s="40">
        <f t="shared" si="13"/>
        <v>0</v>
      </c>
    </row>
    <row r="897" spans="2:3">
      <c r="B897" s="40">
        <v>896</v>
      </c>
      <c r="C897" s="40">
        <f t="shared" si="13"/>
        <v>0</v>
      </c>
    </row>
    <row r="898" spans="2:3">
      <c r="B898" s="40">
        <v>897</v>
      </c>
      <c r="C898" s="40">
        <f t="shared" si="13"/>
        <v>0</v>
      </c>
    </row>
    <row r="899" spans="2:3">
      <c r="B899" s="40">
        <v>898</v>
      </c>
      <c r="C899" s="40">
        <f t="shared" ref="C899:C962" si="14">IF(LEFT(A899,1)="C",A899,C898)</f>
        <v>0</v>
      </c>
    </row>
    <row r="900" spans="2:3">
      <c r="B900" s="40">
        <v>899</v>
      </c>
      <c r="C900" s="40">
        <f t="shared" si="14"/>
        <v>0</v>
      </c>
    </row>
    <row r="901" spans="2:3">
      <c r="B901" s="40">
        <v>900</v>
      </c>
      <c r="C901" s="40">
        <f t="shared" si="14"/>
        <v>0</v>
      </c>
    </row>
    <row r="902" spans="2:3">
      <c r="B902" s="40">
        <v>901</v>
      </c>
      <c r="C902" s="40">
        <f t="shared" si="14"/>
        <v>0</v>
      </c>
    </row>
    <row r="903" spans="2:3">
      <c r="B903" s="40">
        <v>902</v>
      </c>
      <c r="C903" s="40">
        <f t="shared" si="14"/>
        <v>0</v>
      </c>
    </row>
    <row r="904" spans="2:3">
      <c r="B904" s="40">
        <v>903</v>
      </c>
      <c r="C904" s="40">
        <f t="shared" si="14"/>
        <v>0</v>
      </c>
    </row>
    <row r="905" spans="2:3">
      <c r="B905" s="40">
        <v>904</v>
      </c>
      <c r="C905" s="40">
        <f t="shared" si="14"/>
        <v>0</v>
      </c>
    </row>
    <row r="906" spans="2:3">
      <c r="B906" s="40">
        <v>905</v>
      </c>
      <c r="C906" s="40">
        <f t="shared" si="14"/>
        <v>0</v>
      </c>
    </row>
    <row r="907" spans="2:3">
      <c r="B907" s="40">
        <v>906</v>
      </c>
      <c r="C907" s="40">
        <f t="shared" si="14"/>
        <v>0</v>
      </c>
    </row>
    <row r="908" spans="2:3">
      <c r="B908" s="40">
        <v>907</v>
      </c>
      <c r="C908" s="40">
        <f t="shared" si="14"/>
        <v>0</v>
      </c>
    </row>
    <row r="909" spans="2:3">
      <c r="B909" s="40">
        <v>908</v>
      </c>
      <c r="C909" s="40">
        <f t="shared" si="14"/>
        <v>0</v>
      </c>
    </row>
    <row r="910" spans="2:3">
      <c r="B910" s="40">
        <v>909</v>
      </c>
      <c r="C910" s="40">
        <f t="shared" si="14"/>
        <v>0</v>
      </c>
    </row>
    <row r="911" spans="2:3">
      <c r="B911" s="40">
        <v>910</v>
      </c>
      <c r="C911" s="40">
        <f t="shared" si="14"/>
        <v>0</v>
      </c>
    </row>
    <row r="912" spans="2:3">
      <c r="B912" s="40">
        <v>911</v>
      </c>
      <c r="C912" s="40">
        <f t="shared" si="14"/>
        <v>0</v>
      </c>
    </row>
    <row r="913" spans="2:3">
      <c r="B913" s="40">
        <v>912</v>
      </c>
      <c r="C913" s="40">
        <f t="shared" si="14"/>
        <v>0</v>
      </c>
    </row>
    <row r="914" spans="2:3">
      <c r="B914" s="40">
        <v>913</v>
      </c>
      <c r="C914" s="40">
        <f t="shared" si="14"/>
        <v>0</v>
      </c>
    </row>
    <row r="915" spans="2:3">
      <c r="B915" s="40">
        <v>914</v>
      </c>
      <c r="C915" s="40">
        <f t="shared" si="14"/>
        <v>0</v>
      </c>
    </row>
    <row r="916" spans="2:3">
      <c r="B916" s="40">
        <v>915</v>
      </c>
      <c r="C916" s="40">
        <f t="shared" si="14"/>
        <v>0</v>
      </c>
    </row>
    <row r="917" spans="2:3">
      <c r="B917" s="40">
        <v>916</v>
      </c>
      <c r="C917" s="40">
        <f t="shared" si="14"/>
        <v>0</v>
      </c>
    </row>
    <row r="918" spans="2:3">
      <c r="B918" s="40">
        <v>917</v>
      </c>
      <c r="C918" s="40">
        <f t="shared" si="14"/>
        <v>0</v>
      </c>
    </row>
    <row r="919" spans="2:3">
      <c r="B919" s="40">
        <v>918</v>
      </c>
      <c r="C919" s="40">
        <f t="shared" si="14"/>
        <v>0</v>
      </c>
    </row>
    <row r="920" spans="2:3">
      <c r="B920" s="40">
        <v>919</v>
      </c>
      <c r="C920" s="40">
        <f t="shared" si="14"/>
        <v>0</v>
      </c>
    </row>
    <row r="921" spans="2:3">
      <c r="B921" s="40">
        <v>920</v>
      </c>
      <c r="C921" s="40">
        <f t="shared" si="14"/>
        <v>0</v>
      </c>
    </row>
    <row r="922" spans="2:3">
      <c r="B922" s="40">
        <v>921</v>
      </c>
      <c r="C922" s="40">
        <f t="shared" si="14"/>
        <v>0</v>
      </c>
    </row>
    <row r="923" spans="2:3">
      <c r="B923" s="40">
        <v>922</v>
      </c>
      <c r="C923" s="40">
        <f t="shared" si="14"/>
        <v>0</v>
      </c>
    </row>
    <row r="924" spans="2:3">
      <c r="B924" s="40">
        <v>923</v>
      </c>
      <c r="C924" s="40">
        <f t="shared" si="14"/>
        <v>0</v>
      </c>
    </row>
    <row r="925" spans="2:3">
      <c r="B925" s="40">
        <v>924</v>
      </c>
      <c r="C925" s="40">
        <f t="shared" si="14"/>
        <v>0</v>
      </c>
    </row>
    <row r="926" spans="2:3">
      <c r="B926" s="40">
        <v>925</v>
      </c>
      <c r="C926" s="40">
        <f t="shared" si="14"/>
        <v>0</v>
      </c>
    </row>
    <row r="927" spans="2:3">
      <c r="B927" s="40">
        <v>926</v>
      </c>
      <c r="C927" s="40">
        <f t="shared" si="14"/>
        <v>0</v>
      </c>
    </row>
    <row r="928" spans="2:3">
      <c r="B928" s="40">
        <v>927</v>
      </c>
      <c r="C928" s="40">
        <f t="shared" si="14"/>
        <v>0</v>
      </c>
    </row>
    <row r="929" spans="2:3">
      <c r="B929" s="40">
        <v>928</v>
      </c>
      <c r="C929" s="40">
        <f t="shared" si="14"/>
        <v>0</v>
      </c>
    </row>
    <row r="930" spans="2:3">
      <c r="B930" s="40">
        <v>929</v>
      </c>
      <c r="C930" s="40">
        <f t="shared" si="14"/>
        <v>0</v>
      </c>
    </row>
    <row r="931" spans="2:3">
      <c r="B931" s="40">
        <v>930</v>
      </c>
      <c r="C931" s="40">
        <f t="shared" si="14"/>
        <v>0</v>
      </c>
    </row>
    <row r="932" spans="2:3">
      <c r="B932" s="40">
        <v>931</v>
      </c>
      <c r="C932" s="40">
        <f t="shared" si="14"/>
        <v>0</v>
      </c>
    </row>
    <row r="933" spans="2:3">
      <c r="B933" s="40">
        <v>932</v>
      </c>
      <c r="C933" s="40">
        <f t="shared" si="14"/>
        <v>0</v>
      </c>
    </row>
    <row r="934" spans="2:3">
      <c r="B934" s="40">
        <v>933</v>
      </c>
      <c r="C934" s="40">
        <f t="shared" si="14"/>
        <v>0</v>
      </c>
    </row>
    <row r="935" spans="2:3">
      <c r="B935" s="40">
        <v>934</v>
      </c>
      <c r="C935" s="40">
        <f t="shared" si="14"/>
        <v>0</v>
      </c>
    </row>
    <row r="936" spans="2:3">
      <c r="B936" s="40">
        <v>935</v>
      </c>
      <c r="C936" s="40">
        <f t="shared" si="14"/>
        <v>0</v>
      </c>
    </row>
    <row r="937" spans="2:3">
      <c r="B937" s="40">
        <v>936</v>
      </c>
      <c r="C937" s="40">
        <f t="shared" si="14"/>
        <v>0</v>
      </c>
    </row>
    <row r="938" spans="2:3">
      <c r="B938" s="40">
        <v>937</v>
      </c>
      <c r="C938" s="40">
        <f t="shared" si="14"/>
        <v>0</v>
      </c>
    </row>
    <row r="939" spans="2:3">
      <c r="B939" s="40">
        <v>938</v>
      </c>
      <c r="C939" s="40">
        <f t="shared" si="14"/>
        <v>0</v>
      </c>
    </row>
    <row r="940" spans="2:3">
      <c r="B940" s="40">
        <v>939</v>
      </c>
      <c r="C940" s="40">
        <f t="shared" si="14"/>
        <v>0</v>
      </c>
    </row>
    <row r="941" spans="2:3">
      <c r="B941" s="40">
        <v>940</v>
      </c>
      <c r="C941" s="40">
        <f t="shared" si="14"/>
        <v>0</v>
      </c>
    </row>
    <row r="942" spans="2:3">
      <c r="B942" s="40">
        <v>941</v>
      </c>
      <c r="C942" s="40">
        <f t="shared" si="14"/>
        <v>0</v>
      </c>
    </row>
    <row r="943" spans="2:3">
      <c r="B943" s="40">
        <v>942</v>
      </c>
      <c r="C943" s="40">
        <f t="shared" si="14"/>
        <v>0</v>
      </c>
    </row>
    <row r="944" spans="2:3">
      <c r="B944" s="40">
        <v>943</v>
      </c>
      <c r="C944" s="40">
        <f t="shared" si="14"/>
        <v>0</v>
      </c>
    </row>
    <row r="945" spans="2:3">
      <c r="B945" s="40">
        <v>944</v>
      </c>
      <c r="C945" s="40">
        <f t="shared" si="14"/>
        <v>0</v>
      </c>
    </row>
    <row r="946" spans="2:3">
      <c r="B946" s="40">
        <v>945</v>
      </c>
      <c r="C946" s="40">
        <f t="shared" si="14"/>
        <v>0</v>
      </c>
    </row>
    <row r="947" spans="2:3">
      <c r="B947" s="40">
        <v>946</v>
      </c>
      <c r="C947" s="40">
        <f t="shared" si="14"/>
        <v>0</v>
      </c>
    </row>
    <row r="948" spans="2:3">
      <c r="B948" s="40">
        <v>947</v>
      </c>
      <c r="C948" s="40">
        <f t="shared" si="14"/>
        <v>0</v>
      </c>
    </row>
    <row r="949" spans="2:3">
      <c r="B949" s="40">
        <v>948</v>
      </c>
      <c r="C949" s="40">
        <f t="shared" si="14"/>
        <v>0</v>
      </c>
    </row>
    <row r="950" spans="2:3">
      <c r="B950" s="40">
        <v>949</v>
      </c>
      <c r="C950" s="40">
        <f t="shared" si="14"/>
        <v>0</v>
      </c>
    </row>
    <row r="951" spans="2:3">
      <c r="B951" s="40">
        <v>950</v>
      </c>
      <c r="C951" s="40">
        <f t="shared" si="14"/>
        <v>0</v>
      </c>
    </row>
    <row r="952" spans="2:3">
      <c r="B952" s="40">
        <v>951</v>
      </c>
      <c r="C952" s="40">
        <f t="shared" si="14"/>
        <v>0</v>
      </c>
    </row>
    <row r="953" spans="2:3">
      <c r="B953" s="40">
        <v>952</v>
      </c>
      <c r="C953" s="40">
        <f t="shared" si="14"/>
        <v>0</v>
      </c>
    </row>
    <row r="954" spans="2:3">
      <c r="B954" s="40">
        <v>953</v>
      </c>
      <c r="C954" s="40">
        <f t="shared" si="14"/>
        <v>0</v>
      </c>
    </row>
    <row r="955" spans="2:3">
      <c r="B955" s="40">
        <v>954</v>
      </c>
      <c r="C955" s="40">
        <f t="shared" si="14"/>
        <v>0</v>
      </c>
    </row>
    <row r="956" spans="2:3">
      <c r="B956" s="40">
        <v>955</v>
      </c>
      <c r="C956" s="40">
        <f t="shared" si="14"/>
        <v>0</v>
      </c>
    </row>
    <row r="957" spans="2:3">
      <c r="B957" s="40">
        <v>956</v>
      </c>
      <c r="C957" s="40">
        <f t="shared" si="14"/>
        <v>0</v>
      </c>
    </row>
    <row r="958" spans="2:3">
      <c r="B958" s="40">
        <v>957</v>
      </c>
      <c r="C958" s="40">
        <f t="shared" si="14"/>
        <v>0</v>
      </c>
    </row>
    <row r="959" spans="2:3">
      <c r="B959" s="40">
        <v>958</v>
      </c>
      <c r="C959" s="40">
        <f t="shared" si="14"/>
        <v>0</v>
      </c>
    </row>
    <row r="960" spans="2:3">
      <c r="B960" s="40">
        <v>959</v>
      </c>
      <c r="C960" s="40">
        <f t="shared" si="14"/>
        <v>0</v>
      </c>
    </row>
    <row r="961" spans="2:3">
      <c r="B961" s="40">
        <v>960</v>
      </c>
      <c r="C961" s="40">
        <f t="shared" si="14"/>
        <v>0</v>
      </c>
    </row>
    <row r="962" spans="2:3">
      <c r="B962" s="40">
        <v>961</v>
      </c>
      <c r="C962" s="40">
        <f t="shared" si="14"/>
        <v>0</v>
      </c>
    </row>
    <row r="963" spans="2:3">
      <c r="B963" s="40">
        <v>962</v>
      </c>
      <c r="C963" s="40">
        <f t="shared" ref="C963:C1026" si="15">IF(LEFT(A963,1)="C",A963,C962)</f>
        <v>0</v>
      </c>
    </row>
    <row r="964" spans="2:3">
      <c r="B964" s="40">
        <v>963</v>
      </c>
      <c r="C964" s="40">
        <f t="shared" si="15"/>
        <v>0</v>
      </c>
    </row>
    <row r="965" spans="2:3">
      <c r="B965" s="40">
        <v>964</v>
      </c>
      <c r="C965" s="40">
        <f t="shared" si="15"/>
        <v>0</v>
      </c>
    </row>
    <row r="966" spans="2:3">
      <c r="B966" s="40">
        <v>965</v>
      </c>
      <c r="C966" s="40">
        <f t="shared" si="15"/>
        <v>0</v>
      </c>
    </row>
    <row r="967" spans="2:3">
      <c r="B967" s="40">
        <v>966</v>
      </c>
      <c r="C967" s="40">
        <f t="shared" si="15"/>
        <v>0</v>
      </c>
    </row>
    <row r="968" spans="2:3">
      <c r="B968" s="40">
        <v>967</v>
      </c>
      <c r="C968" s="40">
        <f t="shared" si="15"/>
        <v>0</v>
      </c>
    </row>
    <row r="969" spans="2:3">
      <c r="B969" s="40">
        <v>968</v>
      </c>
      <c r="C969" s="40">
        <f t="shared" si="15"/>
        <v>0</v>
      </c>
    </row>
    <row r="970" spans="2:3">
      <c r="B970" s="40">
        <v>969</v>
      </c>
      <c r="C970" s="40">
        <f t="shared" si="15"/>
        <v>0</v>
      </c>
    </row>
    <row r="971" spans="2:3">
      <c r="B971" s="40">
        <v>970</v>
      </c>
      <c r="C971" s="40">
        <f t="shared" si="15"/>
        <v>0</v>
      </c>
    </row>
    <row r="972" spans="2:3">
      <c r="B972" s="40">
        <v>971</v>
      </c>
      <c r="C972" s="40">
        <f t="shared" si="15"/>
        <v>0</v>
      </c>
    </row>
    <row r="973" spans="2:3">
      <c r="B973" s="40">
        <v>972</v>
      </c>
      <c r="C973" s="40">
        <f t="shared" si="15"/>
        <v>0</v>
      </c>
    </row>
    <row r="974" spans="2:3">
      <c r="B974" s="40">
        <v>973</v>
      </c>
      <c r="C974" s="40">
        <f t="shared" si="15"/>
        <v>0</v>
      </c>
    </row>
    <row r="975" spans="2:3">
      <c r="B975" s="40">
        <v>974</v>
      </c>
      <c r="C975" s="40">
        <f t="shared" si="15"/>
        <v>0</v>
      </c>
    </row>
    <row r="976" spans="2:3">
      <c r="B976" s="40">
        <v>975</v>
      </c>
      <c r="C976" s="40">
        <f t="shared" si="15"/>
        <v>0</v>
      </c>
    </row>
    <row r="977" spans="2:3">
      <c r="B977" s="40">
        <v>976</v>
      </c>
      <c r="C977" s="40">
        <f t="shared" si="15"/>
        <v>0</v>
      </c>
    </row>
    <row r="978" spans="2:3">
      <c r="B978" s="40">
        <v>977</v>
      </c>
      <c r="C978" s="40">
        <f t="shared" si="15"/>
        <v>0</v>
      </c>
    </row>
    <row r="979" spans="2:3">
      <c r="B979" s="40">
        <v>978</v>
      </c>
      <c r="C979" s="40">
        <f t="shared" si="15"/>
        <v>0</v>
      </c>
    </row>
    <row r="980" spans="2:3">
      <c r="B980" s="40">
        <v>979</v>
      </c>
      <c r="C980" s="40">
        <f t="shared" si="15"/>
        <v>0</v>
      </c>
    </row>
    <row r="981" spans="2:3">
      <c r="B981" s="40">
        <v>980</v>
      </c>
      <c r="C981" s="40">
        <f t="shared" si="15"/>
        <v>0</v>
      </c>
    </row>
    <row r="982" spans="2:3">
      <c r="B982" s="40">
        <v>981</v>
      </c>
      <c r="C982" s="40">
        <f t="shared" si="15"/>
        <v>0</v>
      </c>
    </row>
    <row r="983" spans="2:3">
      <c r="B983" s="40">
        <v>982</v>
      </c>
      <c r="C983" s="40">
        <f t="shared" si="15"/>
        <v>0</v>
      </c>
    </row>
    <row r="984" spans="2:3">
      <c r="B984" s="40">
        <v>983</v>
      </c>
      <c r="C984" s="40">
        <f t="shared" si="15"/>
        <v>0</v>
      </c>
    </row>
    <row r="985" spans="2:3">
      <c r="B985" s="40">
        <v>984</v>
      </c>
      <c r="C985" s="40">
        <f t="shared" si="15"/>
        <v>0</v>
      </c>
    </row>
    <row r="986" spans="2:3">
      <c r="B986" s="40">
        <v>985</v>
      </c>
      <c r="C986" s="40">
        <f t="shared" si="15"/>
        <v>0</v>
      </c>
    </row>
    <row r="987" spans="2:3">
      <c r="B987" s="40">
        <v>986</v>
      </c>
      <c r="C987" s="40">
        <f t="shared" si="15"/>
        <v>0</v>
      </c>
    </row>
    <row r="988" spans="2:3">
      <c r="B988" s="40">
        <v>987</v>
      </c>
      <c r="C988" s="40">
        <f t="shared" si="15"/>
        <v>0</v>
      </c>
    </row>
    <row r="989" spans="2:3">
      <c r="B989" s="40">
        <v>988</v>
      </c>
      <c r="C989" s="40">
        <f t="shared" si="15"/>
        <v>0</v>
      </c>
    </row>
    <row r="990" spans="2:3">
      <c r="B990" s="40">
        <v>989</v>
      </c>
      <c r="C990" s="40">
        <f t="shared" si="15"/>
        <v>0</v>
      </c>
    </row>
    <row r="991" spans="2:3">
      <c r="B991" s="40">
        <v>990</v>
      </c>
      <c r="C991" s="40">
        <f t="shared" si="15"/>
        <v>0</v>
      </c>
    </row>
    <row r="992" spans="2:3">
      <c r="B992" s="40">
        <v>991</v>
      </c>
      <c r="C992" s="40">
        <f t="shared" si="15"/>
        <v>0</v>
      </c>
    </row>
    <row r="993" spans="2:3">
      <c r="B993" s="40">
        <v>992</v>
      </c>
      <c r="C993" s="40">
        <f t="shared" si="15"/>
        <v>0</v>
      </c>
    </row>
    <row r="994" spans="2:3">
      <c r="B994" s="40">
        <v>993</v>
      </c>
      <c r="C994" s="40">
        <f t="shared" si="15"/>
        <v>0</v>
      </c>
    </row>
    <row r="995" spans="2:3">
      <c r="B995" s="40">
        <v>994</v>
      </c>
      <c r="C995" s="40">
        <f t="shared" si="15"/>
        <v>0</v>
      </c>
    </row>
    <row r="996" spans="2:3">
      <c r="B996" s="40">
        <v>995</v>
      </c>
      <c r="C996" s="40">
        <f t="shared" si="15"/>
        <v>0</v>
      </c>
    </row>
    <row r="997" spans="2:3">
      <c r="B997" s="40">
        <v>996</v>
      </c>
      <c r="C997" s="40">
        <f t="shared" si="15"/>
        <v>0</v>
      </c>
    </row>
    <row r="998" spans="2:3">
      <c r="B998" s="40">
        <v>997</v>
      </c>
      <c r="C998" s="40">
        <f t="shared" si="15"/>
        <v>0</v>
      </c>
    </row>
    <row r="999" spans="2:3">
      <c r="B999" s="40">
        <v>998</v>
      </c>
      <c r="C999" s="40">
        <f t="shared" si="15"/>
        <v>0</v>
      </c>
    </row>
    <row r="1000" spans="2:3">
      <c r="B1000" s="40">
        <v>999</v>
      </c>
      <c r="C1000" s="40">
        <f t="shared" si="15"/>
        <v>0</v>
      </c>
    </row>
    <row r="1001" spans="2:3">
      <c r="B1001" s="40">
        <v>1000</v>
      </c>
      <c r="C1001" s="40">
        <f t="shared" si="15"/>
        <v>0</v>
      </c>
    </row>
    <row r="1002" spans="2:3">
      <c r="B1002" s="40">
        <v>1001</v>
      </c>
      <c r="C1002" s="40">
        <f t="shared" si="15"/>
        <v>0</v>
      </c>
    </row>
    <row r="1003" spans="2:3">
      <c r="B1003" s="40">
        <v>1002</v>
      </c>
      <c r="C1003" s="40">
        <f t="shared" si="15"/>
        <v>0</v>
      </c>
    </row>
    <row r="1004" spans="2:3">
      <c r="B1004" s="40">
        <v>1003</v>
      </c>
      <c r="C1004" s="40">
        <f t="shared" si="15"/>
        <v>0</v>
      </c>
    </row>
    <row r="1005" spans="2:3">
      <c r="B1005" s="40">
        <v>1004</v>
      </c>
      <c r="C1005" s="40">
        <f t="shared" si="15"/>
        <v>0</v>
      </c>
    </row>
    <row r="1006" spans="2:3">
      <c r="B1006" s="40">
        <v>1005</v>
      </c>
      <c r="C1006" s="40">
        <f t="shared" si="15"/>
        <v>0</v>
      </c>
    </row>
    <row r="1007" spans="2:3">
      <c r="B1007" s="40">
        <v>1006</v>
      </c>
      <c r="C1007" s="40">
        <f t="shared" si="15"/>
        <v>0</v>
      </c>
    </row>
    <row r="1008" spans="2:3">
      <c r="B1008" s="40">
        <v>1007</v>
      </c>
      <c r="C1008" s="40">
        <f t="shared" si="15"/>
        <v>0</v>
      </c>
    </row>
    <row r="1009" spans="2:3">
      <c r="B1009" s="40">
        <v>1008</v>
      </c>
      <c r="C1009" s="40">
        <f t="shared" si="15"/>
        <v>0</v>
      </c>
    </row>
    <row r="1010" spans="2:3">
      <c r="B1010" s="40">
        <v>1009</v>
      </c>
      <c r="C1010" s="40">
        <f t="shared" si="15"/>
        <v>0</v>
      </c>
    </row>
    <row r="1011" spans="2:3">
      <c r="B1011" s="40">
        <v>1010</v>
      </c>
      <c r="C1011" s="40">
        <f t="shared" si="15"/>
        <v>0</v>
      </c>
    </row>
    <row r="1012" spans="2:3">
      <c r="B1012" s="40">
        <v>1011</v>
      </c>
      <c r="C1012" s="40">
        <f t="shared" si="15"/>
        <v>0</v>
      </c>
    </row>
    <row r="1013" spans="2:3">
      <c r="B1013" s="40">
        <v>1012</v>
      </c>
      <c r="C1013" s="40">
        <f t="shared" si="15"/>
        <v>0</v>
      </c>
    </row>
    <row r="1014" spans="2:3">
      <c r="B1014" s="40">
        <v>1013</v>
      </c>
      <c r="C1014" s="40">
        <f t="shared" si="15"/>
        <v>0</v>
      </c>
    </row>
    <row r="1015" spans="2:3">
      <c r="B1015" s="40">
        <v>1014</v>
      </c>
      <c r="C1015" s="40">
        <f t="shared" si="15"/>
        <v>0</v>
      </c>
    </row>
    <row r="1016" spans="2:3">
      <c r="B1016" s="40">
        <v>1015</v>
      </c>
      <c r="C1016" s="40">
        <f t="shared" si="15"/>
        <v>0</v>
      </c>
    </row>
    <row r="1017" spans="2:3">
      <c r="B1017" s="40">
        <v>1016</v>
      </c>
      <c r="C1017" s="40">
        <f t="shared" si="15"/>
        <v>0</v>
      </c>
    </row>
    <row r="1018" spans="2:3">
      <c r="B1018" s="40">
        <v>1017</v>
      </c>
      <c r="C1018" s="40">
        <f t="shared" si="15"/>
        <v>0</v>
      </c>
    </row>
    <row r="1019" spans="2:3">
      <c r="B1019" s="40">
        <v>1018</v>
      </c>
      <c r="C1019" s="40">
        <f t="shared" si="15"/>
        <v>0</v>
      </c>
    </row>
    <row r="1020" spans="2:3">
      <c r="B1020" s="40">
        <v>1019</v>
      </c>
      <c r="C1020" s="40">
        <f t="shared" si="15"/>
        <v>0</v>
      </c>
    </row>
    <row r="1021" spans="2:3">
      <c r="B1021" s="40">
        <v>1020</v>
      </c>
      <c r="C1021" s="40">
        <f t="shared" si="15"/>
        <v>0</v>
      </c>
    </row>
    <row r="1022" spans="2:3">
      <c r="B1022" s="40">
        <v>1021</v>
      </c>
      <c r="C1022" s="40">
        <f t="shared" si="15"/>
        <v>0</v>
      </c>
    </row>
    <row r="1023" spans="2:3">
      <c r="B1023" s="40">
        <v>1022</v>
      </c>
      <c r="C1023" s="40">
        <f t="shared" si="15"/>
        <v>0</v>
      </c>
    </row>
    <row r="1024" spans="2:3">
      <c r="B1024" s="40">
        <v>1023</v>
      </c>
      <c r="C1024" s="40">
        <f t="shared" si="15"/>
        <v>0</v>
      </c>
    </row>
    <row r="1025" spans="2:3">
      <c r="B1025" s="40">
        <v>1024</v>
      </c>
      <c r="C1025" s="40">
        <f t="shared" si="15"/>
        <v>0</v>
      </c>
    </row>
    <row r="1026" spans="2:3">
      <c r="B1026" s="40">
        <v>1025</v>
      </c>
      <c r="C1026" s="40">
        <f t="shared" si="15"/>
        <v>0</v>
      </c>
    </row>
    <row r="1027" spans="2:3">
      <c r="B1027" s="40">
        <v>1026</v>
      </c>
      <c r="C1027" s="40">
        <f t="shared" ref="C1027:C1090" si="16">IF(LEFT(A1027,1)="C",A1027,C1026)</f>
        <v>0</v>
      </c>
    </row>
    <row r="1028" spans="2:3">
      <c r="B1028" s="40">
        <v>1027</v>
      </c>
      <c r="C1028" s="40">
        <f t="shared" si="16"/>
        <v>0</v>
      </c>
    </row>
    <row r="1029" spans="2:3">
      <c r="B1029" s="40">
        <v>1028</v>
      </c>
      <c r="C1029" s="40">
        <f t="shared" si="16"/>
        <v>0</v>
      </c>
    </row>
    <row r="1030" spans="2:3">
      <c r="B1030" s="40">
        <v>1029</v>
      </c>
      <c r="C1030" s="40">
        <f t="shared" si="16"/>
        <v>0</v>
      </c>
    </row>
    <row r="1031" spans="2:3">
      <c r="B1031" s="40">
        <v>1030</v>
      </c>
      <c r="C1031" s="40">
        <f t="shared" si="16"/>
        <v>0</v>
      </c>
    </row>
    <row r="1032" spans="2:3">
      <c r="B1032" s="40">
        <v>1031</v>
      </c>
      <c r="C1032" s="40">
        <f t="shared" si="16"/>
        <v>0</v>
      </c>
    </row>
    <row r="1033" spans="2:3">
      <c r="B1033" s="40">
        <v>1032</v>
      </c>
      <c r="C1033" s="40">
        <f t="shared" si="16"/>
        <v>0</v>
      </c>
    </row>
    <row r="1034" spans="2:3">
      <c r="B1034" s="40">
        <v>1033</v>
      </c>
      <c r="C1034" s="40">
        <f t="shared" si="16"/>
        <v>0</v>
      </c>
    </row>
    <row r="1035" spans="2:3">
      <c r="B1035" s="40">
        <v>1034</v>
      </c>
      <c r="C1035" s="40">
        <f t="shared" si="16"/>
        <v>0</v>
      </c>
    </row>
    <row r="1036" spans="2:3">
      <c r="B1036" s="40">
        <v>1035</v>
      </c>
      <c r="C1036" s="40">
        <f t="shared" si="16"/>
        <v>0</v>
      </c>
    </row>
    <row r="1037" spans="2:3">
      <c r="B1037" s="40">
        <v>1036</v>
      </c>
      <c r="C1037" s="40">
        <f t="shared" si="16"/>
        <v>0</v>
      </c>
    </row>
    <row r="1038" spans="2:3">
      <c r="B1038" s="40">
        <v>1037</v>
      </c>
      <c r="C1038" s="40">
        <f t="shared" si="16"/>
        <v>0</v>
      </c>
    </row>
    <row r="1039" spans="2:3">
      <c r="B1039" s="40">
        <v>1038</v>
      </c>
      <c r="C1039" s="40">
        <f t="shared" si="16"/>
        <v>0</v>
      </c>
    </row>
    <row r="1040" spans="2:3">
      <c r="B1040" s="40">
        <v>1039</v>
      </c>
      <c r="C1040" s="40">
        <f t="shared" si="16"/>
        <v>0</v>
      </c>
    </row>
    <row r="1041" spans="2:3">
      <c r="B1041" s="40">
        <v>1040</v>
      </c>
      <c r="C1041" s="40">
        <f t="shared" si="16"/>
        <v>0</v>
      </c>
    </row>
    <row r="1042" spans="2:3">
      <c r="B1042" s="40">
        <v>1041</v>
      </c>
      <c r="C1042" s="40">
        <f t="shared" si="16"/>
        <v>0</v>
      </c>
    </row>
    <row r="1043" spans="2:3">
      <c r="B1043" s="40">
        <v>1042</v>
      </c>
      <c r="C1043" s="40">
        <f t="shared" si="16"/>
        <v>0</v>
      </c>
    </row>
    <row r="1044" spans="2:3">
      <c r="B1044" s="40">
        <v>1043</v>
      </c>
      <c r="C1044" s="40">
        <f t="shared" si="16"/>
        <v>0</v>
      </c>
    </row>
    <row r="1045" spans="2:3">
      <c r="B1045" s="40">
        <v>1044</v>
      </c>
      <c r="C1045" s="40">
        <f t="shared" si="16"/>
        <v>0</v>
      </c>
    </row>
    <row r="1046" spans="2:3">
      <c r="B1046" s="40">
        <v>1045</v>
      </c>
      <c r="C1046" s="40">
        <f t="shared" si="16"/>
        <v>0</v>
      </c>
    </row>
    <row r="1047" spans="2:3">
      <c r="B1047" s="40">
        <v>1046</v>
      </c>
      <c r="C1047" s="40">
        <f t="shared" si="16"/>
        <v>0</v>
      </c>
    </row>
    <row r="1048" spans="2:3">
      <c r="B1048" s="40">
        <v>1047</v>
      </c>
      <c r="C1048" s="40">
        <f t="shared" si="16"/>
        <v>0</v>
      </c>
    </row>
    <row r="1049" spans="2:3">
      <c r="B1049" s="40">
        <v>1048</v>
      </c>
      <c r="C1049" s="40">
        <f t="shared" si="16"/>
        <v>0</v>
      </c>
    </row>
    <row r="1050" spans="2:3">
      <c r="B1050" s="40">
        <v>1049</v>
      </c>
      <c r="C1050" s="40">
        <f t="shared" si="16"/>
        <v>0</v>
      </c>
    </row>
    <row r="1051" spans="2:3">
      <c r="B1051" s="40">
        <v>1050</v>
      </c>
      <c r="C1051" s="40">
        <f t="shared" si="16"/>
        <v>0</v>
      </c>
    </row>
    <row r="1052" spans="2:3">
      <c r="B1052" s="40">
        <v>1051</v>
      </c>
      <c r="C1052" s="40">
        <f t="shared" si="16"/>
        <v>0</v>
      </c>
    </row>
    <row r="1053" spans="2:3">
      <c r="B1053" s="40">
        <v>1052</v>
      </c>
      <c r="C1053" s="40">
        <f t="shared" si="16"/>
        <v>0</v>
      </c>
    </row>
    <row r="1054" spans="2:3">
      <c r="B1054" s="40">
        <v>1053</v>
      </c>
      <c r="C1054" s="40">
        <f t="shared" si="16"/>
        <v>0</v>
      </c>
    </row>
    <row r="1055" spans="2:3">
      <c r="B1055" s="40">
        <v>1054</v>
      </c>
      <c r="C1055" s="40">
        <f t="shared" si="16"/>
        <v>0</v>
      </c>
    </row>
    <row r="1056" spans="2:3">
      <c r="B1056" s="40">
        <v>1055</v>
      </c>
      <c r="C1056" s="40">
        <f t="shared" si="16"/>
        <v>0</v>
      </c>
    </row>
    <row r="1057" spans="2:3">
      <c r="B1057" s="40">
        <v>1056</v>
      </c>
      <c r="C1057" s="40">
        <f t="shared" si="16"/>
        <v>0</v>
      </c>
    </row>
    <row r="1058" spans="2:3">
      <c r="B1058" s="40">
        <v>1057</v>
      </c>
      <c r="C1058" s="40">
        <f t="shared" si="16"/>
        <v>0</v>
      </c>
    </row>
    <row r="1059" spans="2:3">
      <c r="B1059" s="40">
        <v>1058</v>
      </c>
      <c r="C1059" s="40">
        <f t="shared" si="16"/>
        <v>0</v>
      </c>
    </row>
    <row r="1060" spans="2:3">
      <c r="B1060" s="40">
        <v>1059</v>
      </c>
      <c r="C1060" s="40">
        <f t="shared" si="16"/>
        <v>0</v>
      </c>
    </row>
    <row r="1061" spans="2:3">
      <c r="B1061" s="40">
        <v>1060</v>
      </c>
      <c r="C1061" s="40">
        <f t="shared" si="16"/>
        <v>0</v>
      </c>
    </row>
    <row r="1062" spans="2:3">
      <c r="B1062" s="40">
        <v>1061</v>
      </c>
      <c r="C1062" s="40">
        <f t="shared" si="16"/>
        <v>0</v>
      </c>
    </row>
    <row r="1063" spans="2:3">
      <c r="B1063" s="40">
        <v>1062</v>
      </c>
      <c r="C1063" s="40">
        <f t="shared" si="16"/>
        <v>0</v>
      </c>
    </row>
    <row r="1064" spans="2:3">
      <c r="B1064" s="40">
        <v>1063</v>
      </c>
      <c r="C1064" s="40">
        <f t="shared" si="16"/>
        <v>0</v>
      </c>
    </row>
    <row r="1065" spans="2:3">
      <c r="B1065" s="40">
        <v>1064</v>
      </c>
      <c r="C1065" s="40">
        <f t="shared" si="16"/>
        <v>0</v>
      </c>
    </row>
    <row r="1066" spans="2:3">
      <c r="B1066" s="40">
        <v>1065</v>
      </c>
      <c r="C1066" s="40">
        <f t="shared" si="16"/>
        <v>0</v>
      </c>
    </row>
    <row r="1067" spans="2:3">
      <c r="B1067" s="40">
        <v>1066</v>
      </c>
      <c r="C1067" s="40">
        <f t="shared" si="16"/>
        <v>0</v>
      </c>
    </row>
    <row r="1068" spans="2:3">
      <c r="B1068" s="40">
        <v>1067</v>
      </c>
      <c r="C1068" s="40">
        <f t="shared" si="16"/>
        <v>0</v>
      </c>
    </row>
    <row r="1069" spans="2:3">
      <c r="B1069" s="40">
        <v>1068</v>
      </c>
      <c r="C1069" s="40">
        <f t="shared" si="16"/>
        <v>0</v>
      </c>
    </row>
    <row r="1070" spans="2:3">
      <c r="B1070" s="40">
        <v>1069</v>
      </c>
      <c r="C1070" s="40">
        <f t="shared" si="16"/>
        <v>0</v>
      </c>
    </row>
    <row r="1071" spans="2:3">
      <c r="B1071" s="40">
        <v>1070</v>
      </c>
      <c r="C1071" s="40">
        <f t="shared" si="16"/>
        <v>0</v>
      </c>
    </row>
    <row r="1072" spans="2:3">
      <c r="B1072" s="40">
        <v>1071</v>
      </c>
      <c r="C1072" s="40">
        <f t="shared" si="16"/>
        <v>0</v>
      </c>
    </row>
    <row r="1073" spans="2:3">
      <c r="B1073" s="40">
        <v>1072</v>
      </c>
      <c r="C1073" s="40">
        <f t="shared" si="16"/>
        <v>0</v>
      </c>
    </row>
    <row r="1074" spans="2:3">
      <c r="B1074" s="40">
        <v>1073</v>
      </c>
      <c r="C1074" s="40">
        <f t="shared" si="16"/>
        <v>0</v>
      </c>
    </row>
    <row r="1075" spans="2:3">
      <c r="B1075" s="40">
        <v>1074</v>
      </c>
      <c r="C1075" s="40">
        <f t="shared" si="16"/>
        <v>0</v>
      </c>
    </row>
    <row r="1076" spans="2:3">
      <c r="B1076" s="40">
        <v>1075</v>
      </c>
      <c r="C1076" s="40">
        <f t="shared" si="16"/>
        <v>0</v>
      </c>
    </row>
    <row r="1077" spans="2:3">
      <c r="B1077" s="40">
        <v>1076</v>
      </c>
      <c r="C1077" s="40">
        <f t="shared" si="16"/>
        <v>0</v>
      </c>
    </row>
    <row r="1078" spans="2:3">
      <c r="B1078" s="40">
        <v>1077</v>
      </c>
      <c r="C1078" s="40">
        <f t="shared" si="16"/>
        <v>0</v>
      </c>
    </row>
    <row r="1079" spans="2:3">
      <c r="B1079" s="40">
        <v>1078</v>
      </c>
      <c r="C1079" s="40">
        <f t="shared" si="16"/>
        <v>0</v>
      </c>
    </row>
    <row r="1080" spans="2:3">
      <c r="B1080" s="40">
        <v>1079</v>
      </c>
      <c r="C1080" s="40">
        <f t="shared" si="16"/>
        <v>0</v>
      </c>
    </row>
    <row r="1081" spans="2:3">
      <c r="B1081" s="40">
        <v>1080</v>
      </c>
      <c r="C1081" s="40">
        <f t="shared" si="16"/>
        <v>0</v>
      </c>
    </row>
    <row r="1082" spans="2:3">
      <c r="B1082" s="40">
        <v>1081</v>
      </c>
      <c r="C1082" s="40">
        <f t="shared" si="16"/>
        <v>0</v>
      </c>
    </row>
    <row r="1083" spans="2:3">
      <c r="B1083" s="40">
        <v>1082</v>
      </c>
      <c r="C1083" s="40">
        <f t="shared" si="16"/>
        <v>0</v>
      </c>
    </row>
    <row r="1084" spans="2:3">
      <c r="B1084" s="40">
        <v>1083</v>
      </c>
      <c r="C1084" s="40">
        <f t="shared" si="16"/>
        <v>0</v>
      </c>
    </row>
    <row r="1085" spans="2:3">
      <c r="B1085" s="40">
        <v>1084</v>
      </c>
      <c r="C1085" s="40">
        <f t="shared" si="16"/>
        <v>0</v>
      </c>
    </row>
    <row r="1086" spans="2:3">
      <c r="B1086" s="40">
        <v>1085</v>
      </c>
      <c r="C1086" s="40">
        <f t="shared" si="16"/>
        <v>0</v>
      </c>
    </row>
    <row r="1087" spans="2:3">
      <c r="B1087" s="40">
        <v>1086</v>
      </c>
      <c r="C1087" s="40">
        <f t="shared" si="16"/>
        <v>0</v>
      </c>
    </row>
    <row r="1088" spans="2:3">
      <c r="B1088" s="40">
        <v>1087</v>
      </c>
      <c r="C1088" s="40">
        <f t="shared" si="16"/>
        <v>0</v>
      </c>
    </row>
    <row r="1089" spans="2:3">
      <c r="B1089" s="40">
        <v>1088</v>
      </c>
      <c r="C1089" s="40">
        <f t="shared" si="16"/>
        <v>0</v>
      </c>
    </row>
    <row r="1090" spans="2:3">
      <c r="B1090" s="40">
        <v>1089</v>
      </c>
      <c r="C1090" s="40">
        <f t="shared" si="16"/>
        <v>0</v>
      </c>
    </row>
    <row r="1091" spans="2:3">
      <c r="B1091" s="40">
        <v>1090</v>
      </c>
      <c r="C1091" s="40">
        <f t="shared" ref="C1091:C1125" si="17">IF(LEFT(A1091,1)="C",A1091,C1090)</f>
        <v>0</v>
      </c>
    </row>
    <row r="1092" spans="2:3">
      <c r="B1092" s="40">
        <v>1091</v>
      </c>
      <c r="C1092" s="40">
        <f t="shared" si="17"/>
        <v>0</v>
      </c>
    </row>
    <row r="1093" spans="2:3">
      <c r="B1093" s="40">
        <v>1092</v>
      </c>
      <c r="C1093" s="40">
        <f t="shared" si="17"/>
        <v>0</v>
      </c>
    </row>
    <row r="1094" spans="2:3">
      <c r="B1094" s="40">
        <v>1093</v>
      </c>
      <c r="C1094" s="40">
        <f t="shared" si="17"/>
        <v>0</v>
      </c>
    </row>
    <row r="1095" spans="2:3">
      <c r="B1095" s="40">
        <v>1094</v>
      </c>
      <c r="C1095" s="40">
        <f t="shared" si="17"/>
        <v>0</v>
      </c>
    </row>
    <row r="1096" spans="2:3">
      <c r="B1096" s="40">
        <v>1095</v>
      </c>
      <c r="C1096" s="40">
        <f t="shared" si="17"/>
        <v>0</v>
      </c>
    </row>
    <row r="1097" spans="2:3">
      <c r="B1097" s="40">
        <v>1096</v>
      </c>
      <c r="C1097" s="40">
        <f t="shared" si="17"/>
        <v>0</v>
      </c>
    </row>
    <row r="1098" spans="2:3">
      <c r="B1098" s="40">
        <v>1097</v>
      </c>
      <c r="C1098" s="40">
        <f t="shared" si="17"/>
        <v>0</v>
      </c>
    </row>
    <row r="1099" spans="2:3">
      <c r="B1099" s="40">
        <v>1098</v>
      </c>
      <c r="C1099" s="40">
        <f t="shared" si="17"/>
        <v>0</v>
      </c>
    </row>
    <row r="1100" spans="2:3">
      <c r="B1100" s="40">
        <v>1099</v>
      </c>
      <c r="C1100" s="40">
        <f t="shared" si="17"/>
        <v>0</v>
      </c>
    </row>
    <row r="1101" spans="2:3">
      <c r="B1101" s="40">
        <v>1100</v>
      </c>
      <c r="C1101" s="40">
        <f t="shared" si="17"/>
        <v>0</v>
      </c>
    </row>
    <row r="1102" spans="2:3">
      <c r="B1102" s="40">
        <v>1101</v>
      </c>
      <c r="C1102" s="40">
        <f t="shared" si="17"/>
        <v>0</v>
      </c>
    </row>
    <row r="1103" spans="2:3">
      <c r="B1103" s="40">
        <v>1102</v>
      </c>
      <c r="C1103" s="40">
        <f t="shared" si="17"/>
        <v>0</v>
      </c>
    </row>
    <row r="1104" spans="2:3">
      <c r="B1104" s="40">
        <v>1103</v>
      </c>
      <c r="C1104" s="40">
        <f t="shared" si="17"/>
        <v>0</v>
      </c>
    </row>
    <row r="1105" spans="2:3">
      <c r="B1105" s="40">
        <v>1104</v>
      </c>
      <c r="C1105" s="40">
        <f t="shared" si="17"/>
        <v>0</v>
      </c>
    </row>
    <row r="1106" spans="2:3">
      <c r="B1106" s="40">
        <v>1105</v>
      </c>
      <c r="C1106" s="40">
        <f t="shared" si="17"/>
        <v>0</v>
      </c>
    </row>
    <row r="1107" spans="2:3">
      <c r="B1107" s="40">
        <v>1106</v>
      </c>
      <c r="C1107" s="40">
        <f t="shared" si="17"/>
        <v>0</v>
      </c>
    </row>
    <row r="1108" spans="2:3">
      <c r="B1108" s="40">
        <v>1107</v>
      </c>
      <c r="C1108" s="40">
        <f t="shared" si="17"/>
        <v>0</v>
      </c>
    </row>
    <row r="1109" spans="2:3">
      <c r="B1109" s="40">
        <v>1108</v>
      </c>
      <c r="C1109" s="40">
        <f t="shared" si="17"/>
        <v>0</v>
      </c>
    </row>
    <row r="1110" spans="2:3">
      <c r="B1110" s="40">
        <v>1109</v>
      </c>
      <c r="C1110" s="40">
        <f t="shared" si="17"/>
        <v>0</v>
      </c>
    </row>
    <row r="1111" spans="2:3">
      <c r="B1111" s="40">
        <v>1110</v>
      </c>
      <c r="C1111" s="40">
        <f t="shared" si="17"/>
        <v>0</v>
      </c>
    </row>
    <row r="1112" spans="2:3">
      <c r="B1112" s="40">
        <v>1111</v>
      </c>
      <c r="C1112" s="40">
        <f t="shared" si="17"/>
        <v>0</v>
      </c>
    </row>
    <row r="1113" spans="2:3">
      <c r="B1113" s="40">
        <v>1112</v>
      </c>
      <c r="C1113" s="40">
        <f t="shared" si="17"/>
        <v>0</v>
      </c>
    </row>
    <row r="1114" spans="2:3">
      <c r="B1114" s="40">
        <v>1113</v>
      </c>
      <c r="C1114" s="40">
        <f t="shared" si="17"/>
        <v>0</v>
      </c>
    </row>
    <row r="1115" spans="2:3">
      <c r="B1115" s="40">
        <v>1114</v>
      </c>
      <c r="C1115" s="40">
        <f t="shared" si="17"/>
        <v>0</v>
      </c>
    </row>
    <row r="1116" spans="2:3">
      <c r="B1116" s="40">
        <v>1115</v>
      </c>
      <c r="C1116" s="40">
        <f t="shared" si="17"/>
        <v>0</v>
      </c>
    </row>
    <row r="1117" spans="2:3">
      <c r="B1117" s="40">
        <v>1116</v>
      </c>
      <c r="C1117" s="40">
        <f t="shared" si="17"/>
        <v>0</v>
      </c>
    </row>
    <row r="1118" spans="2:3">
      <c r="B1118" s="40">
        <v>1117</v>
      </c>
      <c r="C1118" s="40">
        <f t="shared" si="17"/>
        <v>0</v>
      </c>
    </row>
    <row r="1119" spans="2:3">
      <c r="B1119" s="40">
        <v>1118</v>
      </c>
      <c r="C1119" s="40">
        <f t="shared" si="17"/>
        <v>0</v>
      </c>
    </row>
    <row r="1120" spans="2:3">
      <c r="B1120" s="40">
        <v>1119</v>
      </c>
      <c r="C1120" s="40">
        <f t="shared" si="17"/>
        <v>0</v>
      </c>
    </row>
    <row r="1121" spans="2:3">
      <c r="B1121" s="40">
        <v>1120</v>
      </c>
      <c r="C1121" s="40">
        <f t="shared" si="17"/>
        <v>0</v>
      </c>
    </row>
    <row r="1122" spans="2:3">
      <c r="B1122" s="40">
        <v>1121</v>
      </c>
      <c r="C1122" s="40">
        <f t="shared" si="17"/>
        <v>0</v>
      </c>
    </row>
    <row r="1123" spans="2:3">
      <c r="B1123" s="40">
        <v>1122</v>
      </c>
      <c r="C1123" s="40">
        <f t="shared" si="17"/>
        <v>0</v>
      </c>
    </row>
    <row r="1124" spans="2:3">
      <c r="B1124" s="40">
        <v>1123</v>
      </c>
      <c r="C1124" s="40">
        <f t="shared" si="17"/>
        <v>0</v>
      </c>
    </row>
    <row r="1125" spans="2:3">
      <c r="B1125" s="40">
        <v>1124</v>
      </c>
      <c r="C1125" s="40">
        <f t="shared" si="17"/>
        <v>0</v>
      </c>
    </row>
  </sheetData>
  <phoneticPr fontId="47" type="noConversion"/>
  <conditionalFormatting sqref="A2:A8">
    <cfRule type="duplicateValues" dxfId="212" priority="3"/>
    <cfRule type="duplicateValues" dxfId="211" priority="4"/>
    <cfRule type="duplicateValues" dxfId="210" priority="5" stopIfTrue="1"/>
    <cfRule type="duplicateValues" dxfId="209" priority="6" stopIfTrue="1"/>
    <cfRule type="duplicateValues" dxfId="208" priority="7" stopIfTrue="1"/>
    <cfRule type="duplicateValues" dxfId="207" priority="8" stopIfTrue="1"/>
    <cfRule type="duplicateValues" dxfId="206" priority="9" stopIfTrue="1"/>
    <cfRule type="duplicateValues" dxfId="205" priority="10" stopIfTrue="1"/>
    <cfRule type="duplicateValues" dxfId="204" priority="11" stopIfTrue="1"/>
  </conditionalFormatting>
  <conditionalFormatting sqref="A2:A9">
    <cfRule type="duplicateValues" dxfId="203" priority="1"/>
    <cfRule type="duplicateValues" dxfId="202" priority="2"/>
  </conditionalFormatting>
  <pageMargins left="0.69930555555555596" right="0.69930555555555596" top="0.75" bottom="0.75" header="0.3" footer="0.3"/>
</worksheet>
</file>

<file path=xl/worksheets/sheet7.xml><?xml version="1.0" encoding="utf-8"?>
<worksheet xmlns="http://schemas.openxmlformats.org/spreadsheetml/2006/main" xmlns:r="http://schemas.openxmlformats.org/officeDocument/2006/relationships">
  <dimension ref="A1:P639"/>
  <sheetViews>
    <sheetView topLeftCell="E1" workbookViewId="0">
      <selection activeCell="K12" sqref="K12"/>
    </sheetView>
  </sheetViews>
  <sheetFormatPr defaultColWidth="9" defaultRowHeight="13.5"/>
  <cols>
    <col min="1" max="2" width="11.375" style="4" customWidth="1"/>
    <col min="3" max="3" width="8.875" style="5" customWidth="1"/>
    <col min="4" max="4" width="21" style="6" customWidth="1"/>
    <col min="5" max="5" width="17.375" style="7" customWidth="1"/>
    <col min="6" max="6" width="13.125" style="8" customWidth="1"/>
    <col min="7" max="7" width="42.25" style="9" customWidth="1"/>
    <col min="8" max="8" width="19.75" style="10" customWidth="1"/>
    <col min="9" max="9" width="10.25" style="10" customWidth="1"/>
    <col min="10" max="10" width="9.125" style="10"/>
    <col min="11" max="11" width="9.625" style="4" customWidth="1"/>
    <col min="12" max="12" width="12.625" style="10" customWidth="1"/>
    <col min="13" max="13" width="58.625" style="10" customWidth="1"/>
    <col min="14" max="14" width="14.25" style="6" customWidth="1"/>
    <col min="15" max="15" width="7" style="10" customWidth="1"/>
    <col min="16" max="16" width="10.125" style="10" customWidth="1"/>
    <col min="17" max="257" width="9.125" style="10"/>
    <col min="258" max="258" width="17.375" style="10" customWidth="1"/>
    <col min="259" max="259" width="11.75" style="10" customWidth="1"/>
    <col min="260" max="260" width="18.875" style="10" customWidth="1"/>
    <col min="261" max="263" width="9.125" style="10"/>
    <col min="264" max="264" width="83.25" style="10" customWidth="1"/>
    <col min="265" max="265" width="26.375" style="10" customWidth="1"/>
    <col min="266" max="266" width="6.625" style="10" customWidth="1"/>
    <col min="267" max="268" width="9.125" style="10"/>
    <col min="269" max="269" width="17.875" style="10" customWidth="1"/>
    <col min="270" max="513" width="9.125" style="10"/>
    <col min="514" max="514" width="17.375" style="10" customWidth="1"/>
    <col min="515" max="515" width="11.75" style="10" customWidth="1"/>
    <col min="516" max="516" width="18.875" style="10" customWidth="1"/>
    <col min="517" max="519" width="9.125" style="10"/>
    <col min="520" max="520" width="83.25" style="10" customWidth="1"/>
    <col min="521" max="521" width="26.375" style="10" customWidth="1"/>
    <col min="522" max="522" width="6.625" style="10" customWidth="1"/>
    <col min="523" max="524" width="9.125" style="10"/>
    <col min="525" max="525" width="17.875" style="10" customWidth="1"/>
    <col min="526" max="769" width="9.125" style="10"/>
    <col min="770" max="770" width="17.375" style="10" customWidth="1"/>
    <col min="771" max="771" width="11.75" style="10" customWidth="1"/>
    <col min="772" max="772" width="18.875" style="10" customWidth="1"/>
    <col min="773" max="775" width="9.125" style="10"/>
    <col min="776" max="776" width="83.25" style="10" customWidth="1"/>
    <col min="777" max="777" width="26.375" style="10" customWidth="1"/>
    <col min="778" max="778" width="6.625" style="10" customWidth="1"/>
    <col min="779" max="780" width="9.125" style="10"/>
    <col min="781" max="781" width="17.875" style="10" customWidth="1"/>
    <col min="782" max="1025" width="9.125" style="10"/>
    <col min="1026" max="1026" width="17.375" style="10" customWidth="1"/>
    <col min="1027" max="1027" width="11.75" style="10" customWidth="1"/>
    <col min="1028" max="1028" width="18.875" style="10" customWidth="1"/>
    <col min="1029" max="1031" width="9.125" style="10"/>
    <col min="1032" max="1032" width="83.25" style="10" customWidth="1"/>
    <col min="1033" max="1033" width="26.375" style="10" customWidth="1"/>
    <col min="1034" max="1034" width="6.625" style="10" customWidth="1"/>
    <col min="1035" max="1036" width="9.125" style="10"/>
    <col min="1037" max="1037" width="17.875" style="10" customWidth="1"/>
    <col min="1038" max="1281" width="9.125" style="10"/>
    <col min="1282" max="1282" width="17.375" style="10" customWidth="1"/>
    <col min="1283" max="1283" width="11.75" style="10" customWidth="1"/>
    <col min="1284" max="1284" width="18.875" style="10" customWidth="1"/>
    <col min="1285" max="1287" width="9.125" style="10"/>
    <col min="1288" max="1288" width="83.25" style="10" customWidth="1"/>
    <col min="1289" max="1289" width="26.375" style="10" customWidth="1"/>
    <col min="1290" max="1290" width="6.625" style="10" customWidth="1"/>
    <col min="1291" max="1292" width="9.125" style="10"/>
    <col min="1293" max="1293" width="17.875" style="10" customWidth="1"/>
    <col min="1294" max="1537" width="9.125" style="10"/>
    <col min="1538" max="1538" width="17.375" style="10" customWidth="1"/>
    <col min="1539" max="1539" width="11.75" style="10" customWidth="1"/>
    <col min="1540" max="1540" width="18.875" style="10" customWidth="1"/>
    <col min="1541" max="1543" width="9.125" style="10"/>
    <col min="1544" max="1544" width="83.25" style="10" customWidth="1"/>
    <col min="1545" max="1545" width="26.375" style="10" customWidth="1"/>
    <col min="1546" max="1546" width="6.625" style="10" customWidth="1"/>
    <col min="1547" max="1548" width="9.125" style="10"/>
    <col min="1549" max="1549" width="17.875" style="10" customWidth="1"/>
    <col min="1550" max="1793" width="9.125" style="10"/>
    <col min="1794" max="1794" width="17.375" style="10" customWidth="1"/>
    <col min="1795" max="1795" width="11.75" style="10" customWidth="1"/>
    <col min="1796" max="1796" width="18.875" style="10" customWidth="1"/>
    <col min="1797" max="1799" width="9.125" style="10"/>
    <col min="1800" max="1800" width="83.25" style="10" customWidth="1"/>
    <col min="1801" max="1801" width="26.375" style="10" customWidth="1"/>
    <col min="1802" max="1802" width="6.625" style="10" customWidth="1"/>
    <col min="1803" max="1804" width="9.125" style="10"/>
    <col min="1805" max="1805" width="17.875" style="10" customWidth="1"/>
    <col min="1806" max="2049" width="9.125" style="10"/>
    <col min="2050" max="2050" width="17.375" style="10" customWidth="1"/>
    <col min="2051" max="2051" width="11.75" style="10" customWidth="1"/>
    <col min="2052" max="2052" width="18.875" style="10" customWidth="1"/>
    <col min="2053" max="2055" width="9.125" style="10"/>
    <col min="2056" max="2056" width="83.25" style="10" customWidth="1"/>
    <col min="2057" max="2057" width="26.375" style="10" customWidth="1"/>
    <col min="2058" max="2058" width="6.625" style="10" customWidth="1"/>
    <col min="2059" max="2060" width="9.125" style="10"/>
    <col min="2061" max="2061" width="17.875" style="10" customWidth="1"/>
    <col min="2062" max="2305" width="9.125" style="10"/>
    <col min="2306" max="2306" width="17.375" style="10" customWidth="1"/>
    <col min="2307" max="2307" width="11.75" style="10" customWidth="1"/>
    <col min="2308" max="2308" width="18.875" style="10" customWidth="1"/>
    <col min="2309" max="2311" width="9.125" style="10"/>
    <col min="2312" max="2312" width="83.25" style="10" customWidth="1"/>
    <col min="2313" max="2313" width="26.375" style="10" customWidth="1"/>
    <col min="2314" max="2314" width="6.625" style="10" customWidth="1"/>
    <col min="2315" max="2316" width="9.125" style="10"/>
    <col min="2317" max="2317" width="17.875" style="10" customWidth="1"/>
    <col min="2318" max="2561" width="9.125" style="10"/>
    <col min="2562" max="2562" width="17.375" style="10" customWidth="1"/>
    <col min="2563" max="2563" width="11.75" style="10" customWidth="1"/>
    <col min="2564" max="2564" width="18.875" style="10" customWidth="1"/>
    <col min="2565" max="2567" width="9.125" style="10"/>
    <col min="2568" max="2568" width="83.25" style="10" customWidth="1"/>
    <col min="2569" max="2569" width="26.375" style="10" customWidth="1"/>
    <col min="2570" max="2570" width="6.625" style="10" customWidth="1"/>
    <col min="2571" max="2572" width="9.125" style="10"/>
    <col min="2573" max="2573" width="17.875" style="10" customWidth="1"/>
    <col min="2574" max="2817" width="9.125" style="10"/>
    <col min="2818" max="2818" width="17.375" style="10" customWidth="1"/>
    <col min="2819" max="2819" width="11.75" style="10" customWidth="1"/>
    <col min="2820" max="2820" width="18.875" style="10" customWidth="1"/>
    <col min="2821" max="2823" width="9.125" style="10"/>
    <col min="2824" max="2824" width="83.25" style="10" customWidth="1"/>
    <col min="2825" max="2825" width="26.375" style="10" customWidth="1"/>
    <col min="2826" max="2826" width="6.625" style="10" customWidth="1"/>
    <col min="2827" max="2828" width="9.125" style="10"/>
    <col min="2829" max="2829" width="17.875" style="10" customWidth="1"/>
    <col min="2830" max="3073" width="9.125" style="10"/>
    <col min="3074" max="3074" width="17.375" style="10" customWidth="1"/>
    <col min="3075" max="3075" width="11.75" style="10" customWidth="1"/>
    <col min="3076" max="3076" width="18.875" style="10" customWidth="1"/>
    <col min="3077" max="3079" width="9.125" style="10"/>
    <col min="3080" max="3080" width="83.25" style="10" customWidth="1"/>
    <col min="3081" max="3081" width="26.375" style="10" customWidth="1"/>
    <col min="3082" max="3082" width="6.625" style="10" customWidth="1"/>
    <col min="3083" max="3084" width="9.125" style="10"/>
    <col min="3085" max="3085" width="17.875" style="10" customWidth="1"/>
    <col min="3086" max="3329" width="9.125" style="10"/>
    <col min="3330" max="3330" width="17.375" style="10" customWidth="1"/>
    <col min="3331" max="3331" width="11.75" style="10" customWidth="1"/>
    <col min="3332" max="3332" width="18.875" style="10" customWidth="1"/>
    <col min="3333" max="3335" width="9.125" style="10"/>
    <col min="3336" max="3336" width="83.25" style="10" customWidth="1"/>
    <col min="3337" max="3337" width="26.375" style="10" customWidth="1"/>
    <col min="3338" max="3338" width="6.625" style="10" customWidth="1"/>
    <col min="3339" max="3340" width="9.125" style="10"/>
    <col min="3341" max="3341" width="17.875" style="10" customWidth="1"/>
    <col min="3342" max="3585" width="9.125" style="10"/>
    <col min="3586" max="3586" width="17.375" style="10" customWidth="1"/>
    <col min="3587" max="3587" width="11.75" style="10" customWidth="1"/>
    <col min="3588" max="3588" width="18.875" style="10" customWidth="1"/>
    <col min="3589" max="3591" width="9.125" style="10"/>
    <col min="3592" max="3592" width="83.25" style="10" customWidth="1"/>
    <col min="3593" max="3593" width="26.375" style="10" customWidth="1"/>
    <col min="3594" max="3594" width="6.625" style="10" customWidth="1"/>
    <col min="3595" max="3596" width="9.125" style="10"/>
    <col min="3597" max="3597" width="17.875" style="10" customWidth="1"/>
    <col min="3598" max="3841" width="9.125" style="10"/>
    <col min="3842" max="3842" width="17.375" style="10" customWidth="1"/>
    <col min="3843" max="3843" width="11.75" style="10" customWidth="1"/>
    <col min="3844" max="3844" width="18.875" style="10" customWidth="1"/>
    <col min="3845" max="3847" width="9.125" style="10"/>
    <col min="3848" max="3848" width="83.25" style="10" customWidth="1"/>
    <col min="3849" max="3849" width="26.375" style="10" customWidth="1"/>
    <col min="3850" max="3850" width="6.625" style="10" customWidth="1"/>
    <col min="3851" max="3852" width="9.125" style="10"/>
    <col min="3853" max="3853" width="17.875" style="10" customWidth="1"/>
    <col min="3854" max="4097" width="9.125" style="10"/>
    <col min="4098" max="4098" width="17.375" style="10" customWidth="1"/>
    <col min="4099" max="4099" width="11.75" style="10" customWidth="1"/>
    <col min="4100" max="4100" width="18.875" style="10" customWidth="1"/>
    <col min="4101" max="4103" width="9.125" style="10"/>
    <col min="4104" max="4104" width="83.25" style="10" customWidth="1"/>
    <col min="4105" max="4105" width="26.375" style="10" customWidth="1"/>
    <col min="4106" max="4106" width="6.625" style="10" customWidth="1"/>
    <col min="4107" max="4108" width="9.125" style="10"/>
    <col min="4109" max="4109" width="17.875" style="10" customWidth="1"/>
    <col min="4110" max="4353" width="9.125" style="10"/>
    <col min="4354" max="4354" width="17.375" style="10" customWidth="1"/>
    <col min="4355" max="4355" width="11.75" style="10" customWidth="1"/>
    <col min="4356" max="4356" width="18.875" style="10" customWidth="1"/>
    <col min="4357" max="4359" width="9.125" style="10"/>
    <col min="4360" max="4360" width="83.25" style="10" customWidth="1"/>
    <col min="4361" max="4361" width="26.375" style="10" customWidth="1"/>
    <col min="4362" max="4362" width="6.625" style="10" customWidth="1"/>
    <col min="4363" max="4364" width="9.125" style="10"/>
    <col min="4365" max="4365" width="17.875" style="10" customWidth="1"/>
    <col min="4366" max="4609" width="9.125" style="10"/>
    <col min="4610" max="4610" width="17.375" style="10" customWidth="1"/>
    <col min="4611" max="4611" width="11.75" style="10" customWidth="1"/>
    <col min="4612" max="4612" width="18.875" style="10" customWidth="1"/>
    <col min="4613" max="4615" width="9.125" style="10"/>
    <col min="4616" max="4616" width="83.25" style="10" customWidth="1"/>
    <col min="4617" max="4617" width="26.375" style="10" customWidth="1"/>
    <col min="4618" max="4618" width="6.625" style="10" customWidth="1"/>
    <col min="4619" max="4620" width="9.125" style="10"/>
    <col min="4621" max="4621" width="17.875" style="10" customWidth="1"/>
    <col min="4622" max="4865" width="9.125" style="10"/>
    <col min="4866" max="4866" width="17.375" style="10" customWidth="1"/>
    <col min="4867" max="4867" width="11.75" style="10" customWidth="1"/>
    <col min="4868" max="4868" width="18.875" style="10" customWidth="1"/>
    <col min="4869" max="4871" width="9.125" style="10"/>
    <col min="4872" max="4872" width="83.25" style="10" customWidth="1"/>
    <col min="4873" max="4873" width="26.375" style="10" customWidth="1"/>
    <col min="4874" max="4874" width="6.625" style="10" customWidth="1"/>
    <col min="4875" max="4876" width="9.125" style="10"/>
    <col min="4877" max="4877" width="17.875" style="10" customWidth="1"/>
    <col min="4878" max="5121" width="9.125" style="10"/>
    <col min="5122" max="5122" width="17.375" style="10" customWidth="1"/>
    <col min="5123" max="5123" width="11.75" style="10" customWidth="1"/>
    <col min="5124" max="5124" width="18.875" style="10" customWidth="1"/>
    <col min="5125" max="5127" width="9.125" style="10"/>
    <col min="5128" max="5128" width="83.25" style="10" customWidth="1"/>
    <col min="5129" max="5129" width="26.375" style="10" customWidth="1"/>
    <col min="5130" max="5130" width="6.625" style="10" customWidth="1"/>
    <col min="5131" max="5132" width="9.125" style="10"/>
    <col min="5133" max="5133" width="17.875" style="10" customWidth="1"/>
    <col min="5134" max="5377" width="9.125" style="10"/>
    <col min="5378" max="5378" width="17.375" style="10" customWidth="1"/>
    <col min="5379" max="5379" width="11.75" style="10" customWidth="1"/>
    <col min="5380" max="5380" width="18.875" style="10" customWidth="1"/>
    <col min="5381" max="5383" width="9.125" style="10"/>
    <col min="5384" max="5384" width="83.25" style="10" customWidth="1"/>
    <col min="5385" max="5385" width="26.375" style="10" customWidth="1"/>
    <col min="5386" max="5386" width="6.625" style="10" customWidth="1"/>
    <col min="5387" max="5388" width="9.125" style="10"/>
    <col min="5389" max="5389" width="17.875" style="10" customWidth="1"/>
    <col min="5390" max="5633" width="9.125" style="10"/>
    <col min="5634" max="5634" width="17.375" style="10" customWidth="1"/>
    <col min="5635" max="5635" width="11.75" style="10" customWidth="1"/>
    <col min="5636" max="5636" width="18.875" style="10" customWidth="1"/>
    <col min="5637" max="5639" width="9.125" style="10"/>
    <col min="5640" max="5640" width="83.25" style="10" customWidth="1"/>
    <col min="5641" max="5641" width="26.375" style="10" customWidth="1"/>
    <col min="5642" max="5642" width="6.625" style="10" customWidth="1"/>
    <col min="5643" max="5644" width="9.125" style="10"/>
    <col min="5645" max="5645" width="17.875" style="10" customWidth="1"/>
    <col min="5646" max="5889" width="9.125" style="10"/>
    <col min="5890" max="5890" width="17.375" style="10" customWidth="1"/>
    <col min="5891" max="5891" width="11.75" style="10" customWidth="1"/>
    <col min="5892" max="5892" width="18.875" style="10" customWidth="1"/>
    <col min="5893" max="5895" width="9.125" style="10"/>
    <col min="5896" max="5896" width="83.25" style="10" customWidth="1"/>
    <col min="5897" max="5897" width="26.375" style="10" customWidth="1"/>
    <col min="5898" max="5898" width="6.625" style="10" customWidth="1"/>
    <col min="5899" max="5900" width="9.125" style="10"/>
    <col min="5901" max="5901" width="17.875" style="10" customWidth="1"/>
    <col min="5902" max="6145" width="9.125" style="10"/>
    <col min="6146" max="6146" width="17.375" style="10" customWidth="1"/>
    <col min="6147" max="6147" width="11.75" style="10" customWidth="1"/>
    <col min="6148" max="6148" width="18.875" style="10" customWidth="1"/>
    <col min="6149" max="6151" width="9.125" style="10"/>
    <col min="6152" max="6152" width="83.25" style="10" customWidth="1"/>
    <col min="6153" max="6153" width="26.375" style="10" customWidth="1"/>
    <col min="6154" max="6154" width="6.625" style="10" customWidth="1"/>
    <col min="6155" max="6156" width="9.125" style="10"/>
    <col min="6157" max="6157" width="17.875" style="10" customWidth="1"/>
    <col min="6158" max="6401" width="9.125" style="10"/>
    <col min="6402" max="6402" width="17.375" style="10" customWidth="1"/>
    <col min="6403" max="6403" width="11.75" style="10" customWidth="1"/>
    <col min="6404" max="6404" width="18.875" style="10" customWidth="1"/>
    <col min="6405" max="6407" width="9.125" style="10"/>
    <col min="6408" max="6408" width="83.25" style="10" customWidth="1"/>
    <col min="6409" max="6409" width="26.375" style="10" customWidth="1"/>
    <col min="6410" max="6410" width="6.625" style="10" customWidth="1"/>
    <col min="6411" max="6412" width="9.125" style="10"/>
    <col min="6413" max="6413" width="17.875" style="10" customWidth="1"/>
    <col min="6414" max="6657" width="9.125" style="10"/>
    <col min="6658" max="6658" width="17.375" style="10" customWidth="1"/>
    <col min="6659" max="6659" width="11.75" style="10" customWidth="1"/>
    <col min="6660" max="6660" width="18.875" style="10" customWidth="1"/>
    <col min="6661" max="6663" width="9.125" style="10"/>
    <col min="6664" max="6664" width="83.25" style="10" customWidth="1"/>
    <col min="6665" max="6665" width="26.375" style="10" customWidth="1"/>
    <col min="6666" max="6666" width="6.625" style="10" customWidth="1"/>
    <col min="6667" max="6668" width="9.125" style="10"/>
    <col min="6669" max="6669" width="17.875" style="10" customWidth="1"/>
    <col min="6670" max="6913" width="9.125" style="10"/>
    <col min="6914" max="6914" width="17.375" style="10" customWidth="1"/>
    <col min="6915" max="6915" width="11.75" style="10" customWidth="1"/>
    <col min="6916" max="6916" width="18.875" style="10" customWidth="1"/>
    <col min="6917" max="6919" width="9.125" style="10"/>
    <col min="6920" max="6920" width="83.25" style="10" customWidth="1"/>
    <col min="6921" max="6921" width="26.375" style="10" customWidth="1"/>
    <col min="6922" max="6922" width="6.625" style="10" customWidth="1"/>
    <col min="6923" max="6924" width="9.125" style="10"/>
    <col min="6925" max="6925" width="17.875" style="10" customWidth="1"/>
    <col min="6926" max="7169" width="9.125" style="10"/>
    <col min="7170" max="7170" width="17.375" style="10" customWidth="1"/>
    <col min="7171" max="7171" width="11.75" style="10" customWidth="1"/>
    <col min="7172" max="7172" width="18.875" style="10" customWidth="1"/>
    <col min="7173" max="7175" width="9.125" style="10"/>
    <col min="7176" max="7176" width="83.25" style="10" customWidth="1"/>
    <col min="7177" max="7177" width="26.375" style="10" customWidth="1"/>
    <col min="7178" max="7178" width="6.625" style="10" customWidth="1"/>
    <col min="7179" max="7180" width="9.125" style="10"/>
    <col min="7181" max="7181" width="17.875" style="10" customWidth="1"/>
    <col min="7182" max="7425" width="9.125" style="10"/>
    <col min="7426" max="7426" width="17.375" style="10" customWidth="1"/>
    <col min="7427" max="7427" width="11.75" style="10" customWidth="1"/>
    <col min="7428" max="7428" width="18.875" style="10" customWidth="1"/>
    <col min="7429" max="7431" width="9.125" style="10"/>
    <col min="7432" max="7432" width="83.25" style="10" customWidth="1"/>
    <col min="7433" max="7433" width="26.375" style="10" customWidth="1"/>
    <col min="7434" max="7434" width="6.625" style="10" customWidth="1"/>
    <col min="7435" max="7436" width="9.125" style="10"/>
    <col min="7437" max="7437" width="17.875" style="10" customWidth="1"/>
    <col min="7438" max="7681" width="9.125" style="10"/>
    <col min="7682" max="7682" width="17.375" style="10" customWidth="1"/>
    <col min="7683" max="7683" width="11.75" style="10" customWidth="1"/>
    <col min="7684" max="7684" width="18.875" style="10" customWidth="1"/>
    <col min="7685" max="7687" width="9.125" style="10"/>
    <col min="7688" max="7688" width="83.25" style="10" customWidth="1"/>
    <col min="7689" max="7689" width="26.375" style="10" customWidth="1"/>
    <col min="7690" max="7690" width="6.625" style="10" customWidth="1"/>
    <col min="7691" max="7692" width="9.125" style="10"/>
    <col min="7693" max="7693" width="17.875" style="10" customWidth="1"/>
    <col min="7694" max="7937" width="9.125" style="10"/>
    <col min="7938" max="7938" width="17.375" style="10" customWidth="1"/>
    <col min="7939" max="7939" width="11.75" style="10" customWidth="1"/>
    <col min="7940" max="7940" width="18.875" style="10" customWidth="1"/>
    <col min="7941" max="7943" width="9.125" style="10"/>
    <col min="7944" max="7944" width="83.25" style="10" customWidth="1"/>
    <col min="7945" max="7945" width="26.375" style="10" customWidth="1"/>
    <col min="7946" max="7946" width="6.625" style="10" customWidth="1"/>
    <col min="7947" max="7948" width="9.125" style="10"/>
    <col min="7949" max="7949" width="17.875" style="10" customWidth="1"/>
    <col min="7950" max="8193" width="9.125" style="10"/>
    <col min="8194" max="8194" width="17.375" style="10" customWidth="1"/>
    <col min="8195" max="8195" width="11.75" style="10" customWidth="1"/>
    <col min="8196" max="8196" width="18.875" style="10" customWidth="1"/>
    <col min="8197" max="8199" width="9.125" style="10"/>
    <col min="8200" max="8200" width="83.25" style="10" customWidth="1"/>
    <col min="8201" max="8201" width="26.375" style="10" customWidth="1"/>
    <col min="8202" max="8202" width="6.625" style="10" customWidth="1"/>
    <col min="8203" max="8204" width="9.125" style="10"/>
    <col min="8205" max="8205" width="17.875" style="10" customWidth="1"/>
    <col min="8206" max="8449" width="9.125" style="10"/>
    <col min="8450" max="8450" width="17.375" style="10" customWidth="1"/>
    <col min="8451" max="8451" width="11.75" style="10" customWidth="1"/>
    <col min="8452" max="8452" width="18.875" style="10" customWidth="1"/>
    <col min="8453" max="8455" width="9.125" style="10"/>
    <col min="8456" max="8456" width="83.25" style="10" customWidth="1"/>
    <col min="8457" max="8457" width="26.375" style="10" customWidth="1"/>
    <col min="8458" max="8458" width="6.625" style="10" customWidth="1"/>
    <col min="8459" max="8460" width="9.125" style="10"/>
    <col min="8461" max="8461" width="17.875" style="10" customWidth="1"/>
    <col min="8462" max="8705" width="9.125" style="10"/>
    <col min="8706" max="8706" width="17.375" style="10" customWidth="1"/>
    <col min="8707" max="8707" width="11.75" style="10" customWidth="1"/>
    <col min="8708" max="8708" width="18.875" style="10" customWidth="1"/>
    <col min="8709" max="8711" width="9.125" style="10"/>
    <col min="8712" max="8712" width="83.25" style="10" customWidth="1"/>
    <col min="8713" max="8713" width="26.375" style="10" customWidth="1"/>
    <col min="8714" max="8714" width="6.625" style="10" customWidth="1"/>
    <col min="8715" max="8716" width="9.125" style="10"/>
    <col min="8717" max="8717" width="17.875" style="10" customWidth="1"/>
    <col min="8718" max="8961" width="9.125" style="10"/>
    <col min="8962" max="8962" width="17.375" style="10" customWidth="1"/>
    <col min="8963" max="8963" width="11.75" style="10" customWidth="1"/>
    <col min="8964" max="8964" width="18.875" style="10" customWidth="1"/>
    <col min="8965" max="8967" width="9.125" style="10"/>
    <col min="8968" max="8968" width="83.25" style="10" customWidth="1"/>
    <col min="8969" max="8969" width="26.375" style="10" customWidth="1"/>
    <col min="8970" max="8970" width="6.625" style="10" customWidth="1"/>
    <col min="8971" max="8972" width="9.125" style="10"/>
    <col min="8973" max="8973" width="17.875" style="10" customWidth="1"/>
    <col min="8974" max="9217" width="9.125" style="10"/>
    <col min="9218" max="9218" width="17.375" style="10" customWidth="1"/>
    <col min="9219" max="9219" width="11.75" style="10" customWidth="1"/>
    <col min="9220" max="9220" width="18.875" style="10" customWidth="1"/>
    <col min="9221" max="9223" width="9.125" style="10"/>
    <col min="9224" max="9224" width="83.25" style="10" customWidth="1"/>
    <col min="9225" max="9225" width="26.375" style="10" customWidth="1"/>
    <col min="9226" max="9226" width="6.625" style="10" customWidth="1"/>
    <col min="9227" max="9228" width="9.125" style="10"/>
    <col min="9229" max="9229" width="17.875" style="10" customWidth="1"/>
    <col min="9230" max="9473" width="9.125" style="10"/>
    <col min="9474" max="9474" width="17.375" style="10" customWidth="1"/>
    <col min="9475" max="9475" width="11.75" style="10" customWidth="1"/>
    <col min="9476" max="9476" width="18.875" style="10" customWidth="1"/>
    <col min="9477" max="9479" width="9.125" style="10"/>
    <col min="9480" max="9480" width="83.25" style="10" customWidth="1"/>
    <col min="9481" max="9481" width="26.375" style="10" customWidth="1"/>
    <col min="9482" max="9482" width="6.625" style="10" customWidth="1"/>
    <col min="9483" max="9484" width="9.125" style="10"/>
    <col min="9485" max="9485" width="17.875" style="10" customWidth="1"/>
    <col min="9486" max="9729" width="9.125" style="10"/>
    <col min="9730" max="9730" width="17.375" style="10" customWidth="1"/>
    <col min="9731" max="9731" width="11.75" style="10" customWidth="1"/>
    <col min="9732" max="9732" width="18.875" style="10" customWidth="1"/>
    <col min="9733" max="9735" width="9.125" style="10"/>
    <col min="9736" max="9736" width="83.25" style="10" customWidth="1"/>
    <col min="9737" max="9737" width="26.375" style="10" customWidth="1"/>
    <col min="9738" max="9738" width="6.625" style="10" customWidth="1"/>
    <col min="9739" max="9740" width="9.125" style="10"/>
    <col min="9741" max="9741" width="17.875" style="10" customWidth="1"/>
    <col min="9742" max="9985" width="9.125" style="10"/>
    <col min="9986" max="9986" width="17.375" style="10" customWidth="1"/>
    <col min="9987" max="9987" width="11.75" style="10" customWidth="1"/>
    <col min="9988" max="9988" width="18.875" style="10" customWidth="1"/>
    <col min="9989" max="9991" width="9.125" style="10"/>
    <col min="9992" max="9992" width="83.25" style="10" customWidth="1"/>
    <col min="9993" max="9993" width="26.375" style="10" customWidth="1"/>
    <col min="9994" max="9994" width="6.625" style="10" customWidth="1"/>
    <col min="9995" max="9996" width="9.125" style="10"/>
    <col min="9997" max="9997" width="17.875" style="10" customWidth="1"/>
    <col min="9998" max="10241" width="9.125" style="10"/>
    <col min="10242" max="10242" width="17.375" style="10" customWidth="1"/>
    <col min="10243" max="10243" width="11.75" style="10" customWidth="1"/>
    <col min="10244" max="10244" width="18.875" style="10" customWidth="1"/>
    <col min="10245" max="10247" width="9.125" style="10"/>
    <col min="10248" max="10248" width="83.25" style="10" customWidth="1"/>
    <col min="10249" max="10249" width="26.375" style="10" customWidth="1"/>
    <col min="10250" max="10250" width="6.625" style="10" customWidth="1"/>
    <col min="10251" max="10252" width="9.125" style="10"/>
    <col min="10253" max="10253" width="17.875" style="10" customWidth="1"/>
    <col min="10254" max="10497" width="9.125" style="10"/>
    <col min="10498" max="10498" width="17.375" style="10" customWidth="1"/>
    <col min="10499" max="10499" width="11.75" style="10" customWidth="1"/>
    <col min="10500" max="10500" width="18.875" style="10" customWidth="1"/>
    <col min="10501" max="10503" width="9.125" style="10"/>
    <col min="10504" max="10504" width="83.25" style="10" customWidth="1"/>
    <col min="10505" max="10505" width="26.375" style="10" customWidth="1"/>
    <col min="10506" max="10506" width="6.625" style="10" customWidth="1"/>
    <col min="10507" max="10508" width="9.125" style="10"/>
    <col min="10509" max="10509" width="17.875" style="10" customWidth="1"/>
    <col min="10510" max="10753" width="9.125" style="10"/>
    <col min="10754" max="10754" width="17.375" style="10" customWidth="1"/>
    <col min="10755" max="10755" width="11.75" style="10" customWidth="1"/>
    <col min="10756" max="10756" width="18.875" style="10" customWidth="1"/>
    <col min="10757" max="10759" width="9.125" style="10"/>
    <col min="10760" max="10760" width="83.25" style="10" customWidth="1"/>
    <col min="10761" max="10761" width="26.375" style="10" customWidth="1"/>
    <col min="10762" max="10762" width="6.625" style="10" customWidth="1"/>
    <col min="10763" max="10764" width="9.125" style="10"/>
    <col min="10765" max="10765" width="17.875" style="10" customWidth="1"/>
    <col min="10766" max="11009" width="9.125" style="10"/>
    <col min="11010" max="11010" width="17.375" style="10" customWidth="1"/>
    <col min="11011" max="11011" width="11.75" style="10" customWidth="1"/>
    <col min="11012" max="11012" width="18.875" style="10" customWidth="1"/>
    <col min="11013" max="11015" width="9.125" style="10"/>
    <col min="11016" max="11016" width="83.25" style="10" customWidth="1"/>
    <col min="11017" max="11017" width="26.375" style="10" customWidth="1"/>
    <col min="11018" max="11018" width="6.625" style="10" customWidth="1"/>
    <col min="11019" max="11020" width="9.125" style="10"/>
    <col min="11021" max="11021" width="17.875" style="10" customWidth="1"/>
    <col min="11022" max="11265" width="9.125" style="10"/>
    <col min="11266" max="11266" width="17.375" style="10" customWidth="1"/>
    <col min="11267" max="11267" width="11.75" style="10" customWidth="1"/>
    <col min="11268" max="11268" width="18.875" style="10" customWidth="1"/>
    <col min="11269" max="11271" width="9.125" style="10"/>
    <col min="11272" max="11272" width="83.25" style="10" customWidth="1"/>
    <col min="11273" max="11273" width="26.375" style="10" customWidth="1"/>
    <col min="11274" max="11274" width="6.625" style="10" customWidth="1"/>
    <col min="11275" max="11276" width="9.125" style="10"/>
    <col min="11277" max="11277" width="17.875" style="10" customWidth="1"/>
    <col min="11278" max="11521" width="9.125" style="10"/>
    <col min="11522" max="11522" width="17.375" style="10" customWidth="1"/>
    <col min="11523" max="11523" width="11.75" style="10" customWidth="1"/>
    <col min="11524" max="11524" width="18.875" style="10" customWidth="1"/>
    <col min="11525" max="11527" width="9.125" style="10"/>
    <col min="11528" max="11528" width="83.25" style="10" customWidth="1"/>
    <col min="11529" max="11529" width="26.375" style="10" customWidth="1"/>
    <col min="11530" max="11530" width="6.625" style="10" customWidth="1"/>
    <col min="11531" max="11532" width="9.125" style="10"/>
    <col min="11533" max="11533" width="17.875" style="10" customWidth="1"/>
    <col min="11534" max="11777" width="9.125" style="10"/>
    <col min="11778" max="11778" width="17.375" style="10" customWidth="1"/>
    <col min="11779" max="11779" width="11.75" style="10" customWidth="1"/>
    <col min="11780" max="11780" width="18.875" style="10" customWidth="1"/>
    <col min="11781" max="11783" width="9.125" style="10"/>
    <col min="11784" max="11784" width="83.25" style="10" customWidth="1"/>
    <col min="11785" max="11785" width="26.375" style="10" customWidth="1"/>
    <col min="11786" max="11786" width="6.625" style="10" customWidth="1"/>
    <col min="11787" max="11788" width="9.125" style="10"/>
    <col min="11789" max="11789" width="17.875" style="10" customWidth="1"/>
    <col min="11790" max="12033" width="9.125" style="10"/>
    <col min="12034" max="12034" width="17.375" style="10" customWidth="1"/>
    <col min="12035" max="12035" width="11.75" style="10" customWidth="1"/>
    <col min="12036" max="12036" width="18.875" style="10" customWidth="1"/>
    <col min="12037" max="12039" width="9.125" style="10"/>
    <col min="12040" max="12040" width="83.25" style="10" customWidth="1"/>
    <col min="12041" max="12041" width="26.375" style="10" customWidth="1"/>
    <col min="12042" max="12042" width="6.625" style="10" customWidth="1"/>
    <col min="12043" max="12044" width="9.125" style="10"/>
    <col min="12045" max="12045" width="17.875" style="10" customWidth="1"/>
    <col min="12046" max="12289" width="9.125" style="10"/>
    <col min="12290" max="12290" width="17.375" style="10" customWidth="1"/>
    <col min="12291" max="12291" width="11.75" style="10" customWidth="1"/>
    <col min="12292" max="12292" width="18.875" style="10" customWidth="1"/>
    <col min="12293" max="12295" width="9.125" style="10"/>
    <col min="12296" max="12296" width="83.25" style="10" customWidth="1"/>
    <col min="12297" max="12297" width="26.375" style="10" customWidth="1"/>
    <col min="12298" max="12298" width="6.625" style="10" customWidth="1"/>
    <col min="12299" max="12300" width="9.125" style="10"/>
    <col min="12301" max="12301" width="17.875" style="10" customWidth="1"/>
    <col min="12302" max="12545" width="9.125" style="10"/>
    <col min="12546" max="12546" width="17.375" style="10" customWidth="1"/>
    <col min="12547" max="12547" width="11.75" style="10" customWidth="1"/>
    <col min="12548" max="12548" width="18.875" style="10" customWidth="1"/>
    <col min="12549" max="12551" width="9.125" style="10"/>
    <col min="12552" max="12552" width="83.25" style="10" customWidth="1"/>
    <col min="12553" max="12553" width="26.375" style="10" customWidth="1"/>
    <col min="12554" max="12554" width="6.625" style="10" customWidth="1"/>
    <col min="12555" max="12556" width="9.125" style="10"/>
    <col min="12557" max="12557" width="17.875" style="10" customWidth="1"/>
    <col min="12558" max="12801" width="9.125" style="10"/>
    <col min="12802" max="12802" width="17.375" style="10" customWidth="1"/>
    <col min="12803" max="12803" width="11.75" style="10" customWidth="1"/>
    <col min="12804" max="12804" width="18.875" style="10" customWidth="1"/>
    <col min="12805" max="12807" width="9.125" style="10"/>
    <col min="12808" max="12808" width="83.25" style="10" customWidth="1"/>
    <col min="12809" max="12809" width="26.375" style="10" customWidth="1"/>
    <col min="12810" max="12810" width="6.625" style="10" customWidth="1"/>
    <col min="12811" max="12812" width="9.125" style="10"/>
    <col min="12813" max="12813" width="17.875" style="10" customWidth="1"/>
    <col min="12814" max="13057" width="9.125" style="10"/>
    <col min="13058" max="13058" width="17.375" style="10" customWidth="1"/>
    <col min="13059" max="13059" width="11.75" style="10" customWidth="1"/>
    <col min="13060" max="13060" width="18.875" style="10" customWidth="1"/>
    <col min="13061" max="13063" width="9.125" style="10"/>
    <col min="13064" max="13064" width="83.25" style="10" customWidth="1"/>
    <col min="13065" max="13065" width="26.375" style="10" customWidth="1"/>
    <col min="13066" max="13066" width="6.625" style="10" customWidth="1"/>
    <col min="13067" max="13068" width="9.125" style="10"/>
    <col min="13069" max="13069" width="17.875" style="10" customWidth="1"/>
    <col min="13070" max="13313" width="9.125" style="10"/>
    <col min="13314" max="13314" width="17.375" style="10" customWidth="1"/>
    <col min="13315" max="13315" width="11.75" style="10" customWidth="1"/>
    <col min="13316" max="13316" width="18.875" style="10" customWidth="1"/>
    <col min="13317" max="13319" width="9.125" style="10"/>
    <col min="13320" max="13320" width="83.25" style="10" customWidth="1"/>
    <col min="13321" max="13321" width="26.375" style="10" customWidth="1"/>
    <col min="13322" max="13322" width="6.625" style="10" customWidth="1"/>
    <col min="13323" max="13324" width="9.125" style="10"/>
    <col min="13325" max="13325" width="17.875" style="10" customWidth="1"/>
    <col min="13326" max="13569" width="9.125" style="10"/>
    <col min="13570" max="13570" width="17.375" style="10" customWidth="1"/>
    <col min="13571" max="13571" width="11.75" style="10" customWidth="1"/>
    <col min="13572" max="13572" width="18.875" style="10" customWidth="1"/>
    <col min="13573" max="13575" width="9.125" style="10"/>
    <col min="13576" max="13576" width="83.25" style="10" customWidth="1"/>
    <col min="13577" max="13577" width="26.375" style="10" customWidth="1"/>
    <col min="13578" max="13578" width="6.625" style="10" customWidth="1"/>
    <col min="13579" max="13580" width="9.125" style="10"/>
    <col min="13581" max="13581" width="17.875" style="10" customWidth="1"/>
    <col min="13582" max="13825" width="9.125" style="10"/>
    <col min="13826" max="13826" width="17.375" style="10" customWidth="1"/>
    <col min="13827" max="13827" width="11.75" style="10" customWidth="1"/>
    <col min="13828" max="13828" width="18.875" style="10" customWidth="1"/>
    <col min="13829" max="13831" width="9.125" style="10"/>
    <col min="13832" max="13832" width="83.25" style="10" customWidth="1"/>
    <col min="13833" max="13833" width="26.375" style="10" customWidth="1"/>
    <col min="13834" max="13834" width="6.625" style="10" customWidth="1"/>
    <col min="13835" max="13836" width="9.125" style="10"/>
    <col min="13837" max="13837" width="17.875" style="10" customWidth="1"/>
    <col min="13838" max="14081" width="9.125" style="10"/>
    <col min="14082" max="14082" width="17.375" style="10" customWidth="1"/>
    <col min="14083" max="14083" width="11.75" style="10" customWidth="1"/>
    <col min="14084" max="14084" width="18.875" style="10" customWidth="1"/>
    <col min="14085" max="14087" width="9.125" style="10"/>
    <col min="14088" max="14088" width="83.25" style="10" customWidth="1"/>
    <col min="14089" max="14089" width="26.375" style="10" customWidth="1"/>
    <col min="14090" max="14090" width="6.625" style="10" customWidth="1"/>
    <col min="14091" max="14092" width="9.125" style="10"/>
    <col min="14093" max="14093" width="17.875" style="10" customWidth="1"/>
    <col min="14094" max="14337" width="9.125" style="10"/>
    <col min="14338" max="14338" width="17.375" style="10" customWidth="1"/>
    <col min="14339" max="14339" width="11.75" style="10" customWidth="1"/>
    <col min="14340" max="14340" width="18.875" style="10" customWidth="1"/>
    <col min="14341" max="14343" width="9.125" style="10"/>
    <col min="14344" max="14344" width="83.25" style="10" customWidth="1"/>
    <col min="14345" max="14345" width="26.375" style="10" customWidth="1"/>
    <col min="14346" max="14346" width="6.625" style="10" customWidth="1"/>
    <col min="14347" max="14348" width="9.125" style="10"/>
    <col min="14349" max="14349" width="17.875" style="10" customWidth="1"/>
    <col min="14350" max="14593" width="9.125" style="10"/>
    <col min="14594" max="14594" width="17.375" style="10" customWidth="1"/>
    <col min="14595" max="14595" width="11.75" style="10" customWidth="1"/>
    <col min="14596" max="14596" width="18.875" style="10" customWidth="1"/>
    <col min="14597" max="14599" width="9.125" style="10"/>
    <col min="14600" max="14600" width="83.25" style="10" customWidth="1"/>
    <col min="14601" max="14601" width="26.375" style="10" customWidth="1"/>
    <col min="14602" max="14602" width="6.625" style="10" customWidth="1"/>
    <col min="14603" max="14604" width="9.125" style="10"/>
    <col min="14605" max="14605" width="17.875" style="10" customWidth="1"/>
    <col min="14606" max="14849" width="9.125" style="10"/>
    <col min="14850" max="14850" width="17.375" style="10" customWidth="1"/>
    <col min="14851" max="14851" width="11.75" style="10" customWidth="1"/>
    <col min="14852" max="14852" width="18.875" style="10" customWidth="1"/>
    <col min="14853" max="14855" width="9.125" style="10"/>
    <col min="14856" max="14856" width="83.25" style="10" customWidth="1"/>
    <col min="14857" max="14857" width="26.375" style="10" customWidth="1"/>
    <col min="14858" max="14858" width="6.625" style="10" customWidth="1"/>
    <col min="14859" max="14860" width="9.125" style="10"/>
    <col min="14861" max="14861" width="17.875" style="10" customWidth="1"/>
    <col min="14862" max="15105" width="9.125" style="10"/>
    <col min="15106" max="15106" width="17.375" style="10" customWidth="1"/>
    <col min="15107" max="15107" width="11.75" style="10" customWidth="1"/>
    <col min="15108" max="15108" width="18.875" style="10" customWidth="1"/>
    <col min="15109" max="15111" width="9.125" style="10"/>
    <col min="15112" max="15112" width="83.25" style="10" customWidth="1"/>
    <col min="15113" max="15113" width="26.375" style="10" customWidth="1"/>
    <col min="15114" max="15114" width="6.625" style="10" customWidth="1"/>
    <col min="15115" max="15116" width="9.125" style="10"/>
    <col min="15117" max="15117" width="17.875" style="10" customWidth="1"/>
    <col min="15118" max="15361" width="9.125" style="10"/>
    <col min="15362" max="15362" width="17.375" style="10" customWidth="1"/>
    <col min="15363" max="15363" width="11.75" style="10" customWidth="1"/>
    <col min="15364" max="15364" width="18.875" style="10" customWidth="1"/>
    <col min="15365" max="15367" width="9.125" style="10"/>
    <col min="15368" max="15368" width="83.25" style="10" customWidth="1"/>
    <col min="15369" max="15369" width="26.375" style="10" customWidth="1"/>
    <col min="15370" max="15370" width="6.625" style="10" customWidth="1"/>
    <col min="15371" max="15372" width="9.125" style="10"/>
    <col min="15373" max="15373" width="17.875" style="10" customWidth="1"/>
    <col min="15374" max="15617" width="9.125" style="10"/>
    <col min="15618" max="15618" width="17.375" style="10" customWidth="1"/>
    <col min="15619" max="15619" width="11.75" style="10" customWidth="1"/>
    <col min="15620" max="15620" width="18.875" style="10" customWidth="1"/>
    <col min="15621" max="15623" width="9.125" style="10"/>
    <col min="15624" max="15624" width="83.25" style="10" customWidth="1"/>
    <col min="15625" max="15625" width="26.375" style="10" customWidth="1"/>
    <col min="15626" max="15626" width="6.625" style="10" customWidth="1"/>
    <col min="15627" max="15628" width="9.125" style="10"/>
    <col min="15629" max="15629" width="17.875" style="10" customWidth="1"/>
    <col min="15630" max="15873" width="9.125" style="10"/>
    <col min="15874" max="15874" width="17.375" style="10" customWidth="1"/>
    <col min="15875" max="15875" width="11.75" style="10" customWidth="1"/>
    <col min="15876" max="15876" width="18.875" style="10" customWidth="1"/>
    <col min="15877" max="15879" width="9.125" style="10"/>
    <col min="15880" max="15880" width="83.25" style="10" customWidth="1"/>
    <col min="15881" max="15881" width="26.375" style="10" customWidth="1"/>
    <col min="15882" max="15882" width="6.625" style="10" customWidth="1"/>
    <col min="15883" max="15884" width="9.125" style="10"/>
    <col min="15885" max="15885" width="17.875" style="10" customWidth="1"/>
    <col min="15886" max="16129" width="9.125" style="10"/>
    <col min="16130" max="16130" width="17.375" style="10" customWidth="1"/>
    <col min="16131" max="16131" width="11.75" style="10" customWidth="1"/>
    <col min="16132" max="16132" width="18.875" style="10" customWidth="1"/>
    <col min="16133" max="16135" width="9.125" style="10"/>
    <col min="16136" max="16136" width="83.25" style="10" customWidth="1"/>
    <col min="16137" max="16137" width="26.375" style="10" customWidth="1"/>
    <col min="16138" max="16138" width="6.625" style="10" customWidth="1"/>
    <col min="16139" max="16140" width="9.125" style="10"/>
    <col min="16141" max="16141" width="17.875" style="10" customWidth="1"/>
    <col min="16142" max="16384" width="9.125" style="10"/>
  </cols>
  <sheetData>
    <row r="1" spans="1:16" s="3" customFormat="1">
      <c r="A1" s="4" t="s">
        <v>4874</v>
      </c>
      <c r="B1" s="4" t="s">
        <v>4875</v>
      </c>
      <c r="C1" s="5" t="s">
        <v>6</v>
      </c>
      <c r="D1" s="11" t="s">
        <v>8</v>
      </c>
      <c r="E1" s="12" t="s">
        <v>4940</v>
      </c>
      <c r="F1" s="12" t="s">
        <v>4941</v>
      </c>
      <c r="G1" s="12" t="s">
        <v>4942</v>
      </c>
      <c r="H1" s="12" t="s">
        <v>4943</v>
      </c>
      <c r="I1" s="12" t="s">
        <v>4944</v>
      </c>
      <c r="J1" s="12" t="s">
        <v>4945</v>
      </c>
      <c r="K1" s="12" t="s">
        <v>4946</v>
      </c>
      <c r="L1" s="12" t="s">
        <v>4947</v>
      </c>
      <c r="M1" s="12" t="s">
        <v>18</v>
      </c>
      <c r="N1" s="12" t="s">
        <v>4884</v>
      </c>
      <c r="O1" s="12" t="s">
        <v>4948</v>
      </c>
      <c r="P1" s="3" t="s">
        <v>4949</v>
      </c>
    </row>
    <row r="2" spans="1:16" s="3" customFormat="1" ht="14.25">
      <c r="A2" s="13" t="str">
        <f>IFERROR(VLOOKUP($D:$D,scan!$A:$B,2,0),"**")</f>
        <v>**</v>
      </c>
      <c r="B2" s="13" t="str">
        <f>IFERROR(VLOOKUP($D2,scan!A:C,3,0),"**")</f>
        <v>**</v>
      </c>
      <c r="C2" s="14">
        <v>532</v>
      </c>
      <c r="D2" s="15"/>
      <c r="E2" s="16" t="str">
        <f t="shared" ref="E2:E65" si="0">P2&amp;"."&amp;B2&amp;"."&amp;D2</f>
        <v>1.**.</v>
      </c>
      <c r="F2" s="3" t="s">
        <v>4950</v>
      </c>
      <c r="G2" s="3" t="s">
        <v>4951</v>
      </c>
      <c r="H2" s="3">
        <v>6042070338</v>
      </c>
      <c r="I2" s="12" t="e">
        <f ca="1">VLOOKUP(D2,Input!B:M,10,0)</f>
        <v>#N/A</v>
      </c>
      <c r="J2" s="12"/>
      <c r="K2" s="12"/>
      <c r="L2" s="12"/>
      <c r="M2" s="12" t="e">
        <f ca="1">VLOOKUP(D2,Input!B:M,12,0)</f>
        <v>#N/A</v>
      </c>
      <c r="N2" s="12" t="e">
        <f ca="1">VLOOKUP(D2,Input!B:N,11,0)</f>
        <v>#N/A</v>
      </c>
      <c r="O2" s="12" t="e">
        <f ca="1">VLOOKUP(D2,Input!B:M,6,0)</f>
        <v>#N/A</v>
      </c>
      <c r="P2" s="6">
        <v>1</v>
      </c>
    </row>
    <row r="3" spans="1:16" s="3" customFormat="1" ht="14.25">
      <c r="A3" s="13" t="str">
        <f>IFERROR(VLOOKUP($D:$D,scan!$A:$B,2,0),"**")</f>
        <v>**</v>
      </c>
      <c r="B3" s="13" t="str">
        <f>IFERROR(VLOOKUP($D3,scan!A:C,3,0),"**")</f>
        <v>**</v>
      </c>
      <c r="C3" s="14">
        <v>67</v>
      </c>
      <c r="D3" s="15"/>
      <c r="E3" s="16" t="str">
        <f t="shared" si="0"/>
        <v>2.**.</v>
      </c>
      <c r="F3" s="3" t="s">
        <v>4950</v>
      </c>
      <c r="G3" s="3" t="s">
        <v>4951</v>
      </c>
      <c r="H3" s="3">
        <v>6042070338</v>
      </c>
      <c r="I3" s="12" t="e">
        <f ca="1">VLOOKUP(D3,Input!B:M,10,0)</f>
        <v>#N/A</v>
      </c>
      <c r="J3" s="12"/>
      <c r="K3" s="12"/>
      <c r="L3" s="12"/>
      <c r="M3" s="12" t="e">
        <f ca="1">VLOOKUP(D3,Input!B:M,12,0)</f>
        <v>#N/A</v>
      </c>
      <c r="N3" s="12" t="e">
        <f ca="1">VLOOKUP(D3,Input!B:N,11,0)</f>
        <v>#N/A</v>
      </c>
      <c r="O3" s="12" t="e">
        <f ca="1">VLOOKUP(D3,Input!B:M,6,0)</f>
        <v>#N/A</v>
      </c>
      <c r="P3" s="6">
        <v>2</v>
      </c>
    </row>
    <row r="4" spans="1:16" s="3" customFormat="1" ht="14.25">
      <c r="A4" s="13" t="str">
        <f>IFERROR(VLOOKUP($D:$D,scan!$A:$B,2,0),"**")</f>
        <v>**</v>
      </c>
      <c r="B4" s="13" t="str">
        <f>IFERROR(VLOOKUP($D4,scan!A:C,3,0),"**")</f>
        <v>**</v>
      </c>
      <c r="C4" s="5">
        <v>416</v>
      </c>
      <c r="D4" s="15"/>
      <c r="E4" s="16" t="str">
        <f t="shared" si="0"/>
        <v>3.**.</v>
      </c>
      <c r="F4" s="3" t="s">
        <v>4950</v>
      </c>
      <c r="G4" s="3" t="s">
        <v>4951</v>
      </c>
      <c r="H4" s="3">
        <v>6042070338</v>
      </c>
      <c r="I4" s="12" t="e">
        <f ca="1">VLOOKUP(D4,Input!B:M,10,0)</f>
        <v>#N/A</v>
      </c>
      <c r="J4" s="12"/>
      <c r="K4" s="12"/>
      <c r="L4" s="12"/>
      <c r="M4" s="12" t="e">
        <f ca="1">VLOOKUP(D4,Input!B:M,12,0)</f>
        <v>#N/A</v>
      </c>
      <c r="N4" s="12" t="e">
        <f ca="1">VLOOKUP(D4,Input!B:N,11,0)</f>
        <v>#N/A</v>
      </c>
      <c r="O4" s="12" t="e">
        <f ca="1">VLOOKUP(D4,Input!B:M,6,0)</f>
        <v>#N/A</v>
      </c>
      <c r="P4" s="6">
        <v>3</v>
      </c>
    </row>
    <row r="5" spans="1:16" s="3" customFormat="1" ht="14.25">
      <c r="A5" s="13" t="str">
        <f>IFERROR(VLOOKUP($D:$D,scan!$A:$B,2,0),"**")</f>
        <v>**</v>
      </c>
      <c r="B5" s="13" t="str">
        <f>IFERROR(VLOOKUP($D5,scan!A:C,3,0),"**")</f>
        <v>**</v>
      </c>
      <c r="C5" s="14">
        <v>107</v>
      </c>
      <c r="D5" s="15"/>
      <c r="E5" s="16" t="str">
        <f t="shared" si="0"/>
        <v>4.**.</v>
      </c>
      <c r="F5" s="3" t="s">
        <v>4950</v>
      </c>
      <c r="G5" s="3" t="s">
        <v>4951</v>
      </c>
      <c r="H5" s="3">
        <v>6042070338</v>
      </c>
      <c r="I5" s="12" t="e">
        <f ca="1">VLOOKUP(D5,Input!B:M,10,0)</f>
        <v>#N/A</v>
      </c>
      <c r="J5" s="12"/>
      <c r="K5" s="12"/>
      <c r="L5" s="12"/>
      <c r="M5" s="12" t="e">
        <f ca="1">VLOOKUP(D5,Input!B:M,12,0)</f>
        <v>#N/A</v>
      </c>
      <c r="N5" s="12" t="e">
        <f ca="1">VLOOKUP(D5,Input!B:N,11,0)</f>
        <v>#N/A</v>
      </c>
      <c r="O5" s="12" t="e">
        <f ca="1">VLOOKUP(D5,Input!B:M,6,0)</f>
        <v>#N/A</v>
      </c>
      <c r="P5" s="6">
        <v>4</v>
      </c>
    </row>
    <row r="6" spans="1:16" s="3" customFormat="1" ht="14.25">
      <c r="A6" s="13" t="str">
        <f>IFERROR(VLOOKUP($D:$D,scan!$A:$B,2,0),"**")</f>
        <v>**</v>
      </c>
      <c r="B6" s="13" t="str">
        <f>IFERROR(VLOOKUP($D6,scan!A:C,3,0),"**")</f>
        <v>**</v>
      </c>
      <c r="C6" s="14">
        <v>430</v>
      </c>
      <c r="D6" s="15"/>
      <c r="E6" s="16" t="str">
        <f t="shared" si="0"/>
        <v>5.**.</v>
      </c>
      <c r="F6" s="3" t="s">
        <v>4950</v>
      </c>
      <c r="G6" s="3" t="s">
        <v>4951</v>
      </c>
      <c r="H6" s="3">
        <v>6042070338</v>
      </c>
      <c r="I6" s="12" t="e">
        <f ca="1">VLOOKUP(D6,Input!B:M,10,0)</f>
        <v>#N/A</v>
      </c>
      <c r="J6" s="12"/>
      <c r="K6" s="12"/>
      <c r="L6" s="12"/>
      <c r="M6" s="12" t="e">
        <f ca="1">VLOOKUP(D6,Input!B:M,12,0)</f>
        <v>#N/A</v>
      </c>
      <c r="N6" s="12" t="e">
        <f ca="1">VLOOKUP(D6,Input!B:N,11,0)</f>
        <v>#N/A</v>
      </c>
      <c r="O6" s="12" t="e">
        <f ca="1">VLOOKUP(D6,Input!B:M,6,0)</f>
        <v>#N/A</v>
      </c>
      <c r="P6" s="6">
        <v>5</v>
      </c>
    </row>
    <row r="7" spans="1:16" ht="14.25">
      <c r="A7" s="13" t="str">
        <f>IFERROR(VLOOKUP($D:$D,scan!$A:$B,2,0),"**")</f>
        <v>**</v>
      </c>
      <c r="B7" s="13" t="str">
        <f>IFERROR(VLOOKUP($D7,scan!A:C,3,0),"**")</f>
        <v>**</v>
      </c>
      <c r="C7" s="5">
        <v>381</v>
      </c>
      <c r="D7" s="15"/>
      <c r="E7" s="16" t="str">
        <f t="shared" si="0"/>
        <v>6.**.</v>
      </c>
      <c r="F7" s="3" t="s">
        <v>4950</v>
      </c>
      <c r="G7" s="3" t="s">
        <v>4951</v>
      </c>
      <c r="H7" s="3">
        <v>6042070338</v>
      </c>
      <c r="I7" s="12" t="e">
        <f ca="1">VLOOKUP(D7,Input!B:M,10,0)</f>
        <v>#N/A</v>
      </c>
      <c r="J7" s="12"/>
      <c r="K7" s="12"/>
      <c r="L7" s="12"/>
      <c r="M7" s="12" t="e">
        <f ca="1">VLOOKUP(D7,Input!B:M,12,0)</f>
        <v>#N/A</v>
      </c>
      <c r="N7" s="12" t="e">
        <f ca="1">VLOOKUP(D7,Input!B:N,11,0)</f>
        <v>#N/A</v>
      </c>
      <c r="O7" s="12" t="e">
        <f ca="1">VLOOKUP(D7,Input!B:M,6,0)</f>
        <v>#N/A</v>
      </c>
      <c r="P7" s="6">
        <v>6</v>
      </c>
    </row>
    <row r="8" spans="1:16" ht="14.25">
      <c r="A8" s="13" t="str">
        <f>IFERROR(VLOOKUP($D:$D,scan!$A:$B,2,0),"**")</f>
        <v>**</v>
      </c>
      <c r="B8" s="13" t="str">
        <f>IFERROR(VLOOKUP($D8,scan!A:C,3,0),"**")</f>
        <v>**</v>
      </c>
      <c r="C8" s="14">
        <v>269</v>
      </c>
      <c r="D8" s="15"/>
      <c r="E8" s="16" t="str">
        <f t="shared" si="0"/>
        <v>7.**.</v>
      </c>
      <c r="F8" s="3" t="s">
        <v>4950</v>
      </c>
      <c r="G8" s="3" t="s">
        <v>4951</v>
      </c>
      <c r="H8" s="3">
        <v>6042070338</v>
      </c>
      <c r="I8" s="12" t="e">
        <f ca="1">VLOOKUP(D8,Input!B:M,10,0)</f>
        <v>#N/A</v>
      </c>
      <c r="J8" s="12"/>
      <c r="K8" s="12"/>
      <c r="L8" s="12"/>
      <c r="M8" s="12" t="e">
        <f ca="1">VLOOKUP(D8,Input!B:M,12,0)</f>
        <v>#N/A</v>
      </c>
      <c r="N8" s="12" t="e">
        <f ca="1">VLOOKUP(D8,Input!B:N,11,0)</f>
        <v>#N/A</v>
      </c>
      <c r="O8" s="12" t="e">
        <f ca="1">VLOOKUP(D8,Input!B:M,6,0)</f>
        <v>#N/A</v>
      </c>
      <c r="P8" s="6">
        <v>7</v>
      </c>
    </row>
    <row r="9" spans="1:16" ht="14.25">
      <c r="A9" s="13" t="str">
        <f>IFERROR(VLOOKUP($D:$D,scan!$A:$B,2,0),"**")</f>
        <v>**</v>
      </c>
      <c r="B9" s="13" t="str">
        <f>IFERROR(VLOOKUP($D9,scan!A:C,3,0),"**")</f>
        <v>**</v>
      </c>
      <c r="C9" s="14">
        <v>410</v>
      </c>
      <c r="D9" s="15"/>
      <c r="E9" s="16" t="str">
        <f t="shared" si="0"/>
        <v>8.**.</v>
      </c>
      <c r="F9" s="3" t="s">
        <v>4950</v>
      </c>
      <c r="G9" s="3" t="s">
        <v>4951</v>
      </c>
      <c r="H9" s="3">
        <v>6042070338</v>
      </c>
      <c r="I9" s="12" t="e">
        <f ca="1">VLOOKUP(D9,Input!B:M,10,0)</f>
        <v>#N/A</v>
      </c>
      <c r="J9" s="12"/>
      <c r="K9" s="12"/>
      <c r="L9" s="12"/>
      <c r="M9" s="12" t="e">
        <f ca="1">VLOOKUP(D9,Input!B:M,12,0)</f>
        <v>#N/A</v>
      </c>
      <c r="N9" s="12" t="e">
        <f ca="1">VLOOKUP(D9,Input!B:N,11,0)</f>
        <v>#N/A</v>
      </c>
      <c r="O9" s="12" t="e">
        <f ca="1">VLOOKUP(D9,Input!B:M,6,0)</f>
        <v>#N/A</v>
      </c>
      <c r="P9" s="6">
        <v>8</v>
      </c>
    </row>
    <row r="10" spans="1:16" ht="14.25">
      <c r="A10" s="13" t="str">
        <f>IFERROR(VLOOKUP($D:$D,scan!$A:$B,2,0),"**")</f>
        <v>**</v>
      </c>
      <c r="B10" s="13" t="str">
        <f>IFERROR(VLOOKUP($D10,scan!A:C,3,0),"**")</f>
        <v>**</v>
      </c>
      <c r="C10" s="14">
        <v>200</v>
      </c>
      <c r="D10" s="15"/>
      <c r="E10" s="16" t="str">
        <f t="shared" si="0"/>
        <v>9.**.</v>
      </c>
      <c r="F10" s="3" t="s">
        <v>4950</v>
      </c>
      <c r="G10" s="3" t="s">
        <v>4951</v>
      </c>
      <c r="H10" s="3">
        <v>6042070338</v>
      </c>
      <c r="I10" s="12" t="e">
        <f ca="1">VLOOKUP(D10,Input!B:M,10,0)</f>
        <v>#N/A</v>
      </c>
      <c r="J10" s="12"/>
      <c r="K10" s="12"/>
      <c r="L10" s="12"/>
      <c r="M10" s="12" t="e">
        <f ca="1">VLOOKUP(D10,Input!B:M,12,0)</f>
        <v>#N/A</v>
      </c>
      <c r="N10" s="12" t="e">
        <f ca="1">VLOOKUP(D10,Input!B:N,11,0)</f>
        <v>#N/A</v>
      </c>
      <c r="O10" s="12" t="e">
        <f ca="1">VLOOKUP(D10,Input!B:M,6,0)</f>
        <v>#N/A</v>
      </c>
      <c r="P10" s="6">
        <v>9</v>
      </c>
    </row>
    <row r="11" spans="1:16" ht="14.25">
      <c r="A11" s="13" t="str">
        <f>IFERROR(VLOOKUP($D:$D,scan!$A:$B,2,0),"**")</f>
        <v>**</v>
      </c>
      <c r="B11" s="13" t="str">
        <f>IFERROR(VLOOKUP($D11,scan!A:C,3,0),"**")</f>
        <v>**</v>
      </c>
      <c r="C11" s="14">
        <v>570</v>
      </c>
      <c r="D11" s="15"/>
      <c r="E11" s="16" t="str">
        <f t="shared" si="0"/>
        <v>10.**.</v>
      </c>
      <c r="F11" s="3" t="s">
        <v>4950</v>
      </c>
      <c r="G11" s="3" t="s">
        <v>4951</v>
      </c>
      <c r="H11" s="3">
        <v>6042070338</v>
      </c>
      <c r="I11" s="12" t="e">
        <f ca="1">VLOOKUP(D11,Input!B:M,10,0)</f>
        <v>#N/A</v>
      </c>
      <c r="J11" s="12"/>
      <c r="K11" s="12"/>
      <c r="L11" s="12"/>
      <c r="M11" s="12" t="e">
        <f ca="1">VLOOKUP(D11,Input!B:M,12,0)</f>
        <v>#N/A</v>
      </c>
      <c r="N11" s="12" t="e">
        <f ca="1">VLOOKUP(D11,Input!B:N,11,0)</f>
        <v>#N/A</v>
      </c>
      <c r="O11" s="12" t="e">
        <f ca="1">VLOOKUP(D11,Input!B:M,6,0)</f>
        <v>#N/A</v>
      </c>
      <c r="P11" s="6">
        <v>10</v>
      </c>
    </row>
    <row r="12" spans="1:16" ht="14.25">
      <c r="A12" s="13" t="str">
        <f>IFERROR(VLOOKUP($D:$D,scan!$A:$B,2,0),"**")</f>
        <v>**</v>
      </c>
      <c r="B12" s="13" t="str">
        <f>IFERROR(VLOOKUP($D12,scan!A:C,3,0),"**")</f>
        <v>**</v>
      </c>
      <c r="C12" s="14">
        <v>550</v>
      </c>
      <c r="D12" s="15"/>
      <c r="E12" s="16" t="str">
        <f t="shared" si="0"/>
        <v>11.**.</v>
      </c>
      <c r="F12" s="3" t="s">
        <v>4950</v>
      </c>
      <c r="G12" s="3" t="s">
        <v>4951</v>
      </c>
      <c r="H12" s="3">
        <v>6042070338</v>
      </c>
      <c r="I12" s="12" t="e">
        <f ca="1">VLOOKUP(D12,Input!B:M,10,0)</f>
        <v>#N/A</v>
      </c>
      <c r="J12" s="12"/>
      <c r="K12" s="12"/>
      <c r="L12" s="12"/>
      <c r="M12" s="12" t="e">
        <f ca="1">VLOOKUP(D12,Input!B:M,12,0)</f>
        <v>#N/A</v>
      </c>
      <c r="N12" s="12" t="e">
        <f ca="1">VLOOKUP(D12,Input!B:N,11,0)</f>
        <v>#N/A</v>
      </c>
      <c r="O12" s="12" t="e">
        <f ca="1">VLOOKUP(D12,Input!B:M,6,0)</f>
        <v>#N/A</v>
      </c>
      <c r="P12" s="6">
        <v>11</v>
      </c>
    </row>
    <row r="13" spans="1:16" ht="14.25">
      <c r="A13" s="13" t="str">
        <f>IFERROR(VLOOKUP($D:$D,scan!$A:$B,2,0),"**")</f>
        <v>**</v>
      </c>
      <c r="B13" s="13" t="str">
        <f>IFERROR(VLOOKUP($D13,scan!A:C,3,0),"**")</f>
        <v>**</v>
      </c>
      <c r="C13" s="14">
        <v>100</v>
      </c>
      <c r="D13" s="17"/>
      <c r="E13" s="16" t="str">
        <f t="shared" si="0"/>
        <v>12.**.</v>
      </c>
      <c r="F13" s="3" t="s">
        <v>4950</v>
      </c>
      <c r="G13" s="3" t="s">
        <v>4951</v>
      </c>
      <c r="H13" s="3">
        <v>6042070338</v>
      </c>
      <c r="I13" s="12" t="e">
        <f ca="1">VLOOKUP(D13,Input!B:M,10,0)</f>
        <v>#N/A</v>
      </c>
      <c r="J13" s="12"/>
      <c r="K13" s="12"/>
      <c r="L13" s="12"/>
      <c r="M13" s="12" t="e">
        <f ca="1">VLOOKUP(D13,Input!B:M,12,0)</f>
        <v>#N/A</v>
      </c>
      <c r="N13" s="12" t="e">
        <f ca="1">VLOOKUP(D13,Input!B:N,11,0)</f>
        <v>#N/A</v>
      </c>
      <c r="O13" s="12" t="e">
        <f ca="1">VLOOKUP(D13,Input!B:M,6,0)</f>
        <v>#N/A</v>
      </c>
      <c r="P13" s="6">
        <v>12</v>
      </c>
    </row>
    <row r="14" spans="1:16" ht="14.25">
      <c r="A14" s="13" t="str">
        <f>IFERROR(VLOOKUP($D:$D,scan!$A:$B,2,0),"**")</f>
        <v>**</v>
      </c>
      <c r="B14" s="13" t="str">
        <f>IFERROR(VLOOKUP($D14,scan!A:C,3,0),"**")</f>
        <v>**</v>
      </c>
      <c r="C14" s="14">
        <v>415</v>
      </c>
      <c r="D14" s="15"/>
      <c r="E14" s="16" t="str">
        <f t="shared" si="0"/>
        <v>13.**.</v>
      </c>
      <c r="F14" s="3" t="s">
        <v>4950</v>
      </c>
      <c r="G14" s="3" t="s">
        <v>4951</v>
      </c>
      <c r="H14" s="3">
        <v>6042070338</v>
      </c>
      <c r="I14" s="12" t="e">
        <f ca="1">VLOOKUP(D14,Input!B:M,10,0)</f>
        <v>#N/A</v>
      </c>
      <c r="J14" s="12"/>
      <c r="K14" s="12"/>
      <c r="L14" s="12"/>
      <c r="M14" s="12" t="e">
        <f ca="1">VLOOKUP(D14,Input!B:M,12,0)</f>
        <v>#N/A</v>
      </c>
      <c r="N14" s="12" t="e">
        <f ca="1">VLOOKUP(D14,Input!B:N,11,0)</f>
        <v>#N/A</v>
      </c>
      <c r="O14" s="12" t="e">
        <f ca="1">VLOOKUP(D14,Input!B:M,6,0)</f>
        <v>#N/A</v>
      </c>
      <c r="P14" s="6">
        <v>13</v>
      </c>
    </row>
    <row r="15" spans="1:16" ht="14.25">
      <c r="A15" s="13" t="str">
        <f>IFERROR(VLOOKUP($D:$D,scan!$A:$B,2,0),"**")</f>
        <v>**</v>
      </c>
      <c r="B15" s="13" t="str">
        <f>IFERROR(VLOOKUP($D15,scan!A:C,3,0),"**")</f>
        <v>**</v>
      </c>
      <c r="C15" s="14">
        <v>260</v>
      </c>
      <c r="D15" s="15"/>
      <c r="E15" s="16" t="str">
        <f t="shared" si="0"/>
        <v>14.**.</v>
      </c>
      <c r="F15" s="3" t="s">
        <v>4950</v>
      </c>
      <c r="G15" s="3" t="s">
        <v>4951</v>
      </c>
      <c r="H15" s="3">
        <v>6042070338</v>
      </c>
      <c r="I15" s="12" t="e">
        <f ca="1">VLOOKUP(D15,Input!B:M,10,0)</f>
        <v>#N/A</v>
      </c>
      <c r="J15" s="12"/>
      <c r="K15" s="12"/>
      <c r="L15" s="12"/>
      <c r="M15" s="12" t="e">
        <f ca="1">VLOOKUP(D15,Input!B:M,12,0)</f>
        <v>#N/A</v>
      </c>
      <c r="N15" s="12" t="e">
        <f ca="1">VLOOKUP(D15,Input!B:N,11,0)</f>
        <v>#N/A</v>
      </c>
      <c r="O15" s="12" t="e">
        <f ca="1">VLOOKUP(D15,Input!B:M,6,0)</f>
        <v>#N/A</v>
      </c>
      <c r="P15" s="6">
        <v>14</v>
      </c>
    </row>
    <row r="16" spans="1:16" ht="14.25">
      <c r="A16" s="13" t="str">
        <f>IFERROR(VLOOKUP($D:$D,scan!$A:$B,2,0),"**")</f>
        <v>**</v>
      </c>
      <c r="B16" s="13" t="str">
        <f>IFERROR(VLOOKUP($D16,scan!A:C,3,0),"**")</f>
        <v>**</v>
      </c>
      <c r="C16" s="14">
        <v>99</v>
      </c>
      <c r="D16" s="15"/>
      <c r="E16" s="16" t="str">
        <f t="shared" si="0"/>
        <v>15.**.</v>
      </c>
      <c r="F16" s="3" t="s">
        <v>4950</v>
      </c>
      <c r="G16" s="3" t="s">
        <v>4951</v>
      </c>
      <c r="H16" s="3">
        <v>6042070338</v>
      </c>
      <c r="I16" s="12" t="e">
        <f ca="1">VLOOKUP(D16,Input!B:M,10,0)</f>
        <v>#N/A</v>
      </c>
      <c r="J16" s="12"/>
      <c r="K16" s="12"/>
      <c r="L16" s="12"/>
      <c r="M16" s="12" t="e">
        <f ca="1">VLOOKUP(D16,Input!B:M,12,0)</f>
        <v>#N/A</v>
      </c>
      <c r="N16" s="12" t="e">
        <f ca="1">VLOOKUP(D16,Input!B:N,11,0)</f>
        <v>#N/A</v>
      </c>
      <c r="O16" s="12" t="e">
        <f ca="1">VLOOKUP(D16,Input!B:M,6,0)</f>
        <v>#N/A</v>
      </c>
      <c r="P16" s="6">
        <v>15</v>
      </c>
    </row>
    <row r="17" spans="1:16" ht="14.25">
      <c r="A17" s="13" t="str">
        <f>IFERROR(VLOOKUP($D:$D,scan!$A:$B,2,0),"**")</f>
        <v>**</v>
      </c>
      <c r="B17" s="13" t="str">
        <f>IFERROR(VLOOKUP($D17,scan!A:C,3,0),"**")</f>
        <v>**</v>
      </c>
      <c r="C17" s="14">
        <v>559</v>
      </c>
      <c r="D17" s="15"/>
      <c r="E17" s="16" t="str">
        <f t="shared" si="0"/>
        <v>16.**.</v>
      </c>
      <c r="F17" s="3" t="s">
        <v>4950</v>
      </c>
      <c r="G17" s="3" t="s">
        <v>4951</v>
      </c>
      <c r="H17" s="3">
        <v>6042070338</v>
      </c>
      <c r="I17" s="12" t="e">
        <f ca="1">VLOOKUP(D17,Input!B:M,10,0)</f>
        <v>#N/A</v>
      </c>
      <c r="J17" s="12"/>
      <c r="K17" s="12"/>
      <c r="L17" s="12"/>
      <c r="M17" s="12" t="e">
        <f ca="1">VLOOKUP(D17,Input!B:M,12,0)</f>
        <v>#N/A</v>
      </c>
      <c r="N17" s="12" t="e">
        <f ca="1">VLOOKUP(D17,Input!B:N,11,0)</f>
        <v>#N/A</v>
      </c>
      <c r="O17" s="12" t="e">
        <f ca="1">VLOOKUP(D17,Input!B:M,6,0)</f>
        <v>#N/A</v>
      </c>
      <c r="P17" s="6">
        <v>16</v>
      </c>
    </row>
    <row r="18" spans="1:16" ht="14.25">
      <c r="A18" s="13" t="str">
        <f>IFERROR(VLOOKUP($D:$D,scan!$A:$B,2,0),"**")</f>
        <v>**</v>
      </c>
      <c r="B18" s="13" t="str">
        <f>IFERROR(VLOOKUP($D18,scan!A:C,3,0),"**")</f>
        <v>**</v>
      </c>
      <c r="C18" s="14">
        <v>370</v>
      </c>
      <c r="D18" s="15"/>
      <c r="E18" s="16" t="str">
        <f t="shared" si="0"/>
        <v>17.**.</v>
      </c>
      <c r="F18" s="3" t="s">
        <v>4950</v>
      </c>
      <c r="G18" s="3" t="s">
        <v>4951</v>
      </c>
      <c r="H18" s="3">
        <v>6042070338</v>
      </c>
      <c r="I18" s="12" t="e">
        <f ca="1">VLOOKUP(D18,Input!B:M,10,0)</f>
        <v>#N/A</v>
      </c>
      <c r="J18" s="12"/>
      <c r="K18" s="12"/>
      <c r="L18" s="12"/>
      <c r="M18" s="12" t="e">
        <f ca="1">VLOOKUP(D18,Input!B:M,12,0)</f>
        <v>#N/A</v>
      </c>
      <c r="N18" s="12" t="e">
        <f ca="1">VLOOKUP(D18,Input!B:N,11,0)</f>
        <v>#N/A</v>
      </c>
      <c r="O18" s="12" t="e">
        <f ca="1">VLOOKUP(D18,Input!B:M,6,0)</f>
        <v>#N/A</v>
      </c>
      <c r="P18" s="6">
        <v>17</v>
      </c>
    </row>
    <row r="19" spans="1:16" ht="14.25">
      <c r="A19" s="13" t="str">
        <f>IFERROR(VLOOKUP($D:$D,scan!$A:$B,2,0),"**")</f>
        <v>**</v>
      </c>
      <c r="B19" s="13" t="str">
        <f>IFERROR(VLOOKUP($D19,scan!A:C,3,0),"**")</f>
        <v>**</v>
      </c>
      <c r="C19" s="14">
        <v>427</v>
      </c>
      <c r="D19" s="15"/>
      <c r="E19" s="16" t="str">
        <f t="shared" si="0"/>
        <v>18.**.</v>
      </c>
      <c r="F19" s="3" t="s">
        <v>4950</v>
      </c>
      <c r="G19" s="3" t="s">
        <v>4951</v>
      </c>
      <c r="H19" s="3">
        <v>6042070338</v>
      </c>
      <c r="I19" s="12" t="e">
        <f ca="1">VLOOKUP(D19,Input!B:M,10,0)</f>
        <v>#N/A</v>
      </c>
      <c r="J19" s="12"/>
      <c r="K19" s="12"/>
      <c r="L19" s="12"/>
      <c r="M19" s="12" t="e">
        <f ca="1">VLOOKUP(D19,Input!B:M,12,0)</f>
        <v>#N/A</v>
      </c>
      <c r="N19" s="12" t="e">
        <f ca="1">VLOOKUP(D19,Input!B:N,11,0)</f>
        <v>#N/A</v>
      </c>
      <c r="O19" s="12" t="e">
        <f ca="1">VLOOKUP(D19,Input!B:M,6,0)</f>
        <v>#N/A</v>
      </c>
      <c r="P19" s="6">
        <v>18</v>
      </c>
    </row>
    <row r="20" spans="1:16" ht="14.25">
      <c r="A20" s="13" t="str">
        <f>IFERROR(VLOOKUP($D:$D,scan!$A:$B,2,0),"**")</f>
        <v>**</v>
      </c>
      <c r="B20" s="13" t="str">
        <f>IFERROR(VLOOKUP($D20,scan!A:C,3,0),"**")</f>
        <v>**</v>
      </c>
      <c r="C20" s="14">
        <v>118</v>
      </c>
      <c r="D20" s="15"/>
      <c r="E20" s="16" t="str">
        <f t="shared" si="0"/>
        <v>19.**.</v>
      </c>
      <c r="F20" s="3" t="s">
        <v>4950</v>
      </c>
      <c r="G20" s="3" t="s">
        <v>4951</v>
      </c>
      <c r="H20" s="3">
        <v>6042070338</v>
      </c>
      <c r="I20" s="12" t="e">
        <f ca="1">VLOOKUP(D20,Input!B:M,10,0)</f>
        <v>#N/A</v>
      </c>
      <c r="J20" s="12"/>
      <c r="K20" s="12"/>
      <c r="L20" s="12"/>
      <c r="M20" s="12" t="e">
        <f ca="1">VLOOKUP(D20,Input!B:M,12,0)</f>
        <v>#N/A</v>
      </c>
      <c r="N20" s="12" t="e">
        <f ca="1">VLOOKUP(D20,Input!B:N,11,0)</f>
        <v>#N/A</v>
      </c>
      <c r="O20" s="12" t="e">
        <f ca="1">VLOOKUP(D20,Input!B:M,6,0)</f>
        <v>#N/A</v>
      </c>
      <c r="P20" s="6">
        <v>19</v>
      </c>
    </row>
    <row r="21" spans="1:16" ht="14.25">
      <c r="A21" s="13" t="str">
        <f>IFERROR(VLOOKUP($D:$D,scan!$A:$B,2,0),"**")</f>
        <v>**</v>
      </c>
      <c r="B21" s="13" t="str">
        <f>IFERROR(VLOOKUP($D21,scan!A:C,3,0),"**")</f>
        <v>**</v>
      </c>
      <c r="C21" s="14">
        <v>380</v>
      </c>
      <c r="D21" s="15"/>
      <c r="E21" s="16" t="str">
        <f t="shared" si="0"/>
        <v>20.**.</v>
      </c>
      <c r="F21" s="3" t="s">
        <v>4950</v>
      </c>
      <c r="G21" s="3" t="s">
        <v>4951</v>
      </c>
      <c r="H21" s="3">
        <v>6042070338</v>
      </c>
      <c r="I21" s="12" t="e">
        <f ca="1">VLOOKUP(D21,Input!B:M,10,0)</f>
        <v>#N/A</v>
      </c>
      <c r="J21" s="12"/>
      <c r="K21" s="12"/>
      <c r="L21" s="12"/>
      <c r="M21" s="12" t="e">
        <f ca="1">VLOOKUP(D21,Input!B:M,12,0)</f>
        <v>#N/A</v>
      </c>
      <c r="N21" s="12" t="e">
        <f ca="1">VLOOKUP(D21,Input!B:N,11,0)</f>
        <v>#N/A</v>
      </c>
      <c r="O21" s="12" t="e">
        <f ca="1">VLOOKUP(D21,Input!B:M,6,0)</f>
        <v>#N/A</v>
      </c>
      <c r="P21" s="6">
        <v>20</v>
      </c>
    </row>
    <row r="22" spans="1:16" ht="14.25">
      <c r="A22" s="13" t="str">
        <f>IFERROR(VLOOKUP($D:$D,scan!$A:$B,2,0),"**")</f>
        <v>**</v>
      </c>
      <c r="B22" s="13" t="str">
        <f>IFERROR(VLOOKUP($D22,scan!A:C,3,0),"**")</f>
        <v>**</v>
      </c>
      <c r="C22" s="14">
        <v>414</v>
      </c>
      <c r="D22" s="15"/>
      <c r="E22" s="16" t="str">
        <f t="shared" si="0"/>
        <v>21.**.</v>
      </c>
      <c r="F22" s="3" t="s">
        <v>4950</v>
      </c>
      <c r="G22" s="3" t="s">
        <v>4951</v>
      </c>
      <c r="H22" s="3">
        <v>6042070338</v>
      </c>
      <c r="I22" s="12" t="e">
        <f ca="1">VLOOKUP(D22,Input!B:M,10,0)</f>
        <v>#N/A</v>
      </c>
      <c r="J22" s="12"/>
      <c r="K22" s="12"/>
      <c r="L22" s="12"/>
      <c r="M22" s="12" t="e">
        <f ca="1">VLOOKUP(D22,Input!B:M,12,0)</f>
        <v>#N/A</v>
      </c>
      <c r="N22" s="12" t="e">
        <f ca="1">VLOOKUP(D22,Input!B:N,11,0)</f>
        <v>#N/A</v>
      </c>
      <c r="O22" s="12" t="e">
        <f ca="1">VLOOKUP(D22,Input!B:M,6,0)</f>
        <v>#N/A</v>
      </c>
      <c r="P22" s="6">
        <v>21</v>
      </c>
    </row>
    <row r="23" spans="1:16" ht="14.25">
      <c r="A23" s="13" t="str">
        <f>IFERROR(VLOOKUP($D:$D,scan!$A:$B,2,0),"**")</f>
        <v>**</v>
      </c>
      <c r="B23" s="13" t="str">
        <f>IFERROR(VLOOKUP($D23,scan!A:C,3,0),"**")</f>
        <v>**</v>
      </c>
      <c r="C23" s="5">
        <v>426</v>
      </c>
      <c r="D23" s="15"/>
      <c r="E23" s="16" t="str">
        <f t="shared" si="0"/>
        <v>22.**.</v>
      </c>
      <c r="F23" s="3" t="s">
        <v>4950</v>
      </c>
      <c r="G23" s="3" t="s">
        <v>4951</v>
      </c>
      <c r="H23" s="3">
        <v>6042070338</v>
      </c>
      <c r="I23" s="12" t="e">
        <f ca="1">VLOOKUP(D23,Input!B:M,10,0)</f>
        <v>#N/A</v>
      </c>
      <c r="J23" s="12"/>
      <c r="K23" s="12"/>
      <c r="L23" s="12"/>
      <c r="M23" s="12" t="e">
        <f ca="1">VLOOKUP(D23,Input!B:M,12,0)</f>
        <v>#N/A</v>
      </c>
      <c r="N23" s="12" t="e">
        <f ca="1">VLOOKUP(D23,Input!B:N,11,0)</f>
        <v>#N/A</v>
      </c>
      <c r="O23" s="12" t="e">
        <f ca="1">VLOOKUP(D23,Input!B:M,6,0)</f>
        <v>#N/A</v>
      </c>
      <c r="P23" s="6">
        <v>22</v>
      </c>
    </row>
    <row r="24" spans="1:16" ht="14.25">
      <c r="A24" s="13" t="str">
        <f>IFERROR(VLOOKUP($D:$D,scan!$A:$B,2,0),"**")</f>
        <v>**</v>
      </c>
      <c r="B24" s="13" t="str">
        <f>IFERROR(VLOOKUP($D24,scan!A:C,3,0),"**")</f>
        <v>**</v>
      </c>
      <c r="C24" s="5">
        <v>569</v>
      </c>
      <c r="D24" s="15"/>
      <c r="E24" s="16" t="str">
        <f t="shared" si="0"/>
        <v>23.**.</v>
      </c>
      <c r="F24" s="3" t="s">
        <v>4950</v>
      </c>
      <c r="G24" s="3" t="s">
        <v>4951</v>
      </c>
      <c r="H24" s="3">
        <v>6042070338</v>
      </c>
      <c r="I24" s="12" t="e">
        <f ca="1">VLOOKUP(D24,Input!B:M,10,0)</f>
        <v>#N/A</v>
      </c>
      <c r="J24" s="12"/>
      <c r="K24" s="12"/>
      <c r="L24" s="12"/>
      <c r="M24" s="12" t="e">
        <f ca="1">VLOOKUP(D24,Input!B:M,12,0)</f>
        <v>#N/A</v>
      </c>
      <c r="N24" s="12" t="e">
        <f ca="1">VLOOKUP(D24,Input!B:N,11,0)</f>
        <v>#N/A</v>
      </c>
      <c r="O24" s="12" t="e">
        <f ca="1">VLOOKUP(D24,Input!B:M,6,0)</f>
        <v>#N/A</v>
      </c>
      <c r="P24" s="6">
        <v>23</v>
      </c>
    </row>
    <row r="25" spans="1:16" ht="14.25">
      <c r="A25" s="13" t="str">
        <f>IFERROR(VLOOKUP($D:$D,scan!$A:$B,2,0),"**")</f>
        <v>**</v>
      </c>
      <c r="B25" s="13" t="str">
        <f>IFERROR(VLOOKUP($D25,scan!A:C,3,0),"**")</f>
        <v>**</v>
      </c>
      <c r="C25" s="14">
        <v>350</v>
      </c>
      <c r="D25" s="15"/>
      <c r="E25" s="16" t="str">
        <f t="shared" si="0"/>
        <v>24.**.</v>
      </c>
      <c r="F25" s="3" t="s">
        <v>4950</v>
      </c>
      <c r="G25" s="3" t="s">
        <v>4951</v>
      </c>
      <c r="H25" s="3">
        <v>6042070338</v>
      </c>
      <c r="I25" s="12" t="e">
        <f ca="1">VLOOKUP(D25,Input!B:M,10,0)</f>
        <v>#N/A</v>
      </c>
      <c r="J25" s="12"/>
      <c r="K25" s="12"/>
      <c r="L25" s="12"/>
      <c r="M25" s="12" t="e">
        <f ca="1">VLOOKUP(D25,Input!B:M,12,0)</f>
        <v>#N/A</v>
      </c>
      <c r="N25" s="12" t="e">
        <f ca="1">VLOOKUP(D25,Input!B:N,11,0)</f>
        <v>#N/A</v>
      </c>
      <c r="O25" s="12" t="e">
        <f ca="1">VLOOKUP(D25,Input!B:M,6,0)</f>
        <v>#N/A</v>
      </c>
      <c r="P25" s="6">
        <v>24</v>
      </c>
    </row>
    <row r="26" spans="1:16" ht="14.25">
      <c r="A26" s="13" t="str">
        <f>IFERROR(VLOOKUP($D:$D,scan!$A:$B,2,0),"**")</f>
        <v>**</v>
      </c>
      <c r="B26" s="13" t="str">
        <f>IFERROR(VLOOKUP($D26,scan!A:C,3,0),"**")</f>
        <v>**</v>
      </c>
      <c r="C26" s="14">
        <v>235</v>
      </c>
      <c r="D26" s="15"/>
      <c r="E26" s="16" t="str">
        <f t="shared" si="0"/>
        <v>25.**.</v>
      </c>
      <c r="F26" s="3" t="s">
        <v>4950</v>
      </c>
      <c r="G26" s="3" t="s">
        <v>4951</v>
      </c>
      <c r="H26" s="3">
        <v>6042070338</v>
      </c>
      <c r="I26" s="12" t="e">
        <f ca="1">VLOOKUP(D26,Input!B:M,10,0)</f>
        <v>#N/A</v>
      </c>
      <c r="J26" s="12"/>
      <c r="K26" s="12"/>
      <c r="L26" s="12"/>
      <c r="M26" s="12" t="e">
        <f ca="1">VLOOKUP(D26,Input!B:M,12,0)</f>
        <v>#N/A</v>
      </c>
      <c r="N26" s="12" t="e">
        <f ca="1">VLOOKUP(D26,Input!B:N,11,0)</f>
        <v>#N/A</v>
      </c>
      <c r="O26" s="12" t="e">
        <f ca="1">VLOOKUP(D26,Input!B:M,6,0)</f>
        <v>#N/A</v>
      </c>
      <c r="P26" s="6">
        <v>25</v>
      </c>
    </row>
    <row r="27" spans="1:16" ht="14.25">
      <c r="A27" s="13" t="str">
        <f>IFERROR(VLOOKUP($D:$D,scan!$A:$B,2,0),"**")</f>
        <v>**</v>
      </c>
      <c r="B27" s="13" t="str">
        <f>IFERROR(VLOOKUP($D27,scan!A:C,3,0),"**")</f>
        <v>**</v>
      </c>
      <c r="C27" s="14">
        <v>551</v>
      </c>
      <c r="D27" s="15"/>
      <c r="E27" s="16" t="str">
        <f t="shared" si="0"/>
        <v>26.**.</v>
      </c>
      <c r="F27" s="3" t="s">
        <v>4950</v>
      </c>
      <c r="G27" s="3" t="s">
        <v>4951</v>
      </c>
      <c r="H27" s="3">
        <v>6042070338</v>
      </c>
      <c r="I27" s="12" t="e">
        <f ca="1">VLOOKUP(D27,Input!B:M,10,0)</f>
        <v>#N/A</v>
      </c>
      <c r="J27" s="12"/>
      <c r="K27" s="12"/>
      <c r="L27" s="12"/>
      <c r="M27" s="12" t="e">
        <f ca="1">VLOOKUP(D27,Input!B:M,12,0)</f>
        <v>#N/A</v>
      </c>
      <c r="N27" s="12" t="e">
        <f ca="1">VLOOKUP(D27,Input!B:N,11,0)</f>
        <v>#N/A</v>
      </c>
      <c r="O27" s="12" t="e">
        <f ca="1">VLOOKUP(D27,Input!B:M,6,0)</f>
        <v>#N/A</v>
      </c>
      <c r="P27" s="6">
        <v>26</v>
      </c>
    </row>
    <row r="28" spans="1:16" ht="14.25">
      <c r="A28" s="13" t="str">
        <f>IFERROR(VLOOKUP($D:$D,scan!$A:$B,2,0),"**")</f>
        <v>**</v>
      </c>
      <c r="B28" s="13" t="str">
        <f>IFERROR(VLOOKUP($D28,scan!A:C,3,0),"**")</f>
        <v>**</v>
      </c>
      <c r="C28" s="5">
        <v>106</v>
      </c>
      <c r="D28" s="15"/>
      <c r="E28" s="16" t="str">
        <f t="shared" si="0"/>
        <v>27.**.</v>
      </c>
      <c r="F28" s="3" t="s">
        <v>4950</v>
      </c>
      <c r="G28" s="3" t="s">
        <v>4951</v>
      </c>
      <c r="H28" s="3">
        <v>6042070338</v>
      </c>
      <c r="I28" s="12" t="e">
        <f ca="1">VLOOKUP(D28,Input!B:M,10,0)</f>
        <v>#N/A</v>
      </c>
      <c r="J28" s="12"/>
      <c r="K28" s="12"/>
      <c r="L28" s="12"/>
      <c r="M28" s="12" t="e">
        <f ca="1">VLOOKUP(D28,Input!B:M,12,0)</f>
        <v>#N/A</v>
      </c>
      <c r="N28" s="12" t="e">
        <f ca="1">VLOOKUP(D28,Input!B:N,11,0)</f>
        <v>#N/A</v>
      </c>
      <c r="O28" s="12" t="e">
        <f ca="1">VLOOKUP(D28,Input!B:M,6,0)</f>
        <v>#N/A</v>
      </c>
      <c r="P28" s="6">
        <v>27</v>
      </c>
    </row>
    <row r="29" spans="1:16" ht="14.25">
      <c r="A29" s="13" t="str">
        <f>IFERROR(VLOOKUP($D:$D,scan!$A:$B,2,0),"**")</f>
        <v>**</v>
      </c>
      <c r="B29" s="13" t="str">
        <f>IFERROR(VLOOKUP($D29,scan!A:C,3,0),"**")</f>
        <v>**</v>
      </c>
      <c r="C29" s="14">
        <v>508</v>
      </c>
      <c r="D29" s="15"/>
      <c r="E29" s="16" t="str">
        <f t="shared" si="0"/>
        <v>28.**.</v>
      </c>
      <c r="F29" s="3" t="s">
        <v>4950</v>
      </c>
      <c r="G29" s="3" t="s">
        <v>4951</v>
      </c>
      <c r="H29" s="3">
        <v>6042070338</v>
      </c>
      <c r="I29" s="12" t="e">
        <f ca="1">VLOOKUP(D29,Input!B:M,10,0)</f>
        <v>#N/A</v>
      </c>
      <c r="J29" s="12"/>
      <c r="K29" s="12"/>
      <c r="L29" s="12"/>
      <c r="M29" s="12" t="e">
        <f ca="1">VLOOKUP(D29,Input!B:M,12,0)</f>
        <v>#N/A</v>
      </c>
      <c r="N29" s="12" t="e">
        <f ca="1">VLOOKUP(D29,Input!B:N,11,0)</f>
        <v>#N/A</v>
      </c>
      <c r="O29" s="12" t="e">
        <f ca="1">VLOOKUP(D29,Input!B:M,6,0)</f>
        <v>#N/A</v>
      </c>
      <c r="P29" s="6">
        <v>28</v>
      </c>
    </row>
    <row r="30" spans="1:16" ht="14.25">
      <c r="A30" s="13" t="str">
        <f>IFERROR(VLOOKUP($D:$D,scan!$A:$B,2,0),"**")</f>
        <v>**</v>
      </c>
      <c r="B30" s="13" t="str">
        <f>IFERROR(VLOOKUP($D30,scan!A:C,3,0),"**")</f>
        <v>**</v>
      </c>
      <c r="C30" s="14">
        <v>120</v>
      </c>
      <c r="D30" s="15"/>
      <c r="E30" s="16" t="str">
        <f t="shared" si="0"/>
        <v>29.**.</v>
      </c>
      <c r="F30" s="3" t="s">
        <v>4950</v>
      </c>
      <c r="G30" s="3" t="s">
        <v>4951</v>
      </c>
      <c r="H30" s="3">
        <v>6042070338</v>
      </c>
      <c r="I30" s="12" t="e">
        <f ca="1">VLOOKUP(D30,Input!B:M,10,0)</f>
        <v>#N/A</v>
      </c>
      <c r="J30" s="12"/>
      <c r="K30" s="12"/>
      <c r="L30" s="12"/>
      <c r="M30" s="12" t="e">
        <f ca="1">VLOOKUP(D30,Input!B:M,12,0)</f>
        <v>#N/A</v>
      </c>
      <c r="N30" s="12" t="e">
        <f ca="1">VLOOKUP(D30,Input!B:N,11,0)</f>
        <v>#N/A</v>
      </c>
      <c r="O30" s="12" t="e">
        <f ca="1">VLOOKUP(D30,Input!B:M,6,0)</f>
        <v>#N/A</v>
      </c>
      <c r="P30" s="6">
        <v>29</v>
      </c>
    </row>
    <row r="31" spans="1:16" ht="14.25">
      <c r="A31" s="13" t="str">
        <f>IFERROR(VLOOKUP($D:$D,scan!$A:$B,2,0),"**")</f>
        <v>**</v>
      </c>
      <c r="B31" s="13" t="str">
        <f>IFERROR(VLOOKUP($D31,scan!A:C,3,0),"**")</f>
        <v>**</v>
      </c>
      <c r="C31" s="14">
        <v>105</v>
      </c>
      <c r="D31" s="15"/>
      <c r="E31" s="16" t="str">
        <f t="shared" si="0"/>
        <v>30.**.</v>
      </c>
      <c r="F31" s="3" t="s">
        <v>4950</v>
      </c>
      <c r="G31" s="3" t="s">
        <v>4951</v>
      </c>
      <c r="H31" s="3">
        <v>6042070338</v>
      </c>
      <c r="I31" s="12" t="e">
        <f ca="1">VLOOKUP(D31,Input!B:M,10,0)</f>
        <v>#N/A</v>
      </c>
      <c r="J31" s="12"/>
      <c r="K31" s="12"/>
      <c r="L31" s="12"/>
      <c r="M31" s="12" t="e">
        <f ca="1">VLOOKUP(D31,Input!B:M,12,0)</f>
        <v>#N/A</v>
      </c>
      <c r="N31" s="12" t="e">
        <f ca="1">VLOOKUP(D31,Input!B:N,11,0)</f>
        <v>#N/A</v>
      </c>
      <c r="O31" s="12" t="e">
        <f ca="1">VLOOKUP(D31,Input!B:M,6,0)</f>
        <v>#N/A</v>
      </c>
      <c r="P31" s="6">
        <v>30</v>
      </c>
    </row>
    <row r="32" spans="1:16" ht="15.75">
      <c r="A32" s="13" t="str">
        <f>IFERROR(VLOOKUP($D:$D,scan!$A:$B,2,0),"**")</f>
        <v>**</v>
      </c>
      <c r="B32" s="13" t="str">
        <f>IFERROR(VLOOKUP($D32,scan!A:C,3,0),"**")</f>
        <v>**</v>
      </c>
      <c r="C32" s="14">
        <v>631</v>
      </c>
      <c r="D32" s="18"/>
      <c r="E32" s="16" t="str">
        <f t="shared" si="0"/>
        <v>31.**.</v>
      </c>
      <c r="F32" s="3" t="s">
        <v>4950</v>
      </c>
      <c r="G32" s="3" t="s">
        <v>4951</v>
      </c>
      <c r="H32" s="3">
        <v>6042070338</v>
      </c>
      <c r="I32" s="12" t="e">
        <f ca="1">VLOOKUP(D32,Input!B:M,10,0)</f>
        <v>#N/A</v>
      </c>
      <c r="J32" s="12"/>
      <c r="K32" s="12"/>
      <c r="L32" s="12"/>
      <c r="M32" s="12" t="e">
        <f ca="1">VLOOKUP(D32,Input!B:M,12,0)</f>
        <v>#N/A</v>
      </c>
      <c r="N32" s="12" t="e">
        <f ca="1">VLOOKUP(D32,Input!B:N,11,0)</f>
        <v>#N/A</v>
      </c>
      <c r="O32" s="12" t="e">
        <f ca="1">VLOOKUP(D32,Input!B:M,6,0)</f>
        <v>#N/A</v>
      </c>
      <c r="P32" s="6">
        <v>31</v>
      </c>
    </row>
    <row r="33" spans="1:16" ht="14.25">
      <c r="A33" s="13" t="str">
        <f>IFERROR(VLOOKUP($D:$D,scan!$A:$B,2,0),"**")</f>
        <v>**</v>
      </c>
      <c r="B33" s="13" t="str">
        <f>IFERROR(VLOOKUP($D33,scan!A:C,3,0),"**")</f>
        <v>**</v>
      </c>
      <c r="C33" s="14">
        <v>428</v>
      </c>
      <c r="D33" s="15"/>
      <c r="E33" s="16" t="str">
        <f t="shared" si="0"/>
        <v>32.**.</v>
      </c>
      <c r="F33" s="3" t="s">
        <v>4950</v>
      </c>
      <c r="G33" s="3" t="s">
        <v>4951</v>
      </c>
      <c r="H33" s="3">
        <v>6042070338</v>
      </c>
      <c r="I33" s="12" t="e">
        <f ca="1">VLOOKUP(D33,Input!B:M,10,0)</f>
        <v>#N/A</v>
      </c>
      <c r="J33" s="12"/>
      <c r="K33" s="12"/>
      <c r="L33" s="12"/>
      <c r="M33" s="12" t="e">
        <f ca="1">VLOOKUP(D33,Input!B:M,12,0)</f>
        <v>#N/A</v>
      </c>
      <c r="N33" s="12" t="e">
        <f ca="1">VLOOKUP(D33,Input!B:N,11,0)</f>
        <v>#N/A</v>
      </c>
      <c r="O33" s="12" t="e">
        <f ca="1">VLOOKUP(D33,Input!B:M,6,0)</f>
        <v>#N/A</v>
      </c>
      <c r="P33" s="6">
        <v>32</v>
      </c>
    </row>
    <row r="34" spans="1:16" ht="14.25">
      <c r="A34" s="13" t="str">
        <f>IFERROR(VLOOKUP($D:$D,scan!$A:$B,2,0),"**")</f>
        <v>**</v>
      </c>
      <c r="B34" s="13" t="str">
        <f>IFERROR(VLOOKUP($D34,scan!A:C,3,0),"**")</f>
        <v>**</v>
      </c>
      <c r="C34" s="14">
        <v>369</v>
      </c>
      <c r="D34" s="15"/>
      <c r="E34" s="16" t="str">
        <f t="shared" si="0"/>
        <v>33.**.</v>
      </c>
      <c r="F34" s="3" t="s">
        <v>4950</v>
      </c>
      <c r="G34" s="3" t="s">
        <v>4951</v>
      </c>
      <c r="H34" s="3">
        <v>6042070338</v>
      </c>
      <c r="I34" s="12" t="e">
        <f ca="1">VLOOKUP(D34,Input!B:M,10,0)</f>
        <v>#N/A</v>
      </c>
      <c r="J34" s="12"/>
      <c r="K34" s="12"/>
      <c r="L34" s="12"/>
      <c r="M34" s="12" t="e">
        <f ca="1">VLOOKUP(D34,Input!B:M,12,0)</f>
        <v>#N/A</v>
      </c>
      <c r="N34" s="12" t="e">
        <f ca="1">VLOOKUP(D34,Input!B:N,11,0)</f>
        <v>#N/A</v>
      </c>
      <c r="O34" s="12" t="e">
        <f ca="1">VLOOKUP(D34,Input!B:M,6,0)</f>
        <v>#N/A</v>
      </c>
      <c r="P34" s="6">
        <v>33</v>
      </c>
    </row>
    <row r="35" spans="1:16" ht="14.25">
      <c r="A35" s="13" t="str">
        <f>IFERROR(VLOOKUP($D:$D,scan!$A:$B,2,0),"**")</f>
        <v>**</v>
      </c>
      <c r="B35" s="13" t="str">
        <f>IFERROR(VLOOKUP($D35,scan!A:C,3,0),"**")</f>
        <v>**</v>
      </c>
      <c r="C35" s="14">
        <v>119</v>
      </c>
      <c r="D35" s="15"/>
      <c r="E35" s="16" t="str">
        <f t="shared" si="0"/>
        <v>34.**.</v>
      </c>
      <c r="F35" s="3" t="s">
        <v>4950</v>
      </c>
      <c r="G35" s="3" t="s">
        <v>4951</v>
      </c>
      <c r="H35" s="3">
        <v>6042070338</v>
      </c>
      <c r="I35" s="12" t="e">
        <f ca="1">VLOOKUP(D35,Input!B:M,10,0)</f>
        <v>#N/A</v>
      </c>
      <c r="J35" s="12"/>
      <c r="K35" s="12"/>
      <c r="L35" s="12"/>
      <c r="M35" s="12" t="e">
        <f ca="1">VLOOKUP(D35,Input!B:M,12,0)</f>
        <v>#N/A</v>
      </c>
      <c r="N35" s="12" t="e">
        <f ca="1">VLOOKUP(D35,Input!B:N,11,0)</f>
        <v>#N/A</v>
      </c>
      <c r="O35" s="12" t="e">
        <f ca="1">VLOOKUP(D35,Input!B:M,6,0)</f>
        <v>#N/A</v>
      </c>
      <c r="P35" s="6">
        <v>34</v>
      </c>
    </row>
    <row r="36" spans="1:16" ht="14.25">
      <c r="A36" s="13" t="str">
        <f>IFERROR(VLOOKUP($D:$D,scan!$A:$B,2,0),"**")</f>
        <v>**</v>
      </c>
      <c r="B36" s="13" t="str">
        <f>IFERROR(VLOOKUP($D36,scan!A:C,3,0),"**")</f>
        <v>**</v>
      </c>
      <c r="C36" s="14">
        <v>115</v>
      </c>
      <c r="D36" s="15"/>
      <c r="E36" s="16" t="str">
        <f t="shared" si="0"/>
        <v>35.**.</v>
      </c>
      <c r="F36" s="3" t="s">
        <v>4950</v>
      </c>
      <c r="G36" s="3" t="s">
        <v>4951</v>
      </c>
      <c r="H36" s="3">
        <v>6042070338</v>
      </c>
      <c r="I36" s="12" t="e">
        <f ca="1">VLOOKUP(D36,Input!B:M,10,0)</f>
        <v>#N/A</v>
      </c>
      <c r="J36" s="12"/>
      <c r="K36" s="12"/>
      <c r="L36" s="12"/>
      <c r="M36" s="12" t="e">
        <f ca="1">VLOOKUP(D36,Input!B:M,12,0)</f>
        <v>#N/A</v>
      </c>
      <c r="N36" s="12" t="e">
        <f ca="1">VLOOKUP(D36,Input!B:N,11,0)</f>
        <v>#N/A</v>
      </c>
      <c r="O36" s="12" t="e">
        <f ca="1">VLOOKUP(D36,Input!B:M,6,0)</f>
        <v>#N/A</v>
      </c>
      <c r="P36" s="6">
        <v>35</v>
      </c>
    </row>
    <row r="37" spans="1:16" ht="14.25">
      <c r="A37" s="13" t="str">
        <f>IFERROR(VLOOKUP($D:$D,scan!$A:$B,2,0),"**")</f>
        <v>**</v>
      </c>
      <c r="B37" s="13" t="str">
        <f>IFERROR(VLOOKUP($D37,scan!A:C,3,0),"**")</f>
        <v>**</v>
      </c>
      <c r="C37" s="14">
        <v>272</v>
      </c>
      <c r="D37" s="15"/>
      <c r="E37" s="16" t="str">
        <f t="shared" si="0"/>
        <v>36.**.</v>
      </c>
      <c r="F37" s="3" t="s">
        <v>4950</v>
      </c>
      <c r="G37" s="3" t="s">
        <v>4951</v>
      </c>
      <c r="H37" s="3">
        <v>6042070338</v>
      </c>
      <c r="I37" s="12" t="e">
        <f ca="1">VLOOKUP(D37,Input!B:M,10,0)</f>
        <v>#N/A</v>
      </c>
      <c r="J37" s="12"/>
      <c r="K37" s="12"/>
      <c r="L37" s="12"/>
      <c r="M37" s="12" t="e">
        <f ca="1">VLOOKUP(D37,Input!B:M,12,0)</f>
        <v>#N/A</v>
      </c>
      <c r="N37" s="12" t="e">
        <f ca="1">VLOOKUP(D37,Input!B:N,11,0)</f>
        <v>#N/A</v>
      </c>
      <c r="O37" s="12" t="e">
        <f ca="1">VLOOKUP(D37,Input!B:M,6,0)</f>
        <v>#N/A</v>
      </c>
      <c r="P37" s="6">
        <v>36</v>
      </c>
    </row>
    <row r="38" spans="1:16" ht="14.25">
      <c r="A38" s="13" t="str">
        <f>IFERROR(VLOOKUP($D:$D,scan!$A:$B,2,0),"**")</f>
        <v>**</v>
      </c>
      <c r="B38" s="13" t="str">
        <f>IFERROR(VLOOKUP($D38,scan!A:C,3,0),"**")</f>
        <v>**</v>
      </c>
      <c r="C38" s="14">
        <v>424</v>
      </c>
      <c r="D38" s="15"/>
      <c r="E38" s="16" t="str">
        <f t="shared" si="0"/>
        <v>37.**.</v>
      </c>
      <c r="F38" s="3" t="s">
        <v>4950</v>
      </c>
      <c r="G38" s="3" t="s">
        <v>4951</v>
      </c>
      <c r="H38" s="3">
        <v>6042070338</v>
      </c>
      <c r="I38" s="12" t="e">
        <f ca="1">VLOOKUP(D38,Input!B:M,10,0)</f>
        <v>#N/A</v>
      </c>
      <c r="J38" s="12"/>
      <c r="K38" s="12"/>
      <c r="L38" s="12"/>
      <c r="M38" s="12" t="e">
        <f ca="1">VLOOKUP(D38,Input!B:M,12,0)</f>
        <v>#N/A</v>
      </c>
      <c r="N38" s="12" t="e">
        <f ca="1">VLOOKUP(D38,Input!B:N,11,0)</f>
        <v>#N/A</v>
      </c>
      <c r="O38" s="12" t="e">
        <f ca="1">VLOOKUP(D38,Input!B:M,6,0)</f>
        <v>#N/A</v>
      </c>
      <c r="P38" s="6">
        <v>37</v>
      </c>
    </row>
    <row r="39" spans="1:16" ht="14.25">
      <c r="A39" s="13" t="str">
        <f>IFERROR(VLOOKUP($D:$D,scan!$A:$B,2,0),"**")</f>
        <v>**</v>
      </c>
      <c r="B39" s="13" t="str">
        <f>IFERROR(VLOOKUP($D39,scan!A:C,3,0),"**")</f>
        <v>**</v>
      </c>
      <c r="C39" s="14">
        <v>571</v>
      </c>
      <c r="D39" s="15"/>
      <c r="E39" s="16" t="str">
        <f t="shared" si="0"/>
        <v>38.**.</v>
      </c>
      <c r="F39" s="3" t="s">
        <v>4950</v>
      </c>
      <c r="G39" s="3" t="s">
        <v>4951</v>
      </c>
      <c r="H39" s="3">
        <v>6042070338</v>
      </c>
      <c r="I39" s="12" t="e">
        <f ca="1">VLOOKUP(D39,Input!B:M,10,0)</f>
        <v>#N/A</v>
      </c>
      <c r="J39" s="12"/>
      <c r="K39" s="12"/>
      <c r="L39" s="12"/>
      <c r="M39" s="12" t="e">
        <f ca="1">VLOOKUP(D39,Input!B:M,12,0)</f>
        <v>#N/A</v>
      </c>
      <c r="N39" s="12" t="e">
        <f ca="1">VLOOKUP(D39,Input!B:N,11,0)</f>
        <v>#N/A</v>
      </c>
      <c r="O39" s="12" t="e">
        <f ca="1">VLOOKUP(D39,Input!B:M,6,0)</f>
        <v>#N/A</v>
      </c>
      <c r="P39" s="6">
        <v>38</v>
      </c>
    </row>
    <row r="40" spans="1:16" ht="14.25">
      <c r="A40" s="13" t="str">
        <f>IFERROR(VLOOKUP($D:$D,scan!$A:$B,2,0),"**")</f>
        <v>**</v>
      </c>
      <c r="B40" s="13" t="str">
        <f>IFERROR(VLOOKUP($D40,scan!A:C,3,0),"**")</f>
        <v>**</v>
      </c>
      <c r="C40" s="14">
        <v>273</v>
      </c>
      <c r="D40" s="15"/>
      <c r="E40" s="16" t="str">
        <f t="shared" si="0"/>
        <v>39.**.</v>
      </c>
      <c r="F40" s="3" t="s">
        <v>4950</v>
      </c>
      <c r="G40" s="3" t="s">
        <v>4951</v>
      </c>
      <c r="H40" s="3">
        <v>6042070338</v>
      </c>
      <c r="I40" s="12" t="e">
        <f ca="1">VLOOKUP(D40,Input!B:M,10,0)</f>
        <v>#N/A</v>
      </c>
      <c r="J40" s="12"/>
      <c r="K40" s="12"/>
      <c r="L40" s="12"/>
      <c r="M40" s="12" t="e">
        <f ca="1">VLOOKUP(D40,Input!B:M,12,0)</f>
        <v>#N/A</v>
      </c>
      <c r="N40" s="12" t="e">
        <f ca="1">VLOOKUP(D40,Input!B:N,11,0)</f>
        <v>#N/A</v>
      </c>
      <c r="O40" s="12" t="e">
        <f ca="1">VLOOKUP(D40,Input!B:M,6,0)</f>
        <v>#N/A</v>
      </c>
      <c r="P40" s="6">
        <v>39</v>
      </c>
    </row>
    <row r="41" spans="1:16" ht="14.25">
      <c r="A41" s="13" t="str">
        <f>IFERROR(VLOOKUP($D:$D,scan!$A:$B,2,0),"**")</f>
        <v>**</v>
      </c>
      <c r="B41" s="13" t="str">
        <f>IFERROR(VLOOKUP($D41,scan!A:C,3,0),"**")</f>
        <v>**</v>
      </c>
      <c r="C41" s="14">
        <v>567</v>
      </c>
      <c r="D41" s="15"/>
      <c r="E41" s="16" t="str">
        <f t="shared" si="0"/>
        <v>40.**.</v>
      </c>
      <c r="F41" s="3" t="s">
        <v>4950</v>
      </c>
      <c r="G41" s="3" t="s">
        <v>4951</v>
      </c>
      <c r="H41" s="3">
        <v>6042070338</v>
      </c>
      <c r="I41" s="12" t="e">
        <f ca="1">VLOOKUP(D41,Input!B:M,10,0)</f>
        <v>#N/A</v>
      </c>
      <c r="J41" s="12"/>
      <c r="K41" s="12"/>
      <c r="L41" s="12"/>
      <c r="M41" s="12" t="e">
        <f ca="1">VLOOKUP(D41,Input!B:M,12,0)</f>
        <v>#N/A</v>
      </c>
      <c r="N41" s="12" t="e">
        <f ca="1">VLOOKUP(D41,Input!B:N,11,0)</f>
        <v>#N/A</v>
      </c>
      <c r="O41" s="12" t="e">
        <f ca="1">VLOOKUP(D41,Input!B:M,6,0)</f>
        <v>#N/A</v>
      </c>
      <c r="P41" s="6">
        <v>40</v>
      </c>
    </row>
    <row r="42" spans="1:16" ht="14.25">
      <c r="A42" s="13" t="str">
        <f>IFERROR(VLOOKUP($D:$D,scan!$A:$B,2,0),"**")</f>
        <v>**</v>
      </c>
      <c r="B42" s="13" t="str">
        <f>IFERROR(VLOOKUP($D42,scan!A:C,3,0),"**")</f>
        <v>**</v>
      </c>
      <c r="C42" s="14">
        <v>522</v>
      </c>
      <c r="D42" s="15"/>
      <c r="E42" s="16" t="str">
        <f t="shared" si="0"/>
        <v>41.**.</v>
      </c>
      <c r="F42" s="3" t="s">
        <v>4950</v>
      </c>
      <c r="G42" s="3" t="s">
        <v>4951</v>
      </c>
      <c r="H42" s="3">
        <v>6042070338</v>
      </c>
      <c r="I42" s="12" t="e">
        <f ca="1">VLOOKUP(D42,Input!B:M,10,0)</f>
        <v>#N/A</v>
      </c>
      <c r="J42" s="12"/>
      <c r="K42" s="12"/>
      <c r="L42" s="12"/>
      <c r="M42" s="12" t="e">
        <f ca="1">VLOOKUP(D42,Input!B:M,12,0)</f>
        <v>#N/A</v>
      </c>
      <c r="N42" s="12" t="e">
        <f ca="1">VLOOKUP(D42,Input!B:N,11,0)</f>
        <v>#N/A</v>
      </c>
      <c r="O42" s="12" t="e">
        <f ca="1">VLOOKUP(D42,Input!B:M,6,0)</f>
        <v>#N/A</v>
      </c>
      <c r="P42" s="6">
        <v>41</v>
      </c>
    </row>
    <row r="43" spans="1:16" ht="14.25">
      <c r="A43" s="13" t="str">
        <f>IFERROR(VLOOKUP($D:$D,scan!$A:$B,2,0),"**")</f>
        <v>**</v>
      </c>
      <c r="B43" s="13" t="str">
        <f>IFERROR(VLOOKUP($D43,scan!A:C,3,0),"**")</f>
        <v>**</v>
      </c>
      <c r="C43" s="14">
        <v>42</v>
      </c>
      <c r="D43" s="15"/>
      <c r="E43" s="16" t="str">
        <f t="shared" si="0"/>
        <v>42.**.</v>
      </c>
      <c r="F43" s="3" t="s">
        <v>4950</v>
      </c>
      <c r="G43" s="3" t="s">
        <v>4951</v>
      </c>
      <c r="H43" s="3">
        <v>6042070338</v>
      </c>
      <c r="I43" s="12" t="e">
        <f ca="1">VLOOKUP(D43,Input!B:M,10,0)</f>
        <v>#N/A</v>
      </c>
      <c r="J43" s="12"/>
      <c r="K43" s="12"/>
      <c r="L43" s="12"/>
      <c r="M43" s="12" t="e">
        <f ca="1">VLOOKUP(D43,Input!B:M,12,0)</f>
        <v>#N/A</v>
      </c>
      <c r="N43" s="12" t="e">
        <f ca="1">VLOOKUP(D43,Input!B:N,11,0)</f>
        <v>#N/A</v>
      </c>
      <c r="O43" s="12" t="e">
        <f ca="1">VLOOKUP(D43,Input!B:M,6,0)</f>
        <v>#N/A</v>
      </c>
      <c r="P43" s="6">
        <v>42</v>
      </c>
    </row>
    <row r="44" spans="1:16" ht="14.25">
      <c r="A44" s="13" t="str">
        <f>IFERROR(VLOOKUP($D:$D,scan!$A:$B,2,0),"**")</f>
        <v>**</v>
      </c>
      <c r="B44" s="13" t="str">
        <f>IFERROR(VLOOKUP($D44,scan!A:C,3,0),"**")</f>
        <v>**</v>
      </c>
      <c r="C44" s="14">
        <v>397</v>
      </c>
      <c r="D44" s="15"/>
      <c r="E44" s="16" t="str">
        <f t="shared" si="0"/>
        <v>43.**.</v>
      </c>
      <c r="F44" s="3" t="s">
        <v>4950</v>
      </c>
      <c r="G44" s="3" t="s">
        <v>4951</v>
      </c>
      <c r="H44" s="3">
        <v>6042070338</v>
      </c>
      <c r="I44" s="12" t="e">
        <f ca="1">VLOOKUP(D44,Input!B:M,10,0)</f>
        <v>#N/A</v>
      </c>
      <c r="J44" s="12"/>
      <c r="K44" s="12"/>
      <c r="L44" s="12"/>
      <c r="M44" s="12" t="e">
        <f ca="1">VLOOKUP(D44,Input!B:M,12,0)</f>
        <v>#N/A</v>
      </c>
      <c r="N44" s="12" t="e">
        <f ca="1">VLOOKUP(D44,Input!B:N,11,0)</f>
        <v>#N/A</v>
      </c>
      <c r="O44" s="12" t="e">
        <f ca="1">VLOOKUP(D44,Input!B:M,6,0)</f>
        <v>#N/A</v>
      </c>
      <c r="P44" s="6">
        <v>43</v>
      </c>
    </row>
    <row r="45" spans="1:16" ht="14.25">
      <c r="A45" s="13" t="str">
        <f>IFERROR(VLOOKUP($D:$D,scan!$A:$B,2,0),"**")</f>
        <v>**</v>
      </c>
      <c r="B45" s="13" t="str">
        <f>IFERROR(VLOOKUP($D45,scan!A:C,3,0),"**")</f>
        <v>**</v>
      </c>
      <c r="C45" s="14">
        <v>253</v>
      </c>
      <c r="D45" s="15"/>
      <c r="E45" s="16" t="str">
        <f t="shared" si="0"/>
        <v>44.**.</v>
      </c>
      <c r="F45" s="3" t="s">
        <v>4950</v>
      </c>
      <c r="G45" s="3" t="s">
        <v>4951</v>
      </c>
      <c r="H45" s="3">
        <v>6042070338</v>
      </c>
      <c r="I45" s="12" t="e">
        <f ca="1">VLOOKUP(D45,Input!B:M,10,0)</f>
        <v>#N/A</v>
      </c>
      <c r="J45" s="12"/>
      <c r="K45" s="12"/>
      <c r="L45" s="12"/>
      <c r="M45" s="12" t="e">
        <f ca="1">VLOOKUP(D45,Input!B:M,12,0)</f>
        <v>#N/A</v>
      </c>
      <c r="N45" s="12" t="e">
        <f ca="1">VLOOKUP(D45,Input!B:N,11,0)</f>
        <v>#N/A</v>
      </c>
      <c r="O45" s="12" t="e">
        <f ca="1">VLOOKUP(D45,Input!B:M,6,0)</f>
        <v>#N/A</v>
      </c>
      <c r="P45" s="6">
        <v>44</v>
      </c>
    </row>
    <row r="46" spans="1:16" ht="14.25">
      <c r="A46" s="13" t="str">
        <f>IFERROR(VLOOKUP($D:$D,scan!$A:$B,2,0),"**")</f>
        <v>**</v>
      </c>
      <c r="B46" s="13" t="str">
        <f>IFERROR(VLOOKUP($D46,scan!A:C,3,0),"**")</f>
        <v>**</v>
      </c>
      <c r="C46" s="5">
        <v>41</v>
      </c>
      <c r="D46" s="15"/>
      <c r="E46" s="16" t="str">
        <f t="shared" si="0"/>
        <v>45.**.</v>
      </c>
      <c r="F46" s="3" t="s">
        <v>4950</v>
      </c>
      <c r="G46" s="3" t="s">
        <v>4951</v>
      </c>
      <c r="H46" s="3">
        <v>6042070338</v>
      </c>
      <c r="I46" s="12" t="e">
        <f ca="1">VLOOKUP(D46,Input!B:M,10,0)</f>
        <v>#N/A</v>
      </c>
      <c r="J46" s="12"/>
      <c r="K46" s="12"/>
      <c r="L46" s="12"/>
      <c r="M46" s="12" t="e">
        <f ca="1">VLOOKUP(D46,Input!B:M,12,0)</f>
        <v>#N/A</v>
      </c>
      <c r="N46" s="12" t="e">
        <f ca="1">VLOOKUP(D46,Input!B:N,11,0)</f>
        <v>#N/A</v>
      </c>
      <c r="O46" s="12" t="e">
        <f ca="1">VLOOKUP(D46,Input!B:M,6,0)</f>
        <v>#N/A</v>
      </c>
      <c r="P46" s="6">
        <v>45</v>
      </c>
    </row>
    <row r="47" spans="1:16" ht="14.25">
      <c r="A47" s="13" t="str">
        <f>IFERROR(VLOOKUP($D:$D,scan!$A:$B,2,0),"**")</f>
        <v>**</v>
      </c>
      <c r="B47" s="13" t="str">
        <f>IFERROR(VLOOKUP($D47,scan!A:C,3,0),"**")</f>
        <v>**</v>
      </c>
      <c r="C47" s="14">
        <v>353</v>
      </c>
      <c r="D47" s="15"/>
      <c r="E47" s="16" t="str">
        <f t="shared" si="0"/>
        <v>46.**.</v>
      </c>
      <c r="F47" s="3" t="s">
        <v>4950</v>
      </c>
      <c r="G47" s="3" t="s">
        <v>4951</v>
      </c>
      <c r="H47" s="3">
        <v>6042070338</v>
      </c>
      <c r="I47" s="12" t="e">
        <f ca="1">VLOOKUP(D47,Input!B:M,10,0)</f>
        <v>#N/A</v>
      </c>
      <c r="J47" s="12"/>
      <c r="K47" s="12"/>
      <c r="L47" s="12"/>
      <c r="M47" s="12" t="e">
        <f ca="1">VLOOKUP(D47,Input!B:M,12,0)</f>
        <v>#N/A</v>
      </c>
      <c r="N47" s="12" t="e">
        <f ca="1">VLOOKUP(D47,Input!B:N,11,0)</f>
        <v>#N/A</v>
      </c>
      <c r="O47" s="12" t="e">
        <f ca="1">VLOOKUP(D47,Input!B:M,6,0)</f>
        <v>#N/A</v>
      </c>
      <c r="P47" s="6">
        <v>46</v>
      </c>
    </row>
    <row r="48" spans="1:16" ht="14.25">
      <c r="A48" s="13" t="str">
        <f>IFERROR(VLOOKUP($D:$D,scan!$A:$B,2,0),"**")</f>
        <v>**</v>
      </c>
      <c r="B48" s="13" t="str">
        <f>IFERROR(VLOOKUP($D48,scan!A:C,3,0),"**")</f>
        <v>**</v>
      </c>
      <c r="C48" s="14">
        <v>203</v>
      </c>
      <c r="D48" s="15"/>
      <c r="E48" s="16" t="str">
        <f t="shared" si="0"/>
        <v>47.**.</v>
      </c>
      <c r="F48" s="3" t="s">
        <v>4950</v>
      </c>
      <c r="G48" s="3" t="s">
        <v>4951</v>
      </c>
      <c r="H48" s="3">
        <v>6042070338</v>
      </c>
      <c r="I48" s="12" t="e">
        <f ca="1">VLOOKUP(D48,Input!B:M,10,0)</f>
        <v>#N/A</v>
      </c>
      <c r="J48" s="12"/>
      <c r="K48" s="12"/>
      <c r="L48" s="12"/>
      <c r="M48" s="12" t="e">
        <f ca="1">VLOOKUP(D48,Input!B:M,12,0)</f>
        <v>#N/A</v>
      </c>
      <c r="N48" s="12" t="e">
        <f ca="1">VLOOKUP(D48,Input!B:N,11,0)</f>
        <v>#N/A</v>
      </c>
      <c r="O48" s="12" t="e">
        <f ca="1">VLOOKUP(D48,Input!B:M,6,0)</f>
        <v>#N/A</v>
      </c>
      <c r="P48" s="6">
        <v>47</v>
      </c>
    </row>
    <row r="49" spans="1:16" ht="14.25">
      <c r="A49" s="13" t="str">
        <f>IFERROR(VLOOKUP($D:$D,scan!$A:$B,2,0),"**")</f>
        <v>**</v>
      </c>
      <c r="B49" s="13" t="str">
        <f>IFERROR(VLOOKUP($D49,scan!A:C,3,0),"**")</f>
        <v>**</v>
      </c>
      <c r="C49" s="14">
        <v>242</v>
      </c>
      <c r="D49" s="15"/>
      <c r="E49" s="16" t="str">
        <f t="shared" si="0"/>
        <v>48.**.</v>
      </c>
      <c r="F49" s="3" t="s">
        <v>4950</v>
      </c>
      <c r="G49" s="3" t="s">
        <v>4951</v>
      </c>
      <c r="H49" s="3">
        <v>6042070338</v>
      </c>
      <c r="I49" s="12" t="e">
        <f ca="1">VLOOKUP(D49,Input!B:M,10,0)</f>
        <v>#N/A</v>
      </c>
      <c r="J49" s="12"/>
      <c r="K49" s="12"/>
      <c r="L49" s="12"/>
      <c r="M49" s="12" t="e">
        <f ca="1">VLOOKUP(D49,Input!B:M,12,0)</f>
        <v>#N/A</v>
      </c>
      <c r="N49" s="12" t="e">
        <f ca="1">VLOOKUP(D49,Input!B:N,11,0)</f>
        <v>#N/A</v>
      </c>
      <c r="O49" s="12" t="e">
        <f ca="1">VLOOKUP(D49,Input!B:M,6,0)</f>
        <v>#N/A</v>
      </c>
      <c r="P49" s="6">
        <v>48</v>
      </c>
    </row>
    <row r="50" spans="1:16" ht="14.25">
      <c r="A50" s="13" t="str">
        <f>IFERROR(VLOOKUP($D:$D,scan!$A:$B,2,0),"**")</f>
        <v>**</v>
      </c>
      <c r="B50" s="13" t="str">
        <f>IFERROR(VLOOKUP($D50,scan!A:C,3,0),"**")</f>
        <v>**</v>
      </c>
      <c r="C50" s="14">
        <v>204</v>
      </c>
      <c r="D50" s="15"/>
      <c r="E50" s="16" t="str">
        <f t="shared" si="0"/>
        <v>49.**.</v>
      </c>
      <c r="F50" s="3" t="s">
        <v>4950</v>
      </c>
      <c r="G50" s="3" t="s">
        <v>4951</v>
      </c>
      <c r="H50" s="3">
        <v>6042070338</v>
      </c>
      <c r="I50" s="12" t="e">
        <f ca="1">VLOOKUP(D50,Input!B:M,10,0)</f>
        <v>#N/A</v>
      </c>
      <c r="J50" s="12"/>
      <c r="K50" s="12"/>
      <c r="L50" s="12"/>
      <c r="M50" s="12" t="e">
        <f ca="1">VLOOKUP(D50,Input!B:M,12,0)</f>
        <v>#N/A</v>
      </c>
      <c r="N50" s="12" t="e">
        <f ca="1">VLOOKUP(D50,Input!B:N,11,0)</f>
        <v>#N/A</v>
      </c>
      <c r="O50" s="12" t="e">
        <f ca="1">VLOOKUP(D50,Input!B:M,6,0)</f>
        <v>#N/A</v>
      </c>
      <c r="P50" s="6">
        <v>49</v>
      </c>
    </row>
    <row r="51" spans="1:16" ht="14.25">
      <c r="A51" s="13" t="str">
        <f>IFERROR(VLOOKUP($D:$D,scan!$A:$B,2,0),"**")</f>
        <v>**</v>
      </c>
      <c r="B51" s="13" t="str">
        <f>IFERROR(VLOOKUP($D51,scan!A:C,3,0),"**")</f>
        <v>**</v>
      </c>
      <c r="C51" s="14">
        <v>199</v>
      </c>
      <c r="D51" s="15"/>
      <c r="E51" s="16" t="str">
        <f t="shared" si="0"/>
        <v>50.**.</v>
      </c>
      <c r="F51" s="3" t="s">
        <v>4950</v>
      </c>
      <c r="G51" s="3" t="s">
        <v>4951</v>
      </c>
      <c r="H51" s="3">
        <v>6042070338</v>
      </c>
      <c r="I51" s="12" t="e">
        <f ca="1">VLOOKUP(D51,Input!B:M,10,0)</f>
        <v>#N/A</v>
      </c>
      <c r="J51" s="12"/>
      <c r="K51" s="12"/>
      <c r="L51" s="12"/>
      <c r="M51" s="12" t="e">
        <f ca="1">VLOOKUP(D51,Input!B:M,12,0)</f>
        <v>#N/A</v>
      </c>
      <c r="N51" s="12" t="e">
        <f ca="1">VLOOKUP(D51,Input!B:N,11,0)</f>
        <v>#N/A</v>
      </c>
      <c r="O51" s="12" t="e">
        <f ca="1">VLOOKUP(D51,Input!B:M,6,0)</f>
        <v>#N/A</v>
      </c>
      <c r="P51" s="6">
        <v>50</v>
      </c>
    </row>
    <row r="52" spans="1:16" ht="15.75">
      <c r="A52" s="13" t="str">
        <f>IFERROR(VLOOKUP($D:$D,scan!$A:$B,2,0),"**")</f>
        <v>**</v>
      </c>
      <c r="B52" s="13" t="str">
        <f>IFERROR(VLOOKUP($D52,scan!A:C,3,0),"**")</f>
        <v>**</v>
      </c>
      <c r="C52" s="5">
        <v>632</v>
      </c>
      <c r="D52" s="18"/>
      <c r="E52" s="16" t="str">
        <f t="shared" si="0"/>
        <v>51.**.</v>
      </c>
      <c r="F52" s="3" t="s">
        <v>4950</v>
      </c>
      <c r="G52" s="3" t="s">
        <v>4951</v>
      </c>
      <c r="H52" s="3">
        <v>6042070338</v>
      </c>
      <c r="I52" s="12" t="e">
        <f ca="1">VLOOKUP(D52,Input!B:M,10,0)</f>
        <v>#N/A</v>
      </c>
      <c r="J52" s="12"/>
      <c r="K52" s="12"/>
      <c r="L52" s="12"/>
      <c r="M52" s="12" t="e">
        <f ca="1">VLOOKUP(D52,Input!B:M,12,0)</f>
        <v>#N/A</v>
      </c>
      <c r="N52" s="12" t="e">
        <f ca="1">VLOOKUP(D52,Input!B:N,11,0)</f>
        <v>#N/A</v>
      </c>
      <c r="O52" s="12" t="e">
        <f ca="1">VLOOKUP(D52,Input!B:M,6,0)</f>
        <v>#N/A</v>
      </c>
      <c r="P52" s="6">
        <v>51</v>
      </c>
    </row>
    <row r="53" spans="1:16" ht="14.25">
      <c r="A53" s="13" t="str">
        <f>IFERROR(VLOOKUP($D:$D,scan!$A:$B,2,0),"**")</f>
        <v>**</v>
      </c>
      <c r="B53" s="13" t="str">
        <f>IFERROR(VLOOKUP($D53,scan!A:C,3,0),"**")</f>
        <v>**</v>
      </c>
      <c r="C53" s="14">
        <v>38</v>
      </c>
      <c r="D53" s="15"/>
      <c r="E53" s="16" t="str">
        <f t="shared" si="0"/>
        <v>52.**.</v>
      </c>
      <c r="F53" s="3" t="s">
        <v>4950</v>
      </c>
      <c r="G53" s="3" t="s">
        <v>4951</v>
      </c>
      <c r="H53" s="3">
        <v>6042070338</v>
      </c>
      <c r="I53" s="12" t="e">
        <f ca="1">VLOOKUP(D53,Input!B:M,10,0)</f>
        <v>#N/A</v>
      </c>
      <c r="J53" s="12"/>
      <c r="K53" s="12"/>
      <c r="L53" s="12"/>
      <c r="M53" s="12" t="e">
        <f ca="1">VLOOKUP(D53,Input!B:M,12,0)</f>
        <v>#N/A</v>
      </c>
      <c r="N53" s="12" t="e">
        <f ca="1">VLOOKUP(D53,Input!B:N,11,0)</f>
        <v>#N/A</v>
      </c>
      <c r="O53" s="12" t="e">
        <f ca="1">VLOOKUP(D53,Input!B:M,6,0)</f>
        <v>#N/A</v>
      </c>
      <c r="P53" s="6">
        <v>52</v>
      </c>
    </row>
    <row r="54" spans="1:16" ht="14.25">
      <c r="A54" s="13" t="str">
        <f>IFERROR(VLOOKUP($D:$D,scan!$A:$B,2,0),"**")</f>
        <v>**</v>
      </c>
      <c r="B54" s="13" t="str">
        <f>IFERROR(VLOOKUP($D54,scan!A:C,3,0),"**")</f>
        <v>**</v>
      </c>
      <c r="C54" s="14">
        <v>192</v>
      </c>
      <c r="D54" s="15"/>
      <c r="E54" s="16" t="str">
        <f t="shared" si="0"/>
        <v>53.**.</v>
      </c>
      <c r="F54" s="3" t="s">
        <v>4950</v>
      </c>
      <c r="G54" s="3" t="s">
        <v>4951</v>
      </c>
      <c r="H54" s="3">
        <v>6042070338</v>
      </c>
      <c r="I54" s="12" t="e">
        <f ca="1">VLOOKUP(D54,Input!B:M,10,0)</f>
        <v>#N/A</v>
      </c>
      <c r="J54" s="12"/>
      <c r="K54" s="12"/>
      <c r="L54" s="12"/>
      <c r="M54" s="12" t="e">
        <f ca="1">VLOOKUP(D54,Input!B:M,12,0)</f>
        <v>#N/A</v>
      </c>
      <c r="N54" s="12" t="e">
        <f ca="1">VLOOKUP(D54,Input!B:N,11,0)</f>
        <v>#N/A</v>
      </c>
      <c r="O54" s="12" t="e">
        <f ca="1">VLOOKUP(D54,Input!B:M,6,0)</f>
        <v>#N/A</v>
      </c>
      <c r="P54" s="6">
        <v>53</v>
      </c>
    </row>
    <row r="55" spans="1:16" ht="14.25">
      <c r="A55" s="13" t="str">
        <f>IFERROR(VLOOKUP($D:$D,scan!$A:$B,2,0),"**")</f>
        <v>**</v>
      </c>
      <c r="B55" s="13" t="str">
        <f>IFERROR(VLOOKUP($D55,scan!A:C,3,0),"**")</f>
        <v>**</v>
      </c>
      <c r="C55" s="5">
        <v>51</v>
      </c>
      <c r="D55" s="15"/>
      <c r="E55" s="16" t="str">
        <f t="shared" si="0"/>
        <v>54.**.</v>
      </c>
      <c r="F55" s="3" t="s">
        <v>4950</v>
      </c>
      <c r="G55" s="3" t="s">
        <v>4951</v>
      </c>
      <c r="H55" s="3">
        <v>6042070338</v>
      </c>
      <c r="I55" s="12" t="e">
        <f ca="1">VLOOKUP(D55,Input!B:M,10,0)</f>
        <v>#N/A</v>
      </c>
      <c r="J55" s="12"/>
      <c r="K55" s="12"/>
      <c r="L55" s="12"/>
      <c r="M55" s="12" t="e">
        <f ca="1">VLOOKUP(D55,Input!B:M,12,0)</f>
        <v>#N/A</v>
      </c>
      <c r="N55" s="12" t="e">
        <f ca="1">VLOOKUP(D55,Input!B:N,11,0)</f>
        <v>#N/A</v>
      </c>
      <c r="O55" s="12" t="e">
        <f ca="1">VLOOKUP(D55,Input!B:M,6,0)</f>
        <v>#N/A</v>
      </c>
      <c r="P55" s="6">
        <v>54</v>
      </c>
    </row>
    <row r="56" spans="1:16" ht="14.25">
      <c r="A56" s="13" t="str">
        <f>IFERROR(VLOOKUP($D:$D,scan!$A:$B,2,0),"**")</f>
        <v>**</v>
      </c>
      <c r="B56" s="13" t="str">
        <f>IFERROR(VLOOKUP($D56,scan!A:C,3,0),"**")</f>
        <v>**</v>
      </c>
      <c r="C56" s="14">
        <v>214</v>
      </c>
      <c r="D56" s="15"/>
      <c r="E56" s="16" t="str">
        <f t="shared" si="0"/>
        <v>55.**.</v>
      </c>
      <c r="F56" s="3" t="s">
        <v>4950</v>
      </c>
      <c r="G56" s="3" t="s">
        <v>4951</v>
      </c>
      <c r="H56" s="3">
        <v>6042070338</v>
      </c>
      <c r="I56" s="12" t="e">
        <f ca="1">VLOOKUP(D56,Input!B:M,10,0)</f>
        <v>#N/A</v>
      </c>
      <c r="J56" s="12"/>
      <c r="K56" s="12"/>
      <c r="L56" s="12"/>
      <c r="M56" s="12" t="e">
        <f ca="1">VLOOKUP(D56,Input!B:M,12,0)</f>
        <v>#N/A</v>
      </c>
      <c r="N56" s="12" t="e">
        <f ca="1">VLOOKUP(D56,Input!B:N,11,0)</f>
        <v>#N/A</v>
      </c>
      <c r="O56" s="12" t="e">
        <f ca="1">VLOOKUP(D56,Input!B:M,6,0)</f>
        <v>#N/A</v>
      </c>
      <c r="P56" s="6">
        <v>55</v>
      </c>
    </row>
    <row r="57" spans="1:16" ht="15.75">
      <c r="A57" s="13" t="str">
        <f>IFERROR(VLOOKUP($D:$D,scan!$A:$B,2,0),"**")</f>
        <v>**</v>
      </c>
      <c r="B57" s="13" t="str">
        <f>IFERROR(VLOOKUP($D57,scan!A:C,3,0),"**")</f>
        <v>**</v>
      </c>
      <c r="C57" s="14">
        <v>159</v>
      </c>
      <c r="D57" s="19"/>
      <c r="E57" s="16" t="str">
        <f t="shared" si="0"/>
        <v>56.**.</v>
      </c>
      <c r="F57" s="3" t="s">
        <v>4950</v>
      </c>
      <c r="G57" s="3" t="s">
        <v>4951</v>
      </c>
      <c r="H57" s="3">
        <v>6042070338</v>
      </c>
      <c r="I57" s="12" t="e">
        <f ca="1">VLOOKUP(D57,Input!B:M,10,0)</f>
        <v>#N/A</v>
      </c>
      <c r="J57" s="12"/>
      <c r="K57" s="12"/>
      <c r="L57" s="12"/>
      <c r="M57" s="12" t="e">
        <f ca="1">VLOOKUP(D57,Input!B:M,12,0)</f>
        <v>#N/A</v>
      </c>
      <c r="N57" s="12" t="e">
        <f ca="1">VLOOKUP(D57,Input!B:N,11,0)</f>
        <v>#N/A</v>
      </c>
      <c r="O57" s="12" t="e">
        <f ca="1">VLOOKUP(D57,Input!B:M,6,0)</f>
        <v>#N/A</v>
      </c>
      <c r="P57" s="6">
        <v>56</v>
      </c>
    </row>
    <row r="58" spans="1:16" ht="14.25">
      <c r="A58" s="13" t="str">
        <f>IFERROR(VLOOKUP($D:$D,scan!$A:$B,2,0),"**")</f>
        <v>**</v>
      </c>
      <c r="B58" s="13" t="str">
        <f>IFERROR(VLOOKUP($D58,scan!A:C,3,0),"**")</f>
        <v>**</v>
      </c>
      <c r="C58" s="14">
        <v>343</v>
      </c>
      <c r="D58" s="15"/>
      <c r="E58" s="16" t="str">
        <f t="shared" si="0"/>
        <v>57.**.</v>
      </c>
      <c r="F58" s="3" t="s">
        <v>4950</v>
      </c>
      <c r="G58" s="3" t="s">
        <v>4951</v>
      </c>
      <c r="H58" s="3">
        <v>6042070338</v>
      </c>
      <c r="I58" s="12" t="e">
        <f ca="1">VLOOKUP(D58,Input!B:M,10,0)</f>
        <v>#N/A</v>
      </c>
      <c r="J58" s="12"/>
      <c r="K58" s="12"/>
      <c r="L58" s="12"/>
      <c r="M58" s="12" t="e">
        <f ca="1">VLOOKUP(D58,Input!B:M,12,0)</f>
        <v>#N/A</v>
      </c>
      <c r="N58" s="12" t="e">
        <f ca="1">VLOOKUP(D58,Input!B:N,11,0)</f>
        <v>#N/A</v>
      </c>
      <c r="O58" s="12" t="e">
        <f ca="1">VLOOKUP(D58,Input!B:M,6,0)</f>
        <v>#N/A</v>
      </c>
      <c r="P58" s="6">
        <v>57</v>
      </c>
    </row>
    <row r="59" spans="1:16" ht="14.25">
      <c r="A59" s="13" t="str">
        <f>IFERROR(VLOOKUP($D:$D,scan!$A:$B,2,0),"**")</f>
        <v>**</v>
      </c>
      <c r="B59" s="13" t="str">
        <f>IFERROR(VLOOKUP($D59,scan!A:C,3,0),"**")</f>
        <v>**</v>
      </c>
      <c r="C59" s="14">
        <v>352</v>
      </c>
      <c r="D59" s="15"/>
      <c r="E59" s="16" t="str">
        <f t="shared" si="0"/>
        <v>58.**.</v>
      </c>
      <c r="F59" s="3" t="s">
        <v>4950</v>
      </c>
      <c r="G59" s="3" t="s">
        <v>4951</v>
      </c>
      <c r="H59" s="3">
        <v>6042070338</v>
      </c>
      <c r="I59" s="12" t="e">
        <f ca="1">VLOOKUP(D59,Input!B:M,10,0)</f>
        <v>#N/A</v>
      </c>
      <c r="J59" s="12"/>
      <c r="K59" s="12"/>
      <c r="L59" s="12"/>
      <c r="M59" s="12" t="e">
        <f ca="1">VLOOKUP(D59,Input!B:M,12,0)</f>
        <v>#N/A</v>
      </c>
      <c r="N59" s="12" t="e">
        <f ca="1">VLOOKUP(D59,Input!B:N,11,0)</f>
        <v>#N/A</v>
      </c>
      <c r="O59" s="12" t="e">
        <f ca="1">VLOOKUP(D59,Input!B:M,6,0)</f>
        <v>#N/A</v>
      </c>
      <c r="P59" s="6">
        <v>58</v>
      </c>
    </row>
    <row r="60" spans="1:16" ht="14.25">
      <c r="A60" s="13" t="str">
        <f>IFERROR(VLOOKUP($D:$D,scan!$A:$B,2,0),"**")</f>
        <v>**</v>
      </c>
      <c r="B60" s="13" t="str">
        <f>IFERROR(VLOOKUP($D60,scan!A:C,3,0),"**")</f>
        <v>**</v>
      </c>
      <c r="C60" s="14">
        <v>357</v>
      </c>
      <c r="D60" s="15"/>
      <c r="E60" s="16" t="str">
        <f t="shared" si="0"/>
        <v>59.**.</v>
      </c>
      <c r="F60" s="3" t="s">
        <v>4950</v>
      </c>
      <c r="G60" s="3" t="s">
        <v>4951</v>
      </c>
      <c r="H60" s="3">
        <v>6042070338</v>
      </c>
      <c r="I60" s="12" t="e">
        <f ca="1">VLOOKUP(D60,Input!B:M,10,0)</f>
        <v>#N/A</v>
      </c>
      <c r="J60" s="12"/>
      <c r="K60" s="12"/>
      <c r="L60" s="12"/>
      <c r="M60" s="12" t="e">
        <f ca="1">VLOOKUP(D60,Input!B:M,12,0)</f>
        <v>#N/A</v>
      </c>
      <c r="N60" s="12" t="e">
        <f ca="1">VLOOKUP(D60,Input!B:N,11,0)</f>
        <v>#N/A</v>
      </c>
      <c r="O60" s="12" t="e">
        <f ca="1">VLOOKUP(D60,Input!B:M,6,0)</f>
        <v>#N/A</v>
      </c>
      <c r="P60" s="6">
        <v>59</v>
      </c>
    </row>
    <row r="61" spans="1:16" ht="14.25">
      <c r="A61" s="13" t="str">
        <f>IFERROR(VLOOKUP($D:$D,scan!$A:$B,2,0),"**")</f>
        <v>**</v>
      </c>
      <c r="B61" s="13" t="str">
        <f>IFERROR(VLOOKUP($D61,scan!A:C,3,0),"**")</f>
        <v>**</v>
      </c>
      <c r="C61" s="5">
        <v>513</v>
      </c>
      <c r="D61" s="15"/>
      <c r="E61" s="16" t="str">
        <f t="shared" si="0"/>
        <v>60.**.</v>
      </c>
      <c r="F61" s="3" t="s">
        <v>4950</v>
      </c>
      <c r="G61" s="3" t="s">
        <v>4951</v>
      </c>
      <c r="H61" s="3">
        <v>6042070338</v>
      </c>
      <c r="I61" s="12" t="e">
        <f ca="1">VLOOKUP(D61,Input!B:M,10,0)</f>
        <v>#N/A</v>
      </c>
      <c r="J61" s="12"/>
      <c r="K61" s="12"/>
      <c r="L61" s="12"/>
      <c r="M61" s="12" t="e">
        <f ca="1">VLOOKUP(D61,Input!B:M,12,0)</f>
        <v>#N/A</v>
      </c>
      <c r="N61" s="12" t="e">
        <f ca="1">VLOOKUP(D61,Input!B:N,11,0)</f>
        <v>#N/A</v>
      </c>
      <c r="O61" s="12" t="e">
        <f ca="1">VLOOKUP(D61,Input!B:M,6,0)</f>
        <v>#N/A</v>
      </c>
      <c r="P61" s="6">
        <v>60</v>
      </c>
    </row>
    <row r="62" spans="1:16" ht="14.25">
      <c r="A62" s="13" t="str">
        <f>IFERROR(VLOOKUP($D:$D,scan!$A:$B,2,0),"**")</f>
        <v>**</v>
      </c>
      <c r="B62" s="13" t="str">
        <f>IFERROR(VLOOKUP($D62,scan!A:C,3,0),"**")</f>
        <v>**</v>
      </c>
      <c r="C62" s="5">
        <v>505</v>
      </c>
      <c r="D62" s="15"/>
      <c r="E62" s="16" t="str">
        <f t="shared" si="0"/>
        <v>61.**.</v>
      </c>
      <c r="F62" s="3" t="s">
        <v>4950</v>
      </c>
      <c r="G62" s="3" t="s">
        <v>4951</v>
      </c>
      <c r="H62" s="3">
        <v>6042070338</v>
      </c>
      <c r="I62" s="12" t="e">
        <f ca="1">VLOOKUP(D62,Input!B:M,10,0)</f>
        <v>#N/A</v>
      </c>
      <c r="J62" s="12"/>
      <c r="K62" s="12"/>
      <c r="L62" s="12"/>
      <c r="M62" s="12" t="e">
        <f ca="1">VLOOKUP(D62,Input!B:M,12,0)</f>
        <v>#N/A</v>
      </c>
      <c r="N62" s="12" t="e">
        <f ca="1">VLOOKUP(D62,Input!B:N,11,0)</f>
        <v>#N/A</v>
      </c>
      <c r="O62" s="12" t="e">
        <f ca="1">VLOOKUP(D62,Input!B:M,6,0)</f>
        <v>#N/A</v>
      </c>
      <c r="P62" s="6">
        <v>61</v>
      </c>
    </row>
    <row r="63" spans="1:16" ht="14.25">
      <c r="A63" s="13" t="str">
        <f>IFERROR(VLOOKUP($D:$D,scan!$A:$B,2,0),"**")</f>
        <v>**</v>
      </c>
      <c r="B63" s="13" t="str">
        <f>IFERROR(VLOOKUP($D63,scan!A:C,3,0),"**")</f>
        <v>**</v>
      </c>
      <c r="C63" s="14">
        <v>108</v>
      </c>
      <c r="D63" s="15"/>
      <c r="E63" s="16" t="str">
        <f t="shared" si="0"/>
        <v>62.**.</v>
      </c>
      <c r="F63" s="3" t="s">
        <v>4950</v>
      </c>
      <c r="G63" s="3" t="s">
        <v>4951</v>
      </c>
      <c r="H63" s="3">
        <v>6042070338</v>
      </c>
      <c r="I63" s="12" t="e">
        <f ca="1">VLOOKUP(D63,Input!B:M,10,0)</f>
        <v>#N/A</v>
      </c>
      <c r="J63" s="12"/>
      <c r="K63" s="12"/>
      <c r="L63" s="12"/>
      <c r="M63" s="12" t="e">
        <f ca="1">VLOOKUP(D63,Input!B:M,12,0)</f>
        <v>#N/A</v>
      </c>
      <c r="N63" s="12" t="e">
        <f ca="1">VLOOKUP(D63,Input!B:N,11,0)</f>
        <v>#N/A</v>
      </c>
      <c r="O63" s="12" t="e">
        <f ca="1">VLOOKUP(D63,Input!B:M,6,0)</f>
        <v>#N/A</v>
      </c>
      <c r="P63" s="6">
        <v>62</v>
      </c>
    </row>
    <row r="64" spans="1:16" ht="14.25">
      <c r="A64" s="13" t="str">
        <f>IFERROR(VLOOKUP($D:$D,scan!$A:$B,2,0),"**")</f>
        <v>**</v>
      </c>
      <c r="B64" s="13" t="str">
        <f>IFERROR(VLOOKUP($D64,scan!A:C,3,0),"**")</f>
        <v>**</v>
      </c>
      <c r="C64" s="14">
        <v>499</v>
      </c>
      <c r="D64" s="15"/>
      <c r="E64" s="16" t="str">
        <f t="shared" si="0"/>
        <v>63.**.</v>
      </c>
      <c r="F64" s="3" t="s">
        <v>4950</v>
      </c>
      <c r="G64" s="3" t="s">
        <v>4951</v>
      </c>
      <c r="H64" s="3">
        <v>6042070338</v>
      </c>
      <c r="I64" s="12" t="e">
        <f ca="1">VLOOKUP(D64,Input!B:M,10,0)</f>
        <v>#N/A</v>
      </c>
      <c r="J64" s="12"/>
      <c r="K64" s="12"/>
      <c r="L64" s="12"/>
      <c r="M64" s="12" t="e">
        <f ca="1">VLOOKUP(D64,Input!B:M,12,0)</f>
        <v>#N/A</v>
      </c>
      <c r="N64" s="12" t="e">
        <f ca="1">VLOOKUP(D64,Input!B:N,11,0)</f>
        <v>#N/A</v>
      </c>
      <c r="O64" s="12" t="e">
        <f ca="1">VLOOKUP(D64,Input!B:M,6,0)</f>
        <v>#N/A</v>
      </c>
      <c r="P64" s="6">
        <v>63</v>
      </c>
    </row>
    <row r="65" spans="1:16" ht="14.25">
      <c r="A65" s="13" t="str">
        <f>IFERROR(VLOOKUP($D:$D,scan!$A:$B,2,0),"**")</f>
        <v>**</v>
      </c>
      <c r="B65" s="13" t="str">
        <f>IFERROR(VLOOKUP($D65,scan!A:C,3,0),"**")</f>
        <v>**</v>
      </c>
      <c r="C65" s="14">
        <v>347</v>
      </c>
      <c r="D65" s="15"/>
      <c r="E65" s="16" t="str">
        <f t="shared" si="0"/>
        <v>64.**.</v>
      </c>
      <c r="F65" s="3" t="s">
        <v>4950</v>
      </c>
      <c r="G65" s="3" t="s">
        <v>4951</v>
      </c>
      <c r="H65" s="3">
        <v>6042070338</v>
      </c>
      <c r="I65" s="12" t="e">
        <f ca="1">VLOOKUP(D65,Input!B:M,10,0)</f>
        <v>#N/A</v>
      </c>
      <c r="J65" s="12"/>
      <c r="K65" s="12"/>
      <c r="L65" s="12"/>
      <c r="M65" s="12" t="e">
        <f ca="1">VLOOKUP(D65,Input!B:M,12,0)</f>
        <v>#N/A</v>
      </c>
      <c r="N65" s="12" t="e">
        <f ca="1">VLOOKUP(D65,Input!B:N,11,0)</f>
        <v>#N/A</v>
      </c>
      <c r="O65" s="12" t="e">
        <f ca="1">VLOOKUP(D65,Input!B:M,6,0)</f>
        <v>#N/A</v>
      </c>
      <c r="P65" s="6">
        <v>64</v>
      </c>
    </row>
    <row r="66" spans="1:16" ht="14.25">
      <c r="A66" s="13" t="str">
        <f>IFERROR(VLOOKUP($D:$D,scan!$A:$B,2,0),"**")</f>
        <v>**</v>
      </c>
      <c r="B66" s="13" t="str">
        <f>IFERROR(VLOOKUP($D66,scan!A:C,3,0),"**")</f>
        <v>**</v>
      </c>
      <c r="C66" s="5">
        <v>196</v>
      </c>
      <c r="D66" s="15"/>
      <c r="E66" s="16" t="str">
        <f t="shared" ref="E66:E129" si="1">P66&amp;"."&amp;B66&amp;"."&amp;D66</f>
        <v>65.**.</v>
      </c>
      <c r="F66" s="3" t="s">
        <v>4950</v>
      </c>
      <c r="G66" s="3" t="s">
        <v>4951</v>
      </c>
      <c r="H66" s="3">
        <v>6042070338</v>
      </c>
      <c r="I66" s="12" t="e">
        <f ca="1">VLOOKUP(D66,Input!B:M,10,0)</f>
        <v>#N/A</v>
      </c>
      <c r="J66" s="12"/>
      <c r="K66" s="12"/>
      <c r="L66" s="12"/>
      <c r="M66" s="12" t="e">
        <f ca="1">VLOOKUP(D66,Input!B:M,12,0)</f>
        <v>#N/A</v>
      </c>
      <c r="N66" s="12" t="e">
        <f ca="1">VLOOKUP(D66,Input!B:N,11,0)</f>
        <v>#N/A</v>
      </c>
      <c r="O66" s="12" t="e">
        <f ca="1">VLOOKUP(D66,Input!B:M,6,0)</f>
        <v>#N/A</v>
      </c>
      <c r="P66" s="6">
        <v>65</v>
      </c>
    </row>
    <row r="67" spans="1:16" ht="14.25">
      <c r="A67" s="13" t="str">
        <f>IFERROR(VLOOKUP($D:$D,scan!$A:$B,2,0),"**")</f>
        <v>**</v>
      </c>
      <c r="B67" s="13" t="str">
        <f>IFERROR(VLOOKUP($D67,scan!A:C,3,0),"**")</f>
        <v>**</v>
      </c>
      <c r="C67" s="14">
        <v>556</v>
      </c>
      <c r="D67" s="15"/>
      <c r="E67" s="16" t="str">
        <f t="shared" si="1"/>
        <v>66.**.</v>
      </c>
      <c r="F67" s="3" t="s">
        <v>4950</v>
      </c>
      <c r="G67" s="3" t="s">
        <v>4951</v>
      </c>
      <c r="H67" s="3">
        <v>6042070338</v>
      </c>
      <c r="I67" s="12" t="e">
        <f ca="1">VLOOKUP(D67,Input!B:M,10,0)</f>
        <v>#N/A</v>
      </c>
      <c r="J67" s="12"/>
      <c r="K67" s="12"/>
      <c r="L67" s="12"/>
      <c r="M67" s="12" t="e">
        <f ca="1">VLOOKUP(D67,Input!B:M,12,0)</f>
        <v>#N/A</v>
      </c>
      <c r="N67" s="12" t="e">
        <f ca="1">VLOOKUP(D67,Input!B:N,11,0)</f>
        <v>#N/A</v>
      </c>
      <c r="O67" s="12" t="e">
        <f ca="1">VLOOKUP(D67,Input!B:M,6,0)</f>
        <v>#N/A</v>
      </c>
      <c r="P67" s="6">
        <v>66</v>
      </c>
    </row>
    <row r="68" spans="1:16" ht="14.25">
      <c r="A68" s="13" t="str">
        <f>IFERROR(VLOOKUP($D:$D,scan!$A:$B,2,0),"**")</f>
        <v>**</v>
      </c>
      <c r="B68" s="13" t="str">
        <f>IFERROR(VLOOKUP($D68,scan!A:C,3,0),"**")</f>
        <v>**</v>
      </c>
      <c r="C68" s="14">
        <v>50</v>
      </c>
      <c r="D68" s="15"/>
      <c r="E68" s="16" t="str">
        <f t="shared" si="1"/>
        <v>67.**.</v>
      </c>
      <c r="F68" s="3" t="s">
        <v>4950</v>
      </c>
      <c r="G68" s="3" t="s">
        <v>4951</v>
      </c>
      <c r="H68" s="3">
        <v>6042070338</v>
      </c>
      <c r="I68" s="12" t="e">
        <f ca="1">VLOOKUP(D68,Input!B:M,10,0)</f>
        <v>#N/A</v>
      </c>
      <c r="J68" s="12"/>
      <c r="K68" s="12"/>
      <c r="L68" s="12"/>
      <c r="M68" s="12" t="e">
        <f ca="1">VLOOKUP(D68,Input!B:M,12,0)</f>
        <v>#N/A</v>
      </c>
      <c r="N68" s="12" t="e">
        <f ca="1">VLOOKUP(D68,Input!B:N,11,0)</f>
        <v>#N/A</v>
      </c>
      <c r="O68" s="12" t="e">
        <f ca="1">VLOOKUP(D68,Input!B:M,6,0)</f>
        <v>#N/A</v>
      </c>
      <c r="P68" s="6">
        <v>67</v>
      </c>
    </row>
    <row r="69" spans="1:16" ht="14.25">
      <c r="A69" s="13" t="str">
        <f>IFERROR(VLOOKUP($D:$D,scan!$A:$B,2,0),"**")</f>
        <v>**</v>
      </c>
      <c r="B69" s="13" t="str">
        <f>IFERROR(VLOOKUP($D69,scan!A:C,3,0),"**")</f>
        <v>**</v>
      </c>
      <c r="C69" s="14">
        <v>40</v>
      </c>
      <c r="D69" s="15"/>
      <c r="E69" s="16" t="str">
        <f t="shared" si="1"/>
        <v>68.**.</v>
      </c>
      <c r="F69" s="3" t="s">
        <v>4950</v>
      </c>
      <c r="G69" s="3" t="s">
        <v>4951</v>
      </c>
      <c r="H69" s="3">
        <v>6042070338</v>
      </c>
      <c r="I69" s="12" t="e">
        <f ca="1">VLOOKUP(D69,Input!B:M,10,0)</f>
        <v>#N/A</v>
      </c>
      <c r="J69" s="12"/>
      <c r="K69" s="12"/>
      <c r="L69" s="12"/>
      <c r="M69" s="12" t="e">
        <f ca="1">VLOOKUP(D69,Input!B:M,12,0)</f>
        <v>#N/A</v>
      </c>
      <c r="N69" s="12" t="e">
        <f ca="1">VLOOKUP(D69,Input!B:N,11,0)</f>
        <v>#N/A</v>
      </c>
      <c r="O69" s="12" t="e">
        <f ca="1">VLOOKUP(D69,Input!B:M,6,0)</f>
        <v>#N/A</v>
      </c>
      <c r="P69" s="6">
        <v>68</v>
      </c>
    </row>
    <row r="70" spans="1:16" ht="14.25">
      <c r="A70" s="13" t="str">
        <f>IFERROR(VLOOKUP($D:$D,scan!$A:$B,2,0),"**")</f>
        <v>**</v>
      </c>
      <c r="B70" s="13" t="str">
        <f>IFERROR(VLOOKUP($D70,scan!A:C,3,0),"**")</f>
        <v>**</v>
      </c>
      <c r="C70" s="14">
        <v>506</v>
      </c>
      <c r="D70" s="15"/>
      <c r="E70" s="16" t="str">
        <f t="shared" si="1"/>
        <v>69.**.</v>
      </c>
      <c r="F70" s="3" t="s">
        <v>4950</v>
      </c>
      <c r="G70" s="3" t="s">
        <v>4951</v>
      </c>
      <c r="H70" s="3">
        <v>6042070338</v>
      </c>
      <c r="I70" s="12" t="e">
        <f ca="1">VLOOKUP(D70,Input!B:M,10,0)</f>
        <v>#N/A</v>
      </c>
      <c r="J70" s="12"/>
      <c r="K70" s="12"/>
      <c r="L70" s="12"/>
      <c r="M70" s="12" t="e">
        <f ca="1">VLOOKUP(D70,Input!B:M,12,0)</f>
        <v>#N/A</v>
      </c>
      <c r="N70" s="12" t="e">
        <f ca="1">VLOOKUP(D70,Input!B:N,11,0)</f>
        <v>#N/A</v>
      </c>
      <c r="O70" s="12" t="e">
        <f ca="1">VLOOKUP(D70,Input!B:M,6,0)</f>
        <v>#N/A</v>
      </c>
      <c r="P70" s="6">
        <v>69</v>
      </c>
    </row>
    <row r="71" spans="1:16" ht="14.25">
      <c r="A71" s="13" t="str">
        <f>IFERROR(VLOOKUP($D:$D,scan!$A:$B,2,0),"**")</f>
        <v>**</v>
      </c>
      <c r="B71" s="13" t="str">
        <f>IFERROR(VLOOKUP($D71,scan!A:C,3,0),"**")</f>
        <v>**</v>
      </c>
      <c r="C71" s="14">
        <v>558</v>
      </c>
      <c r="D71" s="15"/>
      <c r="E71" s="16" t="str">
        <f t="shared" si="1"/>
        <v>70.**.</v>
      </c>
      <c r="F71" s="3" t="s">
        <v>4950</v>
      </c>
      <c r="G71" s="3" t="s">
        <v>4951</v>
      </c>
      <c r="H71" s="3">
        <v>6042070338</v>
      </c>
      <c r="I71" s="12" t="e">
        <f ca="1">VLOOKUP(D71,Input!B:M,10,0)</f>
        <v>#N/A</v>
      </c>
      <c r="J71" s="12"/>
      <c r="K71" s="12"/>
      <c r="L71" s="12"/>
      <c r="M71" s="12" t="e">
        <f ca="1">VLOOKUP(D71,Input!B:M,12,0)</f>
        <v>#N/A</v>
      </c>
      <c r="N71" s="12" t="e">
        <f ca="1">VLOOKUP(D71,Input!B:N,11,0)</f>
        <v>#N/A</v>
      </c>
      <c r="O71" s="12" t="e">
        <f ca="1">VLOOKUP(D71,Input!B:M,6,0)</f>
        <v>#N/A</v>
      </c>
      <c r="P71" s="6">
        <v>70</v>
      </c>
    </row>
    <row r="72" spans="1:16" ht="14.25">
      <c r="A72" s="13" t="str">
        <f>IFERROR(VLOOKUP($D:$D,scan!$A:$B,2,0),"**")</f>
        <v>**</v>
      </c>
      <c r="B72" s="13" t="str">
        <f>IFERROR(VLOOKUP($D72,scan!A:C,3,0),"**")</f>
        <v>**</v>
      </c>
      <c r="C72" s="14">
        <v>259</v>
      </c>
      <c r="D72" s="15"/>
      <c r="E72" s="16" t="str">
        <f t="shared" si="1"/>
        <v>71.**.</v>
      </c>
      <c r="F72" s="3" t="s">
        <v>4950</v>
      </c>
      <c r="G72" s="3" t="s">
        <v>4951</v>
      </c>
      <c r="H72" s="3">
        <v>6042070338</v>
      </c>
      <c r="I72" s="12" t="e">
        <f ca="1">VLOOKUP(D72,Input!B:M,10,0)</f>
        <v>#N/A</v>
      </c>
      <c r="J72" s="12"/>
      <c r="K72" s="12"/>
      <c r="L72" s="12"/>
      <c r="M72" s="12" t="e">
        <f ca="1">VLOOKUP(D72,Input!B:M,12,0)</f>
        <v>#N/A</v>
      </c>
      <c r="N72" s="12" t="e">
        <f ca="1">VLOOKUP(D72,Input!B:N,11,0)</f>
        <v>#N/A</v>
      </c>
      <c r="O72" s="12" t="e">
        <f ca="1">VLOOKUP(D72,Input!B:M,6,0)</f>
        <v>#N/A</v>
      </c>
      <c r="P72" s="6">
        <v>71</v>
      </c>
    </row>
    <row r="73" spans="1:16" ht="14.25">
      <c r="A73" s="13" t="str">
        <f>IFERROR(VLOOKUP($D:$D,scan!$A:$B,2,0),"**")</f>
        <v>**</v>
      </c>
      <c r="B73" s="13" t="str">
        <f>IFERROR(VLOOKUP($D73,scan!A:C,3,0),"**")</f>
        <v>**</v>
      </c>
      <c r="C73" s="14">
        <v>209</v>
      </c>
      <c r="D73" s="15"/>
      <c r="E73" s="16" t="str">
        <f t="shared" si="1"/>
        <v>72.**.</v>
      </c>
      <c r="F73" s="3" t="s">
        <v>4950</v>
      </c>
      <c r="G73" s="3" t="s">
        <v>4951</v>
      </c>
      <c r="H73" s="3">
        <v>6042070338</v>
      </c>
      <c r="I73" s="12" t="e">
        <f ca="1">VLOOKUP(D73,Input!B:M,10,0)</f>
        <v>#N/A</v>
      </c>
      <c r="J73" s="12"/>
      <c r="K73" s="12"/>
      <c r="L73" s="12"/>
      <c r="M73" s="12" t="e">
        <f ca="1">VLOOKUP(D73,Input!B:M,12,0)</f>
        <v>#N/A</v>
      </c>
      <c r="N73" s="12" t="e">
        <f ca="1">VLOOKUP(D73,Input!B:N,11,0)</f>
        <v>#N/A</v>
      </c>
      <c r="O73" s="12" t="e">
        <f ca="1">VLOOKUP(D73,Input!B:M,6,0)</f>
        <v>#N/A</v>
      </c>
      <c r="P73" s="6">
        <v>72</v>
      </c>
    </row>
    <row r="74" spans="1:16" ht="14.25">
      <c r="A74" s="13" t="str">
        <f>IFERROR(VLOOKUP($D:$D,scan!$A:$B,2,0),"**")</f>
        <v>**</v>
      </c>
      <c r="B74" s="13" t="str">
        <f>IFERROR(VLOOKUP($D74,scan!A:C,3,0),"**")</f>
        <v>**</v>
      </c>
      <c r="C74" s="14">
        <v>503</v>
      </c>
      <c r="D74" s="15"/>
      <c r="E74" s="16" t="str">
        <f t="shared" si="1"/>
        <v>73.**.</v>
      </c>
      <c r="F74" s="3" t="s">
        <v>4950</v>
      </c>
      <c r="G74" s="3" t="s">
        <v>4951</v>
      </c>
      <c r="H74" s="3">
        <v>6042070338</v>
      </c>
      <c r="I74" s="12" t="e">
        <f ca="1">VLOOKUP(D74,Input!B:M,10,0)</f>
        <v>#N/A</v>
      </c>
      <c r="J74" s="12"/>
      <c r="K74" s="12"/>
      <c r="L74" s="12"/>
      <c r="M74" s="12" t="e">
        <f ca="1">VLOOKUP(D74,Input!B:M,12,0)</f>
        <v>#N/A</v>
      </c>
      <c r="N74" s="12" t="e">
        <f ca="1">VLOOKUP(D74,Input!B:N,11,0)</f>
        <v>#N/A</v>
      </c>
      <c r="O74" s="12" t="e">
        <f ca="1">VLOOKUP(D74,Input!B:M,6,0)</f>
        <v>#N/A</v>
      </c>
      <c r="P74" s="6">
        <v>73</v>
      </c>
    </row>
    <row r="75" spans="1:16" ht="14.25">
      <c r="A75" s="13" t="str">
        <f>IFERROR(VLOOKUP($D:$D,scan!$A:$B,2,0),"**")</f>
        <v>**</v>
      </c>
      <c r="B75" s="13" t="str">
        <f>IFERROR(VLOOKUP($D75,scan!A:C,3,0),"**")</f>
        <v>**</v>
      </c>
      <c r="C75" s="5">
        <v>521</v>
      </c>
      <c r="D75" s="15"/>
      <c r="E75" s="16" t="str">
        <f t="shared" si="1"/>
        <v>74.**.</v>
      </c>
      <c r="F75" s="3" t="s">
        <v>4950</v>
      </c>
      <c r="G75" s="3" t="s">
        <v>4951</v>
      </c>
      <c r="H75" s="3">
        <v>6042070338</v>
      </c>
      <c r="I75" s="12" t="e">
        <f ca="1">VLOOKUP(D75,Input!B:M,10,0)</f>
        <v>#N/A</v>
      </c>
      <c r="J75" s="12"/>
      <c r="K75" s="12"/>
      <c r="L75" s="12"/>
      <c r="M75" s="12" t="e">
        <f ca="1">VLOOKUP(D75,Input!B:M,12,0)</f>
        <v>#N/A</v>
      </c>
      <c r="N75" s="12" t="e">
        <f ca="1">VLOOKUP(D75,Input!B:N,11,0)</f>
        <v>#N/A</v>
      </c>
      <c r="O75" s="12" t="e">
        <f ca="1">VLOOKUP(D75,Input!B:M,6,0)</f>
        <v>#N/A</v>
      </c>
      <c r="P75" s="6">
        <v>74</v>
      </c>
    </row>
    <row r="76" spans="1:16" ht="14.25">
      <c r="A76" s="13" t="str">
        <f>IFERROR(VLOOKUP($D:$D,scan!$A:$B,2,0),"**")</f>
        <v>**</v>
      </c>
      <c r="B76" s="13" t="str">
        <f>IFERROR(VLOOKUP($D76,scan!A:C,3,0),"**")</f>
        <v>**</v>
      </c>
      <c r="C76" s="14">
        <v>208</v>
      </c>
      <c r="D76" s="15"/>
      <c r="E76" s="16" t="str">
        <f t="shared" si="1"/>
        <v>75.**.</v>
      </c>
      <c r="F76" s="3" t="s">
        <v>4950</v>
      </c>
      <c r="G76" s="3" t="s">
        <v>4951</v>
      </c>
      <c r="H76" s="3">
        <v>6042070338</v>
      </c>
      <c r="I76" s="12" t="e">
        <f ca="1">VLOOKUP(D76,Input!B:M,10,0)</f>
        <v>#N/A</v>
      </c>
      <c r="J76" s="12"/>
      <c r="K76" s="12"/>
      <c r="L76" s="12"/>
      <c r="M76" s="12" t="e">
        <f ca="1">VLOOKUP(D76,Input!B:M,12,0)</f>
        <v>#N/A</v>
      </c>
      <c r="N76" s="12" t="e">
        <f ca="1">VLOOKUP(D76,Input!B:N,11,0)</f>
        <v>#N/A</v>
      </c>
      <c r="O76" s="12" t="e">
        <f ca="1">VLOOKUP(D76,Input!B:M,6,0)</f>
        <v>#N/A</v>
      </c>
      <c r="P76" s="6">
        <v>75</v>
      </c>
    </row>
    <row r="77" spans="1:16" ht="14.25">
      <c r="A77" s="13" t="str">
        <f>IFERROR(VLOOKUP($D:$D,scan!$A:$B,2,0),"**")</f>
        <v>**</v>
      </c>
      <c r="B77" s="13" t="str">
        <f>IFERROR(VLOOKUP($D77,scan!A:C,3,0),"**")</f>
        <v>**</v>
      </c>
      <c r="C77" s="5">
        <v>411</v>
      </c>
      <c r="D77" s="15"/>
      <c r="E77" s="16" t="str">
        <f t="shared" si="1"/>
        <v>76.**.</v>
      </c>
      <c r="F77" s="3" t="s">
        <v>4950</v>
      </c>
      <c r="G77" s="3" t="s">
        <v>4951</v>
      </c>
      <c r="H77" s="3">
        <v>6042070338</v>
      </c>
      <c r="I77" s="12" t="e">
        <f ca="1">VLOOKUP(D77,Input!B:M,10,0)</f>
        <v>#N/A</v>
      </c>
      <c r="J77" s="12"/>
      <c r="K77" s="12"/>
      <c r="L77" s="12"/>
      <c r="M77" s="12" t="e">
        <f ca="1">VLOOKUP(D77,Input!B:M,12,0)</f>
        <v>#N/A</v>
      </c>
      <c r="N77" s="12" t="e">
        <f ca="1">VLOOKUP(D77,Input!B:N,11,0)</f>
        <v>#N/A</v>
      </c>
      <c r="O77" s="12" t="e">
        <f ca="1">VLOOKUP(D77,Input!B:M,6,0)</f>
        <v>#N/A</v>
      </c>
      <c r="P77" s="6">
        <v>76</v>
      </c>
    </row>
    <row r="78" spans="1:16" ht="15.75">
      <c r="A78" s="13" t="str">
        <f>IFERROR(VLOOKUP($D:$D,scan!$A:$B,2,0),"**")</f>
        <v>**</v>
      </c>
      <c r="B78" s="13" t="str">
        <f>IFERROR(VLOOKUP($D78,scan!A:C,3,0),"**")</f>
        <v>**</v>
      </c>
      <c r="C78" s="5">
        <v>469</v>
      </c>
      <c r="D78" s="19"/>
      <c r="E78" s="16" t="str">
        <f t="shared" si="1"/>
        <v>77.**.</v>
      </c>
      <c r="F78" s="3" t="s">
        <v>4950</v>
      </c>
      <c r="G78" s="3" t="s">
        <v>4951</v>
      </c>
      <c r="H78" s="3">
        <v>6042070338</v>
      </c>
      <c r="I78" s="12" t="e">
        <f ca="1">VLOOKUP(D78,Input!B:M,10,0)</f>
        <v>#N/A</v>
      </c>
      <c r="J78" s="12"/>
      <c r="K78" s="12"/>
      <c r="L78" s="12"/>
      <c r="M78" s="12" t="e">
        <f ca="1">VLOOKUP(D78,Input!B:M,12,0)</f>
        <v>#N/A</v>
      </c>
      <c r="N78" s="12" t="e">
        <f ca="1">VLOOKUP(D78,Input!B:N,11,0)</f>
        <v>#N/A</v>
      </c>
      <c r="O78" s="12" t="e">
        <f ca="1">VLOOKUP(D78,Input!B:M,6,0)</f>
        <v>#N/A</v>
      </c>
      <c r="P78" s="6">
        <v>77</v>
      </c>
    </row>
    <row r="79" spans="1:16" ht="15.75">
      <c r="A79" s="13" t="str">
        <f>IFERROR(VLOOKUP($D:$D,scan!$A:$B,2,0),"**")</f>
        <v>**</v>
      </c>
      <c r="B79" s="13" t="str">
        <f>IFERROR(VLOOKUP($D79,scan!A:C,3,0),"**")</f>
        <v>**</v>
      </c>
      <c r="C79" s="14">
        <v>15</v>
      </c>
      <c r="D79" s="19"/>
      <c r="E79" s="16" t="str">
        <f t="shared" si="1"/>
        <v>78.**.</v>
      </c>
      <c r="F79" s="3" t="s">
        <v>4950</v>
      </c>
      <c r="G79" s="3" t="s">
        <v>4951</v>
      </c>
      <c r="H79" s="3">
        <v>6042070338</v>
      </c>
      <c r="I79" s="12" t="e">
        <f ca="1">VLOOKUP(D79,Input!B:M,10,0)</f>
        <v>#N/A</v>
      </c>
      <c r="J79" s="12"/>
      <c r="K79" s="12"/>
      <c r="L79" s="12"/>
      <c r="M79" s="12" t="e">
        <f ca="1">VLOOKUP(D79,Input!B:M,12,0)</f>
        <v>#N/A</v>
      </c>
      <c r="N79" s="12" t="e">
        <f ca="1">VLOOKUP(D79,Input!B:N,11,0)</f>
        <v>#N/A</v>
      </c>
      <c r="O79" s="12" t="e">
        <f ca="1">VLOOKUP(D79,Input!B:M,6,0)</f>
        <v>#N/A</v>
      </c>
      <c r="P79" s="6">
        <v>78</v>
      </c>
    </row>
    <row r="80" spans="1:16" ht="14.25">
      <c r="A80" s="13" t="str">
        <f>IFERROR(VLOOKUP($D:$D,scan!$A:$B,2,0),"**")</f>
        <v>**</v>
      </c>
      <c r="B80" s="13" t="str">
        <f>IFERROR(VLOOKUP($D80,scan!A:C,3,0),"**")</f>
        <v>**</v>
      </c>
      <c r="C80" s="14">
        <v>360</v>
      </c>
      <c r="D80" s="15"/>
      <c r="E80" s="16" t="str">
        <f t="shared" si="1"/>
        <v>79.**.</v>
      </c>
      <c r="F80" s="3" t="s">
        <v>4950</v>
      </c>
      <c r="G80" s="3" t="s">
        <v>4951</v>
      </c>
      <c r="H80" s="3">
        <v>6042070338</v>
      </c>
      <c r="I80" s="12" t="e">
        <f ca="1">VLOOKUP(D80,Input!B:M,10,0)</f>
        <v>#N/A</v>
      </c>
      <c r="J80" s="12"/>
      <c r="K80" s="12"/>
      <c r="L80" s="12"/>
      <c r="M80" s="12" t="e">
        <f ca="1">VLOOKUP(D80,Input!B:M,12,0)</f>
        <v>#N/A</v>
      </c>
      <c r="N80" s="12" t="e">
        <f ca="1">VLOOKUP(D80,Input!B:N,11,0)</f>
        <v>#N/A</v>
      </c>
      <c r="O80" s="12" t="e">
        <f ca="1">VLOOKUP(D80,Input!B:M,6,0)</f>
        <v>#N/A</v>
      </c>
      <c r="P80" s="6">
        <v>79</v>
      </c>
    </row>
    <row r="81" spans="1:16" ht="14.25">
      <c r="A81" s="13" t="str">
        <f>IFERROR(VLOOKUP($D:$D,scan!$A:$B,2,0),"**")</f>
        <v>**</v>
      </c>
      <c r="B81" s="13" t="str">
        <f>IFERROR(VLOOKUP($D81,scan!A:C,3,0),"**")</f>
        <v>**</v>
      </c>
      <c r="C81" s="14">
        <v>359</v>
      </c>
      <c r="D81" s="15"/>
      <c r="E81" s="16" t="str">
        <f t="shared" si="1"/>
        <v>80.**.</v>
      </c>
      <c r="F81" s="3" t="s">
        <v>4950</v>
      </c>
      <c r="G81" s="3" t="s">
        <v>4951</v>
      </c>
      <c r="H81" s="3">
        <v>6042070338</v>
      </c>
      <c r="I81" s="12" t="e">
        <f ca="1">VLOOKUP(D81,Input!B:M,10,0)</f>
        <v>#N/A</v>
      </c>
      <c r="J81" s="12"/>
      <c r="K81" s="12"/>
      <c r="L81" s="12"/>
      <c r="M81" s="12" t="e">
        <f ca="1">VLOOKUP(D81,Input!B:M,12,0)</f>
        <v>#N/A</v>
      </c>
      <c r="N81" s="12" t="e">
        <f ca="1">VLOOKUP(D81,Input!B:N,11,0)</f>
        <v>#N/A</v>
      </c>
      <c r="O81" s="12" t="e">
        <f ca="1">VLOOKUP(D81,Input!B:M,6,0)</f>
        <v>#N/A</v>
      </c>
      <c r="P81" s="6">
        <v>80</v>
      </c>
    </row>
    <row r="82" spans="1:16" ht="14.25">
      <c r="A82" s="13" t="str">
        <f>IFERROR(VLOOKUP($D:$D,scan!$A:$B,2,0),"**")</f>
        <v>**</v>
      </c>
      <c r="B82" s="13" t="str">
        <f>IFERROR(VLOOKUP($D82,scan!A:C,3,0),"**")</f>
        <v>**</v>
      </c>
      <c r="C82" s="14">
        <v>355</v>
      </c>
      <c r="D82" s="15"/>
      <c r="E82" s="16" t="str">
        <f t="shared" si="1"/>
        <v>81.**.</v>
      </c>
      <c r="F82" s="3" t="s">
        <v>4950</v>
      </c>
      <c r="G82" s="3" t="s">
        <v>4951</v>
      </c>
      <c r="H82" s="3">
        <v>6042070338</v>
      </c>
      <c r="I82" s="12" t="e">
        <f ca="1">VLOOKUP(D82,Input!B:M,10,0)</f>
        <v>#N/A</v>
      </c>
      <c r="J82" s="12"/>
      <c r="K82" s="12"/>
      <c r="L82" s="12"/>
      <c r="M82" s="12" t="e">
        <f ca="1">VLOOKUP(D82,Input!B:M,12,0)</f>
        <v>#N/A</v>
      </c>
      <c r="N82" s="12" t="e">
        <f ca="1">VLOOKUP(D82,Input!B:N,11,0)</f>
        <v>#N/A</v>
      </c>
      <c r="O82" s="12" t="e">
        <f ca="1">VLOOKUP(D82,Input!B:M,6,0)</f>
        <v>#N/A</v>
      </c>
      <c r="P82" s="6">
        <v>81</v>
      </c>
    </row>
    <row r="83" spans="1:16" ht="14.25">
      <c r="A83" s="13" t="str">
        <f>IFERROR(VLOOKUP($D:$D,scan!$A:$B,2,0),"**")</f>
        <v>**</v>
      </c>
      <c r="B83" s="13" t="str">
        <f>IFERROR(VLOOKUP($D83,scan!A:C,3,0),"**")</f>
        <v>**</v>
      </c>
      <c r="C83" s="14">
        <v>48</v>
      </c>
      <c r="D83" s="15"/>
      <c r="E83" s="16" t="str">
        <f t="shared" si="1"/>
        <v>82.**.</v>
      </c>
      <c r="F83" s="3" t="s">
        <v>4950</v>
      </c>
      <c r="G83" s="3" t="s">
        <v>4951</v>
      </c>
      <c r="H83" s="3">
        <v>6042070338</v>
      </c>
      <c r="I83" s="12" t="e">
        <f ca="1">VLOOKUP(D83,Input!B:M,10,0)</f>
        <v>#N/A</v>
      </c>
      <c r="J83" s="12"/>
      <c r="K83" s="12"/>
      <c r="L83" s="12"/>
      <c r="M83" s="12" t="e">
        <f ca="1">VLOOKUP(D83,Input!B:M,12,0)</f>
        <v>#N/A</v>
      </c>
      <c r="N83" s="12" t="e">
        <f ca="1">VLOOKUP(D83,Input!B:N,11,0)</f>
        <v>#N/A</v>
      </c>
      <c r="O83" s="12" t="e">
        <f ca="1">VLOOKUP(D83,Input!B:M,6,0)</f>
        <v>#N/A</v>
      </c>
      <c r="P83" s="6">
        <v>82</v>
      </c>
    </row>
    <row r="84" spans="1:16" ht="14.25">
      <c r="A84" s="13" t="str">
        <f>IFERROR(VLOOKUP($D:$D,scan!$A:$B,2,0),"**")</f>
        <v>**</v>
      </c>
      <c r="B84" s="13" t="str">
        <f>IFERROR(VLOOKUP($D84,scan!A:C,3,0),"**")</f>
        <v>**</v>
      </c>
      <c r="C84" s="14">
        <v>515</v>
      </c>
      <c r="D84" s="15"/>
      <c r="E84" s="16" t="str">
        <f t="shared" si="1"/>
        <v>83.**.</v>
      </c>
      <c r="F84" s="3" t="s">
        <v>4950</v>
      </c>
      <c r="G84" s="3" t="s">
        <v>4951</v>
      </c>
      <c r="H84" s="3">
        <v>6042070338</v>
      </c>
      <c r="I84" s="12" t="e">
        <f ca="1">VLOOKUP(D84,Input!B:M,10,0)</f>
        <v>#N/A</v>
      </c>
      <c r="J84" s="12"/>
      <c r="K84" s="12"/>
      <c r="L84" s="12"/>
      <c r="M84" s="12" t="e">
        <f ca="1">VLOOKUP(D84,Input!B:M,12,0)</f>
        <v>#N/A</v>
      </c>
      <c r="N84" s="12" t="e">
        <f ca="1">VLOOKUP(D84,Input!B:N,11,0)</f>
        <v>#N/A</v>
      </c>
      <c r="O84" s="12" t="e">
        <f ca="1">VLOOKUP(D84,Input!B:M,6,0)</f>
        <v>#N/A</v>
      </c>
      <c r="P84" s="6">
        <v>83</v>
      </c>
    </row>
    <row r="85" spans="1:16" ht="14.25">
      <c r="A85" s="13" t="str">
        <f>IFERROR(VLOOKUP($D:$D,scan!$A:$B,2,0),"**")</f>
        <v>**</v>
      </c>
      <c r="B85" s="13" t="str">
        <f>IFERROR(VLOOKUP($D85,scan!A:C,3,0),"**")</f>
        <v>**</v>
      </c>
      <c r="C85" s="14">
        <v>207</v>
      </c>
      <c r="D85" s="15"/>
      <c r="E85" s="16" t="str">
        <f t="shared" si="1"/>
        <v>84.**.</v>
      </c>
      <c r="F85" s="3" t="s">
        <v>4950</v>
      </c>
      <c r="G85" s="3" t="s">
        <v>4951</v>
      </c>
      <c r="H85" s="3">
        <v>6042070338</v>
      </c>
      <c r="I85" s="12" t="e">
        <f ca="1">VLOOKUP(D85,Input!B:M,10,0)</f>
        <v>#N/A</v>
      </c>
      <c r="J85" s="12"/>
      <c r="K85" s="12"/>
      <c r="L85" s="12"/>
      <c r="M85" s="12" t="e">
        <f ca="1">VLOOKUP(D85,Input!B:M,12,0)</f>
        <v>#N/A</v>
      </c>
      <c r="N85" s="12" t="e">
        <f ca="1">VLOOKUP(D85,Input!B:N,11,0)</f>
        <v>#N/A</v>
      </c>
      <c r="O85" s="12" t="e">
        <f ca="1">VLOOKUP(D85,Input!B:M,6,0)</f>
        <v>#N/A</v>
      </c>
      <c r="P85" s="6">
        <v>84</v>
      </c>
    </row>
    <row r="86" spans="1:16" ht="14.25">
      <c r="A86" s="13" t="str">
        <f>IFERROR(VLOOKUP($D:$D,scan!$A:$B,2,0),"**")</f>
        <v>**</v>
      </c>
      <c r="B86" s="13" t="str">
        <f>IFERROR(VLOOKUP($D86,scan!A:C,3,0),"**")</f>
        <v>**</v>
      </c>
      <c r="C86" s="14">
        <v>202</v>
      </c>
      <c r="D86" s="15"/>
      <c r="E86" s="16" t="str">
        <f t="shared" si="1"/>
        <v>85.**.</v>
      </c>
      <c r="F86" s="3" t="s">
        <v>4950</v>
      </c>
      <c r="G86" s="3" t="s">
        <v>4951</v>
      </c>
      <c r="H86" s="3">
        <v>6042070338</v>
      </c>
      <c r="I86" s="12" t="e">
        <f ca="1">VLOOKUP(D86,Input!B:M,10,0)</f>
        <v>#N/A</v>
      </c>
      <c r="J86" s="12"/>
      <c r="K86" s="12"/>
      <c r="L86" s="12"/>
      <c r="M86" s="12" t="e">
        <f ca="1">VLOOKUP(D86,Input!B:M,12,0)</f>
        <v>#N/A</v>
      </c>
      <c r="N86" s="12" t="e">
        <f ca="1">VLOOKUP(D86,Input!B:N,11,0)</f>
        <v>#N/A</v>
      </c>
      <c r="O86" s="12" t="e">
        <f ca="1">VLOOKUP(D86,Input!B:M,6,0)</f>
        <v>#N/A</v>
      </c>
      <c r="P86" s="6">
        <v>85</v>
      </c>
    </row>
    <row r="87" spans="1:16" ht="14.25">
      <c r="A87" s="13" t="str">
        <f>IFERROR(VLOOKUP($D:$D,scan!$A:$B,2,0),"**")</f>
        <v>**</v>
      </c>
      <c r="B87" s="13" t="str">
        <f>IFERROR(VLOOKUP($D87,scan!A:C,3,0),"**")</f>
        <v>**</v>
      </c>
      <c r="C87" s="5">
        <v>351</v>
      </c>
      <c r="D87" s="15"/>
      <c r="E87" s="16" t="str">
        <f t="shared" si="1"/>
        <v>86.**.</v>
      </c>
      <c r="F87" s="3" t="s">
        <v>4950</v>
      </c>
      <c r="G87" s="3" t="s">
        <v>4951</v>
      </c>
      <c r="H87" s="3">
        <v>6042070338</v>
      </c>
      <c r="I87" s="12" t="e">
        <f ca="1">VLOOKUP(D87,Input!B:M,10,0)</f>
        <v>#N/A</v>
      </c>
      <c r="J87" s="12"/>
      <c r="K87" s="12"/>
      <c r="L87" s="12"/>
      <c r="M87" s="12" t="e">
        <f ca="1">VLOOKUP(D87,Input!B:M,12,0)</f>
        <v>#N/A</v>
      </c>
      <c r="N87" s="12" t="e">
        <f ca="1">VLOOKUP(D87,Input!B:N,11,0)</f>
        <v>#N/A</v>
      </c>
      <c r="O87" s="12" t="e">
        <f ca="1">VLOOKUP(D87,Input!B:M,6,0)</f>
        <v>#N/A</v>
      </c>
      <c r="P87" s="6">
        <v>86</v>
      </c>
    </row>
    <row r="88" spans="1:16" ht="14.25">
      <c r="A88" s="13" t="str">
        <f>IFERROR(VLOOKUP($D:$D,scan!$A:$B,2,0),"**")</f>
        <v>**</v>
      </c>
      <c r="B88" s="13" t="str">
        <f>IFERROR(VLOOKUP($D88,scan!A:C,3,0),"**")</f>
        <v>**</v>
      </c>
      <c r="C88" s="14">
        <v>516</v>
      </c>
      <c r="D88" s="15"/>
      <c r="E88" s="16" t="str">
        <f t="shared" si="1"/>
        <v>87.**.</v>
      </c>
      <c r="F88" s="3" t="s">
        <v>4950</v>
      </c>
      <c r="G88" s="3" t="s">
        <v>4951</v>
      </c>
      <c r="H88" s="3">
        <v>6042070338</v>
      </c>
      <c r="I88" s="12" t="e">
        <f ca="1">VLOOKUP(D88,Input!B:M,10,0)</f>
        <v>#N/A</v>
      </c>
      <c r="J88" s="12"/>
      <c r="K88" s="12"/>
      <c r="L88" s="12"/>
      <c r="M88" s="12" t="e">
        <f ca="1">VLOOKUP(D88,Input!B:M,12,0)</f>
        <v>#N/A</v>
      </c>
      <c r="N88" s="12" t="e">
        <f ca="1">VLOOKUP(D88,Input!B:N,11,0)</f>
        <v>#N/A</v>
      </c>
      <c r="O88" s="12" t="e">
        <f ca="1">VLOOKUP(D88,Input!B:M,6,0)</f>
        <v>#N/A</v>
      </c>
      <c r="P88" s="6">
        <v>87</v>
      </c>
    </row>
    <row r="89" spans="1:16" ht="14.25">
      <c r="A89" s="13" t="str">
        <f>IFERROR(VLOOKUP($D:$D,scan!$A:$B,2,0),"**")</f>
        <v>**</v>
      </c>
      <c r="B89" s="13" t="str">
        <f>IFERROR(VLOOKUP($D89,scan!A:C,3,0),"**")</f>
        <v>**</v>
      </c>
      <c r="C89" s="5">
        <v>509</v>
      </c>
      <c r="D89" s="15"/>
      <c r="E89" s="16" t="str">
        <f t="shared" si="1"/>
        <v>88.**.</v>
      </c>
      <c r="F89" s="3" t="s">
        <v>4950</v>
      </c>
      <c r="G89" s="3" t="s">
        <v>4951</v>
      </c>
      <c r="H89" s="3">
        <v>6042070338</v>
      </c>
      <c r="I89" s="12" t="e">
        <f ca="1">VLOOKUP(D89,Input!B:M,10,0)</f>
        <v>#N/A</v>
      </c>
      <c r="J89" s="12"/>
      <c r="K89" s="12"/>
      <c r="L89" s="12"/>
      <c r="M89" s="12" t="e">
        <f ca="1">VLOOKUP(D89,Input!B:M,12,0)</f>
        <v>#N/A</v>
      </c>
      <c r="N89" s="12" t="e">
        <f ca="1">VLOOKUP(D89,Input!B:N,11,0)</f>
        <v>#N/A</v>
      </c>
      <c r="O89" s="12" t="e">
        <f ca="1">VLOOKUP(D89,Input!B:M,6,0)</f>
        <v>#N/A</v>
      </c>
      <c r="P89" s="6">
        <v>88</v>
      </c>
    </row>
    <row r="90" spans="1:16" ht="14.25">
      <c r="A90" s="13" t="str">
        <f>IFERROR(VLOOKUP($D:$D,scan!$A:$B,2,0),"**")</f>
        <v>**</v>
      </c>
      <c r="B90" s="13" t="str">
        <f>IFERROR(VLOOKUP($D90,scan!A:C,3,0),"**")</f>
        <v>**</v>
      </c>
      <c r="C90" s="14">
        <v>566</v>
      </c>
      <c r="D90" s="15"/>
      <c r="E90" s="16" t="str">
        <f t="shared" si="1"/>
        <v>89.**.</v>
      </c>
      <c r="F90" s="3" t="s">
        <v>4950</v>
      </c>
      <c r="G90" s="3" t="s">
        <v>4951</v>
      </c>
      <c r="H90" s="3">
        <v>6042070338</v>
      </c>
      <c r="I90" s="12" t="e">
        <f ca="1">VLOOKUP(D90,Input!B:M,10,0)</f>
        <v>#N/A</v>
      </c>
      <c r="J90" s="12"/>
      <c r="K90" s="12"/>
      <c r="L90" s="12"/>
      <c r="M90" s="12" t="e">
        <f ca="1">VLOOKUP(D90,Input!B:M,12,0)</f>
        <v>#N/A</v>
      </c>
      <c r="N90" s="12" t="e">
        <f ca="1">VLOOKUP(D90,Input!B:N,11,0)</f>
        <v>#N/A</v>
      </c>
      <c r="O90" s="12" t="e">
        <f ca="1">VLOOKUP(D90,Input!B:M,6,0)</f>
        <v>#N/A</v>
      </c>
      <c r="P90" s="6">
        <v>89</v>
      </c>
    </row>
    <row r="91" spans="1:16" ht="14.25">
      <c r="A91" s="13" t="str">
        <f>IFERROR(VLOOKUP($D:$D,scan!$A:$B,2,0),"**")</f>
        <v>**</v>
      </c>
      <c r="B91" s="13" t="str">
        <f>IFERROR(VLOOKUP($D91,scan!A:C,3,0),"**")</f>
        <v>**</v>
      </c>
      <c r="C91" s="14">
        <v>49</v>
      </c>
      <c r="D91" s="15"/>
      <c r="E91" s="16" t="str">
        <f t="shared" si="1"/>
        <v>90.**.</v>
      </c>
      <c r="F91" s="3" t="s">
        <v>4950</v>
      </c>
      <c r="G91" s="3" t="s">
        <v>4951</v>
      </c>
      <c r="H91" s="3">
        <v>6042070338</v>
      </c>
      <c r="I91" s="12" t="e">
        <f ca="1">VLOOKUP(D91,Input!B:M,10,0)</f>
        <v>#N/A</v>
      </c>
      <c r="J91" s="12"/>
      <c r="K91" s="12"/>
      <c r="L91" s="12"/>
      <c r="M91" s="12" t="e">
        <f ca="1">VLOOKUP(D91,Input!B:M,12,0)</f>
        <v>#N/A</v>
      </c>
      <c r="N91" s="12" t="e">
        <f ca="1">VLOOKUP(D91,Input!B:N,11,0)</f>
        <v>#N/A</v>
      </c>
      <c r="O91" s="12" t="e">
        <f ca="1">VLOOKUP(D91,Input!B:M,6,0)</f>
        <v>#N/A</v>
      </c>
      <c r="P91" s="6">
        <v>90</v>
      </c>
    </row>
    <row r="92" spans="1:16" ht="14.25">
      <c r="A92" s="13" t="str">
        <f>IFERROR(VLOOKUP($D:$D,scan!$A:$B,2,0),"**")</f>
        <v>**</v>
      </c>
      <c r="B92" s="13" t="str">
        <f>IFERROR(VLOOKUP($D92,scan!A:C,3,0),"**")</f>
        <v>**</v>
      </c>
      <c r="C92" s="14">
        <v>44</v>
      </c>
      <c r="D92" s="15"/>
      <c r="E92" s="16" t="str">
        <f t="shared" si="1"/>
        <v>91.**.</v>
      </c>
      <c r="F92" s="3" t="s">
        <v>4950</v>
      </c>
      <c r="G92" s="3" t="s">
        <v>4951</v>
      </c>
      <c r="H92" s="3">
        <v>6042070338</v>
      </c>
      <c r="I92" s="12" t="e">
        <f ca="1">VLOOKUP(D92,Input!B:M,10,0)</f>
        <v>#N/A</v>
      </c>
      <c r="J92" s="12"/>
      <c r="K92" s="12"/>
      <c r="L92" s="12"/>
      <c r="M92" s="12" t="e">
        <f ca="1">VLOOKUP(D92,Input!B:M,12,0)</f>
        <v>#N/A</v>
      </c>
      <c r="N92" s="12" t="e">
        <f ca="1">VLOOKUP(D92,Input!B:N,11,0)</f>
        <v>#N/A</v>
      </c>
      <c r="O92" s="12" t="e">
        <f ca="1">VLOOKUP(D92,Input!B:M,6,0)</f>
        <v>#N/A</v>
      </c>
      <c r="P92" s="6">
        <v>91</v>
      </c>
    </row>
    <row r="93" spans="1:16" ht="14.25">
      <c r="A93" s="13" t="str">
        <f>IFERROR(VLOOKUP($D:$D,scan!$A:$B,2,0),"**")</f>
        <v>**</v>
      </c>
      <c r="B93" s="13" t="str">
        <f>IFERROR(VLOOKUP($D93,scan!A:C,3,0),"**")</f>
        <v>**</v>
      </c>
      <c r="C93" s="14">
        <v>219</v>
      </c>
      <c r="D93" s="15"/>
      <c r="E93" s="16" t="str">
        <f t="shared" si="1"/>
        <v>92.**.</v>
      </c>
      <c r="F93" s="3" t="s">
        <v>4950</v>
      </c>
      <c r="G93" s="3" t="s">
        <v>4951</v>
      </c>
      <c r="H93" s="3">
        <v>6042070338</v>
      </c>
      <c r="I93" s="12" t="e">
        <f ca="1">VLOOKUP(D93,Input!B:M,10,0)</f>
        <v>#N/A</v>
      </c>
      <c r="J93" s="12"/>
      <c r="K93" s="12"/>
      <c r="L93" s="12"/>
      <c r="M93" s="12" t="e">
        <f ca="1">VLOOKUP(D93,Input!B:M,12,0)</f>
        <v>#N/A</v>
      </c>
      <c r="N93" s="12" t="e">
        <f ca="1">VLOOKUP(D93,Input!B:N,11,0)</f>
        <v>#N/A</v>
      </c>
      <c r="O93" s="12" t="e">
        <f ca="1">VLOOKUP(D93,Input!B:M,6,0)</f>
        <v>#N/A</v>
      </c>
      <c r="P93" s="6">
        <v>92</v>
      </c>
    </row>
    <row r="94" spans="1:16" ht="14.25">
      <c r="A94" s="13" t="str">
        <f>IFERROR(VLOOKUP($D:$D,scan!$A:$B,2,0),"**")</f>
        <v>**</v>
      </c>
      <c r="B94" s="13" t="str">
        <f>IFERROR(VLOOKUP($D94,scan!A:C,3,0),"**")</f>
        <v>**</v>
      </c>
      <c r="C94" s="5">
        <v>201</v>
      </c>
      <c r="D94" s="15"/>
      <c r="E94" s="16" t="str">
        <f t="shared" si="1"/>
        <v>93.**.</v>
      </c>
      <c r="F94" s="3" t="s">
        <v>4950</v>
      </c>
      <c r="G94" s="3" t="s">
        <v>4951</v>
      </c>
      <c r="H94" s="3">
        <v>6042070338</v>
      </c>
      <c r="I94" s="12" t="e">
        <f ca="1">VLOOKUP(D94,Input!B:M,10,0)</f>
        <v>#N/A</v>
      </c>
      <c r="J94" s="12"/>
      <c r="K94" s="12"/>
      <c r="L94" s="12"/>
      <c r="M94" s="12" t="e">
        <f ca="1">VLOOKUP(D94,Input!B:M,12,0)</f>
        <v>#N/A</v>
      </c>
      <c r="N94" s="12" t="e">
        <f ca="1">VLOOKUP(D94,Input!B:N,11,0)</f>
        <v>#N/A</v>
      </c>
      <c r="O94" s="12" t="e">
        <f ca="1">VLOOKUP(D94,Input!B:M,6,0)</f>
        <v>#N/A</v>
      </c>
      <c r="P94" s="6">
        <v>93</v>
      </c>
    </row>
    <row r="95" spans="1:16" ht="14.25">
      <c r="A95" s="13" t="str">
        <f>IFERROR(VLOOKUP($D:$D,scan!$A:$B,2,0),"**")</f>
        <v>**</v>
      </c>
      <c r="B95" s="13" t="str">
        <f>IFERROR(VLOOKUP($D95,scan!A:C,3,0),"**")</f>
        <v>**</v>
      </c>
      <c r="C95" s="14">
        <v>358</v>
      </c>
      <c r="D95" s="15"/>
      <c r="E95" s="16" t="str">
        <f t="shared" si="1"/>
        <v>94.**.</v>
      </c>
      <c r="F95" s="3" t="s">
        <v>4950</v>
      </c>
      <c r="G95" s="3" t="s">
        <v>4951</v>
      </c>
      <c r="H95" s="3">
        <v>6042070338</v>
      </c>
      <c r="I95" s="12" t="e">
        <f ca="1">VLOOKUP(D95,Input!B:M,10,0)</f>
        <v>#N/A</v>
      </c>
      <c r="J95" s="12"/>
      <c r="K95" s="12"/>
      <c r="L95" s="12"/>
      <c r="M95" s="12" t="e">
        <f ca="1">VLOOKUP(D95,Input!B:M,12,0)</f>
        <v>#N/A</v>
      </c>
      <c r="N95" s="12" t="e">
        <f ca="1">VLOOKUP(D95,Input!B:N,11,0)</f>
        <v>#N/A</v>
      </c>
      <c r="O95" s="12" t="e">
        <f ca="1">VLOOKUP(D95,Input!B:M,6,0)</f>
        <v>#N/A</v>
      </c>
      <c r="P95" s="6">
        <v>94</v>
      </c>
    </row>
    <row r="96" spans="1:16" ht="14.25">
      <c r="A96" s="13" t="str">
        <f>IFERROR(VLOOKUP($D:$D,scan!$A:$B,2,0),"**")</f>
        <v>**</v>
      </c>
      <c r="B96" s="13" t="str">
        <f>IFERROR(VLOOKUP($D96,scan!A:C,3,0),"**")</f>
        <v>**</v>
      </c>
      <c r="C96" s="14">
        <v>507</v>
      </c>
      <c r="D96" s="15"/>
      <c r="E96" s="16" t="str">
        <f t="shared" si="1"/>
        <v>95.**.</v>
      </c>
      <c r="F96" s="3" t="s">
        <v>4950</v>
      </c>
      <c r="G96" s="3" t="s">
        <v>4951</v>
      </c>
      <c r="H96" s="3">
        <v>6042070338</v>
      </c>
      <c r="I96" s="12" t="e">
        <f ca="1">VLOOKUP(D96,Input!B:M,10,0)</f>
        <v>#N/A</v>
      </c>
      <c r="J96" s="12"/>
      <c r="K96" s="12"/>
      <c r="L96" s="12"/>
      <c r="M96" s="12" t="e">
        <f ca="1">VLOOKUP(D96,Input!B:M,12,0)</f>
        <v>#N/A</v>
      </c>
      <c r="N96" s="12" t="e">
        <f ca="1">VLOOKUP(D96,Input!B:N,11,0)</f>
        <v>#N/A</v>
      </c>
      <c r="O96" s="12" t="e">
        <f ca="1">VLOOKUP(D96,Input!B:M,6,0)</f>
        <v>#N/A</v>
      </c>
      <c r="P96" s="6">
        <v>95</v>
      </c>
    </row>
    <row r="97" spans="1:16" ht="14.25">
      <c r="A97" s="13" t="str">
        <f>IFERROR(VLOOKUP($D:$D,scan!$A:$B,2,0),"**")</f>
        <v>**</v>
      </c>
      <c r="B97" s="13" t="str">
        <f>IFERROR(VLOOKUP($D97,scan!A:C,3,0),"**")</f>
        <v>**</v>
      </c>
      <c r="C97" s="14">
        <v>354</v>
      </c>
      <c r="D97" s="15"/>
      <c r="E97" s="16" t="str">
        <f t="shared" si="1"/>
        <v>96.**.</v>
      </c>
      <c r="F97" s="3" t="s">
        <v>4950</v>
      </c>
      <c r="G97" s="3" t="s">
        <v>4951</v>
      </c>
      <c r="H97" s="3">
        <v>6042070338</v>
      </c>
      <c r="I97" s="12" t="e">
        <f ca="1">VLOOKUP(D97,Input!B:M,10,0)</f>
        <v>#N/A</v>
      </c>
      <c r="J97" s="12"/>
      <c r="K97" s="12"/>
      <c r="L97" s="12"/>
      <c r="M97" s="12" t="e">
        <f ca="1">VLOOKUP(D97,Input!B:M,12,0)</f>
        <v>#N/A</v>
      </c>
      <c r="N97" s="12" t="e">
        <f ca="1">VLOOKUP(D97,Input!B:N,11,0)</f>
        <v>#N/A</v>
      </c>
      <c r="O97" s="12" t="e">
        <f ca="1">VLOOKUP(D97,Input!B:M,6,0)</f>
        <v>#N/A</v>
      </c>
      <c r="P97" s="6">
        <v>96</v>
      </c>
    </row>
    <row r="98" spans="1:16" ht="14.25">
      <c r="A98" s="13" t="str">
        <f>IFERROR(VLOOKUP($D:$D,scan!$A:$B,2,0),"**")</f>
        <v>**</v>
      </c>
      <c r="B98" s="13" t="str">
        <f>IFERROR(VLOOKUP($D98,scan!A:C,3,0),"**")</f>
        <v>**</v>
      </c>
      <c r="C98" s="14">
        <v>45</v>
      </c>
      <c r="D98" s="15"/>
      <c r="E98" s="16" t="str">
        <f t="shared" si="1"/>
        <v>97.**.</v>
      </c>
      <c r="F98" s="3" t="s">
        <v>4950</v>
      </c>
      <c r="G98" s="3" t="s">
        <v>4951</v>
      </c>
      <c r="H98" s="3">
        <v>6042070338</v>
      </c>
      <c r="I98" s="12" t="e">
        <f ca="1">VLOOKUP(D98,Input!B:M,10,0)</f>
        <v>#N/A</v>
      </c>
      <c r="J98" s="12"/>
      <c r="K98" s="12"/>
      <c r="L98" s="12"/>
      <c r="M98" s="12" t="e">
        <f ca="1">VLOOKUP(D98,Input!B:M,12,0)</f>
        <v>#N/A</v>
      </c>
      <c r="N98" s="12" t="e">
        <f ca="1">VLOOKUP(D98,Input!B:N,11,0)</f>
        <v>#N/A</v>
      </c>
      <c r="O98" s="12" t="e">
        <f ca="1">VLOOKUP(D98,Input!B:M,6,0)</f>
        <v>#N/A</v>
      </c>
      <c r="P98" s="6">
        <v>97</v>
      </c>
    </row>
    <row r="99" spans="1:16" ht="14.25">
      <c r="A99" s="13" t="str">
        <f>IFERROR(VLOOKUP($D:$D,scan!$A:$B,2,0),"**")</f>
        <v>**</v>
      </c>
      <c r="B99" s="13" t="str">
        <f>IFERROR(VLOOKUP($D99,scan!A:C,3,0),"**")</f>
        <v>**</v>
      </c>
      <c r="C99" s="14">
        <v>514</v>
      </c>
      <c r="D99" s="15"/>
      <c r="E99" s="16" t="str">
        <f t="shared" si="1"/>
        <v>98.**.</v>
      </c>
      <c r="F99" s="3" t="s">
        <v>4950</v>
      </c>
      <c r="G99" s="3" t="s">
        <v>4951</v>
      </c>
      <c r="H99" s="3">
        <v>6042070338</v>
      </c>
      <c r="I99" s="12" t="e">
        <f ca="1">VLOOKUP(D99,Input!B:M,10,0)</f>
        <v>#N/A</v>
      </c>
      <c r="J99" s="12"/>
      <c r="K99" s="12"/>
      <c r="L99" s="12"/>
      <c r="M99" s="12" t="e">
        <f ca="1">VLOOKUP(D99,Input!B:M,12,0)</f>
        <v>#N/A</v>
      </c>
      <c r="N99" s="12" t="e">
        <f ca="1">VLOOKUP(D99,Input!B:N,11,0)</f>
        <v>#N/A</v>
      </c>
      <c r="O99" s="12" t="e">
        <f ca="1">VLOOKUP(D99,Input!B:M,6,0)</f>
        <v>#N/A</v>
      </c>
      <c r="P99" s="6">
        <v>98</v>
      </c>
    </row>
    <row r="100" spans="1:16" ht="14.25">
      <c r="A100" s="13" t="str">
        <f>IFERROR(VLOOKUP($D:$D,scan!$A:$B,2,0),"**")</f>
        <v>**</v>
      </c>
      <c r="B100" s="13" t="str">
        <f>IFERROR(VLOOKUP($D100,scan!A:C,3,0),"**")</f>
        <v>**</v>
      </c>
      <c r="C100" s="14">
        <v>43</v>
      </c>
      <c r="D100" s="15"/>
      <c r="E100" s="16" t="str">
        <f t="shared" si="1"/>
        <v>99.**.</v>
      </c>
      <c r="F100" s="3" t="s">
        <v>4950</v>
      </c>
      <c r="G100" s="3" t="s">
        <v>4951</v>
      </c>
      <c r="H100" s="3">
        <v>6042070338</v>
      </c>
      <c r="I100" s="12" t="e">
        <f ca="1">VLOOKUP(D100,Input!B:M,10,0)</f>
        <v>#N/A</v>
      </c>
      <c r="J100" s="12"/>
      <c r="K100" s="12"/>
      <c r="L100" s="12"/>
      <c r="M100" s="12" t="e">
        <f ca="1">VLOOKUP(D100,Input!B:M,12,0)</f>
        <v>#N/A</v>
      </c>
      <c r="N100" s="12" t="e">
        <f ca="1">VLOOKUP(D100,Input!B:N,11,0)</f>
        <v>#N/A</v>
      </c>
      <c r="O100" s="12" t="e">
        <f ca="1">VLOOKUP(D100,Input!B:M,6,0)</f>
        <v>#N/A</v>
      </c>
      <c r="P100" s="6">
        <v>99</v>
      </c>
    </row>
    <row r="101" spans="1:16" ht="14.25">
      <c r="A101" s="13" t="str">
        <f>IFERROR(VLOOKUP($D:$D,scan!$A:$B,2,0),"**")</f>
        <v>**</v>
      </c>
      <c r="B101" s="13" t="str">
        <f>IFERROR(VLOOKUP($D101,scan!A:C,3,0),"**")</f>
        <v>**</v>
      </c>
      <c r="C101" s="5">
        <v>533</v>
      </c>
      <c r="D101" s="15"/>
      <c r="E101" s="16" t="str">
        <f t="shared" si="1"/>
        <v>100.**.</v>
      </c>
      <c r="F101" s="3" t="s">
        <v>4950</v>
      </c>
      <c r="G101" s="3" t="s">
        <v>4951</v>
      </c>
      <c r="H101" s="3">
        <v>6042070338</v>
      </c>
      <c r="I101" s="12" t="e">
        <f ca="1">VLOOKUP(D101,Input!B:M,10,0)</f>
        <v>#N/A</v>
      </c>
      <c r="J101" s="12"/>
      <c r="K101" s="12"/>
      <c r="L101" s="12"/>
      <c r="M101" s="12" t="e">
        <f ca="1">VLOOKUP(D101,Input!B:M,12,0)</f>
        <v>#N/A</v>
      </c>
      <c r="N101" s="12" t="e">
        <f ca="1">VLOOKUP(D101,Input!B:N,11,0)</f>
        <v>#N/A</v>
      </c>
      <c r="O101" s="12" t="e">
        <f ca="1">VLOOKUP(D101,Input!B:M,6,0)</f>
        <v>#N/A</v>
      </c>
      <c r="P101" s="6">
        <v>100</v>
      </c>
    </row>
    <row r="102" spans="1:16" ht="14.25">
      <c r="A102" s="13" t="str">
        <f>IFERROR(VLOOKUP($D:$D,scan!$A:$B,2,0),"**")</f>
        <v>**</v>
      </c>
      <c r="B102" s="13" t="str">
        <f>IFERROR(VLOOKUP($D102,scan!A:C,3,0),"**")</f>
        <v>**</v>
      </c>
      <c r="C102" s="14">
        <v>68</v>
      </c>
      <c r="D102" s="15"/>
      <c r="E102" s="16" t="str">
        <f t="shared" si="1"/>
        <v>101.**.</v>
      </c>
      <c r="F102" s="3" t="s">
        <v>4950</v>
      </c>
      <c r="G102" s="3" t="s">
        <v>4951</v>
      </c>
      <c r="H102" s="3">
        <v>6042070338</v>
      </c>
      <c r="I102" s="12" t="e">
        <f ca="1">VLOOKUP(D102,Input!B:M,10,0)</f>
        <v>#N/A</v>
      </c>
      <c r="J102" s="12"/>
      <c r="K102" s="12"/>
      <c r="L102" s="12"/>
      <c r="M102" s="12" t="e">
        <f ca="1">VLOOKUP(D102,Input!B:M,12,0)</f>
        <v>#N/A</v>
      </c>
      <c r="N102" s="12" t="e">
        <f ca="1">VLOOKUP(D102,Input!B:N,11,0)</f>
        <v>#N/A</v>
      </c>
      <c r="O102" s="12" t="e">
        <f ca="1">VLOOKUP(D102,Input!B:M,6,0)</f>
        <v>#N/A</v>
      </c>
      <c r="P102" s="6">
        <v>101</v>
      </c>
    </row>
    <row r="103" spans="1:16" ht="14.25">
      <c r="A103" s="13" t="str">
        <f>IFERROR(VLOOKUP($D:$D,scan!$A:$B,2,0),"**")</f>
        <v>**</v>
      </c>
      <c r="B103" s="13" t="str">
        <f>IFERROR(VLOOKUP($D103,scan!A:C,3,0),"**")</f>
        <v>**</v>
      </c>
      <c r="C103" s="5">
        <v>557</v>
      </c>
      <c r="D103" s="15"/>
      <c r="E103" s="16" t="str">
        <f t="shared" si="1"/>
        <v>102.**.</v>
      </c>
      <c r="F103" s="3" t="s">
        <v>4950</v>
      </c>
      <c r="G103" s="3" t="s">
        <v>4951</v>
      </c>
      <c r="H103" s="3">
        <v>6042070338</v>
      </c>
      <c r="I103" s="12" t="e">
        <f ca="1">VLOOKUP(D103,Input!B:M,10,0)</f>
        <v>#N/A</v>
      </c>
      <c r="J103" s="12"/>
      <c r="K103" s="12"/>
      <c r="L103" s="12"/>
      <c r="M103" s="12" t="e">
        <f ca="1">VLOOKUP(D103,Input!B:M,12,0)</f>
        <v>#N/A</v>
      </c>
      <c r="N103" s="12" t="e">
        <f ca="1">VLOOKUP(D103,Input!B:N,11,0)</f>
        <v>#N/A</v>
      </c>
      <c r="O103" s="12" t="e">
        <f ca="1">VLOOKUP(D103,Input!B:M,6,0)</f>
        <v>#N/A</v>
      </c>
      <c r="P103" s="6">
        <v>102</v>
      </c>
    </row>
    <row r="104" spans="1:16" ht="14.25">
      <c r="A104" s="13" t="str">
        <f>IFERROR(VLOOKUP($D:$D,scan!$A:$B,2,0),"**")</f>
        <v>**</v>
      </c>
      <c r="B104" s="13" t="str">
        <f>IFERROR(VLOOKUP($D104,scan!A:C,3,0),"**")</f>
        <v>**</v>
      </c>
      <c r="C104" s="14">
        <v>449</v>
      </c>
      <c r="D104" s="15"/>
      <c r="E104" s="16" t="str">
        <f t="shared" si="1"/>
        <v>103.**.</v>
      </c>
      <c r="F104" s="3" t="s">
        <v>4950</v>
      </c>
      <c r="G104" s="3" t="s">
        <v>4951</v>
      </c>
      <c r="H104" s="3">
        <v>6042070338</v>
      </c>
      <c r="I104" s="12" t="e">
        <f ca="1">VLOOKUP(D104,Input!B:M,10,0)</f>
        <v>#N/A</v>
      </c>
      <c r="J104" s="12"/>
      <c r="K104" s="12"/>
      <c r="L104" s="12"/>
      <c r="M104" s="12" t="e">
        <f ca="1">VLOOKUP(D104,Input!B:M,12,0)</f>
        <v>#N/A</v>
      </c>
      <c r="N104" s="12" t="e">
        <f ca="1">VLOOKUP(D104,Input!B:N,11,0)</f>
        <v>#N/A</v>
      </c>
      <c r="O104" s="12" t="e">
        <f ca="1">VLOOKUP(D104,Input!B:M,6,0)</f>
        <v>#N/A</v>
      </c>
      <c r="P104" s="6">
        <v>103</v>
      </c>
    </row>
    <row r="105" spans="1:16" ht="14.25">
      <c r="A105" s="13" t="str">
        <f>IFERROR(VLOOKUP($D:$D,scan!$A:$B,2,0),"**")</f>
        <v>**</v>
      </c>
      <c r="B105" s="13" t="str">
        <f>IFERROR(VLOOKUP($D105,scan!A:C,3,0),"**")</f>
        <v>**</v>
      </c>
      <c r="C105" s="14">
        <v>450</v>
      </c>
      <c r="D105" s="15"/>
      <c r="E105" s="16" t="str">
        <f t="shared" si="1"/>
        <v>104.**.</v>
      </c>
      <c r="F105" s="3" t="s">
        <v>4950</v>
      </c>
      <c r="G105" s="3" t="s">
        <v>4951</v>
      </c>
      <c r="H105" s="3">
        <v>6042070338</v>
      </c>
      <c r="I105" s="12" t="e">
        <f ca="1">VLOOKUP(D105,Input!B:M,10,0)</f>
        <v>#N/A</v>
      </c>
      <c r="J105" s="12"/>
      <c r="K105" s="12"/>
      <c r="L105" s="12"/>
      <c r="M105" s="12" t="e">
        <f ca="1">VLOOKUP(D105,Input!B:M,12,0)</f>
        <v>#N/A</v>
      </c>
      <c r="N105" s="12" t="e">
        <f ca="1">VLOOKUP(D105,Input!B:N,11,0)</f>
        <v>#N/A</v>
      </c>
      <c r="O105" s="12" t="e">
        <f ca="1">VLOOKUP(D105,Input!B:M,6,0)</f>
        <v>#N/A</v>
      </c>
      <c r="P105" s="6">
        <v>104</v>
      </c>
    </row>
    <row r="106" spans="1:16" ht="14.25">
      <c r="A106" s="13" t="str">
        <f>IFERROR(VLOOKUP($D:$D,scan!$A:$B,2,0),"**")</f>
        <v>**</v>
      </c>
      <c r="B106" s="13" t="str">
        <f>IFERROR(VLOOKUP($D106,scan!A:C,3,0),"**")</f>
        <v>**</v>
      </c>
      <c r="C106" s="14">
        <v>114</v>
      </c>
      <c r="D106" s="15"/>
      <c r="E106" s="16" t="str">
        <f t="shared" si="1"/>
        <v>105.**.</v>
      </c>
      <c r="F106" s="3" t="s">
        <v>4950</v>
      </c>
      <c r="G106" s="3" t="s">
        <v>4951</v>
      </c>
      <c r="H106" s="3">
        <v>6042070338</v>
      </c>
      <c r="I106" s="12" t="e">
        <f ca="1">VLOOKUP(D106,Input!B:M,10,0)</f>
        <v>#N/A</v>
      </c>
      <c r="J106" s="12"/>
      <c r="K106" s="12"/>
      <c r="L106" s="12"/>
      <c r="M106" s="12" t="e">
        <f ca="1">VLOOKUP(D106,Input!B:M,12,0)</f>
        <v>#N/A</v>
      </c>
      <c r="N106" s="12" t="e">
        <f ca="1">VLOOKUP(D106,Input!B:N,11,0)</f>
        <v>#N/A</v>
      </c>
      <c r="O106" s="12" t="e">
        <f ca="1">VLOOKUP(D106,Input!B:M,6,0)</f>
        <v>#N/A</v>
      </c>
      <c r="P106" s="6">
        <v>105</v>
      </c>
    </row>
    <row r="107" spans="1:16" ht="14.25">
      <c r="A107" s="13" t="str">
        <f>IFERROR(VLOOKUP($D:$D,scan!$A:$B,2,0),"**")</f>
        <v>**</v>
      </c>
      <c r="B107" s="13" t="str">
        <f>IFERROR(VLOOKUP($D107,scan!A:C,3,0),"**")</f>
        <v>**</v>
      </c>
      <c r="C107" s="14">
        <v>422</v>
      </c>
      <c r="D107" s="15"/>
      <c r="E107" s="16" t="str">
        <f t="shared" si="1"/>
        <v>106.**.</v>
      </c>
      <c r="F107" s="3" t="s">
        <v>4950</v>
      </c>
      <c r="G107" s="3" t="s">
        <v>4951</v>
      </c>
      <c r="H107" s="3">
        <v>6042070338</v>
      </c>
      <c r="I107" s="12" t="e">
        <f ca="1">VLOOKUP(D107,Input!B:M,10,0)</f>
        <v>#N/A</v>
      </c>
      <c r="J107" s="12"/>
      <c r="K107" s="12"/>
      <c r="L107" s="12"/>
      <c r="M107" s="12" t="e">
        <f ca="1">VLOOKUP(D107,Input!B:M,12,0)</f>
        <v>#N/A</v>
      </c>
      <c r="N107" s="12" t="e">
        <f ca="1">VLOOKUP(D107,Input!B:N,11,0)</f>
        <v>#N/A</v>
      </c>
      <c r="O107" s="12" t="e">
        <f ca="1">VLOOKUP(D107,Input!B:M,6,0)</f>
        <v>#N/A</v>
      </c>
      <c r="P107" s="6">
        <v>106</v>
      </c>
    </row>
    <row r="108" spans="1:16" ht="14.25">
      <c r="A108" s="13" t="str">
        <f>IFERROR(VLOOKUP($D:$D,scan!$A:$B,2,0),"**")</f>
        <v>**</v>
      </c>
      <c r="B108" s="13" t="str">
        <f>IFERROR(VLOOKUP($D108,scan!A:C,3,0),"**")</f>
        <v>**</v>
      </c>
      <c r="C108" s="14">
        <v>257</v>
      </c>
      <c r="D108" s="15"/>
      <c r="E108" s="16" t="str">
        <f t="shared" si="1"/>
        <v>107.**.</v>
      </c>
      <c r="F108" s="3" t="s">
        <v>4950</v>
      </c>
      <c r="G108" s="3" t="s">
        <v>4951</v>
      </c>
      <c r="H108" s="3">
        <v>6042070338</v>
      </c>
      <c r="I108" s="12" t="e">
        <f ca="1">VLOOKUP(D108,Input!B:M,10,0)</f>
        <v>#N/A</v>
      </c>
      <c r="J108" s="12"/>
      <c r="K108" s="12"/>
      <c r="L108" s="12"/>
      <c r="M108" s="12" t="e">
        <f ca="1">VLOOKUP(D108,Input!B:M,12,0)</f>
        <v>#N/A</v>
      </c>
      <c r="N108" s="12" t="e">
        <f ca="1">VLOOKUP(D108,Input!B:N,11,0)</f>
        <v>#N/A</v>
      </c>
      <c r="O108" s="12" t="e">
        <f ca="1">VLOOKUP(D108,Input!B:M,6,0)</f>
        <v>#N/A</v>
      </c>
      <c r="P108" s="6">
        <v>107</v>
      </c>
    </row>
    <row r="109" spans="1:16" ht="14.25">
      <c r="A109" s="13" t="str">
        <f>IFERROR(VLOOKUP($D:$D,scan!$A:$B,2,0),"**")</f>
        <v>**</v>
      </c>
      <c r="B109" s="13" t="str">
        <f>IFERROR(VLOOKUP($D109,scan!A:C,3,0),"**")</f>
        <v>**</v>
      </c>
      <c r="C109" s="14">
        <v>584</v>
      </c>
      <c r="D109" s="15"/>
      <c r="E109" s="16" t="str">
        <f t="shared" si="1"/>
        <v>108.**.</v>
      </c>
      <c r="F109" s="3" t="s">
        <v>4950</v>
      </c>
      <c r="G109" s="3" t="s">
        <v>4951</v>
      </c>
      <c r="H109" s="3">
        <v>6042070338</v>
      </c>
      <c r="I109" s="12" t="e">
        <f ca="1">VLOOKUP(D109,Input!B:M,10,0)</f>
        <v>#N/A</v>
      </c>
      <c r="J109" s="12"/>
      <c r="K109" s="12"/>
      <c r="L109" s="12"/>
      <c r="M109" s="12" t="e">
        <f ca="1">VLOOKUP(D109,Input!B:M,12,0)</f>
        <v>#N/A</v>
      </c>
      <c r="N109" s="12" t="e">
        <f ca="1">VLOOKUP(D109,Input!B:N,11,0)</f>
        <v>#N/A</v>
      </c>
      <c r="O109" s="12" t="e">
        <f ca="1">VLOOKUP(D109,Input!B:M,6,0)</f>
        <v>#N/A</v>
      </c>
      <c r="P109" s="6">
        <v>108</v>
      </c>
    </row>
    <row r="110" spans="1:16" ht="14.25">
      <c r="A110" s="13" t="str">
        <f>IFERROR(VLOOKUP($D:$D,scan!$A:$B,2,0),"**")</f>
        <v>**</v>
      </c>
      <c r="B110" s="13" t="str">
        <f>IFERROR(VLOOKUP($D110,scan!A:C,3,0),"**")</f>
        <v>**</v>
      </c>
      <c r="C110" s="14">
        <v>562</v>
      </c>
      <c r="D110" s="15"/>
      <c r="E110" s="16" t="str">
        <f t="shared" si="1"/>
        <v>109.**.</v>
      </c>
      <c r="F110" s="3" t="s">
        <v>4950</v>
      </c>
      <c r="G110" s="3" t="s">
        <v>4951</v>
      </c>
      <c r="H110" s="3">
        <v>6042070338</v>
      </c>
      <c r="I110" s="12" t="e">
        <f ca="1">VLOOKUP(D110,Input!B:M,10,0)</f>
        <v>#N/A</v>
      </c>
      <c r="J110" s="12"/>
      <c r="K110" s="12"/>
      <c r="L110" s="12"/>
      <c r="M110" s="12" t="e">
        <f ca="1">VLOOKUP(D110,Input!B:M,12,0)</f>
        <v>#N/A</v>
      </c>
      <c r="N110" s="12" t="e">
        <f ca="1">VLOOKUP(D110,Input!B:N,11,0)</f>
        <v>#N/A</v>
      </c>
      <c r="O110" s="12" t="e">
        <f ca="1">VLOOKUP(D110,Input!B:M,6,0)</f>
        <v>#N/A</v>
      </c>
      <c r="P110" s="6">
        <v>109</v>
      </c>
    </row>
    <row r="111" spans="1:16" ht="14.25">
      <c r="A111" s="13" t="str">
        <f>IFERROR(VLOOKUP($D:$D,scan!$A:$B,2,0),"**")</f>
        <v>**</v>
      </c>
      <c r="B111" s="13" t="str">
        <f>IFERROR(VLOOKUP($D111,scan!A:C,3,0),"**")</f>
        <v>**</v>
      </c>
      <c r="C111" s="14">
        <v>122</v>
      </c>
      <c r="D111" s="15"/>
      <c r="E111" s="16" t="str">
        <f t="shared" si="1"/>
        <v>110.**.</v>
      </c>
      <c r="F111" s="3" t="s">
        <v>4950</v>
      </c>
      <c r="G111" s="3" t="s">
        <v>4951</v>
      </c>
      <c r="H111" s="3">
        <v>6042070338</v>
      </c>
      <c r="I111" s="12" t="e">
        <f ca="1">VLOOKUP(D111,Input!B:M,10,0)</f>
        <v>#N/A</v>
      </c>
      <c r="J111" s="12"/>
      <c r="K111" s="12"/>
      <c r="L111" s="12"/>
      <c r="M111" s="12" t="e">
        <f ca="1">VLOOKUP(D111,Input!B:M,12,0)</f>
        <v>#N/A</v>
      </c>
      <c r="N111" s="12" t="e">
        <f ca="1">VLOOKUP(D111,Input!B:N,11,0)</f>
        <v>#N/A</v>
      </c>
      <c r="O111" s="12" t="e">
        <f ca="1">VLOOKUP(D111,Input!B:M,6,0)</f>
        <v>#N/A</v>
      </c>
      <c r="P111" s="6">
        <v>110</v>
      </c>
    </row>
    <row r="112" spans="1:16" ht="14.25">
      <c r="A112" s="13" t="str">
        <f>IFERROR(VLOOKUP($D:$D,scan!$A:$B,2,0),"**")</f>
        <v>**</v>
      </c>
      <c r="B112" s="13" t="str">
        <f>IFERROR(VLOOKUP($D112,scan!A:C,3,0),"**")</f>
        <v>**</v>
      </c>
      <c r="C112" s="5">
        <v>276</v>
      </c>
      <c r="D112" s="15"/>
      <c r="E112" s="16" t="str">
        <f t="shared" si="1"/>
        <v>111.**.</v>
      </c>
      <c r="F112" s="3" t="s">
        <v>4950</v>
      </c>
      <c r="G112" s="3" t="s">
        <v>4951</v>
      </c>
      <c r="H112" s="3">
        <v>6042070338</v>
      </c>
      <c r="I112" s="12" t="e">
        <f ca="1">VLOOKUP(D112,Input!B:M,10,0)</f>
        <v>#N/A</v>
      </c>
      <c r="J112" s="12"/>
      <c r="K112" s="12"/>
      <c r="L112" s="12"/>
      <c r="M112" s="12" t="e">
        <f ca="1">VLOOKUP(D112,Input!B:M,12,0)</f>
        <v>#N/A</v>
      </c>
      <c r="N112" s="12" t="e">
        <f ca="1">VLOOKUP(D112,Input!B:N,11,0)</f>
        <v>#N/A</v>
      </c>
      <c r="O112" s="12" t="e">
        <f ca="1">VLOOKUP(D112,Input!B:M,6,0)</f>
        <v>#N/A</v>
      </c>
      <c r="P112" s="6">
        <v>111</v>
      </c>
    </row>
    <row r="113" spans="1:16" ht="15.75">
      <c r="A113" s="13" t="str">
        <f>IFERROR(VLOOKUP($D:$D,scan!$A:$B,2,0),"**")</f>
        <v>**</v>
      </c>
      <c r="B113" s="13" t="str">
        <f>IFERROR(VLOOKUP($D113,scan!A:C,3,0),"**")</f>
        <v>**</v>
      </c>
      <c r="C113" s="14">
        <v>14</v>
      </c>
      <c r="D113" s="19"/>
      <c r="E113" s="16" t="str">
        <f t="shared" si="1"/>
        <v>112.**.</v>
      </c>
      <c r="F113" s="3" t="s">
        <v>4950</v>
      </c>
      <c r="G113" s="3" t="s">
        <v>4951</v>
      </c>
      <c r="H113" s="3">
        <v>6042070338</v>
      </c>
      <c r="I113" s="12" t="e">
        <f ca="1">VLOOKUP(D113,Input!B:M,10,0)</f>
        <v>#N/A</v>
      </c>
      <c r="J113" s="12"/>
      <c r="K113" s="12"/>
      <c r="L113" s="12"/>
      <c r="M113" s="12" t="e">
        <f ca="1">VLOOKUP(D113,Input!B:M,12,0)</f>
        <v>#N/A</v>
      </c>
      <c r="N113" s="12" t="e">
        <f ca="1">VLOOKUP(D113,Input!B:N,11,0)</f>
        <v>#N/A</v>
      </c>
      <c r="O113" s="12" t="e">
        <f ca="1">VLOOKUP(D113,Input!B:M,6,0)</f>
        <v>#N/A</v>
      </c>
      <c r="P113" s="6">
        <v>112</v>
      </c>
    </row>
    <row r="114" spans="1:16" ht="14.25">
      <c r="A114" s="13" t="str">
        <f>IFERROR(VLOOKUP($D:$D,scan!$A:$B,2,0),"**")</f>
        <v>**</v>
      </c>
      <c r="B114" s="13" t="str">
        <f>IFERROR(VLOOKUP($D114,scan!A:C,3,0),"**")</f>
        <v>**</v>
      </c>
      <c r="C114" s="14">
        <v>547</v>
      </c>
      <c r="D114" s="15"/>
      <c r="E114" s="16" t="str">
        <f t="shared" si="1"/>
        <v>113.**.</v>
      </c>
      <c r="F114" s="3" t="s">
        <v>4950</v>
      </c>
      <c r="G114" s="3" t="s">
        <v>4951</v>
      </c>
      <c r="H114" s="3">
        <v>6042070338</v>
      </c>
      <c r="I114" s="12" t="e">
        <f ca="1">VLOOKUP(D114,Input!B:M,10,0)</f>
        <v>#N/A</v>
      </c>
      <c r="J114" s="12"/>
      <c r="K114" s="12"/>
      <c r="L114" s="12"/>
      <c r="M114" s="12" t="e">
        <f ca="1">VLOOKUP(D114,Input!B:M,12,0)</f>
        <v>#N/A</v>
      </c>
      <c r="N114" s="12" t="e">
        <f ca="1">VLOOKUP(D114,Input!B:N,11,0)</f>
        <v>#N/A</v>
      </c>
      <c r="O114" s="12" t="e">
        <f ca="1">VLOOKUP(D114,Input!B:M,6,0)</f>
        <v>#N/A</v>
      </c>
      <c r="P114" s="6">
        <v>113</v>
      </c>
    </row>
    <row r="115" spans="1:16" ht="14.25">
      <c r="A115" s="13" t="str">
        <f>IFERROR(VLOOKUP($D:$D,scan!$A:$B,2,0),"**")</f>
        <v>**</v>
      </c>
      <c r="B115" s="13" t="str">
        <f>IFERROR(VLOOKUP($D115,scan!A:C,3,0),"**")</f>
        <v>**</v>
      </c>
      <c r="C115" s="14">
        <v>110</v>
      </c>
      <c r="D115" s="15"/>
      <c r="E115" s="16" t="str">
        <f t="shared" si="1"/>
        <v>114.**.</v>
      </c>
      <c r="F115" s="3" t="s">
        <v>4950</v>
      </c>
      <c r="G115" s="3" t="s">
        <v>4951</v>
      </c>
      <c r="H115" s="3">
        <v>6042070338</v>
      </c>
      <c r="I115" s="12" t="e">
        <f ca="1">VLOOKUP(D115,Input!B:M,10,0)</f>
        <v>#N/A</v>
      </c>
      <c r="J115" s="12"/>
      <c r="K115" s="12"/>
      <c r="L115" s="12"/>
      <c r="M115" s="12" t="e">
        <f ca="1">VLOOKUP(D115,Input!B:M,12,0)</f>
        <v>#N/A</v>
      </c>
      <c r="N115" s="12" t="e">
        <f ca="1">VLOOKUP(D115,Input!B:N,11,0)</f>
        <v>#N/A</v>
      </c>
      <c r="O115" s="12" t="e">
        <f ca="1">VLOOKUP(D115,Input!B:M,6,0)</f>
        <v>#N/A</v>
      </c>
      <c r="P115" s="6">
        <v>114</v>
      </c>
    </row>
    <row r="116" spans="1:16" ht="15.75">
      <c r="A116" s="13" t="str">
        <f>IFERROR(VLOOKUP($D:$D,scan!$A:$B,2,0),"**")</f>
        <v>**</v>
      </c>
      <c r="B116" s="13" t="str">
        <f>IFERROR(VLOOKUP($D116,scan!A:C,3,0),"**")</f>
        <v>**</v>
      </c>
      <c r="C116" s="14">
        <v>472</v>
      </c>
      <c r="D116" s="19"/>
      <c r="E116" s="16" t="str">
        <f t="shared" si="1"/>
        <v>115.**.</v>
      </c>
      <c r="F116" s="3" t="s">
        <v>4950</v>
      </c>
      <c r="G116" s="3" t="s">
        <v>4951</v>
      </c>
      <c r="H116" s="3">
        <v>6042070338</v>
      </c>
      <c r="I116" s="12" t="e">
        <f ca="1">VLOOKUP(D116,Input!B:M,10,0)</f>
        <v>#N/A</v>
      </c>
      <c r="J116" s="12"/>
      <c r="K116" s="12"/>
      <c r="L116" s="12"/>
      <c r="M116" s="12" t="e">
        <f ca="1">VLOOKUP(D116,Input!B:M,12,0)</f>
        <v>#N/A</v>
      </c>
      <c r="N116" s="12" t="e">
        <f ca="1">VLOOKUP(D116,Input!B:N,11,0)</f>
        <v>#N/A</v>
      </c>
      <c r="O116" s="12" t="e">
        <f ca="1">VLOOKUP(D116,Input!B:M,6,0)</f>
        <v>#N/A</v>
      </c>
      <c r="P116" s="6">
        <v>115</v>
      </c>
    </row>
    <row r="117" spans="1:16" ht="14.25">
      <c r="A117" s="13" t="str">
        <f>IFERROR(VLOOKUP($D:$D,scan!$A:$B,2,0),"**")</f>
        <v>**</v>
      </c>
      <c r="B117" s="13" t="str">
        <f>IFERROR(VLOOKUP($D117,scan!A:C,3,0),"**")</f>
        <v>**</v>
      </c>
      <c r="C117" s="14">
        <v>560</v>
      </c>
      <c r="D117" s="15"/>
      <c r="E117" s="16" t="str">
        <f t="shared" si="1"/>
        <v>116.**.</v>
      </c>
      <c r="F117" s="3" t="s">
        <v>4950</v>
      </c>
      <c r="G117" s="3" t="s">
        <v>4951</v>
      </c>
      <c r="H117" s="3">
        <v>6042070338</v>
      </c>
      <c r="I117" s="12" t="e">
        <f ca="1">VLOOKUP(D117,Input!B:M,10,0)</f>
        <v>#N/A</v>
      </c>
      <c r="J117" s="12"/>
      <c r="K117" s="12"/>
      <c r="L117" s="12"/>
      <c r="M117" s="12" t="e">
        <f ca="1">VLOOKUP(D117,Input!B:M,12,0)</f>
        <v>#N/A</v>
      </c>
      <c r="N117" s="12" t="e">
        <f ca="1">VLOOKUP(D117,Input!B:N,11,0)</f>
        <v>#N/A</v>
      </c>
      <c r="O117" s="12" t="e">
        <f ca="1">VLOOKUP(D117,Input!B:M,6,0)</f>
        <v>#N/A</v>
      </c>
      <c r="P117" s="6">
        <v>116</v>
      </c>
    </row>
    <row r="118" spans="1:16" ht="15.75">
      <c r="A118" s="13" t="str">
        <f>IFERROR(VLOOKUP($D:$D,scan!$A:$B,2,0),"**")</f>
        <v>**</v>
      </c>
      <c r="B118" s="13" t="str">
        <f>IFERROR(VLOOKUP($D118,scan!A:C,3,0),"**")</f>
        <v>**</v>
      </c>
      <c r="C118" s="14">
        <v>310</v>
      </c>
      <c r="D118" s="19"/>
      <c r="E118" s="16" t="str">
        <f t="shared" si="1"/>
        <v>117.**.</v>
      </c>
      <c r="F118" s="3" t="s">
        <v>4950</v>
      </c>
      <c r="G118" s="3" t="s">
        <v>4951</v>
      </c>
      <c r="H118" s="3">
        <v>6042070338</v>
      </c>
      <c r="I118" s="12" t="e">
        <f ca="1">VLOOKUP(D118,Input!B:M,10,0)</f>
        <v>#N/A</v>
      </c>
      <c r="J118" s="12"/>
      <c r="K118" s="12"/>
      <c r="L118" s="12"/>
      <c r="M118" s="12" t="e">
        <f ca="1">VLOOKUP(D118,Input!B:M,12,0)</f>
        <v>#N/A</v>
      </c>
      <c r="N118" s="12" t="e">
        <f ca="1">VLOOKUP(D118,Input!B:N,11,0)</f>
        <v>#N/A</v>
      </c>
      <c r="O118" s="12" t="e">
        <f ca="1">VLOOKUP(D118,Input!B:M,6,0)</f>
        <v>#N/A</v>
      </c>
      <c r="P118" s="6">
        <v>117</v>
      </c>
    </row>
    <row r="119" spans="1:16" ht="15.75">
      <c r="A119" s="13" t="str">
        <f>IFERROR(VLOOKUP($D:$D,scan!$A:$B,2,0),"**")</f>
        <v>**</v>
      </c>
      <c r="B119" s="13" t="str">
        <f>IFERROR(VLOOKUP($D119,scan!A:C,3,0),"**")</f>
        <v>**</v>
      </c>
      <c r="C119" s="14">
        <v>612</v>
      </c>
      <c r="D119" s="19"/>
      <c r="E119" s="16" t="str">
        <f t="shared" si="1"/>
        <v>118.**.</v>
      </c>
      <c r="F119" s="3" t="s">
        <v>4950</v>
      </c>
      <c r="G119" s="3" t="s">
        <v>4951</v>
      </c>
      <c r="H119" s="3">
        <v>6042070338</v>
      </c>
      <c r="I119" s="12" t="e">
        <f ca="1">VLOOKUP(D119,Input!B:M,10,0)</f>
        <v>#N/A</v>
      </c>
      <c r="J119" s="12"/>
      <c r="K119" s="12"/>
      <c r="L119" s="12"/>
      <c r="M119" s="12" t="e">
        <f ca="1">VLOOKUP(D119,Input!B:M,12,0)</f>
        <v>#N/A</v>
      </c>
      <c r="N119" s="12" t="e">
        <f ca="1">VLOOKUP(D119,Input!B:N,11,0)</f>
        <v>#N/A</v>
      </c>
      <c r="O119" s="12" t="e">
        <f ca="1">VLOOKUP(D119,Input!B:M,6,0)</f>
        <v>#N/A</v>
      </c>
      <c r="P119" s="6">
        <v>118</v>
      </c>
    </row>
    <row r="120" spans="1:16" ht="14.25">
      <c r="A120" s="13" t="str">
        <f>IFERROR(VLOOKUP($D:$D,scan!$A:$B,2,0),"**")</f>
        <v>**</v>
      </c>
      <c r="B120" s="13" t="str">
        <f>IFERROR(VLOOKUP($D120,scan!A:C,3,0),"**")</f>
        <v>**</v>
      </c>
      <c r="C120" s="5">
        <v>421</v>
      </c>
      <c r="D120" s="15"/>
      <c r="E120" s="16" t="str">
        <f t="shared" si="1"/>
        <v>119.**.</v>
      </c>
      <c r="F120" s="3" t="s">
        <v>4950</v>
      </c>
      <c r="G120" s="3" t="s">
        <v>4951</v>
      </c>
      <c r="H120" s="3">
        <v>6042070338</v>
      </c>
      <c r="I120" s="12" t="e">
        <f ca="1">VLOOKUP(D120,Input!B:M,10,0)</f>
        <v>#N/A</v>
      </c>
      <c r="J120" s="12"/>
      <c r="K120" s="12"/>
      <c r="L120" s="12"/>
      <c r="M120" s="12" t="e">
        <f ca="1">VLOOKUP(D120,Input!B:M,12,0)</f>
        <v>#N/A</v>
      </c>
      <c r="N120" s="12" t="e">
        <f ca="1">VLOOKUP(D120,Input!B:N,11,0)</f>
        <v>#N/A</v>
      </c>
      <c r="O120" s="12" t="e">
        <f ca="1">VLOOKUP(D120,Input!B:M,6,0)</f>
        <v>#N/A</v>
      </c>
      <c r="P120" s="6">
        <v>119</v>
      </c>
    </row>
    <row r="121" spans="1:16" ht="14.25">
      <c r="A121" s="13" t="str">
        <f>IFERROR(VLOOKUP($D:$D,scan!$A:$B,2,0),"**")</f>
        <v>**</v>
      </c>
      <c r="B121" s="13" t="str">
        <f>IFERROR(VLOOKUP($D121,scan!A:C,3,0),"**")</f>
        <v>**</v>
      </c>
      <c r="C121" s="14">
        <v>103</v>
      </c>
      <c r="D121" s="15"/>
      <c r="E121" s="16" t="str">
        <f t="shared" si="1"/>
        <v>120.**.</v>
      </c>
      <c r="F121" s="3" t="s">
        <v>4950</v>
      </c>
      <c r="G121" s="3" t="s">
        <v>4951</v>
      </c>
      <c r="H121" s="3">
        <v>6042070338</v>
      </c>
      <c r="I121" s="12" t="e">
        <f ca="1">VLOOKUP(D121,Input!B:M,10,0)</f>
        <v>#N/A</v>
      </c>
      <c r="J121" s="12"/>
      <c r="K121" s="12"/>
      <c r="L121" s="12"/>
      <c r="M121" s="12" t="e">
        <f ca="1">VLOOKUP(D121,Input!B:M,12,0)</f>
        <v>#N/A</v>
      </c>
      <c r="N121" s="12" t="e">
        <f ca="1">VLOOKUP(D121,Input!B:N,11,0)</f>
        <v>#N/A</v>
      </c>
      <c r="O121" s="12" t="e">
        <f ca="1">VLOOKUP(D121,Input!B:M,6,0)</f>
        <v>#N/A</v>
      </c>
      <c r="P121" s="6">
        <v>120</v>
      </c>
    </row>
    <row r="122" spans="1:16" ht="14.25">
      <c r="A122" s="13" t="str">
        <f>IFERROR(VLOOKUP($D:$D,scan!$A:$B,2,0),"**")</f>
        <v>**</v>
      </c>
      <c r="B122" s="13" t="str">
        <f>IFERROR(VLOOKUP($D122,scan!A:C,3,0),"**")</f>
        <v>**</v>
      </c>
      <c r="C122" s="14">
        <v>254</v>
      </c>
      <c r="D122" s="15"/>
      <c r="E122" s="16" t="str">
        <f t="shared" si="1"/>
        <v>121.**.</v>
      </c>
      <c r="F122" s="3" t="s">
        <v>4950</v>
      </c>
      <c r="G122" s="3" t="s">
        <v>4951</v>
      </c>
      <c r="H122" s="3">
        <v>6042070338</v>
      </c>
      <c r="I122" s="12" t="e">
        <f ca="1">VLOOKUP(D122,Input!B:M,10,0)</f>
        <v>#N/A</v>
      </c>
      <c r="J122" s="12"/>
      <c r="K122" s="12"/>
      <c r="L122" s="12"/>
      <c r="M122" s="12" t="e">
        <f ca="1">VLOOKUP(D122,Input!B:M,12,0)</f>
        <v>#N/A</v>
      </c>
      <c r="N122" s="12" t="e">
        <f ca="1">VLOOKUP(D122,Input!B:N,11,0)</f>
        <v>#N/A</v>
      </c>
      <c r="O122" s="12" t="e">
        <f ca="1">VLOOKUP(D122,Input!B:M,6,0)</f>
        <v>#N/A</v>
      </c>
      <c r="P122" s="6">
        <v>121</v>
      </c>
    </row>
    <row r="123" spans="1:16" ht="14.25">
      <c r="A123" s="13" t="str">
        <f>IFERROR(VLOOKUP($D:$D,scan!$A:$B,2,0),"**")</f>
        <v>**</v>
      </c>
      <c r="B123" s="13" t="str">
        <f>IFERROR(VLOOKUP($D123,scan!A:C,3,0),"**")</f>
        <v>**</v>
      </c>
      <c r="C123" s="5">
        <v>261</v>
      </c>
      <c r="D123" s="15"/>
      <c r="E123" s="16" t="str">
        <f t="shared" si="1"/>
        <v>122.**.</v>
      </c>
      <c r="F123" s="3" t="s">
        <v>4950</v>
      </c>
      <c r="G123" s="3" t="s">
        <v>4951</v>
      </c>
      <c r="H123" s="3">
        <v>6042070338</v>
      </c>
      <c r="I123" s="12" t="e">
        <f ca="1">VLOOKUP(D123,Input!B:M,10,0)</f>
        <v>#N/A</v>
      </c>
      <c r="J123" s="12"/>
      <c r="K123" s="12"/>
      <c r="L123" s="12"/>
      <c r="M123" s="12" t="e">
        <f ca="1">VLOOKUP(D123,Input!B:M,12,0)</f>
        <v>#N/A</v>
      </c>
      <c r="N123" s="12" t="e">
        <f ca="1">VLOOKUP(D123,Input!B:N,11,0)</f>
        <v>#N/A</v>
      </c>
      <c r="O123" s="12" t="e">
        <f ca="1">VLOOKUP(D123,Input!B:M,6,0)</f>
        <v>#N/A</v>
      </c>
      <c r="P123" s="6">
        <v>122</v>
      </c>
    </row>
    <row r="124" spans="1:16" ht="14.25">
      <c r="A124" s="13" t="str">
        <f>IFERROR(VLOOKUP($D:$D,scan!$A:$B,2,0),"**")</f>
        <v>**</v>
      </c>
      <c r="B124" s="13" t="str">
        <f>IFERROR(VLOOKUP($D124,scan!A:C,3,0),"**")</f>
        <v>**</v>
      </c>
      <c r="C124" s="14">
        <v>412</v>
      </c>
      <c r="D124" s="15"/>
      <c r="E124" s="16" t="str">
        <f t="shared" si="1"/>
        <v>123.**.</v>
      </c>
      <c r="F124" s="3" t="s">
        <v>4950</v>
      </c>
      <c r="G124" s="3" t="s">
        <v>4951</v>
      </c>
      <c r="H124" s="3">
        <v>6042070338</v>
      </c>
      <c r="I124" s="12" t="e">
        <f ca="1">VLOOKUP(D124,Input!B:M,10,0)</f>
        <v>#N/A</v>
      </c>
      <c r="J124" s="12"/>
      <c r="K124" s="12"/>
      <c r="L124" s="12"/>
      <c r="M124" s="12" t="e">
        <f ca="1">VLOOKUP(D124,Input!B:M,12,0)</f>
        <v>#N/A</v>
      </c>
      <c r="N124" s="12" t="e">
        <f ca="1">VLOOKUP(D124,Input!B:N,11,0)</f>
        <v>#N/A</v>
      </c>
      <c r="O124" s="12" t="e">
        <f ca="1">VLOOKUP(D124,Input!B:M,6,0)</f>
        <v>#N/A</v>
      </c>
      <c r="P124" s="6">
        <v>123</v>
      </c>
    </row>
    <row r="125" spans="1:16" ht="14.25">
      <c r="A125" s="13" t="str">
        <f>IFERROR(VLOOKUP($D:$D,scan!$A:$B,2,0),"**")</f>
        <v>**</v>
      </c>
      <c r="B125" s="13" t="str">
        <f>IFERROR(VLOOKUP($D125,scan!A:C,3,0),"**")</f>
        <v>**</v>
      </c>
      <c r="C125" s="14">
        <v>552</v>
      </c>
      <c r="D125" s="15"/>
      <c r="E125" s="16" t="str">
        <f t="shared" si="1"/>
        <v>124.**.</v>
      </c>
      <c r="F125" s="3" t="s">
        <v>4950</v>
      </c>
      <c r="G125" s="3" t="s">
        <v>4951</v>
      </c>
      <c r="H125" s="3">
        <v>6042070338</v>
      </c>
      <c r="I125" s="12" t="e">
        <f ca="1">VLOOKUP(D125,Input!B:M,10,0)</f>
        <v>#N/A</v>
      </c>
      <c r="J125" s="12"/>
      <c r="K125" s="12"/>
      <c r="L125" s="12"/>
      <c r="M125" s="12" t="e">
        <f ca="1">VLOOKUP(D125,Input!B:M,12,0)</f>
        <v>#N/A</v>
      </c>
      <c r="N125" s="12" t="e">
        <f ca="1">VLOOKUP(D125,Input!B:N,11,0)</f>
        <v>#N/A</v>
      </c>
      <c r="O125" s="12" t="e">
        <f ca="1">VLOOKUP(D125,Input!B:M,6,0)</f>
        <v>#N/A</v>
      </c>
      <c r="P125" s="6">
        <v>124</v>
      </c>
    </row>
    <row r="126" spans="1:16" ht="15.75">
      <c r="A126" s="13" t="str">
        <f>IFERROR(VLOOKUP($D:$D,scan!$A:$B,2,0),"**")</f>
        <v>**</v>
      </c>
      <c r="B126" s="13" t="str">
        <f>IFERROR(VLOOKUP($D126,scan!A:C,3,0),"**")</f>
        <v>**</v>
      </c>
      <c r="C126" s="14">
        <v>614</v>
      </c>
      <c r="D126" s="19"/>
      <c r="E126" s="16" t="str">
        <f t="shared" si="1"/>
        <v>125.**.</v>
      </c>
      <c r="F126" s="3" t="s">
        <v>4950</v>
      </c>
      <c r="G126" s="3" t="s">
        <v>4951</v>
      </c>
      <c r="H126" s="3">
        <v>6042070338</v>
      </c>
      <c r="I126" s="12" t="e">
        <f ca="1">VLOOKUP(D126,Input!B:M,10,0)</f>
        <v>#N/A</v>
      </c>
      <c r="J126" s="12"/>
      <c r="K126" s="12"/>
      <c r="L126" s="12"/>
      <c r="M126" s="12" t="e">
        <f ca="1">VLOOKUP(D126,Input!B:M,12,0)</f>
        <v>#N/A</v>
      </c>
      <c r="N126" s="12" t="e">
        <f ca="1">VLOOKUP(D126,Input!B:N,11,0)</f>
        <v>#N/A</v>
      </c>
      <c r="O126" s="12" t="e">
        <f ca="1">VLOOKUP(D126,Input!B:M,6,0)</f>
        <v>#N/A</v>
      </c>
      <c r="P126" s="6">
        <v>125</v>
      </c>
    </row>
    <row r="127" spans="1:16" ht="15.75">
      <c r="A127" s="13" t="str">
        <f>IFERROR(VLOOKUP($D:$D,scan!$A:$B,2,0),"**")</f>
        <v>**</v>
      </c>
      <c r="B127" s="13" t="str">
        <f>IFERROR(VLOOKUP($D127,scan!A:C,3,0),"**")</f>
        <v>**</v>
      </c>
      <c r="C127" s="14">
        <v>471</v>
      </c>
      <c r="D127" s="19"/>
      <c r="E127" s="16" t="str">
        <f t="shared" si="1"/>
        <v>126.**.</v>
      </c>
      <c r="F127" s="3" t="s">
        <v>4950</v>
      </c>
      <c r="G127" s="3" t="s">
        <v>4951</v>
      </c>
      <c r="H127" s="3">
        <v>6042070338</v>
      </c>
      <c r="I127" s="12" t="e">
        <f ca="1">VLOOKUP(D127,Input!B:M,10,0)</f>
        <v>#N/A</v>
      </c>
      <c r="J127" s="12"/>
      <c r="K127" s="12"/>
      <c r="L127" s="12"/>
      <c r="M127" s="12" t="e">
        <f ca="1">VLOOKUP(D127,Input!B:M,12,0)</f>
        <v>#N/A</v>
      </c>
      <c r="N127" s="12" t="e">
        <f ca="1">VLOOKUP(D127,Input!B:N,11,0)</f>
        <v>#N/A</v>
      </c>
      <c r="O127" s="12" t="e">
        <f ca="1">VLOOKUP(D127,Input!B:M,6,0)</f>
        <v>#N/A</v>
      </c>
      <c r="P127" s="6">
        <v>126</v>
      </c>
    </row>
    <row r="128" spans="1:16" ht="14.25">
      <c r="A128" s="13" t="str">
        <f>IFERROR(VLOOKUP($D:$D,scan!$A:$B,2,0),"**")</f>
        <v>**</v>
      </c>
      <c r="B128" s="13" t="str">
        <f>IFERROR(VLOOKUP($D128,scan!A:C,3,0),"**")</f>
        <v>**</v>
      </c>
      <c r="C128" s="14">
        <v>265</v>
      </c>
      <c r="D128" s="15"/>
      <c r="E128" s="16" t="str">
        <f t="shared" si="1"/>
        <v>127.**.</v>
      </c>
      <c r="F128" s="3" t="s">
        <v>4950</v>
      </c>
      <c r="G128" s="3" t="s">
        <v>4951</v>
      </c>
      <c r="H128" s="3">
        <v>6042070338</v>
      </c>
      <c r="I128" s="12" t="e">
        <f ca="1">VLOOKUP(D128,Input!B:M,10,0)</f>
        <v>#N/A</v>
      </c>
      <c r="J128" s="12"/>
      <c r="K128" s="12"/>
      <c r="L128" s="12"/>
      <c r="M128" s="12" t="e">
        <f ca="1">VLOOKUP(D128,Input!B:M,12,0)</f>
        <v>#N/A</v>
      </c>
      <c r="N128" s="12" t="e">
        <f ca="1">VLOOKUP(D128,Input!B:N,11,0)</f>
        <v>#N/A</v>
      </c>
      <c r="O128" s="12" t="e">
        <f ca="1">VLOOKUP(D128,Input!B:M,6,0)</f>
        <v>#N/A</v>
      </c>
      <c r="P128" s="6">
        <v>127</v>
      </c>
    </row>
    <row r="129" spans="1:16" ht="14.25">
      <c r="A129" s="13" t="str">
        <f>IFERROR(VLOOKUP($D:$D,scan!$A:$B,2,0),"**")</f>
        <v>**</v>
      </c>
      <c r="B129" s="13" t="str">
        <f>IFERROR(VLOOKUP($D129,scan!A:C,3,0),"**")</f>
        <v>**</v>
      </c>
      <c r="C129" s="14">
        <v>267</v>
      </c>
      <c r="D129" s="15"/>
      <c r="E129" s="16" t="str">
        <f t="shared" si="1"/>
        <v>128.**.</v>
      </c>
      <c r="F129" s="3" t="s">
        <v>4950</v>
      </c>
      <c r="G129" s="3" t="s">
        <v>4951</v>
      </c>
      <c r="H129" s="3">
        <v>6042070338</v>
      </c>
      <c r="I129" s="12" t="e">
        <f ca="1">VLOOKUP(D129,Input!B:M,10,0)</f>
        <v>#N/A</v>
      </c>
      <c r="J129" s="12"/>
      <c r="K129" s="12"/>
      <c r="L129" s="12"/>
      <c r="M129" s="12" t="e">
        <f ca="1">VLOOKUP(D129,Input!B:M,12,0)</f>
        <v>#N/A</v>
      </c>
      <c r="N129" s="12" t="e">
        <f ca="1">VLOOKUP(D129,Input!B:N,11,0)</f>
        <v>#N/A</v>
      </c>
      <c r="O129" s="12" t="e">
        <f ca="1">VLOOKUP(D129,Input!B:M,6,0)</f>
        <v>#N/A</v>
      </c>
      <c r="P129" s="6">
        <v>128</v>
      </c>
    </row>
    <row r="130" spans="1:16" ht="14.25">
      <c r="A130" s="13" t="str">
        <f>IFERROR(VLOOKUP($D:$D,scan!$A:$B,2,0),"**")</f>
        <v>**</v>
      </c>
      <c r="B130" s="13" t="str">
        <f>IFERROR(VLOOKUP($D130,scan!A:C,3,0),"**")</f>
        <v>**</v>
      </c>
      <c r="C130" s="14">
        <v>102</v>
      </c>
      <c r="D130" s="15"/>
      <c r="E130" s="16" t="str">
        <f t="shared" ref="E130:E193" si="2">P130&amp;"."&amp;B130&amp;"."&amp;D130</f>
        <v>129.**.</v>
      </c>
      <c r="F130" s="3" t="s">
        <v>4950</v>
      </c>
      <c r="G130" s="3" t="s">
        <v>4951</v>
      </c>
      <c r="H130" s="3">
        <v>6042070338</v>
      </c>
      <c r="I130" s="12" t="e">
        <f ca="1">VLOOKUP(D130,Input!B:M,10,0)</f>
        <v>#N/A</v>
      </c>
      <c r="J130" s="12"/>
      <c r="K130" s="12"/>
      <c r="L130" s="12"/>
      <c r="M130" s="12" t="e">
        <f ca="1">VLOOKUP(D130,Input!B:M,12,0)</f>
        <v>#N/A</v>
      </c>
      <c r="N130" s="12" t="e">
        <f ca="1">VLOOKUP(D130,Input!B:N,11,0)</f>
        <v>#N/A</v>
      </c>
      <c r="O130" s="12" t="e">
        <f ca="1">VLOOKUP(D130,Input!B:M,6,0)</f>
        <v>#N/A</v>
      </c>
      <c r="P130" s="6">
        <v>129</v>
      </c>
    </row>
    <row r="131" spans="1:16" ht="14.25">
      <c r="A131" s="13" t="str">
        <f>IFERROR(VLOOKUP($D:$D,scan!$A:$B,2,0),"**")</f>
        <v>**</v>
      </c>
      <c r="B131" s="13" t="str">
        <f>IFERROR(VLOOKUP($D131,scan!A:C,3,0),"**")</f>
        <v>**</v>
      </c>
      <c r="C131" s="5">
        <v>101</v>
      </c>
      <c r="D131" s="15"/>
      <c r="E131" s="16" t="str">
        <f t="shared" si="2"/>
        <v>130.**.</v>
      </c>
      <c r="F131" s="3" t="s">
        <v>4950</v>
      </c>
      <c r="G131" s="3" t="s">
        <v>4951</v>
      </c>
      <c r="H131" s="3">
        <v>6042070338</v>
      </c>
      <c r="I131" s="12" t="e">
        <f ca="1">VLOOKUP(D131,Input!B:M,10,0)</f>
        <v>#N/A</v>
      </c>
      <c r="J131" s="12"/>
      <c r="K131" s="12"/>
      <c r="L131" s="12"/>
      <c r="M131" s="12" t="e">
        <f ca="1">VLOOKUP(D131,Input!B:M,12,0)</f>
        <v>#N/A</v>
      </c>
      <c r="N131" s="12" t="e">
        <f ca="1">VLOOKUP(D131,Input!B:N,11,0)</f>
        <v>#N/A</v>
      </c>
      <c r="O131" s="12" t="e">
        <f ca="1">VLOOKUP(D131,Input!B:M,6,0)</f>
        <v>#N/A</v>
      </c>
      <c r="P131" s="6">
        <v>130</v>
      </c>
    </row>
    <row r="132" spans="1:16" ht="14.25">
      <c r="A132" s="13" t="str">
        <f>IFERROR(VLOOKUP($D:$D,scan!$A:$B,2,0),"**")</f>
        <v>**</v>
      </c>
      <c r="B132" s="13" t="str">
        <f>IFERROR(VLOOKUP($D132,scan!A:C,3,0),"**")</f>
        <v>**</v>
      </c>
      <c r="C132" s="14">
        <v>113</v>
      </c>
      <c r="D132" s="15"/>
      <c r="E132" s="16" t="str">
        <f t="shared" si="2"/>
        <v>131.**.</v>
      </c>
      <c r="F132" s="3" t="s">
        <v>4950</v>
      </c>
      <c r="G132" s="3" t="s">
        <v>4951</v>
      </c>
      <c r="H132" s="3">
        <v>6042070338</v>
      </c>
      <c r="I132" s="12" t="e">
        <f ca="1">VLOOKUP(D132,Input!B:M,10,0)</f>
        <v>#N/A</v>
      </c>
      <c r="J132" s="12"/>
      <c r="K132" s="12"/>
      <c r="L132" s="12"/>
      <c r="M132" s="12" t="e">
        <f ca="1">VLOOKUP(D132,Input!B:M,12,0)</f>
        <v>#N/A</v>
      </c>
      <c r="N132" s="12" t="e">
        <f ca="1">VLOOKUP(D132,Input!B:N,11,0)</f>
        <v>#N/A</v>
      </c>
      <c r="O132" s="12" t="e">
        <f ca="1">VLOOKUP(D132,Input!B:M,6,0)</f>
        <v>#N/A</v>
      </c>
      <c r="P132" s="6">
        <v>131</v>
      </c>
    </row>
    <row r="133" spans="1:16" ht="14.25">
      <c r="A133" s="13" t="str">
        <f>IFERROR(VLOOKUP($D:$D,scan!$A:$B,2,0),"**")</f>
        <v>**</v>
      </c>
      <c r="B133" s="13" t="str">
        <f>IFERROR(VLOOKUP($D133,scan!A:C,3,0),"**")</f>
        <v>**</v>
      </c>
      <c r="C133" s="14">
        <v>448</v>
      </c>
      <c r="D133" s="15"/>
      <c r="E133" s="16" t="str">
        <f t="shared" si="2"/>
        <v>132.**.</v>
      </c>
      <c r="F133" s="3" t="s">
        <v>4950</v>
      </c>
      <c r="G133" s="3" t="s">
        <v>4951</v>
      </c>
      <c r="H133" s="3">
        <v>6042070338</v>
      </c>
      <c r="I133" s="12" t="e">
        <f ca="1">VLOOKUP(D133,Input!B:M,10,0)</f>
        <v>#N/A</v>
      </c>
      <c r="J133" s="12"/>
      <c r="K133" s="12"/>
      <c r="L133" s="12"/>
      <c r="M133" s="12" t="e">
        <f ca="1">VLOOKUP(D133,Input!B:M,12,0)</f>
        <v>#N/A</v>
      </c>
      <c r="N133" s="12" t="e">
        <f ca="1">VLOOKUP(D133,Input!B:N,11,0)</f>
        <v>#N/A</v>
      </c>
      <c r="O133" s="12" t="e">
        <f ca="1">VLOOKUP(D133,Input!B:M,6,0)</f>
        <v>#N/A</v>
      </c>
      <c r="P133" s="6">
        <v>132</v>
      </c>
    </row>
    <row r="134" spans="1:16" ht="14.25">
      <c r="A134" s="13" t="str">
        <f>IFERROR(VLOOKUP($D:$D,scan!$A:$B,2,0),"**")</f>
        <v>**</v>
      </c>
      <c r="B134" s="13" t="str">
        <f>IFERROR(VLOOKUP($D134,scan!A:C,3,0),"**")</f>
        <v>**</v>
      </c>
      <c r="C134" s="14">
        <v>554</v>
      </c>
      <c r="D134" s="15"/>
      <c r="E134" s="16" t="str">
        <f t="shared" si="2"/>
        <v>133.**.</v>
      </c>
      <c r="F134" s="3" t="s">
        <v>4950</v>
      </c>
      <c r="G134" s="3" t="s">
        <v>4951</v>
      </c>
      <c r="H134" s="3">
        <v>6042070338</v>
      </c>
      <c r="I134" s="12" t="e">
        <f ca="1">VLOOKUP(D134,Input!B:M,10,0)</f>
        <v>#N/A</v>
      </c>
      <c r="J134" s="12"/>
      <c r="K134" s="12"/>
      <c r="L134" s="12"/>
      <c r="M134" s="12" t="e">
        <f ca="1">VLOOKUP(D134,Input!B:M,12,0)</f>
        <v>#N/A</v>
      </c>
      <c r="N134" s="12" t="e">
        <f ca="1">VLOOKUP(D134,Input!B:N,11,0)</f>
        <v>#N/A</v>
      </c>
      <c r="O134" s="12" t="e">
        <f ca="1">VLOOKUP(D134,Input!B:M,6,0)</f>
        <v>#N/A</v>
      </c>
      <c r="P134" s="6">
        <v>133</v>
      </c>
    </row>
    <row r="135" spans="1:16" ht="14.25">
      <c r="A135" s="13" t="str">
        <f>IFERROR(VLOOKUP($D:$D,scan!$A:$B,2,0),"**")</f>
        <v>**</v>
      </c>
      <c r="B135" s="13" t="str">
        <f>IFERROR(VLOOKUP($D135,scan!A:C,3,0),"**")</f>
        <v>**</v>
      </c>
      <c r="C135" s="14">
        <v>275</v>
      </c>
      <c r="D135" s="15"/>
      <c r="E135" s="16" t="str">
        <f t="shared" si="2"/>
        <v>134.**.</v>
      </c>
      <c r="F135" s="3" t="s">
        <v>4950</v>
      </c>
      <c r="G135" s="3" t="s">
        <v>4951</v>
      </c>
      <c r="H135" s="3">
        <v>6042070338</v>
      </c>
      <c r="I135" s="12" t="e">
        <f ca="1">VLOOKUP(D135,Input!B:M,10,0)</f>
        <v>#N/A</v>
      </c>
      <c r="J135" s="12"/>
      <c r="K135" s="12"/>
      <c r="L135" s="12"/>
      <c r="M135" s="12" t="e">
        <f ca="1">VLOOKUP(D135,Input!B:M,12,0)</f>
        <v>#N/A</v>
      </c>
      <c r="N135" s="12" t="e">
        <f ca="1">VLOOKUP(D135,Input!B:N,11,0)</f>
        <v>#N/A</v>
      </c>
      <c r="O135" s="12" t="e">
        <f ca="1">VLOOKUP(D135,Input!B:M,6,0)</f>
        <v>#N/A</v>
      </c>
      <c r="P135" s="6">
        <v>134</v>
      </c>
    </row>
    <row r="136" spans="1:16" ht="14.25">
      <c r="A136" s="13" t="str">
        <f>IFERROR(VLOOKUP($D:$D,scan!$A:$B,2,0),"**")</f>
        <v>**</v>
      </c>
      <c r="B136" s="13" t="str">
        <f>IFERROR(VLOOKUP($D136,scan!A:C,3,0),"**")</f>
        <v>**</v>
      </c>
      <c r="C136" s="14">
        <v>555</v>
      </c>
      <c r="D136" s="15"/>
      <c r="E136" s="16" t="str">
        <f t="shared" si="2"/>
        <v>135.**.</v>
      </c>
      <c r="F136" s="3" t="s">
        <v>4950</v>
      </c>
      <c r="G136" s="3" t="s">
        <v>4951</v>
      </c>
      <c r="H136" s="3">
        <v>6042070338</v>
      </c>
      <c r="I136" s="12" t="e">
        <f ca="1">VLOOKUP(D136,Input!B:M,10,0)</f>
        <v>#N/A</v>
      </c>
      <c r="J136" s="12"/>
      <c r="K136" s="12"/>
      <c r="L136" s="12"/>
      <c r="M136" s="12" t="e">
        <f ca="1">VLOOKUP(D136,Input!B:M,12,0)</f>
        <v>#N/A</v>
      </c>
      <c r="N136" s="12" t="e">
        <f ca="1">VLOOKUP(D136,Input!B:N,11,0)</f>
        <v>#N/A</v>
      </c>
      <c r="O136" s="12" t="e">
        <f ca="1">VLOOKUP(D136,Input!B:M,6,0)</f>
        <v>#N/A</v>
      </c>
      <c r="P136" s="6">
        <v>135</v>
      </c>
    </row>
    <row r="137" spans="1:16" ht="14.25">
      <c r="A137" s="13" t="str">
        <f>IFERROR(VLOOKUP($D:$D,scan!$A:$B,2,0),"**")</f>
        <v>**</v>
      </c>
      <c r="B137" s="13" t="str">
        <f>IFERROR(VLOOKUP($D137,scan!A:C,3,0),"**")</f>
        <v>**</v>
      </c>
      <c r="C137" s="14">
        <v>104</v>
      </c>
      <c r="D137" s="15"/>
      <c r="E137" s="16" t="str">
        <f t="shared" si="2"/>
        <v>136.**.</v>
      </c>
      <c r="F137" s="3" t="s">
        <v>4950</v>
      </c>
      <c r="G137" s="3" t="s">
        <v>4951</v>
      </c>
      <c r="H137" s="3">
        <v>6042070338</v>
      </c>
      <c r="I137" s="12" t="e">
        <f ca="1">VLOOKUP(D137,Input!B:M,10,0)</f>
        <v>#N/A</v>
      </c>
      <c r="J137" s="12"/>
      <c r="K137" s="12"/>
      <c r="L137" s="12"/>
      <c r="M137" s="12" t="e">
        <f ca="1">VLOOKUP(D137,Input!B:M,12,0)</f>
        <v>#N/A</v>
      </c>
      <c r="N137" s="12" t="e">
        <f ca="1">VLOOKUP(D137,Input!B:N,11,0)</f>
        <v>#N/A</v>
      </c>
      <c r="O137" s="12" t="e">
        <f ca="1">VLOOKUP(D137,Input!B:M,6,0)</f>
        <v>#N/A</v>
      </c>
      <c r="P137" s="6">
        <v>136</v>
      </c>
    </row>
    <row r="138" spans="1:16" ht="14.25">
      <c r="A138" s="13" t="str">
        <f>IFERROR(VLOOKUP($D:$D,scan!$A:$B,2,0),"**")</f>
        <v>**</v>
      </c>
      <c r="B138" s="13" t="str">
        <f>IFERROR(VLOOKUP($D138,scan!A:C,3,0),"**")</f>
        <v>**</v>
      </c>
      <c r="C138" s="14">
        <v>420</v>
      </c>
      <c r="D138" s="15"/>
      <c r="E138" s="16" t="str">
        <f t="shared" si="2"/>
        <v>137.**.</v>
      </c>
      <c r="F138" s="3" t="s">
        <v>4950</v>
      </c>
      <c r="G138" s="3" t="s">
        <v>4951</v>
      </c>
      <c r="H138" s="3">
        <v>6042070338</v>
      </c>
      <c r="I138" s="12" t="e">
        <f ca="1">VLOOKUP(D138,Input!B:M,10,0)</f>
        <v>#N/A</v>
      </c>
      <c r="J138" s="12"/>
      <c r="K138" s="12"/>
      <c r="L138" s="12"/>
      <c r="M138" s="12" t="e">
        <f ca="1">VLOOKUP(D138,Input!B:M,12,0)</f>
        <v>#N/A</v>
      </c>
      <c r="N138" s="12" t="e">
        <f ca="1">VLOOKUP(D138,Input!B:N,11,0)</f>
        <v>#N/A</v>
      </c>
      <c r="O138" s="12" t="e">
        <f ca="1">VLOOKUP(D138,Input!B:M,6,0)</f>
        <v>#N/A</v>
      </c>
      <c r="P138" s="6">
        <v>137</v>
      </c>
    </row>
    <row r="139" spans="1:16" ht="14.25">
      <c r="A139" s="13" t="str">
        <f>IFERROR(VLOOKUP($D:$D,scan!$A:$B,2,0),"**")</f>
        <v>**</v>
      </c>
      <c r="B139" s="13" t="str">
        <f>IFERROR(VLOOKUP($D139,scan!A:C,3,0),"**")</f>
        <v>**</v>
      </c>
      <c r="C139" s="14">
        <v>258</v>
      </c>
      <c r="D139" s="15"/>
      <c r="E139" s="16" t="str">
        <f t="shared" si="2"/>
        <v>138.**.</v>
      </c>
      <c r="F139" s="3" t="s">
        <v>4950</v>
      </c>
      <c r="G139" s="3" t="s">
        <v>4951</v>
      </c>
      <c r="H139" s="3">
        <v>6042070338</v>
      </c>
      <c r="I139" s="12" t="e">
        <f ca="1">VLOOKUP(D139,Input!B:M,10,0)</f>
        <v>#N/A</v>
      </c>
      <c r="J139" s="12"/>
      <c r="K139" s="12"/>
      <c r="L139" s="12"/>
      <c r="M139" s="12" t="e">
        <f ca="1">VLOOKUP(D139,Input!B:M,12,0)</f>
        <v>#N/A</v>
      </c>
      <c r="N139" s="12" t="e">
        <f ca="1">VLOOKUP(D139,Input!B:N,11,0)</f>
        <v>#N/A</v>
      </c>
      <c r="O139" s="12" t="e">
        <f ca="1">VLOOKUP(D139,Input!B:M,6,0)</f>
        <v>#N/A</v>
      </c>
      <c r="P139" s="6">
        <v>138</v>
      </c>
    </row>
    <row r="140" spans="1:16" ht="14.25">
      <c r="A140" s="13" t="str">
        <f>IFERROR(VLOOKUP($D:$D,scan!$A:$B,2,0),"**")</f>
        <v>**</v>
      </c>
      <c r="B140" s="13" t="str">
        <f>IFERROR(VLOOKUP($D140,scan!A:C,3,0),"**")</f>
        <v>**</v>
      </c>
      <c r="C140" s="5">
        <v>256</v>
      </c>
      <c r="D140" s="15"/>
      <c r="E140" s="16" t="str">
        <f t="shared" si="2"/>
        <v>139.**.</v>
      </c>
      <c r="F140" s="3" t="s">
        <v>4950</v>
      </c>
      <c r="G140" s="3" t="s">
        <v>4951</v>
      </c>
      <c r="H140" s="3">
        <v>6042070338</v>
      </c>
      <c r="I140" s="12" t="e">
        <f ca="1">VLOOKUP(D140,Input!B:M,10,0)</f>
        <v>#N/A</v>
      </c>
      <c r="J140" s="12"/>
      <c r="K140" s="12"/>
      <c r="L140" s="12"/>
      <c r="M140" s="12" t="e">
        <f ca="1">VLOOKUP(D140,Input!B:M,12,0)</f>
        <v>#N/A</v>
      </c>
      <c r="N140" s="12" t="e">
        <f ca="1">VLOOKUP(D140,Input!B:N,11,0)</f>
        <v>#N/A</v>
      </c>
      <c r="O140" s="12" t="e">
        <f ca="1">VLOOKUP(D140,Input!B:M,6,0)</f>
        <v>#N/A</v>
      </c>
      <c r="P140" s="6">
        <v>139</v>
      </c>
    </row>
    <row r="141" spans="1:16" ht="14.25">
      <c r="A141" s="13" t="str">
        <f>IFERROR(VLOOKUP($D:$D,scan!$A:$B,2,0),"**")</f>
        <v>**</v>
      </c>
      <c r="B141" s="13" t="str">
        <f>IFERROR(VLOOKUP($D141,scan!A:C,3,0),"**")</f>
        <v>**</v>
      </c>
      <c r="C141" s="14">
        <v>419</v>
      </c>
      <c r="D141" s="15"/>
      <c r="E141" s="16" t="str">
        <f t="shared" si="2"/>
        <v>140.**.</v>
      </c>
      <c r="F141" s="3" t="s">
        <v>4950</v>
      </c>
      <c r="G141" s="3" t="s">
        <v>4951</v>
      </c>
      <c r="H141" s="3">
        <v>6042070338</v>
      </c>
      <c r="I141" s="12" t="e">
        <f ca="1">VLOOKUP(D141,Input!B:M,10,0)</f>
        <v>#N/A</v>
      </c>
      <c r="J141" s="12"/>
      <c r="K141" s="12"/>
      <c r="L141" s="12"/>
      <c r="M141" s="12" t="e">
        <f ca="1">VLOOKUP(D141,Input!B:M,12,0)</f>
        <v>#N/A</v>
      </c>
      <c r="N141" s="12" t="e">
        <f ca="1">VLOOKUP(D141,Input!B:N,11,0)</f>
        <v>#N/A</v>
      </c>
      <c r="O141" s="12" t="e">
        <f ca="1">VLOOKUP(D141,Input!B:M,6,0)</f>
        <v>#N/A</v>
      </c>
      <c r="P141" s="6">
        <v>140</v>
      </c>
    </row>
    <row r="142" spans="1:16" ht="14.25">
      <c r="A142" s="13" t="str">
        <f>IFERROR(VLOOKUP($D:$D,scan!$A:$B,2,0),"**")</f>
        <v>**</v>
      </c>
      <c r="B142" s="13" t="str">
        <f>IFERROR(VLOOKUP($D142,scan!A:C,3,0),"**")</f>
        <v>**</v>
      </c>
      <c r="C142" s="5">
        <v>553</v>
      </c>
      <c r="D142" s="15"/>
      <c r="E142" s="16" t="str">
        <f t="shared" si="2"/>
        <v>141.**.</v>
      </c>
      <c r="F142" s="3" t="s">
        <v>4950</v>
      </c>
      <c r="G142" s="3" t="s">
        <v>4951</v>
      </c>
      <c r="H142" s="3">
        <v>6042070338</v>
      </c>
      <c r="I142" s="12" t="e">
        <f ca="1">VLOOKUP(D142,Input!B:M,10,0)</f>
        <v>#N/A</v>
      </c>
      <c r="J142" s="12"/>
      <c r="K142" s="12"/>
      <c r="L142" s="12"/>
      <c r="M142" s="12" t="e">
        <f ca="1">VLOOKUP(D142,Input!B:M,12,0)</f>
        <v>#N/A</v>
      </c>
      <c r="N142" s="12" t="e">
        <f ca="1">VLOOKUP(D142,Input!B:N,11,0)</f>
        <v>#N/A</v>
      </c>
      <c r="O142" s="12" t="e">
        <f ca="1">VLOOKUP(D142,Input!B:M,6,0)</f>
        <v>#N/A</v>
      </c>
      <c r="P142" s="6">
        <v>141</v>
      </c>
    </row>
    <row r="143" spans="1:16" ht="14.25">
      <c r="A143" s="13" t="str">
        <f>IFERROR(VLOOKUP($D:$D,scan!$A:$B,2,0),"**")</f>
        <v>**</v>
      </c>
      <c r="B143" s="13" t="str">
        <f>IFERROR(VLOOKUP($D143,scan!A:C,3,0),"**")</f>
        <v>**</v>
      </c>
      <c r="C143" s="14">
        <v>413</v>
      </c>
      <c r="D143" s="15"/>
      <c r="E143" s="16" t="str">
        <f t="shared" si="2"/>
        <v>142.**.</v>
      </c>
      <c r="F143" s="3" t="s">
        <v>4950</v>
      </c>
      <c r="G143" s="3" t="s">
        <v>4951</v>
      </c>
      <c r="H143" s="3">
        <v>6042070338</v>
      </c>
      <c r="I143" s="12" t="e">
        <f ca="1">VLOOKUP(D143,Input!B:M,10,0)</f>
        <v>#N/A</v>
      </c>
      <c r="J143" s="12"/>
      <c r="K143" s="12"/>
      <c r="L143" s="12"/>
      <c r="M143" s="12" t="e">
        <f ca="1">VLOOKUP(D143,Input!B:M,12,0)</f>
        <v>#N/A</v>
      </c>
      <c r="N143" s="12" t="e">
        <f ca="1">VLOOKUP(D143,Input!B:N,11,0)</f>
        <v>#N/A</v>
      </c>
      <c r="O143" s="12" t="e">
        <f ca="1">VLOOKUP(D143,Input!B:M,6,0)</f>
        <v>#N/A</v>
      </c>
      <c r="P143" s="6">
        <v>142</v>
      </c>
    </row>
    <row r="144" spans="1:16" ht="14.25">
      <c r="A144" s="13" t="str">
        <f>IFERROR(VLOOKUP($D:$D,scan!$A:$B,2,0),"**")</f>
        <v>**</v>
      </c>
      <c r="B144" s="13" t="str">
        <f>IFERROR(VLOOKUP($D144,scan!A:C,3,0),"**")</f>
        <v>**</v>
      </c>
      <c r="C144" s="14">
        <v>255</v>
      </c>
      <c r="D144" s="15"/>
      <c r="E144" s="16" t="str">
        <f t="shared" si="2"/>
        <v>143.**.</v>
      </c>
      <c r="F144" s="3" t="s">
        <v>4950</v>
      </c>
      <c r="G144" s="3" t="s">
        <v>4951</v>
      </c>
      <c r="H144" s="3">
        <v>6042070338</v>
      </c>
      <c r="I144" s="12" t="e">
        <f ca="1">VLOOKUP(D144,Input!B:M,10,0)</f>
        <v>#N/A</v>
      </c>
      <c r="J144" s="12"/>
      <c r="K144" s="12"/>
      <c r="L144" s="12"/>
      <c r="M144" s="12" t="e">
        <f ca="1">VLOOKUP(D144,Input!B:M,12,0)</f>
        <v>#N/A</v>
      </c>
      <c r="N144" s="12" t="e">
        <f ca="1">VLOOKUP(D144,Input!B:N,11,0)</f>
        <v>#N/A</v>
      </c>
      <c r="O144" s="12" t="e">
        <f ca="1">VLOOKUP(D144,Input!B:M,6,0)</f>
        <v>#N/A</v>
      </c>
      <c r="P144" s="6">
        <v>143</v>
      </c>
    </row>
    <row r="145" spans="1:16" ht="14.25">
      <c r="A145" s="13" t="str">
        <f>IFERROR(VLOOKUP($D:$D,scan!$A:$B,2,0),"**")</f>
        <v>**</v>
      </c>
      <c r="B145" s="13" t="str">
        <f>IFERROR(VLOOKUP($D145,scan!A:C,3,0),"**")</f>
        <v>**</v>
      </c>
      <c r="C145" s="14">
        <v>572</v>
      </c>
      <c r="D145" s="15"/>
      <c r="E145" s="16" t="str">
        <f t="shared" si="2"/>
        <v>144.**.</v>
      </c>
      <c r="F145" s="3" t="s">
        <v>4950</v>
      </c>
      <c r="G145" s="3" t="s">
        <v>4951</v>
      </c>
      <c r="H145" s="3">
        <v>6042070338</v>
      </c>
      <c r="I145" s="12" t="e">
        <f ca="1">VLOOKUP(D145,Input!B:M,10,0)</f>
        <v>#N/A</v>
      </c>
      <c r="J145" s="12"/>
      <c r="K145" s="12"/>
      <c r="L145" s="12"/>
      <c r="M145" s="12" t="e">
        <f ca="1">VLOOKUP(D145,Input!B:M,12,0)</f>
        <v>#N/A</v>
      </c>
      <c r="N145" s="12" t="e">
        <f ca="1">VLOOKUP(D145,Input!B:N,11,0)</f>
        <v>#N/A</v>
      </c>
      <c r="O145" s="12" t="e">
        <f ca="1">VLOOKUP(D145,Input!B:M,6,0)</f>
        <v>#N/A</v>
      </c>
      <c r="P145" s="6">
        <v>144</v>
      </c>
    </row>
    <row r="146" spans="1:16" ht="14.25">
      <c r="A146" s="13" t="str">
        <f>IFERROR(VLOOKUP($D:$D,scan!$A:$B,2,0),"**")</f>
        <v>**</v>
      </c>
      <c r="B146" s="13" t="str">
        <f>IFERROR(VLOOKUP($D146,scan!A:C,3,0),"**")</f>
        <v>**</v>
      </c>
      <c r="C146" s="14">
        <v>263</v>
      </c>
      <c r="D146" s="15"/>
      <c r="E146" s="16" t="str">
        <f t="shared" si="2"/>
        <v>145.**.</v>
      </c>
      <c r="F146" s="3" t="s">
        <v>4950</v>
      </c>
      <c r="G146" s="3" t="s">
        <v>4951</v>
      </c>
      <c r="H146" s="3">
        <v>6042070338</v>
      </c>
      <c r="I146" s="12" t="e">
        <f ca="1">VLOOKUP(D146,Input!B:M,10,0)</f>
        <v>#N/A</v>
      </c>
      <c r="J146" s="12"/>
      <c r="K146" s="12"/>
      <c r="L146" s="12"/>
      <c r="M146" s="12" t="e">
        <f ca="1">VLOOKUP(D146,Input!B:M,12,0)</f>
        <v>#N/A</v>
      </c>
      <c r="N146" s="12" t="e">
        <f ca="1">VLOOKUP(D146,Input!B:N,11,0)</f>
        <v>#N/A</v>
      </c>
      <c r="O146" s="12" t="e">
        <f ca="1">VLOOKUP(D146,Input!B:M,6,0)</f>
        <v>#N/A</v>
      </c>
      <c r="P146" s="6">
        <v>145</v>
      </c>
    </row>
    <row r="147" spans="1:16" ht="14.25">
      <c r="A147" s="13" t="str">
        <f>IFERROR(VLOOKUP($D:$D,scan!$A:$B,2,0),"**")</f>
        <v>**</v>
      </c>
      <c r="B147" s="13" t="str">
        <f>IFERROR(VLOOKUP($D147,scan!A:C,3,0),"**")</f>
        <v>**</v>
      </c>
      <c r="C147" s="14">
        <v>250</v>
      </c>
      <c r="D147" s="15"/>
      <c r="E147" s="16" t="str">
        <f t="shared" si="2"/>
        <v>146.**.</v>
      </c>
      <c r="F147" s="3" t="s">
        <v>4950</v>
      </c>
      <c r="G147" s="3" t="s">
        <v>4951</v>
      </c>
      <c r="H147" s="3">
        <v>6042070338</v>
      </c>
      <c r="I147" s="12" t="e">
        <f ca="1">VLOOKUP(D147,Input!B:M,10,0)</f>
        <v>#N/A</v>
      </c>
      <c r="J147" s="12"/>
      <c r="K147" s="12"/>
      <c r="L147" s="12"/>
      <c r="M147" s="12" t="e">
        <f ca="1">VLOOKUP(D147,Input!B:M,12,0)</f>
        <v>#N/A</v>
      </c>
      <c r="N147" s="12" t="e">
        <f ca="1">VLOOKUP(D147,Input!B:N,11,0)</f>
        <v>#N/A</v>
      </c>
      <c r="O147" s="12" t="e">
        <f ca="1">VLOOKUP(D147,Input!B:M,6,0)</f>
        <v>#N/A</v>
      </c>
      <c r="P147" s="6">
        <v>146</v>
      </c>
    </row>
    <row r="148" spans="1:16" ht="14.25">
      <c r="A148" s="13" t="str">
        <f>IFERROR(VLOOKUP($D:$D,scan!$A:$B,2,0),"**")</f>
        <v>**</v>
      </c>
      <c r="B148" s="13" t="str">
        <f>IFERROR(VLOOKUP($D148,scan!A:C,3,0),"**")</f>
        <v>**</v>
      </c>
      <c r="C148" s="14">
        <v>262</v>
      </c>
      <c r="D148" s="15"/>
      <c r="E148" s="16" t="str">
        <f t="shared" si="2"/>
        <v>147.**.</v>
      </c>
      <c r="F148" s="3" t="s">
        <v>4950</v>
      </c>
      <c r="G148" s="3" t="s">
        <v>4951</v>
      </c>
      <c r="H148" s="3">
        <v>6042070338</v>
      </c>
      <c r="I148" s="12" t="e">
        <f ca="1">VLOOKUP(D148,Input!B:M,10,0)</f>
        <v>#N/A</v>
      </c>
      <c r="J148" s="12"/>
      <c r="K148" s="12"/>
      <c r="L148" s="12"/>
      <c r="M148" s="12" t="e">
        <f ca="1">VLOOKUP(D148,Input!B:M,12,0)</f>
        <v>#N/A</v>
      </c>
      <c r="N148" s="12" t="e">
        <f ca="1">VLOOKUP(D148,Input!B:N,11,0)</f>
        <v>#N/A</v>
      </c>
      <c r="O148" s="12" t="e">
        <f ca="1">VLOOKUP(D148,Input!B:M,6,0)</f>
        <v>#N/A</v>
      </c>
      <c r="P148" s="6">
        <v>147</v>
      </c>
    </row>
    <row r="149" spans="1:16" ht="14.25">
      <c r="A149" s="13" t="str">
        <f>IFERROR(VLOOKUP($D:$D,scan!$A:$B,2,0),"**")</f>
        <v>**</v>
      </c>
      <c r="B149" s="13" t="str">
        <f>IFERROR(VLOOKUP($D149,scan!A:C,3,0),"**")</f>
        <v>**</v>
      </c>
      <c r="C149" s="14">
        <v>563</v>
      </c>
      <c r="D149" s="15"/>
      <c r="E149" s="16" t="str">
        <f t="shared" si="2"/>
        <v>148.**.</v>
      </c>
      <c r="F149" s="3" t="s">
        <v>4950</v>
      </c>
      <c r="G149" s="3" t="s">
        <v>4951</v>
      </c>
      <c r="H149" s="3">
        <v>6042070338</v>
      </c>
      <c r="I149" s="12" t="e">
        <f ca="1">VLOOKUP(D149,Input!B:M,10,0)</f>
        <v>#N/A</v>
      </c>
      <c r="J149" s="12"/>
      <c r="K149" s="12"/>
      <c r="L149" s="12"/>
      <c r="M149" s="12" t="e">
        <f ca="1">VLOOKUP(D149,Input!B:M,12,0)</f>
        <v>#N/A</v>
      </c>
      <c r="N149" s="12" t="e">
        <f ca="1">VLOOKUP(D149,Input!B:N,11,0)</f>
        <v>#N/A</v>
      </c>
      <c r="O149" s="12" t="e">
        <f ca="1">VLOOKUP(D149,Input!B:M,6,0)</f>
        <v>#N/A</v>
      </c>
      <c r="P149" s="6">
        <v>148</v>
      </c>
    </row>
    <row r="150" spans="1:16" ht="14.25">
      <c r="A150" s="13" t="str">
        <f>IFERROR(VLOOKUP($D:$D,scan!$A:$B,2,0),"**")</f>
        <v>**</v>
      </c>
      <c r="B150" s="13" t="str">
        <f>IFERROR(VLOOKUP($D150,scan!A:C,3,0),"**")</f>
        <v>**</v>
      </c>
      <c r="C150" s="14">
        <v>417</v>
      </c>
      <c r="D150" s="15"/>
      <c r="E150" s="16" t="str">
        <f t="shared" si="2"/>
        <v>149.**.</v>
      </c>
      <c r="F150" s="3" t="s">
        <v>4950</v>
      </c>
      <c r="G150" s="3" t="s">
        <v>4951</v>
      </c>
      <c r="H150" s="3">
        <v>6042070338</v>
      </c>
      <c r="I150" s="12" t="e">
        <f ca="1">VLOOKUP(D150,Input!B:M,10,0)</f>
        <v>#N/A</v>
      </c>
      <c r="J150" s="12"/>
      <c r="K150" s="12"/>
      <c r="L150" s="12"/>
      <c r="M150" s="12" t="e">
        <f ca="1">VLOOKUP(D150,Input!B:M,12,0)</f>
        <v>#N/A</v>
      </c>
      <c r="N150" s="12" t="e">
        <f ca="1">VLOOKUP(D150,Input!B:N,11,0)</f>
        <v>#N/A</v>
      </c>
      <c r="O150" s="12" t="e">
        <f ca="1">VLOOKUP(D150,Input!B:M,6,0)</f>
        <v>#N/A</v>
      </c>
      <c r="P150" s="6">
        <v>149</v>
      </c>
    </row>
    <row r="151" spans="1:16" ht="14.25">
      <c r="A151" s="13" t="str">
        <f>IFERROR(VLOOKUP($D:$D,scan!$A:$B,2,0),"**")</f>
        <v>**</v>
      </c>
      <c r="B151" s="13" t="str">
        <f>IFERROR(VLOOKUP($D151,scan!A:C,3,0),"**")</f>
        <v>**</v>
      </c>
      <c r="C151" s="5">
        <v>266</v>
      </c>
      <c r="D151" s="15"/>
      <c r="E151" s="16" t="str">
        <f t="shared" si="2"/>
        <v>150.**.</v>
      </c>
      <c r="F151" s="3" t="s">
        <v>4950</v>
      </c>
      <c r="G151" s="3" t="s">
        <v>4951</v>
      </c>
      <c r="H151" s="3">
        <v>6042070338</v>
      </c>
      <c r="I151" s="12" t="e">
        <f ca="1">VLOOKUP(D151,Input!B:M,10,0)</f>
        <v>#N/A</v>
      </c>
      <c r="J151" s="12"/>
      <c r="K151" s="12"/>
      <c r="L151" s="12"/>
      <c r="M151" s="12" t="e">
        <f ca="1">VLOOKUP(D151,Input!B:M,12,0)</f>
        <v>#N/A</v>
      </c>
      <c r="N151" s="12" t="e">
        <f ca="1">VLOOKUP(D151,Input!B:N,11,0)</f>
        <v>#N/A</v>
      </c>
      <c r="O151" s="12" t="e">
        <f ca="1">VLOOKUP(D151,Input!B:M,6,0)</f>
        <v>#N/A</v>
      </c>
      <c r="P151" s="6">
        <v>150</v>
      </c>
    </row>
    <row r="152" spans="1:16" ht="14.25">
      <c r="A152" s="13" t="str">
        <f>IFERROR(VLOOKUP($D:$D,scan!$A:$B,2,0),"**")</f>
        <v>**</v>
      </c>
      <c r="B152" s="13" t="str">
        <f>IFERROR(VLOOKUP($D152,scan!A:C,3,0),"**")</f>
        <v>**</v>
      </c>
      <c r="C152" s="14">
        <v>418</v>
      </c>
      <c r="D152" s="15"/>
      <c r="E152" s="16" t="str">
        <f t="shared" si="2"/>
        <v>151.**.</v>
      </c>
      <c r="F152" s="3" t="s">
        <v>4950</v>
      </c>
      <c r="G152" s="3" t="s">
        <v>4951</v>
      </c>
      <c r="H152" s="3">
        <v>6042070338</v>
      </c>
      <c r="I152" s="12" t="e">
        <f ca="1">VLOOKUP(D152,Input!B:M,10,0)</f>
        <v>#N/A</v>
      </c>
      <c r="J152" s="12"/>
      <c r="K152" s="12"/>
      <c r="L152" s="12"/>
      <c r="M152" s="12" t="e">
        <f ca="1">VLOOKUP(D152,Input!B:M,12,0)</f>
        <v>#N/A</v>
      </c>
      <c r="N152" s="12" t="e">
        <f ca="1">VLOOKUP(D152,Input!B:N,11,0)</f>
        <v>#N/A</v>
      </c>
      <c r="O152" s="12" t="e">
        <f ca="1">VLOOKUP(D152,Input!B:M,6,0)</f>
        <v>#N/A</v>
      </c>
      <c r="P152" s="6">
        <v>151</v>
      </c>
    </row>
    <row r="153" spans="1:16" ht="15.75">
      <c r="A153" s="13" t="str">
        <f>IFERROR(VLOOKUP($D:$D,scan!$A:$B,2,0),"**")</f>
        <v>**</v>
      </c>
      <c r="B153" s="13" t="str">
        <f>IFERROR(VLOOKUP($D153,scan!A:C,3,0),"**")</f>
        <v>**</v>
      </c>
      <c r="C153" s="14">
        <v>304</v>
      </c>
      <c r="D153" s="19"/>
      <c r="E153" s="16" t="str">
        <f t="shared" si="2"/>
        <v>152.**.</v>
      </c>
      <c r="F153" s="3" t="s">
        <v>4950</v>
      </c>
      <c r="G153" s="3" t="s">
        <v>4951</v>
      </c>
      <c r="H153" s="3">
        <v>6042070338</v>
      </c>
      <c r="I153" s="12" t="e">
        <f ca="1">VLOOKUP(D153,Input!B:M,10,0)</f>
        <v>#N/A</v>
      </c>
      <c r="J153" s="12"/>
      <c r="K153" s="12"/>
      <c r="L153" s="12"/>
      <c r="M153" s="12" t="e">
        <f ca="1">VLOOKUP(D153,Input!B:M,12,0)</f>
        <v>#N/A</v>
      </c>
      <c r="N153" s="12" t="e">
        <f ca="1">VLOOKUP(D153,Input!B:N,11,0)</f>
        <v>#N/A</v>
      </c>
      <c r="O153" s="12" t="e">
        <f ca="1">VLOOKUP(D153,Input!B:M,6,0)</f>
        <v>#N/A</v>
      </c>
      <c r="P153" s="6">
        <v>152</v>
      </c>
    </row>
    <row r="154" spans="1:16" ht="14.25">
      <c r="A154" s="13" t="str">
        <f>IFERROR(VLOOKUP($D:$D,scan!$A:$B,2,0),"**")</f>
        <v>**</v>
      </c>
      <c r="B154" s="13" t="str">
        <f>IFERROR(VLOOKUP($D154,scan!A:C,3,0),"**")</f>
        <v>**</v>
      </c>
      <c r="C154" s="14">
        <v>109</v>
      </c>
      <c r="D154" s="15"/>
      <c r="E154" s="16" t="str">
        <f t="shared" si="2"/>
        <v>153.**.</v>
      </c>
      <c r="F154" s="3" t="s">
        <v>4950</v>
      </c>
      <c r="G154" s="3" t="s">
        <v>4951</v>
      </c>
      <c r="H154" s="3">
        <v>6042070338</v>
      </c>
      <c r="I154" s="12" t="e">
        <f ca="1">VLOOKUP(D154,Input!B:M,10,0)</f>
        <v>#N/A</v>
      </c>
      <c r="J154" s="12"/>
      <c r="K154" s="12"/>
      <c r="L154" s="12"/>
      <c r="M154" s="12" t="e">
        <f ca="1">VLOOKUP(D154,Input!B:M,12,0)</f>
        <v>#N/A</v>
      </c>
      <c r="N154" s="12" t="e">
        <f ca="1">VLOOKUP(D154,Input!B:N,11,0)</f>
        <v>#N/A</v>
      </c>
      <c r="O154" s="12" t="e">
        <f ca="1">VLOOKUP(D154,Input!B:M,6,0)</f>
        <v>#N/A</v>
      </c>
      <c r="P154" s="6">
        <v>153</v>
      </c>
    </row>
    <row r="155" spans="1:16" ht="14.25">
      <c r="A155" s="13" t="str">
        <f>IFERROR(VLOOKUP($D:$D,scan!$A:$B,2,0),"**")</f>
        <v>**</v>
      </c>
      <c r="B155" s="13" t="str">
        <f>IFERROR(VLOOKUP($D155,scan!A:C,3,0),"**")</f>
        <v>**</v>
      </c>
      <c r="C155" s="14">
        <v>408</v>
      </c>
      <c r="D155" s="15"/>
      <c r="E155" s="16" t="str">
        <f t="shared" si="2"/>
        <v>154.**.</v>
      </c>
      <c r="F155" s="3" t="s">
        <v>4950</v>
      </c>
      <c r="G155" s="3" t="s">
        <v>4951</v>
      </c>
      <c r="H155" s="3">
        <v>6042070338</v>
      </c>
      <c r="I155" s="12" t="e">
        <f ca="1">VLOOKUP(D155,Input!B:M,10,0)</f>
        <v>#N/A</v>
      </c>
      <c r="J155" s="12"/>
      <c r="K155" s="12"/>
      <c r="L155" s="12"/>
      <c r="M155" s="12" t="e">
        <f ca="1">VLOOKUP(D155,Input!B:M,12,0)</f>
        <v>#N/A</v>
      </c>
      <c r="N155" s="12" t="e">
        <f ca="1">VLOOKUP(D155,Input!B:N,11,0)</f>
        <v>#N/A</v>
      </c>
      <c r="O155" s="12" t="e">
        <f ca="1">VLOOKUP(D155,Input!B:M,6,0)</f>
        <v>#N/A</v>
      </c>
      <c r="P155" s="6">
        <v>154</v>
      </c>
    </row>
    <row r="156" spans="1:16" ht="15.75">
      <c r="A156" s="13" t="str">
        <f>IFERROR(VLOOKUP($D:$D,scan!$A:$B,2,0),"**")</f>
        <v>**</v>
      </c>
      <c r="B156" s="13" t="str">
        <f>IFERROR(VLOOKUP($D156,scan!A:C,3,0),"**")</f>
        <v>**</v>
      </c>
      <c r="C156" s="14">
        <v>164</v>
      </c>
      <c r="D156" s="19"/>
      <c r="E156" s="16" t="str">
        <f t="shared" si="2"/>
        <v>155.**.</v>
      </c>
      <c r="F156" s="3" t="s">
        <v>4950</v>
      </c>
      <c r="G156" s="3" t="s">
        <v>4951</v>
      </c>
      <c r="H156" s="3">
        <v>6042070338</v>
      </c>
      <c r="I156" s="12" t="e">
        <f ca="1">VLOOKUP(D156,Input!B:M,10,0)</f>
        <v>#N/A</v>
      </c>
      <c r="J156" s="12"/>
      <c r="K156" s="12"/>
      <c r="L156" s="12"/>
      <c r="M156" s="12" t="e">
        <f ca="1">VLOOKUP(D156,Input!B:M,12,0)</f>
        <v>#N/A</v>
      </c>
      <c r="N156" s="12" t="e">
        <f ca="1">VLOOKUP(D156,Input!B:N,11,0)</f>
        <v>#N/A</v>
      </c>
      <c r="O156" s="12" t="e">
        <f ca="1">VLOOKUP(D156,Input!B:M,6,0)</f>
        <v>#N/A</v>
      </c>
      <c r="P156" s="6">
        <v>155</v>
      </c>
    </row>
    <row r="157" spans="1:16" ht="14.25">
      <c r="A157" s="13" t="str">
        <f>IFERROR(VLOOKUP($D:$D,scan!$A:$B,2,0),"**")</f>
        <v>**</v>
      </c>
      <c r="B157" s="13" t="str">
        <f>IFERROR(VLOOKUP($D157,scan!A:C,3,0),"**")</f>
        <v>**</v>
      </c>
      <c r="C157" s="14">
        <v>112</v>
      </c>
      <c r="D157" s="15"/>
      <c r="E157" s="16" t="str">
        <f t="shared" si="2"/>
        <v>156.**.</v>
      </c>
      <c r="F157" s="3" t="s">
        <v>4950</v>
      </c>
      <c r="G157" s="3" t="s">
        <v>4951</v>
      </c>
      <c r="H157" s="3">
        <v>6042070338</v>
      </c>
      <c r="I157" s="12" t="e">
        <f ca="1">VLOOKUP(D157,Input!B:M,10,0)</f>
        <v>#N/A</v>
      </c>
      <c r="J157" s="12"/>
      <c r="K157" s="12"/>
      <c r="L157" s="12"/>
      <c r="M157" s="12" t="e">
        <f ca="1">VLOOKUP(D157,Input!B:M,12,0)</f>
        <v>#N/A</v>
      </c>
      <c r="N157" s="12" t="e">
        <f ca="1">VLOOKUP(D157,Input!B:N,11,0)</f>
        <v>#N/A</v>
      </c>
      <c r="O157" s="12" t="e">
        <f ca="1">VLOOKUP(D157,Input!B:M,6,0)</f>
        <v>#N/A</v>
      </c>
      <c r="P157" s="6">
        <v>156</v>
      </c>
    </row>
    <row r="158" spans="1:16" ht="15.75">
      <c r="A158" s="13" t="str">
        <f>IFERROR(VLOOKUP($D:$D,scan!$A:$B,2,0),"**")</f>
        <v>**</v>
      </c>
      <c r="B158" s="13" t="str">
        <f>IFERROR(VLOOKUP($D158,scan!A:C,3,0),"**")</f>
        <v>**</v>
      </c>
      <c r="C158" s="14">
        <v>163</v>
      </c>
      <c r="D158" s="19"/>
      <c r="E158" s="16" t="str">
        <f t="shared" si="2"/>
        <v>157.**.</v>
      </c>
      <c r="F158" s="3" t="s">
        <v>4950</v>
      </c>
      <c r="G158" s="3" t="s">
        <v>4951</v>
      </c>
      <c r="H158" s="3">
        <v>6042070338</v>
      </c>
      <c r="I158" s="12" t="e">
        <f ca="1">VLOOKUP(D158,Input!B:M,10,0)</f>
        <v>#N/A</v>
      </c>
      <c r="J158" s="12"/>
      <c r="K158" s="12"/>
      <c r="L158" s="12"/>
      <c r="M158" s="12" t="e">
        <f ca="1">VLOOKUP(D158,Input!B:M,12,0)</f>
        <v>#N/A</v>
      </c>
      <c r="N158" s="12" t="e">
        <f ca="1">VLOOKUP(D158,Input!B:N,11,0)</f>
        <v>#N/A</v>
      </c>
      <c r="O158" s="12" t="e">
        <f ca="1">VLOOKUP(D158,Input!B:M,6,0)</f>
        <v>#N/A</v>
      </c>
      <c r="P158" s="6">
        <v>157</v>
      </c>
    </row>
    <row r="159" spans="1:16" ht="14.25">
      <c r="A159" s="13" t="str">
        <f>IFERROR(VLOOKUP($D:$D,scan!$A:$B,2,0),"**")</f>
        <v>**</v>
      </c>
      <c r="B159" s="13" t="str">
        <f>IFERROR(VLOOKUP($D159,scan!A:C,3,0),"**")</f>
        <v>**</v>
      </c>
      <c r="C159" s="14">
        <v>423</v>
      </c>
      <c r="D159" s="15"/>
      <c r="E159" s="16" t="str">
        <f t="shared" si="2"/>
        <v>158.**.</v>
      </c>
      <c r="F159" s="3" t="s">
        <v>4950</v>
      </c>
      <c r="G159" s="3" t="s">
        <v>4951</v>
      </c>
      <c r="H159" s="3">
        <v>6042070338</v>
      </c>
      <c r="I159" s="12" t="e">
        <f ca="1">VLOOKUP(D159,Input!B:M,10,0)</f>
        <v>#N/A</v>
      </c>
      <c r="J159" s="12"/>
      <c r="K159" s="12"/>
      <c r="L159" s="12"/>
      <c r="M159" s="12" t="e">
        <f ca="1">VLOOKUP(D159,Input!B:M,12,0)</f>
        <v>#N/A</v>
      </c>
      <c r="N159" s="12" t="e">
        <f ca="1">VLOOKUP(D159,Input!B:N,11,0)</f>
        <v>#N/A</v>
      </c>
      <c r="O159" s="12" t="e">
        <f ca="1">VLOOKUP(D159,Input!B:M,6,0)</f>
        <v>#N/A</v>
      </c>
      <c r="P159" s="6">
        <v>158</v>
      </c>
    </row>
    <row r="160" spans="1:16" ht="14.25">
      <c r="A160" s="13" t="str">
        <f>IFERROR(VLOOKUP($D:$D,scan!$A:$B,2,0),"**")</f>
        <v>**</v>
      </c>
      <c r="B160" s="13" t="str">
        <f>IFERROR(VLOOKUP($D160,scan!A:C,3,0),"**")</f>
        <v>**</v>
      </c>
      <c r="C160" s="5">
        <v>561</v>
      </c>
      <c r="D160" s="15"/>
      <c r="E160" s="16" t="str">
        <f t="shared" si="2"/>
        <v>159.**.</v>
      </c>
      <c r="F160" s="3" t="s">
        <v>4950</v>
      </c>
      <c r="G160" s="3" t="s">
        <v>4951</v>
      </c>
      <c r="H160" s="3">
        <v>6042070338</v>
      </c>
      <c r="I160" s="12" t="e">
        <f ca="1">VLOOKUP(D160,Input!B:M,10,0)</f>
        <v>#N/A</v>
      </c>
      <c r="J160" s="12"/>
      <c r="K160" s="12"/>
      <c r="L160" s="12"/>
      <c r="M160" s="12" t="e">
        <f ca="1">VLOOKUP(D160,Input!B:M,12,0)</f>
        <v>#N/A</v>
      </c>
      <c r="N160" s="12" t="e">
        <f ca="1">VLOOKUP(D160,Input!B:N,11,0)</f>
        <v>#N/A</v>
      </c>
      <c r="O160" s="12" t="e">
        <f ca="1">VLOOKUP(D160,Input!B:M,6,0)</f>
        <v>#N/A</v>
      </c>
      <c r="P160" s="6">
        <v>159</v>
      </c>
    </row>
    <row r="161" spans="1:16" ht="15.75">
      <c r="A161" s="13" t="str">
        <f>IFERROR(VLOOKUP($D:$D,scan!$A:$B,2,0),"**")</f>
        <v>**</v>
      </c>
      <c r="B161" s="13" t="str">
        <f>IFERROR(VLOOKUP($D161,scan!A:C,3,0),"**")</f>
        <v>**</v>
      </c>
      <c r="C161" s="5">
        <v>311</v>
      </c>
      <c r="D161" s="19"/>
      <c r="E161" s="16" t="str">
        <f t="shared" si="2"/>
        <v>160.**.</v>
      </c>
      <c r="F161" s="3" t="s">
        <v>4950</v>
      </c>
      <c r="G161" s="3" t="s">
        <v>4951</v>
      </c>
      <c r="H161" s="3">
        <v>6042070338</v>
      </c>
      <c r="I161" s="12" t="e">
        <f ca="1">VLOOKUP(D161,Input!B:M,10,0)</f>
        <v>#N/A</v>
      </c>
      <c r="J161" s="12"/>
      <c r="K161" s="12"/>
      <c r="L161" s="12"/>
      <c r="M161" s="12" t="e">
        <f ca="1">VLOOKUP(D161,Input!B:M,12,0)</f>
        <v>#N/A</v>
      </c>
      <c r="N161" s="12" t="e">
        <f ca="1">VLOOKUP(D161,Input!B:N,11,0)</f>
        <v>#N/A</v>
      </c>
      <c r="O161" s="12" t="e">
        <f ca="1">VLOOKUP(D161,Input!B:M,6,0)</f>
        <v>#N/A</v>
      </c>
      <c r="P161" s="6">
        <v>160</v>
      </c>
    </row>
    <row r="162" spans="1:16" ht="14.25">
      <c r="A162" s="13" t="str">
        <f>IFERROR(VLOOKUP($D:$D,scan!$A:$B,2,0),"**")</f>
        <v>**</v>
      </c>
      <c r="B162" s="13" t="str">
        <f>IFERROR(VLOOKUP($D162,scan!A:C,3,0),"**")</f>
        <v>**</v>
      </c>
      <c r="C162" s="5">
        <v>111</v>
      </c>
      <c r="D162" s="15"/>
      <c r="E162" s="16" t="str">
        <f t="shared" si="2"/>
        <v>161.**.</v>
      </c>
      <c r="F162" s="3" t="s">
        <v>4950</v>
      </c>
      <c r="G162" s="3" t="s">
        <v>4951</v>
      </c>
      <c r="H162" s="3">
        <v>6042070338</v>
      </c>
      <c r="I162" s="12" t="e">
        <f ca="1">VLOOKUP(D162,Input!B:M,10,0)</f>
        <v>#N/A</v>
      </c>
      <c r="J162" s="12"/>
      <c r="K162" s="12"/>
      <c r="L162" s="12"/>
      <c r="M162" s="12" t="e">
        <f ca="1">VLOOKUP(D162,Input!B:M,12,0)</f>
        <v>#N/A</v>
      </c>
      <c r="N162" s="12" t="e">
        <f ca="1">VLOOKUP(D162,Input!B:N,11,0)</f>
        <v>#N/A</v>
      </c>
      <c r="O162" s="12" t="e">
        <f ca="1">VLOOKUP(D162,Input!B:M,6,0)</f>
        <v>#N/A</v>
      </c>
      <c r="P162" s="6">
        <v>161</v>
      </c>
    </row>
    <row r="163" spans="1:16" ht="14.25">
      <c r="A163" s="13" t="str">
        <f>IFERROR(VLOOKUP($D:$D,scan!$A:$B,2,0),"**")</f>
        <v>**</v>
      </c>
      <c r="B163" s="13" t="str">
        <f>IFERROR(VLOOKUP($D163,scan!A:C,3,0),"**")</f>
        <v>**</v>
      </c>
      <c r="C163" s="14">
        <v>564</v>
      </c>
      <c r="D163" s="15"/>
      <c r="E163" s="16" t="str">
        <f t="shared" si="2"/>
        <v>162.**.</v>
      </c>
      <c r="F163" s="3" t="s">
        <v>4950</v>
      </c>
      <c r="G163" s="3" t="s">
        <v>4951</v>
      </c>
      <c r="H163" s="3">
        <v>6042070338</v>
      </c>
      <c r="I163" s="12" t="e">
        <f ca="1">VLOOKUP(D163,Input!B:M,10,0)</f>
        <v>#N/A</v>
      </c>
      <c r="J163" s="12"/>
      <c r="K163" s="12"/>
      <c r="L163" s="12"/>
      <c r="M163" s="12" t="e">
        <f ca="1">VLOOKUP(D163,Input!B:M,12,0)</f>
        <v>#N/A</v>
      </c>
      <c r="N163" s="12" t="e">
        <f ca="1">VLOOKUP(D163,Input!B:N,11,0)</f>
        <v>#N/A</v>
      </c>
      <c r="O163" s="12" t="e">
        <f ca="1">VLOOKUP(D163,Input!B:M,6,0)</f>
        <v>#N/A</v>
      </c>
      <c r="P163" s="6">
        <v>162</v>
      </c>
    </row>
    <row r="164" spans="1:16" ht="15.75">
      <c r="A164" s="13" t="str">
        <f>IFERROR(VLOOKUP($D:$D,scan!$A:$B,2,0),"**")</f>
        <v>**</v>
      </c>
      <c r="B164" s="13" t="str">
        <f>IFERROR(VLOOKUP($D164,scan!A:C,3,0),"**")</f>
        <v>**</v>
      </c>
      <c r="C164" s="14">
        <v>165</v>
      </c>
      <c r="D164" s="19"/>
      <c r="E164" s="16" t="str">
        <f t="shared" si="2"/>
        <v>163.**.</v>
      </c>
      <c r="F164" s="3" t="s">
        <v>4950</v>
      </c>
      <c r="G164" s="3" t="s">
        <v>4951</v>
      </c>
      <c r="H164" s="3">
        <v>6042070338</v>
      </c>
      <c r="I164" s="12" t="e">
        <f ca="1">VLOOKUP(D164,Input!B:M,10,0)</f>
        <v>#N/A</v>
      </c>
      <c r="J164" s="12"/>
      <c r="K164" s="12"/>
      <c r="L164" s="12"/>
      <c r="M164" s="12" t="e">
        <f ca="1">VLOOKUP(D164,Input!B:M,12,0)</f>
        <v>#N/A</v>
      </c>
      <c r="N164" s="12" t="e">
        <f ca="1">VLOOKUP(D164,Input!B:N,11,0)</f>
        <v>#N/A</v>
      </c>
      <c r="O164" s="12" t="e">
        <f ca="1">VLOOKUP(D164,Input!B:M,6,0)</f>
        <v>#N/A</v>
      </c>
      <c r="P164" s="6">
        <v>163</v>
      </c>
    </row>
    <row r="165" spans="1:16" ht="14.25">
      <c r="A165" s="13" t="str">
        <f>IFERROR(VLOOKUP($D:$D,scan!$A:$B,2,0),"**")</f>
        <v>**</v>
      </c>
      <c r="B165" s="13" t="str">
        <f>IFERROR(VLOOKUP($D165,scan!A:C,3,0),"**")</f>
        <v>**</v>
      </c>
      <c r="C165" s="5">
        <v>565</v>
      </c>
      <c r="D165" s="15"/>
      <c r="E165" s="16" t="str">
        <f t="shared" si="2"/>
        <v>164.**.</v>
      </c>
      <c r="F165" s="3" t="s">
        <v>4950</v>
      </c>
      <c r="G165" s="3" t="s">
        <v>4951</v>
      </c>
      <c r="H165" s="3">
        <v>6042070338</v>
      </c>
      <c r="I165" s="12" t="e">
        <f ca="1">VLOOKUP(D165,Input!B:M,10,0)</f>
        <v>#N/A</v>
      </c>
      <c r="J165" s="12"/>
      <c r="K165" s="12"/>
      <c r="L165" s="12"/>
      <c r="M165" s="12" t="e">
        <f ca="1">VLOOKUP(D165,Input!B:M,12,0)</f>
        <v>#N/A</v>
      </c>
      <c r="N165" s="12" t="e">
        <f ca="1">VLOOKUP(D165,Input!B:N,11,0)</f>
        <v>#N/A</v>
      </c>
      <c r="O165" s="12" t="e">
        <f ca="1">VLOOKUP(D165,Input!B:M,6,0)</f>
        <v>#N/A</v>
      </c>
      <c r="P165" s="6">
        <v>164</v>
      </c>
    </row>
    <row r="166" spans="1:16" ht="14.25">
      <c r="A166" s="13" t="str">
        <f>IFERROR(VLOOKUP($D:$D,scan!$A:$B,2,0),"**")</f>
        <v>**</v>
      </c>
      <c r="B166" s="13" t="str">
        <f>IFERROR(VLOOKUP($D166,scan!A:C,3,0),"**")</f>
        <v>**</v>
      </c>
      <c r="C166" s="14">
        <v>407</v>
      </c>
      <c r="D166" s="15"/>
      <c r="E166" s="16" t="str">
        <f t="shared" si="2"/>
        <v>165.**.</v>
      </c>
      <c r="F166" s="3" t="s">
        <v>4950</v>
      </c>
      <c r="G166" s="3" t="s">
        <v>4951</v>
      </c>
      <c r="H166" s="3">
        <v>6042070338</v>
      </c>
      <c r="I166" s="12" t="e">
        <f ca="1">VLOOKUP(D166,Input!B:M,10,0)</f>
        <v>#N/A</v>
      </c>
      <c r="J166" s="12"/>
      <c r="K166" s="12"/>
      <c r="L166" s="12"/>
      <c r="M166" s="12" t="e">
        <f ca="1">VLOOKUP(D166,Input!B:M,12,0)</f>
        <v>#N/A</v>
      </c>
      <c r="N166" s="12" t="e">
        <f ca="1">VLOOKUP(D166,Input!B:N,11,0)</f>
        <v>#N/A</v>
      </c>
      <c r="O166" s="12" t="e">
        <f ca="1">VLOOKUP(D166,Input!B:M,6,0)</f>
        <v>#N/A</v>
      </c>
      <c r="P166" s="6">
        <v>165</v>
      </c>
    </row>
    <row r="167" spans="1:16" ht="15.75">
      <c r="A167" s="13" t="str">
        <f>IFERROR(VLOOKUP($D:$D,scan!$A:$B,2,0),"**")</f>
        <v>**</v>
      </c>
      <c r="B167" s="13" t="str">
        <f>IFERROR(VLOOKUP($D167,scan!A:C,3,0),"**")</f>
        <v>**</v>
      </c>
      <c r="C167" s="14">
        <v>309</v>
      </c>
      <c r="D167" s="19"/>
      <c r="E167" s="16" t="str">
        <f t="shared" si="2"/>
        <v>166.**.</v>
      </c>
      <c r="F167" s="3" t="s">
        <v>4950</v>
      </c>
      <c r="G167" s="3" t="s">
        <v>4951</v>
      </c>
      <c r="H167" s="3">
        <v>6042070338</v>
      </c>
      <c r="I167" s="12" t="e">
        <f ca="1">VLOOKUP(D167,Input!B:M,10,0)</f>
        <v>#N/A</v>
      </c>
      <c r="J167" s="12"/>
      <c r="K167" s="12"/>
      <c r="L167" s="12"/>
      <c r="M167" s="12" t="e">
        <f ca="1">VLOOKUP(D167,Input!B:M,12,0)</f>
        <v>#N/A</v>
      </c>
      <c r="N167" s="12" t="e">
        <f ca="1">VLOOKUP(D167,Input!B:N,11,0)</f>
        <v>#N/A</v>
      </c>
      <c r="O167" s="12" t="e">
        <f ca="1">VLOOKUP(D167,Input!B:M,6,0)</f>
        <v>#N/A</v>
      </c>
      <c r="P167" s="6">
        <v>166</v>
      </c>
    </row>
    <row r="168" spans="1:16" ht="14.25">
      <c r="A168" s="13" t="str">
        <f>IFERROR(VLOOKUP($D:$D,scan!$A:$B,2,0),"**")</f>
        <v>**</v>
      </c>
      <c r="B168" s="13" t="str">
        <f>IFERROR(VLOOKUP($D168,scan!A:C,3,0),"**")</f>
        <v>**</v>
      </c>
      <c r="C168" s="14">
        <v>274</v>
      </c>
      <c r="D168" s="15"/>
      <c r="E168" s="16" t="str">
        <f t="shared" si="2"/>
        <v>167.**.</v>
      </c>
      <c r="F168" s="3" t="s">
        <v>4950</v>
      </c>
      <c r="G168" s="3" t="s">
        <v>4951</v>
      </c>
      <c r="H168" s="3">
        <v>6042070338</v>
      </c>
      <c r="I168" s="12" t="e">
        <f ca="1">VLOOKUP(D168,Input!B:M,10,0)</f>
        <v>#N/A</v>
      </c>
      <c r="J168" s="12"/>
      <c r="K168" s="12"/>
      <c r="L168" s="12"/>
      <c r="M168" s="12" t="e">
        <f ca="1">VLOOKUP(D168,Input!B:M,12,0)</f>
        <v>#N/A</v>
      </c>
      <c r="N168" s="12" t="e">
        <f ca="1">VLOOKUP(D168,Input!B:N,11,0)</f>
        <v>#N/A</v>
      </c>
      <c r="O168" s="12" t="e">
        <f ca="1">VLOOKUP(D168,Input!B:M,6,0)</f>
        <v>#N/A</v>
      </c>
      <c r="P168" s="6">
        <v>167</v>
      </c>
    </row>
    <row r="169" spans="1:16" ht="14.25">
      <c r="A169" s="13" t="str">
        <f>IFERROR(VLOOKUP($D:$D,scan!$A:$B,2,0),"**")</f>
        <v>**</v>
      </c>
      <c r="B169" s="13" t="str">
        <f>IFERROR(VLOOKUP($D169,scan!A:C,3,0),"**")</f>
        <v>**</v>
      </c>
      <c r="C169" s="14">
        <v>264</v>
      </c>
      <c r="D169" s="15"/>
      <c r="E169" s="16" t="str">
        <f t="shared" si="2"/>
        <v>168.**.</v>
      </c>
      <c r="F169" s="3" t="s">
        <v>4950</v>
      </c>
      <c r="G169" s="3" t="s">
        <v>4951</v>
      </c>
      <c r="H169" s="3">
        <v>6042070338</v>
      </c>
      <c r="I169" s="12" t="e">
        <f ca="1">VLOOKUP(D169,Input!B:M,10,0)</f>
        <v>#N/A</v>
      </c>
      <c r="J169" s="12"/>
      <c r="K169" s="12"/>
      <c r="L169" s="12"/>
      <c r="M169" s="12" t="e">
        <f ca="1">VLOOKUP(D169,Input!B:M,12,0)</f>
        <v>#N/A</v>
      </c>
      <c r="N169" s="12" t="e">
        <f ca="1">VLOOKUP(D169,Input!B:N,11,0)</f>
        <v>#N/A</v>
      </c>
      <c r="O169" s="12" t="e">
        <f ca="1">VLOOKUP(D169,Input!B:M,6,0)</f>
        <v>#N/A</v>
      </c>
      <c r="P169" s="6">
        <v>168</v>
      </c>
    </row>
    <row r="170" spans="1:16" ht="14.25">
      <c r="A170" s="13" t="str">
        <f>IFERROR(VLOOKUP($D:$D,scan!$A:$B,2,0),"**")</f>
        <v>**</v>
      </c>
      <c r="B170" s="13" t="str">
        <f>IFERROR(VLOOKUP($D170,scan!A:C,3,0),"**")</f>
        <v>**</v>
      </c>
      <c r="C170" s="14">
        <v>268</v>
      </c>
      <c r="D170" s="15"/>
      <c r="E170" s="16" t="str">
        <f t="shared" si="2"/>
        <v>169.**.</v>
      </c>
      <c r="F170" s="3" t="s">
        <v>4950</v>
      </c>
      <c r="G170" s="3" t="s">
        <v>4951</v>
      </c>
      <c r="H170" s="3">
        <v>6042070338</v>
      </c>
      <c r="I170" s="12" t="e">
        <f ca="1">VLOOKUP(D170,Input!B:M,10,0)</f>
        <v>#N/A</v>
      </c>
      <c r="J170" s="12"/>
      <c r="K170" s="12"/>
      <c r="L170" s="12"/>
      <c r="M170" s="12" t="e">
        <f ca="1">VLOOKUP(D170,Input!B:M,12,0)</f>
        <v>#N/A</v>
      </c>
      <c r="N170" s="12" t="e">
        <f ca="1">VLOOKUP(D170,Input!B:N,11,0)</f>
        <v>#N/A</v>
      </c>
      <c r="O170" s="12" t="e">
        <f ca="1">VLOOKUP(D170,Input!B:M,6,0)</f>
        <v>#N/A</v>
      </c>
      <c r="P170" s="6">
        <v>169</v>
      </c>
    </row>
    <row r="171" spans="1:16" ht="14.25">
      <c r="A171" s="13" t="str">
        <f>IFERROR(VLOOKUP($D:$D,scan!$A:$B,2,0),"**")</f>
        <v>**</v>
      </c>
      <c r="B171" s="13" t="str">
        <f>IFERROR(VLOOKUP($D171,scan!A:C,3,0),"**")</f>
        <v>**</v>
      </c>
      <c r="C171" s="5">
        <v>121</v>
      </c>
      <c r="D171" s="15"/>
      <c r="E171" s="16" t="str">
        <f t="shared" si="2"/>
        <v>170.**.</v>
      </c>
      <c r="F171" s="3" t="s">
        <v>4950</v>
      </c>
      <c r="G171" s="3" t="s">
        <v>4951</v>
      </c>
      <c r="H171" s="3">
        <v>6042070338</v>
      </c>
      <c r="I171" s="12" t="e">
        <f ca="1">VLOOKUP(D171,Input!B:M,10,0)</f>
        <v>#N/A</v>
      </c>
      <c r="J171" s="12"/>
      <c r="K171" s="12"/>
      <c r="L171" s="12"/>
      <c r="M171" s="12" t="e">
        <f ca="1">VLOOKUP(D171,Input!B:M,12,0)</f>
        <v>#N/A</v>
      </c>
      <c r="N171" s="12" t="e">
        <f ca="1">VLOOKUP(D171,Input!B:N,11,0)</f>
        <v>#N/A</v>
      </c>
      <c r="O171" s="12" t="e">
        <f ca="1">VLOOKUP(D171,Input!B:M,6,0)</f>
        <v>#N/A</v>
      </c>
      <c r="P171" s="6">
        <v>170</v>
      </c>
    </row>
    <row r="172" spans="1:16" ht="14.25">
      <c r="A172" s="13" t="str">
        <f>IFERROR(VLOOKUP($D:$D,scan!$A:$B,2,0),"**")</f>
        <v>**</v>
      </c>
      <c r="B172" s="13" t="str">
        <f>IFERROR(VLOOKUP($D172,scan!A:C,3,0),"**")</f>
        <v>**</v>
      </c>
      <c r="C172" s="5">
        <v>271</v>
      </c>
      <c r="D172" s="15"/>
      <c r="E172" s="16" t="str">
        <f t="shared" si="2"/>
        <v>171.**.</v>
      </c>
      <c r="F172" s="3" t="s">
        <v>4950</v>
      </c>
      <c r="G172" s="3" t="s">
        <v>4951</v>
      </c>
      <c r="H172" s="3">
        <v>6042070338</v>
      </c>
      <c r="I172" s="12" t="e">
        <f ca="1">VLOOKUP(D172,Input!B:M,10,0)</f>
        <v>#N/A</v>
      </c>
      <c r="J172" s="12"/>
      <c r="K172" s="12"/>
      <c r="L172" s="12"/>
      <c r="M172" s="12" t="e">
        <f ca="1">VLOOKUP(D172,Input!B:M,12,0)</f>
        <v>#N/A</v>
      </c>
      <c r="N172" s="12" t="e">
        <f ca="1">VLOOKUP(D172,Input!B:N,11,0)</f>
        <v>#N/A</v>
      </c>
      <c r="O172" s="12" t="e">
        <f ca="1">VLOOKUP(D172,Input!B:M,6,0)</f>
        <v>#N/A</v>
      </c>
      <c r="P172" s="6">
        <v>171</v>
      </c>
    </row>
    <row r="173" spans="1:16" ht="14.25">
      <c r="A173" s="13" t="str">
        <f>IFERROR(VLOOKUP($D:$D,scan!$A:$B,2,0),"**")</f>
        <v>**</v>
      </c>
      <c r="B173" s="13" t="str">
        <f>IFERROR(VLOOKUP($D173,scan!A:C,3,0),"**")</f>
        <v>**</v>
      </c>
      <c r="C173" s="5">
        <v>96</v>
      </c>
      <c r="D173" s="15"/>
      <c r="E173" s="16" t="str">
        <f t="shared" si="2"/>
        <v>172.**.</v>
      </c>
      <c r="F173" s="3" t="s">
        <v>4950</v>
      </c>
      <c r="G173" s="3" t="s">
        <v>4951</v>
      </c>
      <c r="H173" s="3">
        <v>6042070338</v>
      </c>
      <c r="I173" s="12" t="e">
        <f ca="1">VLOOKUP(D173,Input!B:M,10,0)</f>
        <v>#N/A</v>
      </c>
      <c r="J173" s="12"/>
      <c r="K173" s="12"/>
      <c r="L173" s="12"/>
      <c r="M173" s="12" t="e">
        <f ca="1">VLOOKUP(D173,Input!B:M,12,0)</f>
        <v>#N/A</v>
      </c>
      <c r="N173" s="12" t="e">
        <f ca="1">VLOOKUP(D173,Input!B:N,11,0)</f>
        <v>#N/A</v>
      </c>
      <c r="O173" s="12" t="e">
        <f ca="1">VLOOKUP(D173,Input!B:M,6,0)</f>
        <v>#N/A</v>
      </c>
      <c r="P173" s="6">
        <v>172</v>
      </c>
    </row>
    <row r="174" spans="1:16" ht="14.25">
      <c r="A174" s="13" t="str">
        <f>IFERROR(VLOOKUP($D:$D,scan!$A:$B,2,0),"**")</f>
        <v>**</v>
      </c>
      <c r="B174" s="13" t="str">
        <f>IFERROR(VLOOKUP($D174,scan!A:C,3,0),"**")</f>
        <v>**</v>
      </c>
      <c r="C174" s="14">
        <v>270</v>
      </c>
      <c r="D174" s="15"/>
      <c r="E174" s="16" t="str">
        <f t="shared" si="2"/>
        <v>173.**.</v>
      </c>
      <c r="F174" s="3" t="s">
        <v>4950</v>
      </c>
      <c r="G174" s="3" t="s">
        <v>4951</v>
      </c>
      <c r="H174" s="3">
        <v>6042070338</v>
      </c>
      <c r="I174" s="12" t="e">
        <f ca="1">VLOOKUP(D174,Input!B:M,10,0)</f>
        <v>#N/A</v>
      </c>
      <c r="J174" s="12"/>
      <c r="K174" s="12"/>
      <c r="L174" s="12"/>
      <c r="M174" s="12" t="e">
        <f ca="1">VLOOKUP(D174,Input!B:M,12,0)</f>
        <v>#N/A</v>
      </c>
      <c r="N174" s="12" t="e">
        <f ca="1">VLOOKUP(D174,Input!B:N,11,0)</f>
        <v>#N/A</v>
      </c>
      <c r="O174" s="12" t="e">
        <f ca="1">VLOOKUP(D174,Input!B:M,6,0)</f>
        <v>#N/A</v>
      </c>
      <c r="P174" s="6">
        <v>173</v>
      </c>
    </row>
    <row r="175" spans="1:16" ht="14.25">
      <c r="A175" s="13" t="str">
        <f>IFERROR(VLOOKUP($D:$D,scan!$A:$B,2,0),"**")</f>
        <v>**</v>
      </c>
      <c r="B175" s="13" t="str">
        <f>IFERROR(VLOOKUP($D175,scan!A:C,3,0),"**")</f>
        <v>**</v>
      </c>
      <c r="C175" s="5">
        <v>116</v>
      </c>
      <c r="D175" s="15"/>
      <c r="E175" s="16" t="str">
        <f t="shared" si="2"/>
        <v>174.**.</v>
      </c>
      <c r="F175" s="3" t="s">
        <v>4950</v>
      </c>
      <c r="G175" s="3" t="s">
        <v>4951</v>
      </c>
      <c r="H175" s="3">
        <v>6042070338</v>
      </c>
      <c r="I175" s="12" t="e">
        <f ca="1">VLOOKUP(D175,Input!B:M,10,0)</f>
        <v>#N/A</v>
      </c>
      <c r="J175" s="12"/>
      <c r="K175" s="12"/>
      <c r="L175" s="12"/>
      <c r="M175" s="12" t="e">
        <f ca="1">VLOOKUP(D175,Input!B:M,12,0)</f>
        <v>#N/A</v>
      </c>
      <c r="N175" s="12" t="e">
        <f ca="1">VLOOKUP(D175,Input!B:N,11,0)</f>
        <v>#N/A</v>
      </c>
      <c r="O175" s="12" t="e">
        <f ca="1">VLOOKUP(D175,Input!B:M,6,0)</f>
        <v>#N/A</v>
      </c>
      <c r="P175" s="6">
        <v>174</v>
      </c>
    </row>
    <row r="176" spans="1:16" ht="15.75">
      <c r="A176" s="13" t="str">
        <f>IFERROR(VLOOKUP($D:$D,scan!$A:$B,2,0),"**")</f>
        <v>**</v>
      </c>
      <c r="B176" s="13" t="str">
        <f>IFERROR(VLOOKUP($D176,scan!A:C,3,0),"**")</f>
        <v>**</v>
      </c>
      <c r="C176" s="5">
        <v>613</v>
      </c>
      <c r="D176" s="19"/>
      <c r="E176" s="16" t="str">
        <f t="shared" si="2"/>
        <v>175.**.</v>
      </c>
      <c r="F176" s="3" t="s">
        <v>4950</v>
      </c>
      <c r="G176" s="3" t="s">
        <v>4951</v>
      </c>
      <c r="H176" s="3">
        <v>6042070338</v>
      </c>
      <c r="I176" s="12" t="e">
        <f ca="1">VLOOKUP(D176,Input!B:M,10,0)</f>
        <v>#N/A</v>
      </c>
      <c r="J176" s="12"/>
      <c r="K176" s="12"/>
      <c r="L176" s="12"/>
      <c r="M176" s="12" t="e">
        <f ca="1">VLOOKUP(D176,Input!B:M,12,0)</f>
        <v>#N/A</v>
      </c>
      <c r="N176" s="12" t="e">
        <f ca="1">VLOOKUP(D176,Input!B:N,11,0)</f>
        <v>#N/A</v>
      </c>
      <c r="O176" s="12" t="e">
        <f ca="1">VLOOKUP(D176,Input!B:M,6,0)</f>
        <v>#N/A</v>
      </c>
      <c r="P176" s="6">
        <v>175</v>
      </c>
    </row>
    <row r="177" spans="1:16" ht="15.75">
      <c r="A177" s="13" t="str">
        <f>IFERROR(VLOOKUP($D:$D,scan!$A:$B,2,0),"**")</f>
        <v>**</v>
      </c>
      <c r="B177" s="13" t="str">
        <f>IFERROR(VLOOKUP($D177,scan!A:C,3,0),"**")</f>
        <v>**</v>
      </c>
      <c r="C177" s="14">
        <v>158</v>
      </c>
      <c r="D177" s="19"/>
      <c r="E177" s="16" t="str">
        <f t="shared" si="2"/>
        <v>176.**.</v>
      </c>
      <c r="F177" s="3" t="s">
        <v>4950</v>
      </c>
      <c r="G177" s="3" t="s">
        <v>4951</v>
      </c>
      <c r="H177" s="3">
        <v>6042070338</v>
      </c>
      <c r="I177" s="12" t="e">
        <f ca="1">VLOOKUP(D177,Input!B:M,10,0)</f>
        <v>#N/A</v>
      </c>
      <c r="J177" s="12"/>
      <c r="K177" s="12"/>
      <c r="L177" s="12"/>
      <c r="M177" s="12" t="e">
        <f ca="1">VLOOKUP(D177,Input!B:M,12,0)</f>
        <v>#N/A</v>
      </c>
      <c r="N177" s="12" t="e">
        <f ca="1">VLOOKUP(D177,Input!B:N,11,0)</f>
        <v>#N/A</v>
      </c>
      <c r="O177" s="12" t="e">
        <f ca="1">VLOOKUP(D177,Input!B:M,6,0)</f>
        <v>#N/A</v>
      </c>
      <c r="P177" s="6">
        <v>176</v>
      </c>
    </row>
    <row r="178" spans="1:16" ht="14.25">
      <c r="A178" s="13" t="str">
        <f>IFERROR(VLOOKUP($D:$D,scan!$A:$B,2,0),"**")</f>
        <v>**</v>
      </c>
      <c r="B178" s="13" t="str">
        <f>IFERROR(VLOOKUP($D178,scan!A:C,3,0),"**")</f>
        <v>**</v>
      </c>
      <c r="C178" s="14">
        <v>425</v>
      </c>
      <c r="D178" s="15"/>
      <c r="E178" s="16" t="str">
        <f t="shared" si="2"/>
        <v>177.**.</v>
      </c>
      <c r="F178" s="3" t="s">
        <v>4950</v>
      </c>
      <c r="G178" s="3" t="s">
        <v>4951</v>
      </c>
      <c r="H178" s="3">
        <v>6042070338</v>
      </c>
      <c r="I178" s="12" t="e">
        <f ca="1">VLOOKUP(D178,Input!B:M,10,0)</f>
        <v>#N/A</v>
      </c>
      <c r="J178" s="12"/>
      <c r="K178" s="12"/>
      <c r="L178" s="12"/>
      <c r="M178" s="12" t="e">
        <f ca="1">VLOOKUP(D178,Input!B:M,12,0)</f>
        <v>#N/A</v>
      </c>
      <c r="N178" s="12" t="e">
        <f ca="1">VLOOKUP(D178,Input!B:N,11,0)</f>
        <v>#N/A</v>
      </c>
      <c r="O178" s="12" t="e">
        <f ca="1">VLOOKUP(D178,Input!B:M,6,0)</f>
        <v>#N/A</v>
      </c>
      <c r="P178" s="6">
        <v>177</v>
      </c>
    </row>
    <row r="179" spans="1:16" ht="14.25">
      <c r="A179" s="13" t="str">
        <f>IFERROR(VLOOKUP($D:$D,scan!$A:$B,2,0),"**")</f>
        <v>**</v>
      </c>
      <c r="B179" s="13" t="str">
        <f>IFERROR(VLOOKUP($D179,scan!A:C,3,0),"**")</f>
        <v>**</v>
      </c>
      <c r="C179" s="14">
        <v>568</v>
      </c>
      <c r="D179" s="15"/>
      <c r="E179" s="16" t="str">
        <f t="shared" si="2"/>
        <v>178.**.</v>
      </c>
      <c r="F179" s="3" t="s">
        <v>4950</v>
      </c>
      <c r="G179" s="3" t="s">
        <v>4951</v>
      </c>
      <c r="H179" s="3">
        <v>6042070338</v>
      </c>
      <c r="I179" s="12" t="e">
        <f ca="1">VLOOKUP(D179,Input!B:M,10,0)</f>
        <v>#N/A</v>
      </c>
      <c r="J179" s="12"/>
      <c r="K179" s="12"/>
      <c r="L179" s="12"/>
      <c r="M179" s="12" t="e">
        <f ca="1">VLOOKUP(D179,Input!B:M,12,0)</f>
        <v>#N/A</v>
      </c>
      <c r="N179" s="12" t="e">
        <f ca="1">VLOOKUP(D179,Input!B:N,11,0)</f>
        <v>#N/A</v>
      </c>
      <c r="O179" s="12" t="e">
        <f ca="1">VLOOKUP(D179,Input!B:M,6,0)</f>
        <v>#N/A</v>
      </c>
      <c r="P179" s="6">
        <v>178</v>
      </c>
    </row>
    <row r="180" spans="1:16" ht="14.25">
      <c r="A180" s="13" t="str">
        <f>IFERROR(VLOOKUP($D:$D,scan!$A:$B,2,0),"**")</f>
        <v>**</v>
      </c>
      <c r="B180" s="13" t="str">
        <f>IFERROR(VLOOKUP($D180,scan!A:C,3,0),"**")</f>
        <v>**</v>
      </c>
      <c r="C180" s="14">
        <v>249</v>
      </c>
      <c r="D180" s="15"/>
      <c r="E180" s="16" t="str">
        <f t="shared" si="2"/>
        <v>179.**.</v>
      </c>
      <c r="F180" s="3" t="s">
        <v>4950</v>
      </c>
      <c r="G180" s="3" t="s">
        <v>4951</v>
      </c>
      <c r="H180" s="3">
        <v>6042070338</v>
      </c>
      <c r="I180" s="12" t="e">
        <f ca="1">VLOOKUP(D180,Input!B:M,10,0)</f>
        <v>#N/A</v>
      </c>
      <c r="J180" s="12"/>
      <c r="K180" s="12"/>
      <c r="L180" s="12"/>
      <c r="M180" s="12" t="e">
        <f ca="1">VLOOKUP(D180,Input!B:M,12,0)</f>
        <v>#N/A</v>
      </c>
      <c r="N180" s="12" t="e">
        <f ca="1">VLOOKUP(D180,Input!B:N,11,0)</f>
        <v>#N/A</v>
      </c>
      <c r="O180" s="12" t="e">
        <f ca="1">VLOOKUP(D180,Input!B:M,6,0)</f>
        <v>#N/A</v>
      </c>
      <c r="P180" s="6">
        <v>179</v>
      </c>
    </row>
    <row r="181" spans="1:16" ht="14.25">
      <c r="A181" s="13" t="str">
        <f>IFERROR(VLOOKUP($D:$D,scan!$A:$B,2,0),"**")</f>
        <v>**</v>
      </c>
      <c r="B181" s="13" t="str">
        <f>IFERROR(VLOOKUP($D181,scan!A:C,3,0),"**")</f>
        <v>**</v>
      </c>
      <c r="C181" s="14">
        <v>95</v>
      </c>
      <c r="D181" s="15"/>
      <c r="E181" s="16" t="str">
        <f t="shared" si="2"/>
        <v>180.**.</v>
      </c>
      <c r="F181" s="3" t="s">
        <v>4950</v>
      </c>
      <c r="G181" s="3" t="s">
        <v>4951</v>
      </c>
      <c r="H181" s="3">
        <v>6042070338</v>
      </c>
      <c r="I181" s="12" t="e">
        <f ca="1">VLOOKUP(D181,Input!B:M,10,0)</f>
        <v>#N/A</v>
      </c>
      <c r="J181" s="12"/>
      <c r="K181" s="12"/>
      <c r="L181" s="12"/>
      <c r="M181" s="12" t="e">
        <f ca="1">VLOOKUP(D181,Input!B:M,12,0)</f>
        <v>#N/A</v>
      </c>
      <c r="N181" s="12" t="e">
        <f ca="1">VLOOKUP(D181,Input!B:N,11,0)</f>
        <v>#N/A</v>
      </c>
      <c r="O181" s="12" t="e">
        <f ca="1">VLOOKUP(D181,Input!B:M,6,0)</f>
        <v>#N/A</v>
      </c>
      <c r="P181" s="6">
        <v>180</v>
      </c>
    </row>
    <row r="182" spans="1:16" ht="14.25">
      <c r="A182" s="13" t="str">
        <f>IFERROR(VLOOKUP($D:$D,scan!$A:$B,2,0),"**")</f>
        <v>**</v>
      </c>
      <c r="B182" s="13" t="str">
        <f>IFERROR(VLOOKUP($D182,scan!A:C,3,0),"**")</f>
        <v>**</v>
      </c>
      <c r="C182" s="14">
        <v>624</v>
      </c>
      <c r="D182" s="15"/>
      <c r="E182" s="16" t="str">
        <f t="shared" si="2"/>
        <v>181.**.</v>
      </c>
      <c r="F182" s="3" t="s">
        <v>4950</v>
      </c>
      <c r="G182" s="3" t="s">
        <v>4951</v>
      </c>
      <c r="H182" s="3">
        <v>6042070338</v>
      </c>
      <c r="I182" s="12" t="e">
        <f ca="1">VLOOKUP(D182,Input!B:M,10,0)</f>
        <v>#N/A</v>
      </c>
      <c r="J182" s="12"/>
      <c r="K182" s="12"/>
      <c r="L182" s="12"/>
      <c r="M182" s="12" t="e">
        <f ca="1">VLOOKUP(D182,Input!B:M,12,0)</f>
        <v>#N/A</v>
      </c>
      <c r="N182" s="12" t="e">
        <f ca="1">VLOOKUP(D182,Input!B:N,11,0)</f>
        <v>#N/A</v>
      </c>
      <c r="O182" s="12" t="e">
        <f ca="1">VLOOKUP(D182,Input!B:M,6,0)</f>
        <v>#N/A</v>
      </c>
      <c r="P182" s="6">
        <v>181</v>
      </c>
    </row>
    <row r="183" spans="1:16" ht="14.25">
      <c r="A183" s="13" t="str">
        <f>IFERROR(VLOOKUP($D:$D,scan!$A:$B,2,0),"**")</f>
        <v>**</v>
      </c>
      <c r="B183" s="13" t="str">
        <f>IFERROR(VLOOKUP($D183,scan!A:C,3,0),"**")</f>
        <v>**</v>
      </c>
      <c r="C183" s="5">
        <v>406</v>
      </c>
      <c r="D183" s="15"/>
      <c r="E183" s="16" t="str">
        <f t="shared" si="2"/>
        <v>182.**.</v>
      </c>
      <c r="F183" s="3" t="s">
        <v>4950</v>
      </c>
      <c r="G183" s="3" t="s">
        <v>4951</v>
      </c>
      <c r="H183" s="3">
        <v>6042070338</v>
      </c>
      <c r="I183" s="12" t="e">
        <f ca="1">VLOOKUP(D183,Input!B:M,10,0)</f>
        <v>#N/A</v>
      </c>
      <c r="J183" s="12"/>
      <c r="K183" s="12"/>
      <c r="L183" s="12"/>
      <c r="M183" s="12" t="e">
        <f ca="1">VLOOKUP(D183,Input!B:M,12,0)</f>
        <v>#N/A</v>
      </c>
      <c r="N183" s="12" t="e">
        <f ca="1">VLOOKUP(D183,Input!B:N,11,0)</f>
        <v>#N/A</v>
      </c>
      <c r="O183" s="12" t="e">
        <f ca="1">VLOOKUP(D183,Input!B:M,6,0)</f>
        <v>#N/A</v>
      </c>
      <c r="P183" s="6">
        <v>182</v>
      </c>
    </row>
    <row r="184" spans="1:16" ht="14.25">
      <c r="A184" s="13" t="str">
        <f>IFERROR(VLOOKUP($D:$D,scan!$A:$B,2,0),"**")</f>
        <v>**</v>
      </c>
      <c r="B184" s="13" t="str">
        <f>IFERROR(VLOOKUP($D184,scan!A:C,3,0),"**")</f>
        <v>**</v>
      </c>
      <c r="C184" s="14">
        <v>117</v>
      </c>
      <c r="D184" s="15"/>
      <c r="E184" s="16" t="str">
        <f t="shared" si="2"/>
        <v>183.**.</v>
      </c>
      <c r="F184" s="3" t="s">
        <v>4950</v>
      </c>
      <c r="G184" s="3" t="s">
        <v>4951</v>
      </c>
      <c r="H184" s="3">
        <v>6042070338</v>
      </c>
      <c r="I184" s="12" t="e">
        <f ca="1">VLOOKUP(D184,Input!B:M,10,0)</f>
        <v>#N/A</v>
      </c>
      <c r="J184" s="12"/>
      <c r="K184" s="12"/>
      <c r="L184" s="12"/>
      <c r="M184" s="12" t="e">
        <f ca="1">VLOOKUP(D184,Input!B:M,12,0)</f>
        <v>#N/A</v>
      </c>
      <c r="N184" s="12" t="e">
        <f ca="1">VLOOKUP(D184,Input!B:N,11,0)</f>
        <v>#N/A</v>
      </c>
      <c r="O184" s="12" t="e">
        <f ca="1">VLOOKUP(D184,Input!B:M,6,0)</f>
        <v>#N/A</v>
      </c>
      <c r="P184" s="6">
        <v>183</v>
      </c>
    </row>
    <row r="185" spans="1:16" ht="14.25">
      <c r="A185" s="13" t="str">
        <f>IFERROR(VLOOKUP($D:$D,scan!$A:$B,2,0),"**")</f>
        <v>**</v>
      </c>
      <c r="B185" s="13" t="str">
        <f>IFERROR(VLOOKUP($D185,scan!A:C,3,0),"**")</f>
        <v>**</v>
      </c>
      <c r="C185" s="14">
        <v>546</v>
      </c>
      <c r="D185" s="15"/>
      <c r="E185" s="16" t="str">
        <f t="shared" si="2"/>
        <v>184.**.</v>
      </c>
      <c r="F185" s="3" t="s">
        <v>4950</v>
      </c>
      <c r="G185" s="3" t="s">
        <v>4951</v>
      </c>
      <c r="H185" s="3">
        <v>6042070338</v>
      </c>
      <c r="I185" s="12" t="e">
        <f ca="1">VLOOKUP(D185,Input!B:M,10,0)</f>
        <v>#N/A</v>
      </c>
      <c r="J185" s="12"/>
      <c r="K185" s="12"/>
      <c r="L185" s="12"/>
      <c r="M185" s="12" t="e">
        <f ca="1">VLOOKUP(D185,Input!B:M,12,0)</f>
        <v>#N/A</v>
      </c>
      <c r="N185" s="12" t="e">
        <f ca="1">VLOOKUP(D185,Input!B:N,11,0)</f>
        <v>#N/A</v>
      </c>
      <c r="O185" s="12" t="e">
        <f ca="1">VLOOKUP(D185,Input!B:M,6,0)</f>
        <v>#N/A</v>
      </c>
      <c r="P185" s="6">
        <v>184</v>
      </c>
    </row>
    <row r="186" spans="1:16" ht="14.25">
      <c r="A186" s="13" t="str">
        <f>IFERROR(VLOOKUP($D:$D,scan!$A:$B,2,0),"**")</f>
        <v>**</v>
      </c>
      <c r="B186" s="13" t="str">
        <f>IFERROR(VLOOKUP($D186,scan!A:C,3,0),"**")</f>
        <v>**</v>
      </c>
      <c r="C186" s="14">
        <v>248</v>
      </c>
      <c r="D186" s="15"/>
      <c r="E186" s="16" t="str">
        <f t="shared" si="2"/>
        <v>185.**.</v>
      </c>
      <c r="F186" s="3" t="s">
        <v>4950</v>
      </c>
      <c r="G186" s="3" t="s">
        <v>4951</v>
      </c>
      <c r="H186" s="3">
        <v>6042070338</v>
      </c>
      <c r="I186" s="12" t="e">
        <f ca="1">VLOOKUP(D186,Input!B:M,10,0)</f>
        <v>#N/A</v>
      </c>
      <c r="J186" s="12"/>
      <c r="K186" s="12"/>
      <c r="L186" s="12"/>
      <c r="M186" s="12" t="e">
        <f ca="1">VLOOKUP(D186,Input!B:M,12,0)</f>
        <v>#N/A</v>
      </c>
      <c r="N186" s="12" t="e">
        <f ca="1">VLOOKUP(D186,Input!B:N,11,0)</f>
        <v>#N/A</v>
      </c>
      <c r="O186" s="12" t="e">
        <f ca="1">VLOOKUP(D186,Input!B:M,6,0)</f>
        <v>#N/A</v>
      </c>
      <c r="P186" s="6">
        <v>185</v>
      </c>
    </row>
    <row r="187" spans="1:16" ht="14.25">
      <c r="A187" s="13" t="str">
        <f>IFERROR(VLOOKUP($D:$D,scan!$A:$B,2,0),"**")</f>
        <v>**</v>
      </c>
      <c r="B187" s="13" t="str">
        <f>IFERROR(VLOOKUP($D187,scan!A:C,3,0),"**")</f>
        <v>**</v>
      </c>
      <c r="C187" s="14">
        <v>429</v>
      </c>
      <c r="D187" s="15"/>
      <c r="E187" s="16" t="str">
        <f t="shared" si="2"/>
        <v>186.**.</v>
      </c>
      <c r="F187" s="3" t="s">
        <v>4950</v>
      </c>
      <c r="G187" s="3" t="s">
        <v>4951</v>
      </c>
      <c r="H187" s="3">
        <v>6042070338</v>
      </c>
      <c r="I187" s="12" t="e">
        <f ca="1">VLOOKUP(D187,Input!B:M,10,0)</f>
        <v>#N/A</v>
      </c>
      <c r="J187" s="12"/>
      <c r="K187" s="12"/>
      <c r="L187" s="12"/>
      <c r="M187" s="12" t="e">
        <f ca="1">VLOOKUP(D187,Input!B:M,12,0)</f>
        <v>#N/A</v>
      </c>
      <c r="N187" s="12" t="e">
        <f ca="1">VLOOKUP(D187,Input!B:N,11,0)</f>
        <v>#N/A</v>
      </c>
      <c r="O187" s="12" t="e">
        <f ca="1">VLOOKUP(D187,Input!B:M,6,0)</f>
        <v>#N/A</v>
      </c>
      <c r="P187" s="6">
        <v>186</v>
      </c>
    </row>
    <row r="188" spans="1:16" ht="14.25">
      <c r="A188" s="13" t="str">
        <f>IFERROR(VLOOKUP($D:$D,scan!$A:$B,2,0),"**")</f>
        <v>**</v>
      </c>
      <c r="B188" s="13" t="str">
        <f>IFERROR(VLOOKUP($D188,scan!A:C,3,0),"**")</f>
        <v>**</v>
      </c>
      <c r="C188" s="14">
        <v>94</v>
      </c>
      <c r="D188" s="15"/>
      <c r="E188" s="16" t="str">
        <f t="shared" si="2"/>
        <v>187.**.</v>
      </c>
      <c r="F188" s="3" t="s">
        <v>4950</v>
      </c>
      <c r="G188" s="3" t="s">
        <v>4951</v>
      </c>
      <c r="H188" s="3">
        <v>6042070338</v>
      </c>
      <c r="I188" s="12" t="e">
        <f ca="1">VLOOKUP(D188,Input!B:M,10,0)</f>
        <v>#N/A</v>
      </c>
      <c r="J188" s="12"/>
      <c r="K188" s="12"/>
      <c r="L188" s="12"/>
      <c r="M188" s="12" t="e">
        <f ca="1">VLOOKUP(D188,Input!B:M,12,0)</f>
        <v>#N/A</v>
      </c>
      <c r="N188" s="12" t="e">
        <f ca="1">VLOOKUP(D188,Input!B:N,11,0)</f>
        <v>#N/A</v>
      </c>
      <c r="O188" s="12" t="e">
        <f ca="1">VLOOKUP(D188,Input!B:M,6,0)</f>
        <v>#N/A</v>
      </c>
      <c r="P188" s="6">
        <v>187</v>
      </c>
    </row>
    <row r="189" spans="1:16" ht="15.75">
      <c r="A189" s="13" t="str">
        <f>IFERROR(VLOOKUP($D:$D,scan!$A:$B,2,0),"**")</f>
        <v>**</v>
      </c>
      <c r="B189" s="13" t="str">
        <f>IFERROR(VLOOKUP($D189,scan!A:C,3,0),"**")</f>
        <v>**</v>
      </c>
      <c r="C189" s="14">
        <v>303</v>
      </c>
      <c r="D189" s="19"/>
      <c r="E189" s="16" t="str">
        <f t="shared" si="2"/>
        <v>188.**.</v>
      </c>
      <c r="F189" s="3" t="s">
        <v>4950</v>
      </c>
      <c r="G189" s="3" t="s">
        <v>4951</v>
      </c>
      <c r="H189" s="3">
        <v>6042070338</v>
      </c>
      <c r="I189" s="12" t="e">
        <f ca="1">VLOOKUP(D189,Input!B:M,10,0)</f>
        <v>#N/A</v>
      </c>
      <c r="J189" s="12"/>
      <c r="K189" s="12"/>
      <c r="L189" s="12"/>
      <c r="M189" s="12" t="e">
        <f ca="1">VLOOKUP(D189,Input!B:M,12,0)</f>
        <v>#N/A</v>
      </c>
      <c r="N189" s="12" t="e">
        <f ca="1">VLOOKUP(D189,Input!B:N,11,0)</f>
        <v>#N/A</v>
      </c>
      <c r="O189" s="12" t="e">
        <f ca="1">VLOOKUP(D189,Input!B:M,6,0)</f>
        <v>#N/A</v>
      </c>
      <c r="P189" s="6">
        <v>188</v>
      </c>
    </row>
    <row r="190" spans="1:16" ht="15.75">
      <c r="A190" s="13" t="str">
        <f>IFERROR(VLOOKUP($D:$D,scan!$A:$B,2,0),"**")</f>
        <v>**</v>
      </c>
      <c r="B190" s="13" t="str">
        <f>IFERROR(VLOOKUP($D190,scan!A:C,3,0),"**")</f>
        <v>**</v>
      </c>
      <c r="C190" s="14">
        <v>470</v>
      </c>
      <c r="D190" s="19"/>
      <c r="E190" s="16" t="str">
        <f t="shared" si="2"/>
        <v>189.**.</v>
      </c>
      <c r="F190" s="3" t="s">
        <v>4950</v>
      </c>
      <c r="G190" s="3" t="s">
        <v>4951</v>
      </c>
      <c r="H190" s="3">
        <v>6042070338</v>
      </c>
      <c r="I190" s="12" t="e">
        <f ca="1">VLOOKUP(D190,Input!B:M,10,0)</f>
        <v>#N/A</v>
      </c>
      <c r="J190" s="12"/>
      <c r="K190" s="12"/>
      <c r="L190" s="12"/>
      <c r="M190" s="12" t="e">
        <f ca="1">VLOOKUP(D190,Input!B:M,12,0)</f>
        <v>#N/A</v>
      </c>
      <c r="N190" s="12" t="e">
        <f ca="1">VLOOKUP(D190,Input!B:N,11,0)</f>
        <v>#N/A</v>
      </c>
      <c r="O190" s="12" t="e">
        <f ca="1">VLOOKUP(D190,Input!B:M,6,0)</f>
        <v>#N/A</v>
      </c>
      <c r="P190" s="6">
        <v>189</v>
      </c>
    </row>
    <row r="191" spans="1:16" ht="15.75">
      <c r="A191" s="13" t="str">
        <f>IFERROR(VLOOKUP($D:$D,scan!$A:$B,2,0),"**")</f>
        <v>**</v>
      </c>
      <c r="B191" s="13" t="str">
        <f>IFERROR(VLOOKUP($D191,scan!A:C,3,0),"**")</f>
        <v>**</v>
      </c>
      <c r="C191" s="14">
        <v>615</v>
      </c>
      <c r="D191" s="19"/>
      <c r="E191" s="16" t="str">
        <f t="shared" si="2"/>
        <v>190.**.</v>
      </c>
      <c r="F191" s="3" t="s">
        <v>4950</v>
      </c>
      <c r="G191" s="3" t="s">
        <v>4951</v>
      </c>
      <c r="H191" s="3">
        <v>6042070338</v>
      </c>
      <c r="I191" s="12" t="e">
        <f ca="1">VLOOKUP(D191,Input!B:M,10,0)</f>
        <v>#N/A</v>
      </c>
      <c r="J191" s="12"/>
      <c r="K191" s="12"/>
      <c r="L191" s="12"/>
      <c r="M191" s="12" t="e">
        <f ca="1">VLOOKUP(D191,Input!B:M,12,0)</f>
        <v>#N/A</v>
      </c>
      <c r="N191" s="12" t="e">
        <f ca="1">VLOOKUP(D191,Input!B:N,11,0)</f>
        <v>#N/A</v>
      </c>
      <c r="O191" s="12" t="e">
        <f ca="1">VLOOKUP(D191,Input!B:M,6,0)</f>
        <v>#N/A</v>
      </c>
      <c r="P191" s="6">
        <v>190</v>
      </c>
    </row>
    <row r="192" spans="1:16" ht="15.75">
      <c r="A192" s="13" t="str">
        <f>IFERROR(VLOOKUP($D:$D,scan!$A:$B,2,0),"**")</f>
        <v>**</v>
      </c>
      <c r="B192" s="13" t="str">
        <f>IFERROR(VLOOKUP($D192,scan!A:C,3,0),"**")</f>
        <v>**</v>
      </c>
      <c r="C192" s="14">
        <v>468</v>
      </c>
      <c r="D192" s="19"/>
      <c r="E192" s="16" t="str">
        <f t="shared" si="2"/>
        <v>191.**.</v>
      </c>
      <c r="F192" s="3" t="s">
        <v>4950</v>
      </c>
      <c r="G192" s="3" t="s">
        <v>4951</v>
      </c>
      <c r="H192" s="3">
        <v>6042070338</v>
      </c>
      <c r="I192" s="12" t="e">
        <f ca="1">VLOOKUP(D192,Input!B:M,10,0)</f>
        <v>#N/A</v>
      </c>
      <c r="J192" s="12"/>
      <c r="K192" s="12"/>
      <c r="L192" s="12"/>
      <c r="M192" s="12" t="e">
        <f ca="1">VLOOKUP(D192,Input!B:M,12,0)</f>
        <v>#N/A</v>
      </c>
      <c r="N192" s="12" t="e">
        <f ca="1">VLOOKUP(D192,Input!B:N,11,0)</f>
        <v>#N/A</v>
      </c>
      <c r="O192" s="12" t="e">
        <f ca="1">VLOOKUP(D192,Input!B:M,6,0)</f>
        <v>#N/A</v>
      </c>
      <c r="P192" s="6">
        <v>191</v>
      </c>
    </row>
    <row r="193" spans="1:16" ht="14.25">
      <c r="A193" s="13" t="str">
        <f>IFERROR(VLOOKUP($D:$D,scan!$A:$B,2,0),"**")</f>
        <v>**</v>
      </c>
      <c r="B193" s="13" t="str">
        <f>IFERROR(VLOOKUP($D193,scan!A:C,3,0),"**")</f>
        <v>**</v>
      </c>
      <c r="C193" s="5">
        <v>31</v>
      </c>
      <c r="D193" s="15"/>
      <c r="E193" s="16" t="str">
        <f t="shared" si="2"/>
        <v>192.**.</v>
      </c>
      <c r="F193" s="3" t="s">
        <v>4950</v>
      </c>
      <c r="G193" s="3" t="s">
        <v>4951</v>
      </c>
      <c r="H193" s="3">
        <v>6042070338</v>
      </c>
      <c r="I193" s="12" t="e">
        <f ca="1">VLOOKUP(D193,Input!B:M,10,0)</f>
        <v>#N/A</v>
      </c>
      <c r="J193" s="12"/>
      <c r="K193" s="12"/>
      <c r="L193" s="12"/>
      <c r="M193" s="12" t="e">
        <f ca="1">VLOOKUP(D193,Input!B:M,12,0)</f>
        <v>#N/A</v>
      </c>
      <c r="N193" s="12" t="e">
        <f ca="1">VLOOKUP(D193,Input!B:N,11,0)</f>
        <v>#N/A</v>
      </c>
      <c r="O193" s="12" t="e">
        <f ca="1">VLOOKUP(D193,Input!B:M,6,0)</f>
        <v>#N/A</v>
      </c>
      <c r="P193" s="6">
        <v>192</v>
      </c>
    </row>
    <row r="194" spans="1:16" ht="14.25">
      <c r="A194" s="13" t="str">
        <f>IFERROR(VLOOKUP($D:$D,scan!$A:$B,2,0),"**")</f>
        <v>**</v>
      </c>
      <c r="B194" s="13" t="str">
        <f>IFERROR(VLOOKUP($D194,scan!A:C,3,0),"**")</f>
        <v>**</v>
      </c>
      <c r="C194" s="14">
        <v>89</v>
      </c>
      <c r="D194" s="15"/>
      <c r="E194" s="16" t="str">
        <f t="shared" ref="E194:E257" si="3">P194&amp;"."&amp;B194&amp;"."&amp;D194</f>
        <v>193.**.</v>
      </c>
      <c r="F194" s="3" t="s">
        <v>4950</v>
      </c>
      <c r="G194" s="3" t="s">
        <v>4951</v>
      </c>
      <c r="H194" s="3">
        <v>6042070338</v>
      </c>
      <c r="I194" s="12" t="e">
        <f ca="1">VLOOKUP(D194,Input!B:M,10,0)</f>
        <v>#N/A</v>
      </c>
      <c r="J194" s="12"/>
      <c r="K194" s="12"/>
      <c r="L194" s="12"/>
      <c r="M194" s="12" t="e">
        <f ca="1">VLOOKUP(D194,Input!B:M,12,0)</f>
        <v>#N/A</v>
      </c>
      <c r="N194" s="12" t="e">
        <f ca="1">VLOOKUP(D194,Input!B:N,11,0)</f>
        <v>#N/A</v>
      </c>
      <c r="O194" s="12" t="e">
        <f ca="1">VLOOKUP(D194,Input!B:M,6,0)</f>
        <v>#N/A</v>
      </c>
      <c r="P194" s="6">
        <v>193</v>
      </c>
    </row>
    <row r="195" spans="1:16" ht="14.25">
      <c r="A195" s="13" t="str">
        <f>IFERROR(VLOOKUP($D:$D,scan!$A:$B,2,0),"**")</f>
        <v>**</v>
      </c>
      <c r="B195" s="13" t="str">
        <f>IFERROR(VLOOKUP($D195,scan!A:C,3,0),"**")</f>
        <v>**</v>
      </c>
      <c r="C195" s="14">
        <v>243</v>
      </c>
      <c r="D195" s="15"/>
      <c r="E195" s="16" t="str">
        <f t="shared" si="3"/>
        <v>194.**.</v>
      </c>
      <c r="F195" s="3" t="s">
        <v>4950</v>
      </c>
      <c r="G195" s="3" t="s">
        <v>4951</v>
      </c>
      <c r="H195" s="3">
        <v>6042070338</v>
      </c>
      <c r="I195" s="12" t="e">
        <f ca="1">VLOOKUP(D195,Input!B:M,10,0)</f>
        <v>#N/A</v>
      </c>
      <c r="J195" s="12"/>
      <c r="K195" s="12"/>
      <c r="L195" s="12"/>
      <c r="M195" s="12" t="e">
        <f ca="1">VLOOKUP(D195,Input!B:M,12,0)</f>
        <v>#N/A</v>
      </c>
      <c r="N195" s="12" t="e">
        <f ca="1">VLOOKUP(D195,Input!B:N,11,0)</f>
        <v>#N/A</v>
      </c>
      <c r="O195" s="12" t="e">
        <f ca="1">VLOOKUP(D195,Input!B:M,6,0)</f>
        <v>#N/A</v>
      </c>
      <c r="P195" s="6">
        <v>194</v>
      </c>
    </row>
    <row r="196" spans="1:16" ht="14.25">
      <c r="A196" s="13" t="str">
        <f>IFERROR(VLOOKUP($D:$D,scan!$A:$B,2,0),"**")</f>
        <v>**</v>
      </c>
      <c r="B196" s="13" t="str">
        <f>IFERROR(VLOOKUP($D196,scan!A:C,3,0),"**")</f>
        <v>**</v>
      </c>
      <c r="C196" s="14">
        <v>92</v>
      </c>
      <c r="D196" s="15"/>
      <c r="E196" s="16" t="str">
        <f t="shared" si="3"/>
        <v>195.**.</v>
      </c>
      <c r="F196" s="3" t="s">
        <v>4950</v>
      </c>
      <c r="G196" s="3" t="s">
        <v>4951</v>
      </c>
      <c r="H196" s="3">
        <v>6042070338</v>
      </c>
      <c r="I196" s="12" t="e">
        <f ca="1">VLOOKUP(D196,Input!B:M,10,0)</f>
        <v>#N/A</v>
      </c>
      <c r="J196" s="12"/>
      <c r="K196" s="12"/>
      <c r="L196" s="12"/>
      <c r="M196" s="12" t="e">
        <f ca="1">VLOOKUP(D196,Input!B:M,12,0)</f>
        <v>#N/A</v>
      </c>
      <c r="N196" s="12" t="e">
        <f ca="1">VLOOKUP(D196,Input!B:N,11,0)</f>
        <v>#N/A</v>
      </c>
      <c r="O196" s="12" t="e">
        <f ca="1">VLOOKUP(D196,Input!B:M,6,0)</f>
        <v>#N/A</v>
      </c>
      <c r="P196" s="6">
        <v>195</v>
      </c>
    </row>
    <row r="197" spans="1:16" ht="14.25">
      <c r="A197" s="13" t="str">
        <f>IFERROR(VLOOKUP($D:$D,scan!$A:$B,2,0),"**")</f>
        <v>**</v>
      </c>
      <c r="B197" s="13" t="str">
        <f>IFERROR(VLOOKUP($D197,scan!A:C,3,0),"**")</f>
        <v>**</v>
      </c>
      <c r="C197" s="14">
        <v>247</v>
      </c>
      <c r="D197" s="15"/>
      <c r="E197" s="16" t="str">
        <f t="shared" si="3"/>
        <v>196.**.</v>
      </c>
      <c r="F197" s="3" t="s">
        <v>4950</v>
      </c>
      <c r="G197" s="3" t="s">
        <v>4951</v>
      </c>
      <c r="H197" s="3">
        <v>6042070338</v>
      </c>
      <c r="I197" s="12" t="e">
        <f ca="1">VLOOKUP(D197,Input!B:M,10,0)</f>
        <v>#N/A</v>
      </c>
      <c r="J197" s="12"/>
      <c r="K197" s="12"/>
      <c r="L197" s="12"/>
      <c r="M197" s="12" t="e">
        <f ca="1">VLOOKUP(D197,Input!B:M,12,0)</f>
        <v>#N/A</v>
      </c>
      <c r="N197" s="12" t="e">
        <f ca="1">VLOOKUP(D197,Input!B:N,11,0)</f>
        <v>#N/A</v>
      </c>
      <c r="O197" s="12" t="e">
        <f ca="1">VLOOKUP(D197,Input!B:M,6,0)</f>
        <v>#N/A</v>
      </c>
      <c r="P197" s="6">
        <v>196</v>
      </c>
    </row>
    <row r="198" spans="1:16" ht="14.25">
      <c r="A198" s="13" t="str">
        <f>IFERROR(VLOOKUP($D:$D,scan!$A:$B,2,0),"**")</f>
        <v>**</v>
      </c>
      <c r="B198" s="13" t="str">
        <f>IFERROR(VLOOKUP($D198,scan!A:C,3,0),"**")</f>
        <v>**</v>
      </c>
      <c r="C198" s="14">
        <v>93</v>
      </c>
      <c r="D198" s="15"/>
      <c r="E198" s="16" t="str">
        <f t="shared" si="3"/>
        <v>197.**.</v>
      </c>
      <c r="F198" s="3" t="s">
        <v>4950</v>
      </c>
      <c r="G198" s="3" t="s">
        <v>4951</v>
      </c>
      <c r="H198" s="3">
        <v>6042070338</v>
      </c>
      <c r="I198" s="12" t="e">
        <f ca="1">VLOOKUP(D198,Input!B:M,10,0)</f>
        <v>#N/A</v>
      </c>
      <c r="J198" s="12"/>
      <c r="K198" s="12"/>
      <c r="L198" s="12"/>
      <c r="M198" s="12" t="e">
        <f ca="1">VLOOKUP(D198,Input!B:M,12,0)</f>
        <v>#N/A</v>
      </c>
      <c r="N198" s="12" t="e">
        <f ca="1">VLOOKUP(D198,Input!B:N,11,0)</f>
        <v>#N/A</v>
      </c>
      <c r="O198" s="12" t="e">
        <f ca="1">VLOOKUP(D198,Input!B:M,6,0)</f>
        <v>#N/A</v>
      </c>
      <c r="P198" s="6">
        <v>197</v>
      </c>
    </row>
    <row r="199" spans="1:16" ht="14.25">
      <c r="A199" s="13" t="str">
        <f>IFERROR(VLOOKUP($D:$D,scan!$A:$B,2,0),"**")</f>
        <v>**</v>
      </c>
      <c r="B199" s="13" t="str">
        <f>IFERROR(VLOOKUP($D199,scan!A:C,3,0),"**")</f>
        <v>**</v>
      </c>
      <c r="C199" s="14">
        <v>548</v>
      </c>
      <c r="D199" s="15"/>
      <c r="E199" s="16" t="str">
        <f t="shared" si="3"/>
        <v>198.**.</v>
      </c>
      <c r="F199" s="3" t="s">
        <v>4950</v>
      </c>
      <c r="G199" s="3" t="s">
        <v>4951</v>
      </c>
      <c r="H199" s="3">
        <v>6042070338</v>
      </c>
      <c r="I199" s="12" t="e">
        <f ca="1">VLOOKUP(D199,Input!B:M,10,0)</f>
        <v>#N/A</v>
      </c>
      <c r="J199" s="12"/>
      <c r="K199" s="12"/>
      <c r="L199" s="12"/>
      <c r="M199" s="12" t="e">
        <f ca="1">VLOOKUP(D199,Input!B:M,12,0)</f>
        <v>#N/A</v>
      </c>
      <c r="N199" s="12" t="e">
        <f ca="1">VLOOKUP(D199,Input!B:N,11,0)</f>
        <v>#N/A</v>
      </c>
      <c r="O199" s="12" t="e">
        <f ca="1">VLOOKUP(D199,Input!B:M,6,0)</f>
        <v>#N/A</v>
      </c>
      <c r="P199" s="6">
        <v>198</v>
      </c>
    </row>
    <row r="200" spans="1:16" ht="14.25">
      <c r="A200" s="13" t="str">
        <f>IFERROR(VLOOKUP($D:$D,scan!$A:$B,2,0),"**")</f>
        <v>**</v>
      </c>
      <c r="B200" s="13" t="str">
        <f>IFERROR(VLOOKUP($D200,scan!A:C,3,0),"**")</f>
        <v>**</v>
      </c>
      <c r="C200" s="5">
        <v>246</v>
      </c>
      <c r="D200" s="15"/>
      <c r="E200" s="16" t="str">
        <f t="shared" si="3"/>
        <v>199.**.</v>
      </c>
      <c r="F200" s="3" t="s">
        <v>4950</v>
      </c>
      <c r="G200" s="3" t="s">
        <v>4951</v>
      </c>
      <c r="H200" s="3">
        <v>6042070338</v>
      </c>
      <c r="I200" s="12" t="e">
        <f ca="1">VLOOKUP(D200,Input!B:M,10,0)</f>
        <v>#N/A</v>
      </c>
      <c r="J200" s="12"/>
      <c r="K200" s="12"/>
      <c r="L200" s="12"/>
      <c r="M200" s="12" t="e">
        <f ca="1">VLOOKUP(D200,Input!B:M,12,0)</f>
        <v>#N/A</v>
      </c>
      <c r="N200" s="12" t="e">
        <f ca="1">VLOOKUP(D200,Input!B:N,11,0)</f>
        <v>#N/A</v>
      </c>
      <c r="O200" s="12" t="e">
        <f ca="1">VLOOKUP(D200,Input!B:M,6,0)</f>
        <v>#N/A</v>
      </c>
      <c r="P200" s="6">
        <v>199</v>
      </c>
    </row>
    <row r="201" spans="1:16" ht="14.25">
      <c r="A201" s="13" t="str">
        <f>IFERROR(VLOOKUP($D:$D,scan!$A:$B,2,0),"**")</f>
        <v>**</v>
      </c>
      <c r="B201" s="13" t="str">
        <f>IFERROR(VLOOKUP($D201,scan!A:C,3,0),"**")</f>
        <v>**</v>
      </c>
      <c r="C201" s="14">
        <v>404</v>
      </c>
      <c r="D201" s="15"/>
      <c r="E201" s="16" t="str">
        <f t="shared" si="3"/>
        <v>200.**.</v>
      </c>
      <c r="F201" s="3" t="s">
        <v>4950</v>
      </c>
      <c r="G201" s="3" t="s">
        <v>4951</v>
      </c>
      <c r="H201" s="3">
        <v>6042070338</v>
      </c>
      <c r="I201" s="12" t="e">
        <f ca="1">VLOOKUP(D201,Input!B:M,10,0)</f>
        <v>#N/A</v>
      </c>
      <c r="J201" s="12"/>
      <c r="K201" s="12"/>
      <c r="L201" s="12"/>
      <c r="M201" s="12" t="e">
        <f ca="1">VLOOKUP(D201,Input!B:M,12,0)</f>
        <v>#N/A</v>
      </c>
      <c r="N201" s="12" t="e">
        <f ca="1">VLOOKUP(D201,Input!B:N,11,0)</f>
        <v>#N/A</v>
      </c>
      <c r="O201" s="12" t="e">
        <f ca="1">VLOOKUP(D201,Input!B:M,6,0)</f>
        <v>#N/A</v>
      </c>
      <c r="P201" s="6">
        <v>200</v>
      </c>
    </row>
    <row r="202" spans="1:16" ht="14.25">
      <c r="A202" s="13" t="str">
        <f>IFERROR(VLOOKUP($D:$D,scan!$A:$B,2,0),"**")</f>
        <v>**</v>
      </c>
      <c r="B202" s="13" t="str">
        <f>IFERROR(VLOOKUP($D202,scan!A:C,3,0),"**")</f>
        <v>**</v>
      </c>
      <c r="C202" s="14">
        <v>623</v>
      </c>
      <c r="D202" s="15"/>
      <c r="E202" s="16" t="str">
        <f t="shared" si="3"/>
        <v>201.**.</v>
      </c>
      <c r="F202" s="3" t="s">
        <v>4950</v>
      </c>
      <c r="G202" s="3" t="s">
        <v>4951</v>
      </c>
      <c r="H202" s="3">
        <v>6042070338</v>
      </c>
      <c r="I202" s="12" t="e">
        <f ca="1">VLOOKUP(D202,Input!B:M,10,0)</f>
        <v>#N/A</v>
      </c>
      <c r="J202" s="12"/>
      <c r="K202" s="12"/>
      <c r="L202" s="12"/>
      <c r="M202" s="12" t="e">
        <f ca="1">VLOOKUP(D202,Input!B:M,12,0)</f>
        <v>#N/A</v>
      </c>
      <c r="N202" s="12" t="e">
        <f ca="1">VLOOKUP(D202,Input!B:N,11,0)</f>
        <v>#N/A</v>
      </c>
      <c r="O202" s="12" t="e">
        <f ca="1">VLOOKUP(D202,Input!B:M,6,0)</f>
        <v>#N/A</v>
      </c>
      <c r="P202" s="6">
        <v>201</v>
      </c>
    </row>
    <row r="203" spans="1:16" ht="14.25">
      <c r="A203" s="13" t="str">
        <f>IFERROR(VLOOKUP($D:$D,scan!$A:$B,2,0),"**")</f>
        <v>**</v>
      </c>
      <c r="B203" s="13" t="str">
        <f>IFERROR(VLOOKUP($D203,scan!A:C,3,0),"**")</f>
        <v>**</v>
      </c>
      <c r="C203" s="14">
        <v>98</v>
      </c>
      <c r="D203" s="15"/>
      <c r="E203" s="16" t="str">
        <f t="shared" si="3"/>
        <v>202.**.</v>
      </c>
      <c r="F203" s="3" t="s">
        <v>4950</v>
      </c>
      <c r="G203" s="3" t="s">
        <v>4951</v>
      </c>
      <c r="H203" s="3">
        <v>6042070338</v>
      </c>
      <c r="I203" s="12" t="e">
        <f ca="1">VLOOKUP(D203,Input!B:M,10,0)</f>
        <v>#N/A</v>
      </c>
      <c r="J203" s="12"/>
      <c r="K203" s="12"/>
      <c r="L203" s="12"/>
      <c r="M203" s="12" t="e">
        <f ca="1">VLOOKUP(D203,Input!B:M,12,0)</f>
        <v>#N/A</v>
      </c>
      <c r="N203" s="12" t="e">
        <f ca="1">VLOOKUP(D203,Input!B:N,11,0)</f>
        <v>#N/A</v>
      </c>
      <c r="O203" s="12" t="e">
        <f ca="1">VLOOKUP(D203,Input!B:M,6,0)</f>
        <v>#N/A</v>
      </c>
      <c r="P203" s="6">
        <v>202</v>
      </c>
    </row>
    <row r="204" spans="1:16" ht="14.25">
      <c r="A204" s="13" t="str">
        <f>IFERROR(VLOOKUP($D:$D,scan!$A:$B,2,0),"**")</f>
        <v>**</v>
      </c>
      <c r="B204" s="13" t="str">
        <f>IFERROR(VLOOKUP($D204,scan!A:C,3,0),"**")</f>
        <v>**</v>
      </c>
      <c r="C204" s="14">
        <v>600</v>
      </c>
      <c r="D204" s="15"/>
      <c r="E204" s="16" t="str">
        <f t="shared" si="3"/>
        <v>203.**.</v>
      </c>
      <c r="F204" s="3" t="s">
        <v>4950</v>
      </c>
      <c r="G204" s="3" t="s">
        <v>4951</v>
      </c>
      <c r="H204" s="3">
        <v>6042070338</v>
      </c>
      <c r="I204" s="12" t="e">
        <f ca="1">VLOOKUP(D204,Input!B:M,10,0)</f>
        <v>#N/A</v>
      </c>
      <c r="J204" s="12"/>
      <c r="K204" s="12"/>
      <c r="L204" s="12"/>
      <c r="M204" s="12" t="e">
        <f ca="1">VLOOKUP(D204,Input!B:M,12,0)</f>
        <v>#N/A</v>
      </c>
      <c r="N204" s="12" t="e">
        <f ca="1">VLOOKUP(D204,Input!B:N,11,0)</f>
        <v>#N/A</v>
      </c>
      <c r="O204" s="12" t="e">
        <f ca="1">VLOOKUP(D204,Input!B:M,6,0)</f>
        <v>#N/A</v>
      </c>
      <c r="P204" s="6">
        <v>203</v>
      </c>
    </row>
    <row r="205" spans="1:16" ht="14.25">
      <c r="A205" s="13" t="str">
        <f>IFERROR(VLOOKUP($D:$D,scan!$A:$B,2,0),"**")</f>
        <v>**</v>
      </c>
      <c r="B205" s="13" t="str">
        <f>IFERROR(VLOOKUP($D205,scan!A:C,3,0),"**")</f>
        <v>**</v>
      </c>
      <c r="C205" s="14">
        <v>409</v>
      </c>
      <c r="D205" s="15"/>
      <c r="E205" s="16" t="str">
        <f t="shared" si="3"/>
        <v>204.**.</v>
      </c>
      <c r="F205" s="3" t="s">
        <v>4950</v>
      </c>
      <c r="G205" s="3" t="s">
        <v>4951</v>
      </c>
      <c r="H205" s="3">
        <v>6042070338</v>
      </c>
      <c r="I205" s="12" t="e">
        <f ca="1">VLOOKUP(D205,Input!B:M,10,0)</f>
        <v>#N/A</v>
      </c>
      <c r="J205" s="12"/>
      <c r="K205" s="12"/>
      <c r="L205" s="12"/>
      <c r="M205" s="12" t="e">
        <f ca="1">VLOOKUP(D205,Input!B:M,12,0)</f>
        <v>#N/A</v>
      </c>
      <c r="N205" s="12" t="e">
        <f ca="1">VLOOKUP(D205,Input!B:N,11,0)</f>
        <v>#N/A</v>
      </c>
      <c r="O205" s="12" t="e">
        <f ca="1">VLOOKUP(D205,Input!B:M,6,0)</f>
        <v>#N/A</v>
      </c>
      <c r="P205" s="6">
        <v>204</v>
      </c>
    </row>
    <row r="206" spans="1:16" ht="14.25">
      <c r="A206" s="13" t="str">
        <f>IFERROR(VLOOKUP($D:$D,scan!$A:$B,2,0),"**")</f>
        <v>**</v>
      </c>
      <c r="B206" s="13" t="str">
        <f>IFERROR(VLOOKUP($D206,scan!A:C,3,0),"**")</f>
        <v>**</v>
      </c>
      <c r="C206" s="5">
        <v>549</v>
      </c>
      <c r="D206" s="15"/>
      <c r="E206" s="16" t="str">
        <f t="shared" si="3"/>
        <v>205.**.</v>
      </c>
      <c r="F206" s="3" t="s">
        <v>4950</v>
      </c>
      <c r="G206" s="3" t="s">
        <v>4951</v>
      </c>
      <c r="H206" s="3">
        <v>6042070338</v>
      </c>
      <c r="I206" s="12" t="e">
        <f ca="1">VLOOKUP(D206,Input!B:M,10,0)</f>
        <v>#N/A</v>
      </c>
      <c r="J206" s="12"/>
      <c r="K206" s="12"/>
      <c r="L206" s="12"/>
      <c r="M206" s="12" t="e">
        <f ca="1">VLOOKUP(D206,Input!B:M,12,0)</f>
        <v>#N/A</v>
      </c>
      <c r="N206" s="12" t="e">
        <f ca="1">VLOOKUP(D206,Input!B:N,11,0)</f>
        <v>#N/A</v>
      </c>
      <c r="O206" s="12" t="e">
        <f ca="1">VLOOKUP(D206,Input!B:M,6,0)</f>
        <v>#N/A</v>
      </c>
      <c r="P206" s="6">
        <v>205</v>
      </c>
    </row>
    <row r="207" spans="1:16" ht="14.25">
      <c r="A207" s="13" t="str">
        <f>IFERROR(VLOOKUP($D:$D,scan!$A:$B,2,0),"**")</f>
        <v>**</v>
      </c>
      <c r="B207" s="13" t="str">
        <f>IFERROR(VLOOKUP($D207,scan!A:C,3,0),"**")</f>
        <v>**</v>
      </c>
      <c r="C207" s="14">
        <v>252</v>
      </c>
      <c r="D207" s="15"/>
      <c r="E207" s="16" t="str">
        <f t="shared" si="3"/>
        <v>206.**.</v>
      </c>
      <c r="F207" s="3" t="s">
        <v>4950</v>
      </c>
      <c r="G207" s="3" t="s">
        <v>4951</v>
      </c>
      <c r="H207" s="3">
        <v>6042070338</v>
      </c>
      <c r="I207" s="12" t="e">
        <f ca="1">VLOOKUP(D207,Input!B:M,10,0)</f>
        <v>#N/A</v>
      </c>
      <c r="J207" s="12"/>
      <c r="K207" s="12"/>
      <c r="L207" s="12"/>
      <c r="M207" s="12" t="e">
        <f ca="1">VLOOKUP(D207,Input!B:M,12,0)</f>
        <v>#N/A</v>
      </c>
      <c r="N207" s="12" t="e">
        <f ca="1">VLOOKUP(D207,Input!B:N,11,0)</f>
        <v>#N/A</v>
      </c>
      <c r="O207" s="12" t="e">
        <f ca="1">VLOOKUP(D207,Input!B:M,6,0)</f>
        <v>#N/A</v>
      </c>
      <c r="P207" s="6">
        <v>206</v>
      </c>
    </row>
    <row r="208" spans="1:16" ht="14.25">
      <c r="A208" s="13" t="str">
        <f>IFERROR(VLOOKUP($D:$D,scan!$A:$B,2,0),"**")</f>
        <v>**</v>
      </c>
      <c r="B208" s="13" t="str">
        <f>IFERROR(VLOOKUP($D208,scan!A:C,3,0),"**")</f>
        <v>**</v>
      </c>
      <c r="C208" s="14">
        <v>384</v>
      </c>
      <c r="D208" s="15"/>
      <c r="E208" s="16" t="str">
        <f t="shared" si="3"/>
        <v>207.**.</v>
      </c>
      <c r="F208" s="3" t="s">
        <v>4950</v>
      </c>
      <c r="G208" s="3" t="s">
        <v>4951</v>
      </c>
      <c r="H208" s="3">
        <v>6042070338</v>
      </c>
      <c r="I208" s="12" t="e">
        <f ca="1">VLOOKUP(D208,Input!B:M,10,0)</f>
        <v>#N/A</v>
      </c>
      <c r="J208" s="12"/>
      <c r="K208" s="12"/>
      <c r="L208" s="12"/>
      <c r="M208" s="12" t="e">
        <f ca="1">VLOOKUP(D208,Input!B:M,12,0)</f>
        <v>#N/A</v>
      </c>
      <c r="N208" s="12" t="e">
        <f ca="1">VLOOKUP(D208,Input!B:N,11,0)</f>
        <v>#N/A</v>
      </c>
      <c r="O208" s="12" t="e">
        <f ca="1">VLOOKUP(D208,Input!B:M,6,0)</f>
        <v>#N/A</v>
      </c>
      <c r="P208" s="6">
        <v>207</v>
      </c>
    </row>
    <row r="209" spans="1:16" ht="14.25">
      <c r="A209" s="13" t="str">
        <f>IFERROR(VLOOKUP($D:$D,scan!$A:$B,2,0),"**")</f>
        <v>**</v>
      </c>
      <c r="B209" s="13" t="str">
        <f>IFERROR(VLOOKUP($D209,scan!A:C,3,0),"**")</f>
        <v>**</v>
      </c>
      <c r="C209" s="14">
        <v>72</v>
      </c>
      <c r="D209" s="15"/>
      <c r="E209" s="16" t="str">
        <f t="shared" si="3"/>
        <v>208.**.</v>
      </c>
      <c r="F209" s="3" t="s">
        <v>4950</v>
      </c>
      <c r="G209" s="3" t="s">
        <v>4951</v>
      </c>
      <c r="H209" s="3">
        <v>6042070338</v>
      </c>
      <c r="I209" s="12" t="e">
        <f ca="1">VLOOKUP(D209,Input!B:M,10,0)</f>
        <v>#N/A</v>
      </c>
      <c r="J209" s="12"/>
      <c r="K209" s="12"/>
      <c r="L209" s="12"/>
      <c r="M209" s="12" t="e">
        <f ca="1">VLOOKUP(D209,Input!B:M,12,0)</f>
        <v>#N/A</v>
      </c>
      <c r="N209" s="12" t="e">
        <f ca="1">VLOOKUP(D209,Input!B:N,11,0)</f>
        <v>#N/A</v>
      </c>
      <c r="O209" s="12" t="e">
        <f ca="1">VLOOKUP(D209,Input!B:M,6,0)</f>
        <v>#N/A</v>
      </c>
      <c r="P209" s="6">
        <v>208</v>
      </c>
    </row>
    <row r="210" spans="1:16" ht="14.25">
      <c r="A210" s="13" t="str">
        <f>IFERROR(VLOOKUP($D:$D,scan!$A:$B,2,0),"**")</f>
        <v>**</v>
      </c>
      <c r="B210" s="13" t="str">
        <f>IFERROR(VLOOKUP($D210,scan!A:C,3,0),"**")</f>
        <v>**</v>
      </c>
      <c r="C210" s="14">
        <v>382</v>
      </c>
      <c r="D210" s="15"/>
      <c r="E210" s="16" t="str">
        <f t="shared" si="3"/>
        <v>209.**.</v>
      </c>
      <c r="F210" s="3" t="s">
        <v>4950</v>
      </c>
      <c r="G210" s="3" t="s">
        <v>4951</v>
      </c>
      <c r="H210" s="3">
        <v>6042070338</v>
      </c>
      <c r="I210" s="12" t="e">
        <f ca="1">VLOOKUP(D210,Input!B:M,10,0)</f>
        <v>#N/A</v>
      </c>
      <c r="J210" s="12"/>
      <c r="K210" s="12"/>
      <c r="L210" s="12"/>
      <c r="M210" s="12" t="e">
        <f ca="1">VLOOKUP(D210,Input!B:M,12,0)</f>
        <v>#N/A</v>
      </c>
      <c r="N210" s="12" t="e">
        <f ca="1">VLOOKUP(D210,Input!B:N,11,0)</f>
        <v>#N/A</v>
      </c>
      <c r="O210" s="12" t="e">
        <f ca="1">VLOOKUP(D210,Input!B:M,6,0)</f>
        <v>#N/A</v>
      </c>
      <c r="P210" s="6">
        <v>209</v>
      </c>
    </row>
    <row r="211" spans="1:16" ht="14.25">
      <c r="A211" s="13" t="str">
        <f>IFERROR(VLOOKUP($D:$D,scan!$A:$B,2,0),"**")</f>
        <v>**</v>
      </c>
      <c r="B211" s="13" t="str">
        <f>IFERROR(VLOOKUP($D211,scan!A:C,3,0),"**")</f>
        <v>**</v>
      </c>
      <c r="C211" s="14">
        <v>542</v>
      </c>
      <c r="D211" s="15"/>
      <c r="E211" s="16" t="str">
        <f t="shared" si="3"/>
        <v>210.**.</v>
      </c>
      <c r="F211" s="3" t="s">
        <v>4950</v>
      </c>
      <c r="G211" s="3" t="s">
        <v>4951</v>
      </c>
      <c r="H211" s="3">
        <v>6042070338</v>
      </c>
      <c r="I211" s="12" t="e">
        <f ca="1">VLOOKUP(D211,Input!B:M,10,0)</f>
        <v>#N/A</v>
      </c>
      <c r="J211" s="12"/>
      <c r="K211" s="12"/>
      <c r="L211" s="12"/>
      <c r="M211" s="12" t="e">
        <f ca="1">VLOOKUP(D211,Input!B:M,12,0)</f>
        <v>#N/A</v>
      </c>
      <c r="N211" s="12" t="e">
        <f ca="1">VLOOKUP(D211,Input!B:N,11,0)</f>
        <v>#N/A</v>
      </c>
      <c r="O211" s="12" t="e">
        <f ca="1">VLOOKUP(D211,Input!B:M,6,0)</f>
        <v>#N/A</v>
      </c>
      <c r="P211" s="6">
        <v>210</v>
      </c>
    </row>
    <row r="212" spans="1:16" ht="14.25">
      <c r="A212" s="13" t="str">
        <f>IFERROR(VLOOKUP($D:$D,scan!$A:$B,2,0),"**")</f>
        <v>**</v>
      </c>
      <c r="B212" s="13" t="str">
        <f>IFERROR(VLOOKUP($D212,scan!A:C,3,0),"**")</f>
        <v>**</v>
      </c>
      <c r="C212" s="14">
        <v>540</v>
      </c>
      <c r="D212" s="15"/>
      <c r="E212" s="16" t="str">
        <f t="shared" si="3"/>
        <v>211.**.</v>
      </c>
      <c r="F212" s="3" t="s">
        <v>4950</v>
      </c>
      <c r="G212" s="3" t="s">
        <v>4951</v>
      </c>
      <c r="H212" s="3">
        <v>6042070338</v>
      </c>
      <c r="I212" s="12" t="e">
        <f ca="1">VLOOKUP(D212,Input!B:M,10,0)</f>
        <v>#N/A</v>
      </c>
      <c r="J212" s="12"/>
      <c r="K212" s="12"/>
      <c r="L212" s="12"/>
      <c r="M212" s="12" t="e">
        <f ca="1">VLOOKUP(D212,Input!B:M,12,0)</f>
        <v>#N/A</v>
      </c>
      <c r="N212" s="12" t="e">
        <f ca="1">VLOOKUP(D212,Input!B:N,11,0)</f>
        <v>#N/A</v>
      </c>
      <c r="O212" s="12" t="e">
        <f ca="1">VLOOKUP(D212,Input!B:M,6,0)</f>
        <v>#N/A</v>
      </c>
      <c r="P212" s="6">
        <v>211</v>
      </c>
    </row>
    <row r="213" spans="1:16" ht="14.25">
      <c r="A213" s="13" t="str">
        <f>IFERROR(VLOOKUP($D:$D,scan!$A:$B,2,0),"**")</f>
        <v>**</v>
      </c>
      <c r="B213" s="13" t="str">
        <f>IFERROR(VLOOKUP($D213,scan!A:C,3,0),"**")</f>
        <v>**</v>
      </c>
      <c r="C213" s="14">
        <v>244</v>
      </c>
      <c r="D213" s="15"/>
      <c r="E213" s="16" t="str">
        <f t="shared" si="3"/>
        <v>212.**.</v>
      </c>
      <c r="F213" s="3" t="s">
        <v>4950</v>
      </c>
      <c r="G213" s="3" t="s">
        <v>4951</v>
      </c>
      <c r="H213" s="3">
        <v>6042070338</v>
      </c>
      <c r="I213" s="12" t="e">
        <f ca="1">VLOOKUP(D213,Input!B:M,10,0)</f>
        <v>#N/A</v>
      </c>
      <c r="J213" s="12"/>
      <c r="K213" s="12"/>
      <c r="L213" s="12"/>
      <c r="M213" s="12" t="e">
        <f ca="1">VLOOKUP(D213,Input!B:M,12,0)</f>
        <v>#N/A</v>
      </c>
      <c r="N213" s="12" t="e">
        <f ca="1">VLOOKUP(D213,Input!B:N,11,0)</f>
        <v>#N/A</v>
      </c>
      <c r="O213" s="12" t="e">
        <f ca="1">VLOOKUP(D213,Input!B:M,6,0)</f>
        <v>#N/A</v>
      </c>
      <c r="P213" s="6">
        <v>212</v>
      </c>
    </row>
    <row r="214" spans="1:16" ht="14.25">
      <c r="A214" s="13" t="str">
        <f>IFERROR(VLOOKUP($D:$D,scan!$A:$B,2,0),"**")</f>
        <v>**</v>
      </c>
      <c r="B214" s="13" t="str">
        <f>IFERROR(VLOOKUP($D214,scan!A:C,3,0),"**")</f>
        <v>**</v>
      </c>
      <c r="C214" s="14">
        <v>69</v>
      </c>
      <c r="D214" s="15"/>
      <c r="E214" s="16" t="str">
        <f t="shared" si="3"/>
        <v>213.**.</v>
      </c>
      <c r="F214" s="3" t="s">
        <v>4950</v>
      </c>
      <c r="G214" s="3" t="s">
        <v>4951</v>
      </c>
      <c r="H214" s="3">
        <v>6042070338</v>
      </c>
      <c r="I214" s="12" t="e">
        <f ca="1">VLOOKUP(D214,Input!B:M,10,0)</f>
        <v>#N/A</v>
      </c>
      <c r="J214" s="12"/>
      <c r="K214" s="12"/>
      <c r="L214" s="12"/>
      <c r="M214" s="12" t="e">
        <f ca="1">VLOOKUP(D214,Input!B:M,12,0)</f>
        <v>#N/A</v>
      </c>
      <c r="N214" s="12" t="e">
        <f ca="1">VLOOKUP(D214,Input!B:N,11,0)</f>
        <v>#N/A</v>
      </c>
      <c r="O214" s="12" t="e">
        <f ca="1">VLOOKUP(D214,Input!B:M,6,0)</f>
        <v>#N/A</v>
      </c>
      <c r="P214" s="6">
        <v>213</v>
      </c>
    </row>
    <row r="215" spans="1:16" ht="14.25">
      <c r="A215" s="13" t="str">
        <f>IFERROR(VLOOKUP($D:$D,scan!$A:$B,2,0),"**")</f>
        <v>**</v>
      </c>
      <c r="B215" s="13" t="str">
        <f>IFERROR(VLOOKUP($D215,scan!A:C,3,0),"**")</f>
        <v>**</v>
      </c>
      <c r="C215" s="14">
        <v>237</v>
      </c>
      <c r="D215" s="15"/>
      <c r="E215" s="16" t="str">
        <f t="shared" si="3"/>
        <v>214.**.</v>
      </c>
      <c r="F215" s="3" t="s">
        <v>4950</v>
      </c>
      <c r="G215" s="3" t="s">
        <v>4951</v>
      </c>
      <c r="H215" s="3">
        <v>6042070338</v>
      </c>
      <c r="I215" s="12" t="e">
        <f ca="1">VLOOKUP(D215,Input!B:M,10,0)</f>
        <v>#N/A</v>
      </c>
      <c r="J215" s="12"/>
      <c r="K215" s="12"/>
      <c r="L215" s="12"/>
      <c r="M215" s="12" t="e">
        <f ca="1">VLOOKUP(D215,Input!B:M,12,0)</f>
        <v>#N/A</v>
      </c>
      <c r="N215" s="12" t="e">
        <f ca="1">VLOOKUP(D215,Input!B:N,11,0)</f>
        <v>#N/A</v>
      </c>
      <c r="O215" s="12" t="e">
        <f ca="1">VLOOKUP(D215,Input!B:M,6,0)</f>
        <v>#N/A</v>
      </c>
      <c r="P215" s="6">
        <v>214</v>
      </c>
    </row>
    <row r="216" spans="1:16" ht="14.25">
      <c r="A216" s="13" t="str">
        <f>IFERROR(VLOOKUP($D:$D,scan!$A:$B,2,0),"**")</f>
        <v>**</v>
      </c>
      <c r="B216" s="13" t="str">
        <f>IFERROR(VLOOKUP($D216,scan!A:C,3,0),"**")</f>
        <v>**</v>
      </c>
      <c r="C216" s="14">
        <v>598</v>
      </c>
      <c r="D216" s="15"/>
      <c r="E216" s="16" t="str">
        <f t="shared" si="3"/>
        <v>215.**.</v>
      </c>
      <c r="F216" s="3" t="s">
        <v>4950</v>
      </c>
      <c r="G216" s="3" t="s">
        <v>4951</v>
      </c>
      <c r="H216" s="3">
        <v>6042070338</v>
      </c>
      <c r="I216" s="12" t="e">
        <f ca="1">VLOOKUP(D216,Input!B:M,10,0)</f>
        <v>#N/A</v>
      </c>
      <c r="J216" s="12"/>
      <c r="K216" s="12"/>
      <c r="L216" s="12"/>
      <c r="M216" s="12" t="e">
        <f ca="1">VLOOKUP(D216,Input!B:M,12,0)</f>
        <v>#N/A</v>
      </c>
      <c r="N216" s="12" t="e">
        <f ca="1">VLOOKUP(D216,Input!B:N,11,0)</f>
        <v>#N/A</v>
      </c>
      <c r="O216" s="12" t="e">
        <f ca="1">VLOOKUP(D216,Input!B:M,6,0)</f>
        <v>#N/A</v>
      </c>
      <c r="P216" s="6">
        <v>215</v>
      </c>
    </row>
    <row r="217" spans="1:16" ht="14.25">
      <c r="A217" s="13" t="str">
        <f>IFERROR(VLOOKUP($D:$D,scan!$A:$B,2,0),"**")</f>
        <v>**</v>
      </c>
      <c r="B217" s="13" t="str">
        <f>IFERROR(VLOOKUP($D217,scan!A:C,3,0),"**")</f>
        <v>**</v>
      </c>
      <c r="C217" s="5">
        <v>81</v>
      </c>
      <c r="D217" s="15"/>
      <c r="E217" s="16" t="str">
        <f t="shared" si="3"/>
        <v>216.**.</v>
      </c>
      <c r="F217" s="3" t="s">
        <v>4950</v>
      </c>
      <c r="G217" s="3" t="s">
        <v>4951</v>
      </c>
      <c r="H217" s="3">
        <v>6042070338</v>
      </c>
      <c r="I217" s="12" t="e">
        <f ca="1">VLOOKUP(D217,Input!B:M,10,0)</f>
        <v>#N/A</v>
      </c>
      <c r="J217" s="12"/>
      <c r="K217" s="12"/>
      <c r="L217" s="12"/>
      <c r="M217" s="12" t="e">
        <f ca="1">VLOOKUP(D217,Input!B:M,12,0)</f>
        <v>#N/A</v>
      </c>
      <c r="N217" s="12" t="e">
        <f ca="1">VLOOKUP(D217,Input!B:N,11,0)</f>
        <v>#N/A</v>
      </c>
      <c r="O217" s="12" t="e">
        <f ca="1">VLOOKUP(D217,Input!B:M,6,0)</f>
        <v>#N/A</v>
      </c>
      <c r="P217" s="6">
        <v>216</v>
      </c>
    </row>
    <row r="218" spans="1:16" ht="14.25">
      <c r="A218" s="13" t="str">
        <f>IFERROR(VLOOKUP($D:$D,scan!$A:$B,2,0),"**")</f>
        <v>**</v>
      </c>
      <c r="B218" s="13" t="str">
        <f>IFERROR(VLOOKUP($D218,scan!A:C,3,0),"**")</f>
        <v>**</v>
      </c>
      <c r="C218" s="14">
        <v>390</v>
      </c>
      <c r="D218" s="15"/>
      <c r="E218" s="16" t="str">
        <f t="shared" si="3"/>
        <v>217.**.</v>
      </c>
      <c r="F218" s="3" t="s">
        <v>4950</v>
      </c>
      <c r="G218" s="3" t="s">
        <v>4951</v>
      </c>
      <c r="H218" s="3">
        <v>6042070338</v>
      </c>
      <c r="I218" s="12" t="e">
        <f ca="1">VLOOKUP(D218,Input!B:M,10,0)</f>
        <v>#N/A</v>
      </c>
      <c r="J218" s="12"/>
      <c r="K218" s="12"/>
      <c r="L218" s="12"/>
      <c r="M218" s="12" t="e">
        <f ca="1">VLOOKUP(D218,Input!B:M,12,0)</f>
        <v>#N/A</v>
      </c>
      <c r="N218" s="12" t="e">
        <f ca="1">VLOOKUP(D218,Input!B:N,11,0)</f>
        <v>#N/A</v>
      </c>
      <c r="O218" s="12" t="e">
        <f ca="1">VLOOKUP(D218,Input!B:M,6,0)</f>
        <v>#N/A</v>
      </c>
      <c r="P218" s="6">
        <v>217</v>
      </c>
    </row>
    <row r="219" spans="1:16" ht="14.25">
      <c r="A219" s="13" t="str">
        <f>IFERROR(VLOOKUP($D:$D,scan!$A:$B,2,0),"**")</f>
        <v>**</v>
      </c>
      <c r="B219" s="13" t="str">
        <f>IFERROR(VLOOKUP($D219,scan!A:C,3,0),"**")</f>
        <v>**</v>
      </c>
      <c r="C219" s="14">
        <v>402</v>
      </c>
      <c r="D219" s="15"/>
      <c r="E219" s="16" t="str">
        <f t="shared" si="3"/>
        <v>218.**.</v>
      </c>
      <c r="F219" s="3" t="s">
        <v>4950</v>
      </c>
      <c r="G219" s="3" t="s">
        <v>4951</v>
      </c>
      <c r="H219" s="3">
        <v>6042070338</v>
      </c>
      <c r="I219" s="12" t="e">
        <f ca="1">VLOOKUP(D219,Input!B:M,10,0)</f>
        <v>#N/A</v>
      </c>
      <c r="J219" s="12"/>
      <c r="K219" s="12"/>
      <c r="L219" s="12"/>
      <c r="M219" s="12" t="e">
        <f ca="1">VLOOKUP(D219,Input!B:M,12,0)</f>
        <v>#N/A</v>
      </c>
      <c r="N219" s="12" t="e">
        <f ca="1">VLOOKUP(D219,Input!B:N,11,0)</f>
        <v>#N/A</v>
      </c>
      <c r="O219" s="12" t="e">
        <f ca="1">VLOOKUP(D219,Input!B:M,6,0)</f>
        <v>#N/A</v>
      </c>
      <c r="P219" s="6">
        <v>218</v>
      </c>
    </row>
    <row r="220" spans="1:16" ht="14.25">
      <c r="A220" s="13" t="str">
        <f>IFERROR(VLOOKUP($D:$D,scan!$A:$B,2,0),"**")</f>
        <v>**</v>
      </c>
      <c r="B220" s="13" t="str">
        <f>IFERROR(VLOOKUP($D220,scan!A:C,3,0),"**")</f>
        <v>**</v>
      </c>
      <c r="C220" s="5">
        <v>91</v>
      </c>
      <c r="D220" s="15"/>
      <c r="E220" s="16" t="str">
        <f t="shared" si="3"/>
        <v>219.**.</v>
      </c>
      <c r="F220" s="3" t="s">
        <v>4950</v>
      </c>
      <c r="G220" s="3" t="s">
        <v>4951</v>
      </c>
      <c r="H220" s="3">
        <v>6042070338</v>
      </c>
      <c r="I220" s="12" t="e">
        <f ca="1">VLOOKUP(D220,Input!B:M,10,0)</f>
        <v>#N/A</v>
      </c>
      <c r="J220" s="12"/>
      <c r="K220" s="12"/>
      <c r="L220" s="12"/>
      <c r="M220" s="12" t="e">
        <f ca="1">VLOOKUP(D220,Input!B:M,12,0)</f>
        <v>#N/A</v>
      </c>
      <c r="N220" s="12" t="e">
        <f ca="1">VLOOKUP(D220,Input!B:N,11,0)</f>
        <v>#N/A</v>
      </c>
      <c r="O220" s="12" t="e">
        <f ca="1">VLOOKUP(D220,Input!B:M,6,0)</f>
        <v>#N/A</v>
      </c>
      <c r="P220" s="6">
        <v>219</v>
      </c>
    </row>
    <row r="221" spans="1:16" ht="14.25">
      <c r="A221" s="13" t="str">
        <f>IFERROR(VLOOKUP($D:$D,scan!$A:$B,2,0),"**")</f>
        <v>**</v>
      </c>
      <c r="B221" s="13" t="str">
        <f>IFERROR(VLOOKUP($D221,scan!A:C,3,0),"**")</f>
        <v>**</v>
      </c>
      <c r="C221" s="5">
        <v>251</v>
      </c>
      <c r="D221" s="15"/>
      <c r="E221" s="16" t="str">
        <f t="shared" si="3"/>
        <v>220.**.</v>
      </c>
      <c r="F221" s="3" t="s">
        <v>4950</v>
      </c>
      <c r="G221" s="3" t="s">
        <v>4951</v>
      </c>
      <c r="H221" s="3">
        <v>6042070338</v>
      </c>
      <c r="I221" s="12" t="e">
        <f ca="1">VLOOKUP(D221,Input!B:M,10,0)</f>
        <v>#N/A</v>
      </c>
      <c r="J221" s="12"/>
      <c r="K221" s="12"/>
      <c r="L221" s="12"/>
      <c r="M221" s="12" t="e">
        <f ca="1">VLOOKUP(D221,Input!B:M,12,0)</f>
        <v>#N/A</v>
      </c>
      <c r="N221" s="12" t="e">
        <f ca="1">VLOOKUP(D221,Input!B:N,11,0)</f>
        <v>#N/A</v>
      </c>
      <c r="O221" s="12" t="e">
        <f ca="1">VLOOKUP(D221,Input!B:M,6,0)</f>
        <v>#N/A</v>
      </c>
      <c r="P221" s="6">
        <v>220</v>
      </c>
    </row>
    <row r="222" spans="1:16" ht="14.25">
      <c r="A222" s="13" t="str">
        <f>IFERROR(VLOOKUP($D:$D,scan!$A:$B,2,0),"**")</f>
        <v>**</v>
      </c>
      <c r="B222" s="13" t="str">
        <f>IFERROR(VLOOKUP($D222,scan!A:C,3,0),"**")</f>
        <v>**</v>
      </c>
      <c r="C222" s="14">
        <v>622</v>
      </c>
      <c r="D222" s="15"/>
      <c r="E222" s="16" t="str">
        <f t="shared" si="3"/>
        <v>221.**.</v>
      </c>
      <c r="F222" s="3" t="s">
        <v>4950</v>
      </c>
      <c r="G222" s="3" t="s">
        <v>4951</v>
      </c>
      <c r="H222" s="3">
        <v>6042070338</v>
      </c>
      <c r="I222" s="12" t="e">
        <f ca="1">VLOOKUP(D222,Input!B:M,10,0)</f>
        <v>#N/A</v>
      </c>
      <c r="J222" s="12"/>
      <c r="K222" s="12"/>
      <c r="L222" s="12"/>
      <c r="M222" s="12" t="e">
        <f ca="1">VLOOKUP(D222,Input!B:M,12,0)</f>
        <v>#N/A</v>
      </c>
      <c r="N222" s="12" t="e">
        <f ca="1">VLOOKUP(D222,Input!B:N,11,0)</f>
        <v>#N/A</v>
      </c>
      <c r="O222" s="12" t="e">
        <f ca="1">VLOOKUP(D222,Input!B:M,6,0)</f>
        <v>#N/A</v>
      </c>
      <c r="P222" s="6">
        <v>221</v>
      </c>
    </row>
    <row r="223" spans="1:16" ht="14.25">
      <c r="A223" s="13" t="str">
        <f>IFERROR(VLOOKUP($D:$D,scan!$A:$B,2,0),"**")</f>
        <v>**</v>
      </c>
      <c r="B223" s="13" t="str">
        <f>IFERROR(VLOOKUP($D223,scan!A:C,3,0),"**")</f>
        <v>**</v>
      </c>
      <c r="C223" s="14">
        <v>52</v>
      </c>
      <c r="D223" s="15"/>
      <c r="E223" s="16" t="str">
        <f t="shared" si="3"/>
        <v>222.**.</v>
      </c>
      <c r="F223" s="3" t="s">
        <v>4950</v>
      </c>
      <c r="G223" s="3" t="s">
        <v>4951</v>
      </c>
      <c r="H223" s="3">
        <v>6042070338</v>
      </c>
      <c r="I223" s="12" t="e">
        <f ca="1">VLOOKUP(D223,Input!B:M,10,0)</f>
        <v>#N/A</v>
      </c>
      <c r="J223" s="12"/>
      <c r="K223" s="12"/>
      <c r="L223" s="12"/>
      <c r="M223" s="12" t="e">
        <f ca="1">VLOOKUP(D223,Input!B:M,12,0)</f>
        <v>#N/A</v>
      </c>
      <c r="N223" s="12" t="e">
        <f ca="1">VLOOKUP(D223,Input!B:N,11,0)</f>
        <v>#N/A</v>
      </c>
      <c r="O223" s="12" t="e">
        <f ca="1">VLOOKUP(D223,Input!B:M,6,0)</f>
        <v>#N/A</v>
      </c>
      <c r="P223" s="6">
        <v>222</v>
      </c>
    </row>
    <row r="224" spans="1:16" ht="14.25">
      <c r="A224" s="13" t="str">
        <f>IFERROR(VLOOKUP($D:$D,scan!$A:$B,2,0),"**")</f>
        <v>**</v>
      </c>
      <c r="B224" s="13" t="str">
        <f>IFERROR(VLOOKUP($D224,scan!A:C,3,0),"**")</f>
        <v>**</v>
      </c>
      <c r="C224" s="5">
        <v>366</v>
      </c>
      <c r="D224" s="15"/>
      <c r="E224" s="16" t="str">
        <f t="shared" si="3"/>
        <v>223.**.</v>
      </c>
      <c r="F224" s="3" t="s">
        <v>4950</v>
      </c>
      <c r="G224" s="3" t="s">
        <v>4951</v>
      </c>
      <c r="H224" s="3">
        <v>6042070338</v>
      </c>
      <c r="I224" s="12" t="e">
        <f ca="1">VLOOKUP(D224,Input!B:M,10,0)</f>
        <v>#N/A</v>
      </c>
      <c r="J224" s="12"/>
      <c r="K224" s="12"/>
      <c r="L224" s="12"/>
      <c r="M224" s="12" t="e">
        <f ca="1">VLOOKUP(D224,Input!B:M,12,0)</f>
        <v>#N/A</v>
      </c>
      <c r="N224" s="12" t="e">
        <f ca="1">VLOOKUP(D224,Input!B:N,11,0)</f>
        <v>#N/A</v>
      </c>
      <c r="O224" s="12" t="e">
        <f ca="1">VLOOKUP(D224,Input!B:M,6,0)</f>
        <v>#N/A</v>
      </c>
      <c r="P224" s="6">
        <v>223</v>
      </c>
    </row>
    <row r="225" spans="1:16" ht="14.25">
      <c r="A225" s="13" t="str">
        <f>IFERROR(VLOOKUP($D:$D,scan!$A:$B,2,0),"**")</f>
        <v>**</v>
      </c>
      <c r="B225" s="13" t="str">
        <f>IFERROR(VLOOKUP($D225,scan!A:C,3,0),"**")</f>
        <v>**</v>
      </c>
      <c r="C225" s="5">
        <v>605</v>
      </c>
      <c r="D225" s="15"/>
      <c r="E225" s="16" t="str">
        <f t="shared" si="3"/>
        <v>224.**.</v>
      </c>
      <c r="F225" s="3" t="s">
        <v>4950</v>
      </c>
      <c r="G225" s="3" t="s">
        <v>4951</v>
      </c>
      <c r="H225" s="3">
        <v>6042070338</v>
      </c>
      <c r="I225" s="12" t="e">
        <f ca="1">VLOOKUP(D225,Input!B:M,10,0)</f>
        <v>#N/A</v>
      </c>
      <c r="J225" s="12"/>
      <c r="K225" s="12"/>
      <c r="L225" s="12"/>
      <c r="M225" s="12" t="e">
        <f ca="1">VLOOKUP(D225,Input!B:M,12,0)</f>
        <v>#N/A</v>
      </c>
      <c r="N225" s="12" t="e">
        <f ca="1">VLOOKUP(D225,Input!B:N,11,0)</f>
        <v>#N/A</v>
      </c>
      <c r="O225" s="12" t="e">
        <f ca="1">VLOOKUP(D225,Input!B:M,6,0)</f>
        <v>#N/A</v>
      </c>
      <c r="P225" s="6">
        <v>224</v>
      </c>
    </row>
    <row r="226" spans="1:16" ht="14.25">
      <c r="A226" s="13" t="str">
        <f>IFERROR(VLOOKUP($D:$D,scan!$A:$B,2,0),"**")</f>
        <v>**</v>
      </c>
      <c r="B226" s="13" t="str">
        <f>IFERROR(VLOOKUP($D226,scan!A:C,3,0),"**")</f>
        <v>**</v>
      </c>
      <c r="C226" s="14">
        <v>245</v>
      </c>
      <c r="D226" s="15"/>
      <c r="E226" s="16" t="str">
        <f t="shared" si="3"/>
        <v>225.**.</v>
      </c>
      <c r="F226" s="3" t="s">
        <v>4950</v>
      </c>
      <c r="G226" s="3" t="s">
        <v>4951</v>
      </c>
      <c r="H226" s="3">
        <v>6042070338</v>
      </c>
      <c r="I226" s="12" t="e">
        <f ca="1">VLOOKUP(D226,Input!B:M,10,0)</f>
        <v>#N/A</v>
      </c>
      <c r="J226" s="12"/>
      <c r="K226" s="12"/>
      <c r="L226" s="12"/>
      <c r="M226" s="12" t="e">
        <f ca="1">VLOOKUP(D226,Input!B:M,12,0)</f>
        <v>#N/A</v>
      </c>
      <c r="N226" s="12" t="e">
        <f ca="1">VLOOKUP(D226,Input!B:N,11,0)</f>
        <v>#N/A</v>
      </c>
      <c r="O226" s="12" t="e">
        <f ca="1">VLOOKUP(D226,Input!B:M,6,0)</f>
        <v>#N/A</v>
      </c>
      <c r="P226" s="6">
        <v>225</v>
      </c>
    </row>
    <row r="227" spans="1:16" ht="14.25">
      <c r="A227" s="13" t="str">
        <f>IFERROR(VLOOKUP($D:$D,scan!$A:$B,2,0),"**")</f>
        <v>**</v>
      </c>
      <c r="B227" s="13" t="str">
        <f>IFERROR(VLOOKUP($D227,scan!A:C,3,0),"**")</f>
        <v>**</v>
      </c>
      <c r="C227" s="14">
        <v>73</v>
      </c>
      <c r="D227" s="15"/>
      <c r="E227" s="16" t="str">
        <f t="shared" si="3"/>
        <v>226.**.</v>
      </c>
      <c r="F227" s="3" t="s">
        <v>4950</v>
      </c>
      <c r="G227" s="3" t="s">
        <v>4951</v>
      </c>
      <c r="H227" s="3">
        <v>6042070338</v>
      </c>
      <c r="I227" s="12" t="e">
        <f ca="1">VLOOKUP(D227,Input!B:M,10,0)</f>
        <v>#N/A</v>
      </c>
      <c r="J227" s="12"/>
      <c r="K227" s="12"/>
      <c r="L227" s="12"/>
      <c r="M227" s="12" t="e">
        <f ca="1">VLOOKUP(D227,Input!B:M,12,0)</f>
        <v>#N/A</v>
      </c>
      <c r="N227" s="12" t="e">
        <f ca="1">VLOOKUP(D227,Input!B:N,11,0)</f>
        <v>#N/A</v>
      </c>
      <c r="O227" s="12" t="e">
        <f ca="1">VLOOKUP(D227,Input!B:M,6,0)</f>
        <v>#N/A</v>
      </c>
      <c r="P227" s="6">
        <v>226</v>
      </c>
    </row>
    <row r="228" spans="1:16" ht="14.25">
      <c r="A228" s="13" t="str">
        <f>IFERROR(VLOOKUP($D:$D,scan!$A:$B,2,0),"**")</f>
        <v>**</v>
      </c>
      <c r="B228" s="13" t="str">
        <f>IFERROR(VLOOKUP($D228,scan!A:C,3,0),"**")</f>
        <v>**</v>
      </c>
      <c r="C228" s="14">
        <v>53</v>
      </c>
      <c r="D228" s="15"/>
      <c r="E228" s="16" t="str">
        <f t="shared" si="3"/>
        <v>227.**.</v>
      </c>
      <c r="F228" s="3" t="s">
        <v>4950</v>
      </c>
      <c r="G228" s="3" t="s">
        <v>4951</v>
      </c>
      <c r="H228" s="3">
        <v>6042070338</v>
      </c>
      <c r="I228" s="12" t="e">
        <f ca="1">VLOOKUP(D228,Input!B:M,10,0)</f>
        <v>#N/A</v>
      </c>
      <c r="J228" s="12"/>
      <c r="K228" s="12"/>
      <c r="L228" s="12"/>
      <c r="M228" s="12" t="e">
        <f ca="1">VLOOKUP(D228,Input!B:M,12,0)</f>
        <v>#N/A</v>
      </c>
      <c r="N228" s="12" t="e">
        <f ca="1">VLOOKUP(D228,Input!B:N,11,0)</f>
        <v>#N/A</v>
      </c>
      <c r="O228" s="12" t="e">
        <f ca="1">VLOOKUP(D228,Input!B:M,6,0)</f>
        <v>#N/A</v>
      </c>
      <c r="P228" s="6">
        <v>227</v>
      </c>
    </row>
    <row r="229" spans="1:16" ht="14.25">
      <c r="A229" s="13" t="str">
        <f>IFERROR(VLOOKUP($D:$D,scan!$A:$B,2,0),"**")</f>
        <v>**</v>
      </c>
      <c r="B229" s="13" t="str">
        <f>IFERROR(VLOOKUP($D229,scan!A:C,3,0),"**")</f>
        <v>**</v>
      </c>
      <c r="C229" s="5">
        <v>601</v>
      </c>
      <c r="D229" s="15"/>
      <c r="E229" s="16" t="str">
        <f t="shared" si="3"/>
        <v>228.**.</v>
      </c>
      <c r="F229" s="3" t="s">
        <v>4950</v>
      </c>
      <c r="G229" s="3" t="s">
        <v>4951</v>
      </c>
      <c r="H229" s="3">
        <v>6042070338</v>
      </c>
      <c r="I229" s="12" t="e">
        <f ca="1">VLOOKUP(D229,Input!B:M,10,0)</f>
        <v>#N/A</v>
      </c>
      <c r="J229" s="12"/>
      <c r="K229" s="12"/>
      <c r="L229" s="12"/>
      <c r="M229" s="12" t="e">
        <f ca="1">VLOOKUP(D229,Input!B:M,12,0)</f>
        <v>#N/A</v>
      </c>
      <c r="N229" s="12" t="e">
        <f ca="1">VLOOKUP(D229,Input!B:N,11,0)</f>
        <v>#N/A</v>
      </c>
      <c r="O229" s="12" t="e">
        <f ca="1">VLOOKUP(D229,Input!B:M,6,0)</f>
        <v>#N/A</v>
      </c>
      <c r="P229" s="6">
        <v>228</v>
      </c>
    </row>
    <row r="230" spans="1:16" ht="14.25">
      <c r="A230" s="13" t="str">
        <f>IFERROR(VLOOKUP($D:$D,scan!$A:$B,2,0),"**")</f>
        <v>**</v>
      </c>
      <c r="B230" s="13" t="str">
        <f>IFERROR(VLOOKUP($D230,scan!A:C,3,0),"**")</f>
        <v>**</v>
      </c>
      <c r="C230" s="5">
        <v>621</v>
      </c>
      <c r="D230" s="17"/>
      <c r="E230" s="16" t="str">
        <f t="shared" si="3"/>
        <v>229.**.</v>
      </c>
      <c r="F230" s="3" t="s">
        <v>4950</v>
      </c>
      <c r="G230" s="3" t="s">
        <v>4951</v>
      </c>
      <c r="H230" s="3">
        <v>6042070338</v>
      </c>
      <c r="I230" s="12" t="e">
        <f ca="1">VLOOKUP(D230,Input!B:M,10,0)</f>
        <v>#N/A</v>
      </c>
      <c r="J230" s="12"/>
      <c r="K230" s="12"/>
      <c r="L230" s="12"/>
      <c r="M230" s="12" t="e">
        <f ca="1">VLOOKUP(D230,Input!B:M,12,0)</f>
        <v>#N/A</v>
      </c>
      <c r="N230" s="12" t="e">
        <f ca="1">VLOOKUP(D230,Input!B:N,11,0)</f>
        <v>#N/A</v>
      </c>
      <c r="O230" s="12" t="e">
        <f ca="1">VLOOKUP(D230,Input!B:M,6,0)</f>
        <v>#N/A</v>
      </c>
      <c r="P230" s="6">
        <v>229</v>
      </c>
    </row>
    <row r="231" spans="1:16" ht="14.25">
      <c r="A231" s="13" t="str">
        <f>IFERROR(VLOOKUP($D:$D,scan!$A:$B,2,0),"**")</f>
        <v>**</v>
      </c>
      <c r="B231" s="13" t="str">
        <f>IFERROR(VLOOKUP($D231,scan!A:C,3,0),"**")</f>
        <v>**</v>
      </c>
      <c r="C231" s="14">
        <v>97</v>
      </c>
      <c r="D231" s="15"/>
      <c r="E231" s="16" t="str">
        <f t="shared" si="3"/>
        <v>230.**.</v>
      </c>
      <c r="F231" s="3" t="s">
        <v>4950</v>
      </c>
      <c r="G231" s="3" t="s">
        <v>4951</v>
      </c>
      <c r="H231" s="3">
        <v>6042070338</v>
      </c>
      <c r="I231" s="12" t="e">
        <f ca="1">VLOOKUP(D231,Input!B:M,10,0)</f>
        <v>#N/A</v>
      </c>
      <c r="J231" s="12"/>
      <c r="K231" s="12"/>
      <c r="L231" s="12"/>
      <c r="M231" s="12" t="e">
        <f ca="1">VLOOKUP(D231,Input!B:M,12,0)</f>
        <v>#N/A</v>
      </c>
      <c r="N231" s="12" t="e">
        <f ca="1">VLOOKUP(D231,Input!B:N,11,0)</f>
        <v>#N/A</v>
      </c>
      <c r="O231" s="12" t="e">
        <f ca="1">VLOOKUP(D231,Input!B:M,6,0)</f>
        <v>#N/A</v>
      </c>
      <c r="P231" s="6">
        <v>230</v>
      </c>
    </row>
    <row r="232" spans="1:16" ht="14.25">
      <c r="A232" s="13" t="str">
        <f>IFERROR(VLOOKUP($D:$D,scan!$A:$B,2,0),"**")</f>
        <v>**</v>
      </c>
      <c r="B232" s="13" t="str">
        <f>IFERROR(VLOOKUP($D232,scan!A:C,3,0),"**")</f>
        <v>**</v>
      </c>
      <c r="C232" s="14">
        <v>190</v>
      </c>
      <c r="D232" s="15"/>
      <c r="E232" s="16" t="str">
        <f t="shared" si="3"/>
        <v>231.**.</v>
      </c>
      <c r="F232" s="3" t="s">
        <v>4950</v>
      </c>
      <c r="G232" s="3" t="s">
        <v>4951</v>
      </c>
      <c r="H232" s="3">
        <v>6042070338</v>
      </c>
      <c r="I232" s="12" t="e">
        <f ca="1">VLOOKUP(D232,Input!B:M,10,0)</f>
        <v>#N/A</v>
      </c>
      <c r="J232" s="12"/>
      <c r="K232" s="12"/>
      <c r="L232" s="12"/>
      <c r="M232" s="12" t="e">
        <f ca="1">VLOOKUP(D232,Input!B:M,12,0)</f>
        <v>#N/A</v>
      </c>
      <c r="N232" s="12" t="e">
        <f ca="1">VLOOKUP(D232,Input!B:N,11,0)</f>
        <v>#N/A</v>
      </c>
      <c r="O232" s="12" t="e">
        <f ca="1">VLOOKUP(D232,Input!B:M,6,0)</f>
        <v>#N/A</v>
      </c>
      <c r="P232" s="6">
        <v>231</v>
      </c>
    </row>
    <row r="233" spans="1:16" ht="14.25">
      <c r="A233" s="13" t="str">
        <f>IFERROR(VLOOKUP($D:$D,scan!$A:$B,2,0),"**")</f>
        <v>**</v>
      </c>
      <c r="B233" s="13" t="str">
        <f>IFERROR(VLOOKUP($D233,scan!A:C,3,0),"**")</f>
        <v>**</v>
      </c>
      <c r="C233" s="14">
        <v>385</v>
      </c>
      <c r="D233" s="15"/>
      <c r="E233" s="16" t="str">
        <f t="shared" si="3"/>
        <v>232.**.</v>
      </c>
      <c r="F233" s="3" t="s">
        <v>4950</v>
      </c>
      <c r="G233" s="3" t="s">
        <v>4951</v>
      </c>
      <c r="H233" s="3">
        <v>6042070338</v>
      </c>
      <c r="I233" s="12" t="e">
        <f ca="1">VLOOKUP(D233,Input!B:M,10,0)</f>
        <v>#N/A</v>
      </c>
      <c r="J233" s="12"/>
      <c r="K233" s="12"/>
      <c r="L233" s="12"/>
      <c r="M233" s="12" t="e">
        <f ca="1">VLOOKUP(D233,Input!B:M,12,0)</f>
        <v>#N/A</v>
      </c>
      <c r="N233" s="12" t="e">
        <f ca="1">VLOOKUP(D233,Input!B:N,11,0)</f>
        <v>#N/A</v>
      </c>
      <c r="O233" s="12" t="e">
        <f ca="1">VLOOKUP(D233,Input!B:M,6,0)</f>
        <v>#N/A</v>
      </c>
      <c r="P233" s="6">
        <v>232</v>
      </c>
    </row>
    <row r="234" spans="1:16" ht="14.25">
      <c r="A234" s="13" t="str">
        <f>IFERROR(VLOOKUP($D:$D,scan!$A:$B,2,0),"**")</f>
        <v>**</v>
      </c>
      <c r="B234" s="13" t="str">
        <f>IFERROR(VLOOKUP($D234,scan!A:C,3,0),"**")</f>
        <v>**</v>
      </c>
      <c r="C234" s="14">
        <v>534</v>
      </c>
      <c r="D234" s="15"/>
      <c r="E234" s="16" t="str">
        <f t="shared" si="3"/>
        <v>233.**.</v>
      </c>
      <c r="F234" s="3" t="s">
        <v>4950</v>
      </c>
      <c r="G234" s="3" t="s">
        <v>4951</v>
      </c>
      <c r="H234" s="3">
        <v>6042070338</v>
      </c>
      <c r="I234" s="12" t="e">
        <f ca="1">VLOOKUP(D234,Input!B:M,10,0)</f>
        <v>#N/A</v>
      </c>
      <c r="J234" s="12"/>
      <c r="K234" s="12"/>
      <c r="L234" s="12"/>
      <c r="M234" s="12" t="e">
        <f ca="1">VLOOKUP(D234,Input!B:M,12,0)</f>
        <v>#N/A</v>
      </c>
      <c r="N234" s="12" t="e">
        <f ca="1">VLOOKUP(D234,Input!B:N,11,0)</f>
        <v>#N/A</v>
      </c>
      <c r="O234" s="12" t="e">
        <f ca="1">VLOOKUP(D234,Input!B:M,6,0)</f>
        <v>#N/A</v>
      </c>
      <c r="P234" s="6">
        <v>233</v>
      </c>
    </row>
    <row r="235" spans="1:16" ht="14.25">
      <c r="A235" s="13" t="str">
        <f>IFERROR(VLOOKUP($D:$D,scan!$A:$B,2,0),"**")</f>
        <v>**</v>
      </c>
      <c r="B235" s="13" t="str">
        <f>IFERROR(VLOOKUP($D235,scan!A:C,3,0),"**")</f>
        <v>**</v>
      </c>
      <c r="C235" s="14">
        <v>383</v>
      </c>
      <c r="D235" s="15"/>
      <c r="E235" s="16" t="str">
        <f t="shared" si="3"/>
        <v>234.**.</v>
      </c>
      <c r="F235" s="3" t="s">
        <v>4950</v>
      </c>
      <c r="G235" s="3" t="s">
        <v>4951</v>
      </c>
      <c r="H235" s="3">
        <v>6042070338</v>
      </c>
      <c r="I235" s="12" t="e">
        <f ca="1">VLOOKUP(D235,Input!B:M,10,0)</f>
        <v>#N/A</v>
      </c>
      <c r="J235" s="12"/>
      <c r="K235" s="12"/>
      <c r="L235" s="12"/>
      <c r="M235" s="12" t="e">
        <f ca="1">VLOOKUP(D235,Input!B:M,12,0)</f>
        <v>#N/A</v>
      </c>
      <c r="N235" s="12" t="e">
        <f ca="1">VLOOKUP(D235,Input!B:N,11,0)</f>
        <v>#N/A</v>
      </c>
      <c r="O235" s="12" t="e">
        <f ca="1">VLOOKUP(D235,Input!B:M,6,0)</f>
        <v>#N/A</v>
      </c>
      <c r="P235" s="6">
        <v>234</v>
      </c>
    </row>
    <row r="236" spans="1:16" ht="14.25">
      <c r="A236" s="13" t="str">
        <f>IFERROR(VLOOKUP($D:$D,scan!$A:$B,2,0),"**")</f>
        <v>**</v>
      </c>
      <c r="B236" s="13" t="str">
        <f>IFERROR(VLOOKUP($D236,scan!A:C,3,0),"**")</f>
        <v>**</v>
      </c>
      <c r="C236" s="5">
        <v>401</v>
      </c>
      <c r="D236" s="15"/>
      <c r="E236" s="16" t="str">
        <f t="shared" si="3"/>
        <v>235.**.</v>
      </c>
      <c r="F236" s="3" t="s">
        <v>4950</v>
      </c>
      <c r="G236" s="3" t="s">
        <v>4951</v>
      </c>
      <c r="H236" s="3">
        <v>6042070338</v>
      </c>
      <c r="I236" s="12" t="e">
        <f ca="1">VLOOKUP(D236,Input!B:M,10,0)</f>
        <v>#N/A</v>
      </c>
      <c r="J236" s="12"/>
      <c r="K236" s="12"/>
      <c r="L236" s="12"/>
      <c r="M236" s="12" t="e">
        <f ca="1">VLOOKUP(D236,Input!B:M,12,0)</f>
        <v>#N/A</v>
      </c>
      <c r="N236" s="12" t="e">
        <f ca="1">VLOOKUP(D236,Input!B:N,11,0)</f>
        <v>#N/A</v>
      </c>
      <c r="O236" s="12" t="e">
        <f ca="1">VLOOKUP(D236,Input!B:M,6,0)</f>
        <v>#N/A</v>
      </c>
      <c r="P236" s="6">
        <v>235</v>
      </c>
    </row>
    <row r="237" spans="1:16" ht="14.25">
      <c r="A237" s="13" t="str">
        <f>IFERROR(VLOOKUP($D:$D,scan!$A:$B,2,0),"**")</f>
        <v>**</v>
      </c>
      <c r="B237" s="13" t="str">
        <f>IFERROR(VLOOKUP($D237,scan!A:C,3,0),"**")</f>
        <v>**</v>
      </c>
      <c r="C237" s="5">
        <v>537</v>
      </c>
      <c r="D237" s="15"/>
      <c r="E237" s="16" t="str">
        <f t="shared" si="3"/>
        <v>236.**.</v>
      </c>
      <c r="F237" s="3" t="s">
        <v>4950</v>
      </c>
      <c r="G237" s="3" t="s">
        <v>4951</v>
      </c>
      <c r="H237" s="3">
        <v>6042070338</v>
      </c>
      <c r="I237" s="12" t="e">
        <f ca="1">VLOOKUP(D237,Input!B:M,10,0)</f>
        <v>#N/A</v>
      </c>
      <c r="J237" s="12"/>
      <c r="K237" s="12"/>
      <c r="L237" s="12"/>
      <c r="M237" s="12" t="e">
        <f ca="1">VLOOKUP(D237,Input!B:M,12,0)</f>
        <v>#N/A</v>
      </c>
      <c r="N237" s="12" t="e">
        <f ca="1">VLOOKUP(D237,Input!B:N,11,0)</f>
        <v>#N/A</v>
      </c>
      <c r="O237" s="12" t="e">
        <f ca="1">VLOOKUP(D237,Input!B:M,6,0)</f>
        <v>#N/A</v>
      </c>
      <c r="P237" s="6">
        <v>236</v>
      </c>
    </row>
    <row r="238" spans="1:16" ht="14.25">
      <c r="A238" s="13" t="str">
        <f>IFERROR(VLOOKUP($D:$D,scan!$A:$B,2,0),"**")</f>
        <v>**</v>
      </c>
      <c r="B238" s="13" t="str">
        <f>IFERROR(VLOOKUP($D238,scan!A:C,3,0),"**")</f>
        <v>**</v>
      </c>
      <c r="C238" s="14">
        <v>37</v>
      </c>
      <c r="D238" s="15"/>
      <c r="E238" s="16" t="str">
        <f t="shared" si="3"/>
        <v>237.**.</v>
      </c>
      <c r="F238" s="3" t="s">
        <v>4950</v>
      </c>
      <c r="G238" s="3" t="s">
        <v>4951</v>
      </c>
      <c r="H238" s="3">
        <v>6042070338</v>
      </c>
      <c r="I238" s="12" t="e">
        <f ca="1">VLOOKUP(D238,Input!B:M,10,0)</f>
        <v>#N/A</v>
      </c>
      <c r="J238" s="12"/>
      <c r="K238" s="12"/>
      <c r="L238" s="12"/>
      <c r="M238" s="12" t="e">
        <f ca="1">VLOOKUP(D238,Input!B:M,12,0)</f>
        <v>#N/A</v>
      </c>
      <c r="N238" s="12" t="e">
        <f ca="1">VLOOKUP(D238,Input!B:N,11,0)</f>
        <v>#N/A</v>
      </c>
      <c r="O238" s="12" t="e">
        <f ca="1">VLOOKUP(D238,Input!B:M,6,0)</f>
        <v>#N/A</v>
      </c>
      <c r="P238" s="6">
        <v>237</v>
      </c>
    </row>
    <row r="239" spans="1:16" ht="14.25">
      <c r="A239" s="13" t="str">
        <f>IFERROR(VLOOKUP($D:$D,scan!$A:$B,2,0),"**")</f>
        <v>**</v>
      </c>
      <c r="B239" s="13" t="str">
        <f>IFERROR(VLOOKUP($D239,scan!A:C,3,0),"**")</f>
        <v>**</v>
      </c>
      <c r="C239" s="14">
        <v>405</v>
      </c>
      <c r="D239" s="15"/>
      <c r="E239" s="16" t="str">
        <f t="shared" si="3"/>
        <v>238.**.</v>
      </c>
      <c r="F239" s="3" t="s">
        <v>4950</v>
      </c>
      <c r="G239" s="3" t="s">
        <v>4951</v>
      </c>
      <c r="H239" s="3">
        <v>6042070338</v>
      </c>
      <c r="I239" s="12" t="e">
        <f ca="1">VLOOKUP(D239,Input!B:M,10,0)</f>
        <v>#N/A</v>
      </c>
      <c r="J239" s="12"/>
      <c r="K239" s="12"/>
      <c r="L239" s="12"/>
      <c r="M239" s="12" t="e">
        <f ca="1">VLOOKUP(D239,Input!B:M,12,0)</f>
        <v>#N/A</v>
      </c>
      <c r="N239" s="12" t="e">
        <f ca="1">VLOOKUP(D239,Input!B:N,11,0)</f>
        <v>#N/A</v>
      </c>
      <c r="O239" s="12" t="e">
        <f ca="1">VLOOKUP(D239,Input!B:M,6,0)</f>
        <v>#N/A</v>
      </c>
      <c r="P239" s="6">
        <v>238</v>
      </c>
    </row>
    <row r="240" spans="1:16" ht="14.25">
      <c r="A240" s="13" t="str">
        <f>IFERROR(VLOOKUP($D:$D,scan!$A:$B,2,0),"**")</f>
        <v>**</v>
      </c>
      <c r="B240" s="13" t="str">
        <f>IFERROR(VLOOKUP($D240,scan!A:C,3,0),"**")</f>
        <v>**</v>
      </c>
      <c r="C240" s="5">
        <v>497</v>
      </c>
      <c r="D240" s="15"/>
      <c r="E240" s="16" t="str">
        <f t="shared" si="3"/>
        <v>239.**.</v>
      </c>
      <c r="F240" s="3" t="s">
        <v>4950</v>
      </c>
      <c r="G240" s="3" t="s">
        <v>4951</v>
      </c>
      <c r="H240" s="3">
        <v>6042070338</v>
      </c>
      <c r="I240" s="12" t="e">
        <f ca="1">VLOOKUP(D240,Input!B:M,10,0)</f>
        <v>#N/A</v>
      </c>
      <c r="J240" s="12"/>
      <c r="K240" s="12"/>
      <c r="L240" s="12"/>
      <c r="M240" s="12" t="e">
        <f ca="1">VLOOKUP(D240,Input!B:M,12,0)</f>
        <v>#N/A</v>
      </c>
      <c r="N240" s="12" t="e">
        <f ca="1">VLOOKUP(D240,Input!B:N,11,0)</f>
        <v>#N/A</v>
      </c>
      <c r="O240" s="12" t="e">
        <f ca="1">VLOOKUP(D240,Input!B:M,6,0)</f>
        <v>#N/A</v>
      </c>
      <c r="P240" s="6">
        <v>239</v>
      </c>
    </row>
    <row r="241" spans="1:16" ht="14.25">
      <c r="A241" s="13" t="str">
        <f>IFERROR(VLOOKUP($D:$D,scan!$A:$B,2,0),"**")</f>
        <v>**</v>
      </c>
      <c r="B241" s="13" t="str">
        <f>IFERROR(VLOOKUP($D241,scan!A:C,3,0),"**")</f>
        <v>**</v>
      </c>
      <c r="C241" s="14">
        <v>29</v>
      </c>
      <c r="D241" s="15"/>
      <c r="E241" s="16" t="str">
        <f t="shared" si="3"/>
        <v>240.**.</v>
      </c>
      <c r="F241" s="3" t="s">
        <v>4950</v>
      </c>
      <c r="G241" s="3" t="s">
        <v>4951</v>
      </c>
      <c r="H241" s="3">
        <v>6042070338</v>
      </c>
      <c r="I241" s="12" t="e">
        <f ca="1">VLOOKUP(D241,Input!B:M,10,0)</f>
        <v>#N/A</v>
      </c>
      <c r="J241" s="12"/>
      <c r="K241" s="12"/>
      <c r="L241" s="12"/>
      <c r="M241" s="12" t="e">
        <f ca="1">VLOOKUP(D241,Input!B:M,12,0)</f>
        <v>#N/A</v>
      </c>
      <c r="N241" s="12" t="e">
        <f ca="1">VLOOKUP(D241,Input!B:N,11,0)</f>
        <v>#N/A</v>
      </c>
      <c r="O241" s="12" t="e">
        <f ca="1">VLOOKUP(D241,Input!B:M,6,0)</f>
        <v>#N/A</v>
      </c>
      <c r="P241" s="6">
        <v>240</v>
      </c>
    </row>
    <row r="242" spans="1:16" ht="14.25">
      <c r="A242" s="13" t="str">
        <f>IFERROR(VLOOKUP($D:$D,scan!$A:$B,2,0),"**")</f>
        <v>**</v>
      </c>
      <c r="B242" s="13" t="str">
        <f>IFERROR(VLOOKUP($D242,scan!A:C,3,0),"**")</f>
        <v>**</v>
      </c>
      <c r="C242" s="5">
        <v>341</v>
      </c>
      <c r="D242" s="15"/>
      <c r="E242" s="16" t="str">
        <f t="shared" si="3"/>
        <v>241.**.</v>
      </c>
      <c r="F242" s="3" t="s">
        <v>4950</v>
      </c>
      <c r="G242" s="3" t="s">
        <v>4951</v>
      </c>
      <c r="H242" s="3">
        <v>6042070338</v>
      </c>
      <c r="I242" s="12" t="e">
        <f ca="1">VLOOKUP(D242,Input!B:M,10,0)</f>
        <v>#N/A</v>
      </c>
      <c r="J242" s="12"/>
      <c r="K242" s="12"/>
      <c r="L242" s="12"/>
      <c r="M242" s="12" t="e">
        <f ca="1">VLOOKUP(D242,Input!B:M,12,0)</f>
        <v>#N/A</v>
      </c>
      <c r="N242" s="12" t="e">
        <f ca="1">VLOOKUP(D242,Input!B:N,11,0)</f>
        <v>#N/A</v>
      </c>
      <c r="O242" s="12" t="e">
        <f ca="1">VLOOKUP(D242,Input!B:M,6,0)</f>
        <v>#N/A</v>
      </c>
      <c r="P242" s="6">
        <v>241</v>
      </c>
    </row>
    <row r="243" spans="1:16" ht="14.25">
      <c r="A243" s="13" t="str">
        <f>IFERROR(VLOOKUP($D:$D,scan!$A:$B,2,0),"**")</f>
        <v>**</v>
      </c>
      <c r="B243" s="13" t="str">
        <f>IFERROR(VLOOKUP($D243,scan!A:C,3,0),"**")</f>
        <v>**</v>
      </c>
      <c r="C243" s="14">
        <v>520</v>
      </c>
      <c r="D243" s="15"/>
      <c r="E243" s="16" t="str">
        <f t="shared" si="3"/>
        <v>242.**.</v>
      </c>
      <c r="F243" s="3" t="s">
        <v>4950</v>
      </c>
      <c r="G243" s="3" t="s">
        <v>4951</v>
      </c>
      <c r="H243" s="3">
        <v>6042070338</v>
      </c>
      <c r="I243" s="12" t="e">
        <f ca="1">VLOOKUP(D243,Input!B:M,10,0)</f>
        <v>#N/A</v>
      </c>
      <c r="J243" s="12"/>
      <c r="K243" s="12"/>
      <c r="L243" s="12"/>
      <c r="M243" s="12" t="e">
        <f ca="1">VLOOKUP(D243,Input!B:M,12,0)</f>
        <v>#N/A</v>
      </c>
      <c r="N243" s="12" t="e">
        <f ca="1">VLOOKUP(D243,Input!B:N,11,0)</f>
        <v>#N/A</v>
      </c>
      <c r="O243" s="12" t="e">
        <f ca="1">VLOOKUP(D243,Input!B:M,6,0)</f>
        <v>#N/A</v>
      </c>
      <c r="P243" s="6">
        <v>242</v>
      </c>
    </row>
    <row r="244" spans="1:16" ht="14.25">
      <c r="A244" s="13" t="str">
        <f>IFERROR(VLOOKUP($D:$D,scan!$A:$B,2,0),"**")</f>
        <v>**</v>
      </c>
      <c r="B244" s="13" t="str">
        <f>IFERROR(VLOOKUP($D244,scan!A:C,3,0),"**")</f>
        <v>**</v>
      </c>
      <c r="C244" s="14">
        <v>368</v>
      </c>
      <c r="D244" s="15"/>
      <c r="E244" s="16" t="str">
        <f t="shared" si="3"/>
        <v>243.**.</v>
      </c>
      <c r="F244" s="3" t="s">
        <v>4950</v>
      </c>
      <c r="G244" s="3" t="s">
        <v>4951</v>
      </c>
      <c r="H244" s="3">
        <v>6042070338</v>
      </c>
      <c r="I244" s="12" t="e">
        <f ca="1">VLOOKUP(D244,Input!B:M,10,0)</f>
        <v>#N/A</v>
      </c>
      <c r="J244" s="12"/>
      <c r="K244" s="12"/>
      <c r="L244" s="12"/>
      <c r="M244" s="12" t="e">
        <f ca="1">VLOOKUP(D244,Input!B:M,12,0)</f>
        <v>#N/A</v>
      </c>
      <c r="N244" s="12" t="e">
        <f ca="1">VLOOKUP(D244,Input!B:N,11,0)</f>
        <v>#N/A</v>
      </c>
      <c r="O244" s="12" t="e">
        <f ca="1">VLOOKUP(D244,Input!B:M,6,0)</f>
        <v>#N/A</v>
      </c>
      <c r="P244" s="6">
        <v>243</v>
      </c>
    </row>
    <row r="245" spans="1:16" ht="14.25">
      <c r="A245" s="13" t="str">
        <f>IFERROR(VLOOKUP($D:$D,scan!$A:$B,2,0),"**")</f>
        <v>**</v>
      </c>
      <c r="B245" s="13" t="str">
        <f>IFERROR(VLOOKUP($D245,scan!A:C,3,0),"**")</f>
        <v>**</v>
      </c>
      <c r="C245" s="14">
        <v>47</v>
      </c>
      <c r="D245" s="15"/>
      <c r="E245" s="16" t="str">
        <f t="shared" si="3"/>
        <v>244.**.</v>
      </c>
      <c r="F245" s="3" t="s">
        <v>4950</v>
      </c>
      <c r="G245" s="3" t="s">
        <v>4951</v>
      </c>
      <c r="H245" s="3">
        <v>6042070338</v>
      </c>
      <c r="I245" s="12" t="e">
        <f ca="1">VLOOKUP(D245,Input!B:M,10,0)</f>
        <v>#N/A</v>
      </c>
      <c r="J245" s="12"/>
      <c r="K245" s="12"/>
      <c r="L245" s="12"/>
      <c r="M245" s="12" t="e">
        <f ca="1">VLOOKUP(D245,Input!B:M,12,0)</f>
        <v>#N/A</v>
      </c>
      <c r="N245" s="12" t="e">
        <f ca="1">VLOOKUP(D245,Input!B:N,11,0)</f>
        <v>#N/A</v>
      </c>
      <c r="O245" s="12" t="e">
        <f ca="1">VLOOKUP(D245,Input!B:M,6,0)</f>
        <v>#N/A</v>
      </c>
      <c r="P245" s="6">
        <v>244</v>
      </c>
    </row>
    <row r="246" spans="1:16" ht="14.25">
      <c r="A246" s="13" t="str">
        <f>IFERROR(VLOOKUP($D:$D,scan!$A:$B,2,0),"**")</f>
        <v>**</v>
      </c>
      <c r="B246" s="13" t="str">
        <f>IFERROR(VLOOKUP($D246,scan!A:C,3,0),"**")</f>
        <v>**</v>
      </c>
      <c r="C246" s="5">
        <v>216</v>
      </c>
      <c r="D246" s="15"/>
      <c r="E246" s="16" t="str">
        <f t="shared" si="3"/>
        <v>245.**.</v>
      </c>
      <c r="F246" s="3" t="s">
        <v>4950</v>
      </c>
      <c r="G246" s="3" t="s">
        <v>4951</v>
      </c>
      <c r="H246" s="3">
        <v>6042070338</v>
      </c>
      <c r="I246" s="12" t="e">
        <f ca="1">VLOOKUP(D246,Input!B:M,10,0)</f>
        <v>#N/A</v>
      </c>
      <c r="J246" s="12"/>
      <c r="K246" s="12"/>
      <c r="L246" s="12"/>
      <c r="M246" s="12" t="e">
        <f ca="1">VLOOKUP(D246,Input!B:M,12,0)</f>
        <v>#N/A</v>
      </c>
      <c r="N246" s="12" t="e">
        <f ca="1">VLOOKUP(D246,Input!B:N,11,0)</f>
        <v>#N/A</v>
      </c>
      <c r="O246" s="12" t="e">
        <f ca="1">VLOOKUP(D246,Input!B:M,6,0)</f>
        <v>#N/A</v>
      </c>
      <c r="P246" s="6">
        <v>245</v>
      </c>
    </row>
    <row r="247" spans="1:16" ht="14.25">
      <c r="A247" s="13" t="str">
        <f>IFERROR(VLOOKUP($D:$D,scan!$A:$B,2,0),"**")</f>
        <v>**</v>
      </c>
      <c r="B247" s="13" t="str">
        <f>IFERROR(VLOOKUP($D247,scan!A:C,3,0),"**")</f>
        <v>**</v>
      </c>
      <c r="C247" s="14">
        <v>215</v>
      </c>
      <c r="D247" s="15"/>
      <c r="E247" s="16" t="str">
        <f t="shared" si="3"/>
        <v>246.**.</v>
      </c>
      <c r="F247" s="3" t="s">
        <v>4950</v>
      </c>
      <c r="G247" s="3" t="s">
        <v>4951</v>
      </c>
      <c r="H247" s="3">
        <v>6042070338</v>
      </c>
      <c r="I247" s="12" t="e">
        <f ca="1">VLOOKUP(D247,Input!B:M,10,0)</f>
        <v>#N/A</v>
      </c>
      <c r="J247" s="12"/>
      <c r="K247" s="12"/>
      <c r="L247" s="12"/>
      <c r="M247" s="12" t="e">
        <f ca="1">VLOOKUP(D247,Input!B:M,12,0)</f>
        <v>#N/A</v>
      </c>
      <c r="N247" s="12" t="e">
        <f ca="1">VLOOKUP(D247,Input!B:N,11,0)</f>
        <v>#N/A</v>
      </c>
      <c r="O247" s="12" t="e">
        <f ca="1">VLOOKUP(D247,Input!B:M,6,0)</f>
        <v>#N/A</v>
      </c>
      <c r="P247" s="6">
        <v>246</v>
      </c>
    </row>
    <row r="248" spans="1:16" ht="14.25">
      <c r="A248" s="13" t="str">
        <f>IFERROR(VLOOKUP($D:$D,scan!$A:$B,2,0),"**")</f>
        <v>**</v>
      </c>
      <c r="B248" s="13" t="str">
        <f>IFERROR(VLOOKUP($D248,scan!A:C,3,0),"**")</f>
        <v>**</v>
      </c>
      <c r="C248" s="5">
        <v>501</v>
      </c>
      <c r="D248" s="15"/>
      <c r="E248" s="16" t="str">
        <f t="shared" si="3"/>
        <v>247.**.</v>
      </c>
      <c r="F248" s="3" t="s">
        <v>4950</v>
      </c>
      <c r="G248" s="3" t="s">
        <v>4951</v>
      </c>
      <c r="H248" s="3">
        <v>6042070338</v>
      </c>
      <c r="I248" s="12" t="e">
        <f ca="1">VLOOKUP(D248,Input!B:M,10,0)</f>
        <v>#N/A</v>
      </c>
      <c r="J248" s="12"/>
      <c r="K248" s="12"/>
      <c r="L248" s="12"/>
      <c r="M248" s="12" t="e">
        <f ca="1">VLOOKUP(D248,Input!B:M,12,0)</f>
        <v>#N/A</v>
      </c>
      <c r="N248" s="12" t="e">
        <f ca="1">VLOOKUP(D248,Input!B:N,11,0)</f>
        <v>#N/A</v>
      </c>
      <c r="O248" s="12" t="e">
        <f ca="1">VLOOKUP(D248,Input!B:M,6,0)</f>
        <v>#N/A</v>
      </c>
      <c r="P248" s="6">
        <v>247</v>
      </c>
    </row>
    <row r="249" spans="1:16" ht="14.25">
      <c r="A249" s="13" t="str">
        <f>IFERROR(VLOOKUP($D:$D,scan!$A:$B,2,0),"**")</f>
        <v>**</v>
      </c>
      <c r="B249" s="13" t="str">
        <f>IFERROR(VLOOKUP($D249,scan!A:C,3,0),"**")</f>
        <v>**</v>
      </c>
      <c r="C249" s="14">
        <v>205</v>
      </c>
      <c r="D249" s="15"/>
      <c r="E249" s="16" t="str">
        <f t="shared" si="3"/>
        <v>248.**.</v>
      </c>
      <c r="F249" s="3" t="s">
        <v>4950</v>
      </c>
      <c r="G249" s="3" t="s">
        <v>4951</v>
      </c>
      <c r="H249" s="3">
        <v>6042070338</v>
      </c>
      <c r="I249" s="12" t="e">
        <f ca="1">VLOOKUP(D249,Input!B:M,10,0)</f>
        <v>#N/A</v>
      </c>
      <c r="J249" s="12"/>
      <c r="K249" s="12"/>
      <c r="L249" s="12"/>
      <c r="M249" s="12" t="e">
        <f ca="1">VLOOKUP(D249,Input!B:M,12,0)</f>
        <v>#N/A</v>
      </c>
      <c r="N249" s="12" t="e">
        <f ca="1">VLOOKUP(D249,Input!B:N,11,0)</f>
        <v>#N/A</v>
      </c>
      <c r="O249" s="12" t="e">
        <f ca="1">VLOOKUP(D249,Input!B:M,6,0)</f>
        <v>#N/A</v>
      </c>
      <c r="P249" s="6">
        <v>248</v>
      </c>
    </row>
    <row r="250" spans="1:16" ht="14.25">
      <c r="A250" s="13" t="str">
        <f>IFERROR(VLOOKUP($D:$D,scan!$A:$B,2,0),"**")</f>
        <v>**</v>
      </c>
      <c r="B250" s="13" t="str">
        <f>IFERROR(VLOOKUP($D250,scan!A:C,3,0),"**")</f>
        <v>**</v>
      </c>
      <c r="C250" s="14">
        <v>349</v>
      </c>
      <c r="D250" s="15"/>
      <c r="E250" s="16" t="str">
        <f t="shared" si="3"/>
        <v>249.**.</v>
      </c>
      <c r="F250" s="3" t="s">
        <v>4950</v>
      </c>
      <c r="G250" s="3" t="s">
        <v>4951</v>
      </c>
      <c r="H250" s="3">
        <v>6042070338</v>
      </c>
      <c r="I250" s="12" t="e">
        <f ca="1">VLOOKUP(D250,Input!B:M,10,0)</f>
        <v>#N/A</v>
      </c>
      <c r="J250" s="12"/>
      <c r="K250" s="12"/>
      <c r="L250" s="12"/>
      <c r="M250" s="12" t="e">
        <f ca="1">VLOOKUP(D250,Input!B:M,12,0)</f>
        <v>#N/A</v>
      </c>
      <c r="N250" s="12" t="e">
        <f ca="1">VLOOKUP(D250,Input!B:N,11,0)</f>
        <v>#N/A</v>
      </c>
      <c r="O250" s="12" t="e">
        <f ca="1">VLOOKUP(D250,Input!B:M,6,0)</f>
        <v>#N/A</v>
      </c>
      <c r="P250" s="6">
        <v>249</v>
      </c>
    </row>
    <row r="251" spans="1:16" ht="14.25">
      <c r="A251" s="13" t="str">
        <f>IFERROR(VLOOKUP($D:$D,scan!$A:$B,2,0),"**")</f>
        <v>**</v>
      </c>
      <c r="B251" s="13" t="str">
        <f>IFERROR(VLOOKUP($D251,scan!A:C,3,0),"**")</f>
        <v>**</v>
      </c>
      <c r="C251" s="14">
        <v>504</v>
      </c>
      <c r="D251" s="15"/>
      <c r="E251" s="16" t="str">
        <f t="shared" si="3"/>
        <v>250.**.</v>
      </c>
      <c r="F251" s="3" t="s">
        <v>4950</v>
      </c>
      <c r="G251" s="3" t="s">
        <v>4951</v>
      </c>
      <c r="H251" s="3">
        <v>6042070338</v>
      </c>
      <c r="I251" s="12" t="e">
        <f ca="1">VLOOKUP(D251,Input!B:M,10,0)</f>
        <v>#N/A</v>
      </c>
      <c r="J251" s="12"/>
      <c r="K251" s="12"/>
      <c r="L251" s="12"/>
      <c r="M251" s="12" t="e">
        <f ca="1">VLOOKUP(D251,Input!B:M,12,0)</f>
        <v>#N/A</v>
      </c>
      <c r="N251" s="12" t="e">
        <f ca="1">VLOOKUP(D251,Input!B:N,11,0)</f>
        <v>#N/A</v>
      </c>
      <c r="O251" s="12" t="e">
        <f ca="1">VLOOKUP(D251,Input!B:M,6,0)</f>
        <v>#N/A</v>
      </c>
      <c r="P251" s="6">
        <v>250</v>
      </c>
    </row>
    <row r="252" spans="1:16" ht="14.25">
      <c r="A252" s="13" t="str">
        <f>IFERROR(VLOOKUP($D:$D,scan!$A:$B,2,0),"**")</f>
        <v>**</v>
      </c>
      <c r="B252" s="13" t="str">
        <f>IFERROR(VLOOKUP($D252,scan!A:C,3,0),"**")</f>
        <v>**</v>
      </c>
      <c r="C252" s="14">
        <v>217</v>
      </c>
      <c r="D252" s="15"/>
      <c r="E252" s="16" t="str">
        <f t="shared" si="3"/>
        <v>251.**.</v>
      </c>
      <c r="F252" s="3" t="s">
        <v>4950</v>
      </c>
      <c r="G252" s="3" t="s">
        <v>4951</v>
      </c>
      <c r="H252" s="3">
        <v>6042070338</v>
      </c>
      <c r="I252" s="12" t="e">
        <f ca="1">VLOOKUP(D252,Input!B:M,10,0)</f>
        <v>#N/A</v>
      </c>
      <c r="J252" s="12"/>
      <c r="K252" s="12"/>
      <c r="L252" s="12"/>
      <c r="M252" s="12" t="e">
        <f ca="1">VLOOKUP(D252,Input!B:M,12,0)</f>
        <v>#N/A</v>
      </c>
      <c r="N252" s="12" t="e">
        <f ca="1">VLOOKUP(D252,Input!B:N,11,0)</f>
        <v>#N/A</v>
      </c>
      <c r="O252" s="12" t="e">
        <f ca="1">VLOOKUP(D252,Input!B:M,6,0)</f>
        <v>#N/A</v>
      </c>
      <c r="P252" s="6">
        <v>251</v>
      </c>
    </row>
    <row r="253" spans="1:16" ht="14.25">
      <c r="A253" s="13" t="str">
        <f>IFERROR(VLOOKUP($D:$D,scan!$A:$B,2,0),"**")</f>
        <v>**</v>
      </c>
      <c r="B253" s="13" t="str">
        <f>IFERROR(VLOOKUP($D253,scan!A:C,3,0),"**")</f>
        <v>**</v>
      </c>
      <c r="C253" s="14">
        <v>518</v>
      </c>
      <c r="D253" s="15"/>
      <c r="E253" s="16" t="str">
        <f t="shared" si="3"/>
        <v>252.**.</v>
      </c>
      <c r="F253" s="3" t="s">
        <v>4950</v>
      </c>
      <c r="G253" s="3" t="s">
        <v>4951</v>
      </c>
      <c r="H253" s="3">
        <v>6042070338</v>
      </c>
      <c r="I253" s="12" t="e">
        <f ca="1">VLOOKUP(D253,Input!B:M,10,0)</f>
        <v>#N/A</v>
      </c>
      <c r="J253" s="12"/>
      <c r="K253" s="12"/>
      <c r="L253" s="12"/>
      <c r="M253" s="12" t="e">
        <f ca="1">VLOOKUP(D253,Input!B:M,12,0)</f>
        <v>#N/A</v>
      </c>
      <c r="N253" s="12" t="e">
        <f ca="1">VLOOKUP(D253,Input!B:N,11,0)</f>
        <v>#N/A</v>
      </c>
      <c r="O253" s="12" t="e">
        <f ca="1">VLOOKUP(D253,Input!B:M,6,0)</f>
        <v>#N/A</v>
      </c>
      <c r="P253" s="6">
        <v>252</v>
      </c>
    </row>
    <row r="254" spans="1:16" ht="14.25">
      <c r="A254" s="13" t="str">
        <f>IFERROR(VLOOKUP($D:$D,scan!$A:$B,2,0),"**")</f>
        <v>**</v>
      </c>
      <c r="B254" s="13" t="str">
        <f>IFERROR(VLOOKUP($D254,scan!A:C,3,0),"**")</f>
        <v>**</v>
      </c>
      <c r="C254" s="14">
        <v>197</v>
      </c>
      <c r="D254" s="15"/>
      <c r="E254" s="16" t="str">
        <f t="shared" si="3"/>
        <v>253.**.</v>
      </c>
      <c r="F254" s="3" t="s">
        <v>4950</v>
      </c>
      <c r="G254" s="3" t="s">
        <v>4951</v>
      </c>
      <c r="H254" s="3">
        <v>6042070338</v>
      </c>
      <c r="I254" s="12" t="e">
        <f ca="1">VLOOKUP(D254,Input!B:M,10,0)</f>
        <v>#N/A</v>
      </c>
      <c r="J254" s="12"/>
      <c r="K254" s="12"/>
      <c r="L254" s="12"/>
      <c r="M254" s="12" t="e">
        <f ca="1">VLOOKUP(D254,Input!B:M,12,0)</f>
        <v>#N/A</v>
      </c>
      <c r="N254" s="12" t="e">
        <f ca="1">VLOOKUP(D254,Input!B:N,11,0)</f>
        <v>#N/A</v>
      </c>
      <c r="O254" s="12" t="e">
        <f ca="1">VLOOKUP(D254,Input!B:M,6,0)</f>
        <v>#N/A</v>
      </c>
      <c r="P254" s="6">
        <v>253</v>
      </c>
    </row>
    <row r="255" spans="1:16" ht="14.25">
      <c r="A255" s="13" t="str">
        <f>IFERROR(VLOOKUP($D:$D,scan!$A:$B,2,0),"**")</f>
        <v>**</v>
      </c>
      <c r="B255" s="13" t="str">
        <f>IFERROR(VLOOKUP($D255,scan!A:C,3,0),"**")</f>
        <v>**</v>
      </c>
      <c r="C255" s="14">
        <v>348</v>
      </c>
      <c r="D255" s="15"/>
      <c r="E255" s="16" t="str">
        <f t="shared" si="3"/>
        <v>254.**.</v>
      </c>
      <c r="F255" s="3" t="s">
        <v>4950</v>
      </c>
      <c r="G255" s="3" t="s">
        <v>4951</v>
      </c>
      <c r="H255" s="3">
        <v>6042070338</v>
      </c>
      <c r="I255" s="12" t="e">
        <f ca="1">VLOOKUP(D255,Input!B:M,10,0)</f>
        <v>#N/A</v>
      </c>
      <c r="J255" s="12"/>
      <c r="K255" s="12"/>
      <c r="L255" s="12"/>
      <c r="M255" s="12" t="e">
        <f ca="1">VLOOKUP(D255,Input!B:M,12,0)</f>
        <v>#N/A</v>
      </c>
      <c r="N255" s="12" t="e">
        <f ca="1">VLOOKUP(D255,Input!B:N,11,0)</f>
        <v>#N/A</v>
      </c>
      <c r="O255" s="12" t="e">
        <f ca="1">VLOOKUP(D255,Input!B:M,6,0)</f>
        <v>#N/A</v>
      </c>
      <c r="P255" s="6">
        <v>254</v>
      </c>
    </row>
    <row r="256" spans="1:16" ht="14.25">
      <c r="A256" s="13" t="str">
        <f>IFERROR(VLOOKUP($D:$D,scan!$A:$B,2,0),"**")</f>
        <v>**</v>
      </c>
      <c r="B256" s="13" t="str">
        <f>IFERROR(VLOOKUP($D256,scan!A:C,3,0),"**")</f>
        <v>**</v>
      </c>
      <c r="C256" s="14">
        <v>39</v>
      </c>
      <c r="D256" s="15"/>
      <c r="E256" s="16" t="str">
        <f t="shared" si="3"/>
        <v>255.**.</v>
      </c>
      <c r="F256" s="3" t="s">
        <v>4950</v>
      </c>
      <c r="G256" s="3" t="s">
        <v>4951</v>
      </c>
      <c r="H256" s="3">
        <v>6042070338</v>
      </c>
      <c r="I256" s="12" t="e">
        <f ca="1">VLOOKUP(D256,Input!B:M,10,0)</f>
        <v>#N/A</v>
      </c>
      <c r="J256" s="12"/>
      <c r="K256" s="12"/>
      <c r="L256" s="12"/>
      <c r="M256" s="12" t="e">
        <f ca="1">VLOOKUP(D256,Input!B:M,12,0)</f>
        <v>#N/A</v>
      </c>
      <c r="N256" s="12" t="e">
        <f ca="1">VLOOKUP(D256,Input!B:N,11,0)</f>
        <v>#N/A</v>
      </c>
      <c r="O256" s="12" t="e">
        <f ca="1">VLOOKUP(D256,Input!B:M,6,0)</f>
        <v>#N/A</v>
      </c>
      <c r="P256" s="6">
        <v>255</v>
      </c>
    </row>
    <row r="257" spans="1:16" ht="14.25">
      <c r="A257" s="13" t="str">
        <f>IFERROR(VLOOKUP($D:$D,scan!$A:$B,2,0),"**")</f>
        <v>**</v>
      </c>
      <c r="B257" s="13" t="str">
        <f>IFERROR(VLOOKUP($D257,scan!A:C,3,0),"**")</f>
        <v>**</v>
      </c>
      <c r="C257" s="14">
        <v>619</v>
      </c>
      <c r="D257" s="15"/>
      <c r="E257" s="16" t="str">
        <f t="shared" si="3"/>
        <v>256.**.</v>
      </c>
      <c r="F257" s="3" t="s">
        <v>4950</v>
      </c>
      <c r="G257" s="3" t="s">
        <v>4951</v>
      </c>
      <c r="H257" s="3">
        <v>6042070338</v>
      </c>
      <c r="I257" s="12" t="e">
        <f ca="1">VLOOKUP(D257,Input!B:M,10,0)</f>
        <v>#N/A</v>
      </c>
      <c r="J257" s="12"/>
      <c r="K257" s="12"/>
      <c r="L257" s="12"/>
      <c r="M257" s="12" t="e">
        <f ca="1">VLOOKUP(D257,Input!B:M,12,0)</f>
        <v>#N/A</v>
      </c>
      <c r="N257" s="12" t="e">
        <f ca="1">VLOOKUP(D257,Input!B:N,11,0)</f>
        <v>#N/A</v>
      </c>
      <c r="O257" s="12" t="e">
        <f ca="1">VLOOKUP(D257,Input!B:M,6,0)</f>
        <v>#N/A</v>
      </c>
      <c r="P257" s="6">
        <v>256</v>
      </c>
    </row>
    <row r="258" spans="1:16" ht="14.25">
      <c r="A258" s="13" t="str">
        <f>IFERROR(VLOOKUP($D:$D,scan!$A:$B,2,0),"**")</f>
        <v>**</v>
      </c>
      <c r="B258" s="13" t="str">
        <f>IFERROR(VLOOKUP($D258,scan!A:C,3,0),"**")</f>
        <v>**</v>
      </c>
      <c r="C258" s="14">
        <v>512</v>
      </c>
      <c r="D258" s="15"/>
      <c r="E258" s="16" t="str">
        <f t="shared" ref="E258:E321" si="4">P258&amp;"."&amp;B258&amp;"."&amp;D258</f>
        <v>257.**.</v>
      </c>
      <c r="F258" s="3" t="s">
        <v>4950</v>
      </c>
      <c r="G258" s="3" t="s">
        <v>4951</v>
      </c>
      <c r="H258" s="3">
        <v>6042070338</v>
      </c>
      <c r="I258" s="12" t="e">
        <f ca="1">VLOOKUP(D258,Input!B:M,10,0)</f>
        <v>#N/A</v>
      </c>
      <c r="J258" s="12"/>
      <c r="K258" s="12"/>
      <c r="L258" s="12"/>
      <c r="M258" s="12" t="e">
        <f ca="1">VLOOKUP(D258,Input!B:M,12,0)</f>
        <v>#N/A</v>
      </c>
      <c r="N258" s="12" t="e">
        <f ca="1">VLOOKUP(D258,Input!B:N,11,0)</f>
        <v>#N/A</v>
      </c>
      <c r="O258" s="12" t="e">
        <f ca="1">VLOOKUP(D258,Input!B:M,6,0)</f>
        <v>#N/A</v>
      </c>
      <c r="P258" s="6">
        <v>257</v>
      </c>
    </row>
    <row r="259" spans="1:16" ht="14.25">
      <c r="A259" s="13" t="str">
        <f>IFERROR(VLOOKUP($D:$D,scan!$A:$B,2,0),"**")</f>
        <v>**</v>
      </c>
      <c r="B259" s="13" t="str">
        <f>IFERROR(VLOOKUP($D259,scan!A:C,3,0),"**")</f>
        <v>**</v>
      </c>
      <c r="C259" s="14">
        <v>393</v>
      </c>
      <c r="D259" s="15"/>
      <c r="E259" s="16" t="str">
        <f t="shared" si="4"/>
        <v>258.**.</v>
      </c>
      <c r="F259" s="3" t="s">
        <v>4950</v>
      </c>
      <c r="G259" s="3" t="s">
        <v>4951</v>
      </c>
      <c r="H259" s="3">
        <v>6042070338</v>
      </c>
      <c r="I259" s="12" t="e">
        <f ca="1">VLOOKUP(D259,Input!B:M,10,0)</f>
        <v>#N/A</v>
      </c>
      <c r="J259" s="12"/>
      <c r="K259" s="12"/>
      <c r="L259" s="12"/>
      <c r="M259" s="12" t="e">
        <f ca="1">VLOOKUP(D259,Input!B:M,12,0)</f>
        <v>#N/A</v>
      </c>
      <c r="N259" s="12" t="e">
        <f ca="1">VLOOKUP(D259,Input!B:N,11,0)</f>
        <v>#N/A</v>
      </c>
      <c r="O259" s="12" t="e">
        <f ca="1">VLOOKUP(D259,Input!B:M,6,0)</f>
        <v>#N/A</v>
      </c>
      <c r="P259" s="6">
        <v>258</v>
      </c>
    </row>
    <row r="260" spans="1:16" ht="14.25">
      <c r="A260" s="13" t="str">
        <f>IFERROR(VLOOKUP($D:$D,scan!$A:$B,2,0),"**")</f>
        <v>**</v>
      </c>
      <c r="B260" s="13" t="str">
        <f>IFERROR(VLOOKUP($D260,scan!A:C,3,0),"**")</f>
        <v>**</v>
      </c>
      <c r="C260" s="14">
        <v>238</v>
      </c>
      <c r="D260" s="15"/>
      <c r="E260" s="16" t="str">
        <f t="shared" si="4"/>
        <v>259.**.</v>
      </c>
      <c r="F260" s="3" t="s">
        <v>4950</v>
      </c>
      <c r="G260" s="3" t="s">
        <v>4951</v>
      </c>
      <c r="H260" s="3">
        <v>6042070338</v>
      </c>
      <c r="I260" s="12" t="e">
        <f ca="1">VLOOKUP(D260,Input!B:M,10,0)</f>
        <v>#N/A</v>
      </c>
      <c r="J260" s="12"/>
      <c r="K260" s="12"/>
      <c r="L260" s="12"/>
      <c r="M260" s="12" t="e">
        <f ca="1">VLOOKUP(D260,Input!B:M,12,0)</f>
        <v>#N/A</v>
      </c>
      <c r="N260" s="12" t="e">
        <f ca="1">VLOOKUP(D260,Input!B:N,11,0)</f>
        <v>#N/A</v>
      </c>
      <c r="O260" s="12" t="e">
        <f ca="1">VLOOKUP(D260,Input!B:M,6,0)</f>
        <v>#N/A</v>
      </c>
      <c r="P260" s="6">
        <v>259</v>
      </c>
    </row>
    <row r="261" spans="1:16" ht="14.25">
      <c r="A261" s="13" t="str">
        <f>IFERROR(VLOOKUP($D:$D,scan!$A:$B,2,0),"**")</f>
        <v>**</v>
      </c>
      <c r="B261" s="13" t="str">
        <f>IFERROR(VLOOKUP($D261,scan!A:C,3,0),"**")</f>
        <v>**</v>
      </c>
      <c r="C261" s="14">
        <v>345</v>
      </c>
      <c r="D261" s="15"/>
      <c r="E261" s="16" t="str">
        <f t="shared" si="4"/>
        <v>260.**.</v>
      </c>
      <c r="F261" s="3" t="s">
        <v>4950</v>
      </c>
      <c r="G261" s="3" t="s">
        <v>4951</v>
      </c>
      <c r="H261" s="3">
        <v>6042070338</v>
      </c>
      <c r="I261" s="12" t="e">
        <f ca="1">VLOOKUP(D261,Input!B:M,10,0)</f>
        <v>#N/A</v>
      </c>
      <c r="J261" s="12"/>
      <c r="K261" s="12"/>
      <c r="L261" s="12"/>
      <c r="M261" s="12" t="e">
        <f ca="1">VLOOKUP(D261,Input!B:M,12,0)</f>
        <v>#N/A</v>
      </c>
      <c r="N261" s="12" t="e">
        <f ca="1">VLOOKUP(D261,Input!B:N,11,0)</f>
        <v>#N/A</v>
      </c>
      <c r="O261" s="12" t="e">
        <f ca="1">VLOOKUP(D261,Input!B:M,6,0)</f>
        <v>#N/A</v>
      </c>
      <c r="P261" s="6">
        <v>260</v>
      </c>
    </row>
    <row r="262" spans="1:16" ht="14.25">
      <c r="A262" s="13" t="str">
        <f>IFERROR(VLOOKUP($D:$D,scan!$A:$B,2,0),"**")</f>
        <v>**</v>
      </c>
      <c r="B262" s="13" t="str">
        <f>IFERROR(VLOOKUP($D262,scan!A:C,3,0),"**")</f>
        <v>**</v>
      </c>
      <c r="C262" s="14">
        <v>367</v>
      </c>
      <c r="D262" s="15"/>
      <c r="E262" s="16" t="str">
        <f t="shared" si="4"/>
        <v>261.**.</v>
      </c>
      <c r="F262" s="3" t="s">
        <v>4950</v>
      </c>
      <c r="G262" s="3" t="s">
        <v>4951</v>
      </c>
      <c r="H262" s="3">
        <v>6042070338</v>
      </c>
      <c r="I262" s="12" t="e">
        <f ca="1">VLOOKUP(D262,Input!B:M,10,0)</f>
        <v>#N/A</v>
      </c>
      <c r="J262" s="12"/>
      <c r="K262" s="12"/>
      <c r="L262" s="12"/>
      <c r="M262" s="12" t="e">
        <f ca="1">VLOOKUP(D262,Input!B:M,12,0)</f>
        <v>#N/A</v>
      </c>
      <c r="N262" s="12" t="e">
        <f ca="1">VLOOKUP(D262,Input!B:N,11,0)</f>
        <v>#N/A</v>
      </c>
      <c r="O262" s="12" t="e">
        <f ca="1">VLOOKUP(D262,Input!B:M,6,0)</f>
        <v>#N/A</v>
      </c>
      <c r="P262" s="6">
        <v>261</v>
      </c>
    </row>
    <row r="263" spans="1:16" ht="14.25">
      <c r="A263" s="13" t="str">
        <f>IFERROR(VLOOKUP($D:$D,scan!$A:$B,2,0),"**")</f>
        <v>**</v>
      </c>
      <c r="B263" s="13" t="str">
        <f>IFERROR(VLOOKUP($D263,scan!A:C,3,0),"**")</f>
        <v>**</v>
      </c>
      <c r="C263" s="14">
        <v>403</v>
      </c>
      <c r="D263" s="15"/>
      <c r="E263" s="16" t="str">
        <f t="shared" si="4"/>
        <v>262.**.</v>
      </c>
      <c r="F263" s="3" t="s">
        <v>4950</v>
      </c>
      <c r="G263" s="3" t="s">
        <v>4951</v>
      </c>
      <c r="H263" s="3">
        <v>6042070338</v>
      </c>
      <c r="I263" s="12" t="e">
        <f ca="1">VLOOKUP(D263,Input!B:M,10,0)</f>
        <v>#N/A</v>
      </c>
      <c r="J263" s="12"/>
      <c r="K263" s="12"/>
      <c r="L263" s="12"/>
      <c r="M263" s="12" t="e">
        <f ca="1">VLOOKUP(D263,Input!B:M,12,0)</f>
        <v>#N/A</v>
      </c>
      <c r="N263" s="12" t="e">
        <f ca="1">VLOOKUP(D263,Input!B:N,11,0)</f>
        <v>#N/A</v>
      </c>
      <c r="O263" s="12" t="e">
        <f ca="1">VLOOKUP(D263,Input!B:M,6,0)</f>
        <v>#N/A</v>
      </c>
      <c r="P263" s="6">
        <v>262</v>
      </c>
    </row>
    <row r="264" spans="1:16" ht="14.25">
      <c r="A264" s="13" t="str">
        <f>IFERROR(VLOOKUP($D:$D,scan!$A:$B,2,0),"**")</f>
        <v>**</v>
      </c>
      <c r="B264" s="13" t="str">
        <f>IFERROR(VLOOKUP($D264,scan!A:C,3,0),"**")</f>
        <v>**</v>
      </c>
      <c r="C264" s="14">
        <v>502</v>
      </c>
      <c r="D264" s="15"/>
      <c r="E264" s="16" t="str">
        <f t="shared" si="4"/>
        <v>263.**.</v>
      </c>
      <c r="F264" s="3" t="s">
        <v>4950</v>
      </c>
      <c r="G264" s="3" t="s">
        <v>4951</v>
      </c>
      <c r="H264" s="3">
        <v>6042070338</v>
      </c>
      <c r="I264" s="12" t="e">
        <f ca="1">VLOOKUP(D264,Input!B:M,10,0)</f>
        <v>#N/A</v>
      </c>
      <c r="J264" s="12"/>
      <c r="K264" s="12"/>
      <c r="L264" s="12"/>
      <c r="M264" s="12" t="e">
        <f ca="1">VLOOKUP(D264,Input!B:M,12,0)</f>
        <v>#N/A</v>
      </c>
      <c r="N264" s="12" t="e">
        <f ca="1">VLOOKUP(D264,Input!B:N,11,0)</f>
        <v>#N/A</v>
      </c>
      <c r="O264" s="12" t="e">
        <f ca="1">VLOOKUP(D264,Input!B:M,6,0)</f>
        <v>#N/A</v>
      </c>
      <c r="P264" s="6">
        <v>263</v>
      </c>
    </row>
    <row r="265" spans="1:16" ht="14.25">
      <c r="A265" s="13" t="str">
        <f>IFERROR(VLOOKUP($D:$D,scan!$A:$B,2,0),"**")</f>
        <v>**</v>
      </c>
      <c r="B265" s="13" t="str">
        <f>IFERROR(VLOOKUP($D265,scan!A:C,3,0),"**")</f>
        <v>**</v>
      </c>
      <c r="C265" s="5">
        <v>346</v>
      </c>
      <c r="D265" s="15"/>
      <c r="E265" s="16" t="str">
        <f t="shared" si="4"/>
        <v>264.**.</v>
      </c>
      <c r="F265" s="3" t="s">
        <v>4950</v>
      </c>
      <c r="G265" s="3" t="s">
        <v>4951</v>
      </c>
      <c r="H265" s="3">
        <v>6042070338</v>
      </c>
      <c r="I265" s="12" t="e">
        <f ca="1">VLOOKUP(D265,Input!B:M,10,0)</f>
        <v>#N/A</v>
      </c>
      <c r="J265" s="12"/>
      <c r="K265" s="12"/>
      <c r="L265" s="12"/>
      <c r="M265" s="12" t="e">
        <f ca="1">VLOOKUP(D265,Input!B:M,12,0)</f>
        <v>#N/A</v>
      </c>
      <c r="N265" s="12" t="e">
        <f ca="1">VLOOKUP(D265,Input!B:N,11,0)</f>
        <v>#N/A</v>
      </c>
      <c r="O265" s="12" t="e">
        <f ca="1">VLOOKUP(D265,Input!B:M,6,0)</f>
        <v>#N/A</v>
      </c>
      <c r="P265" s="6">
        <v>264</v>
      </c>
    </row>
    <row r="266" spans="1:16" ht="14.25">
      <c r="A266" s="13" t="str">
        <f>IFERROR(VLOOKUP($D:$D,scan!$A:$B,2,0),"**")</f>
        <v>**</v>
      </c>
      <c r="B266" s="13" t="str">
        <f>IFERROR(VLOOKUP($D266,scan!A:C,3,0),"**")</f>
        <v>**</v>
      </c>
      <c r="C266" s="14">
        <v>193</v>
      </c>
      <c r="D266" s="15"/>
      <c r="E266" s="16" t="str">
        <f t="shared" si="4"/>
        <v>265.**.</v>
      </c>
      <c r="F266" s="3" t="s">
        <v>4950</v>
      </c>
      <c r="G266" s="3" t="s">
        <v>4951</v>
      </c>
      <c r="H266" s="3">
        <v>6042070338</v>
      </c>
      <c r="I266" s="12" t="e">
        <f ca="1">VLOOKUP(D266,Input!B:M,10,0)</f>
        <v>#N/A</v>
      </c>
      <c r="J266" s="12"/>
      <c r="K266" s="12"/>
      <c r="L266" s="12"/>
      <c r="M266" s="12" t="e">
        <f ca="1">VLOOKUP(D266,Input!B:M,12,0)</f>
        <v>#N/A</v>
      </c>
      <c r="N266" s="12" t="e">
        <f ca="1">VLOOKUP(D266,Input!B:N,11,0)</f>
        <v>#N/A</v>
      </c>
      <c r="O266" s="12" t="e">
        <f ca="1">VLOOKUP(D266,Input!B:M,6,0)</f>
        <v>#N/A</v>
      </c>
      <c r="P266" s="6">
        <v>265</v>
      </c>
    </row>
    <row r="267" spans="1:16" ht="14.25">
      <c r="A267" s="13" t="str">
        <f>IFERROR(VLOOKUP($D:$D,scan!$A:$B,2,0),"**")</f>
        <v>**</v>
      </c>
      <c r="B267" s="13" t="str">
        <f>IFERROR(VLOOKUP($D267,scan!A:C,3,0),"**")</f>
        <v>**</v>
      </c>
      <c r="C267" s="14">
        <v>535</v>
      </c>
      <c r="D267" s="15"/>
      <c r="E267" s="16" t="str">
        <f t="shared" si="4"/>
        <v>266.**.</v>
      </c>
      <c r="F267" s="3" t="s">
        <v>4950</v>
      </c>
      <c r="G267" s="3" t="s">
        <v>4951</v>
      </c>
      <c r="H267" s="3">
        <v>6042070338</v>
      </c>
      <c r="I267" s="12" t="e">
        <f ca="1">VLOOKUP(D267,Input!B:M,10,0)</f>
        <v>#N/A</v>
      </c>
      <c r="J267" s="12"/>
      <c r="K267" s="12"/>
      <c r="L267" s="12"/>
      <c r="M267" s="12" t="e">
        <f ca="1">VLOOKUP(D267,Input!B:M,12,0)</f>
        <v>#N/A</v>
      </c>
      <c r="N267" s="12" t="e">
        <f ca="1">VLOOKUP(D267,Input!B:N,11,0)</f>
        <v>#N/A</v>
      </c>
      <c r="O267" s="12" t="e">
        <f ca="1">VLOOKUP(D267,Input!B:M,6,0)</f>
        <v>#N/A</v>
      </c>
      <c r="P267" s="6">
        <v>266</v>
      </c>
    </row>
    <row r="268" spans="1:16" ht="14.25">
      <c r="A268" s="13" t="str">
        <f>IFERROR(VLOOKUP($D:$D,scan!$A:$B,2,0),"**")</f>
        <v>**</v>
      </c>
      <c r="B268" s="13" t="str">
        <f>IFERROR(VLOOKUP($D268,scan!A:C,3,0),"**")</f>
        <v>**</v>
      </c>
      <c r="C268" s="14">
        <v>498</v>
      </c>
      <c r="D268" s="15"/>
      <c r="E268" s="16" t="str">
        <f t="shared" si="4"/>
        <v>267.**.</v>
      </c>
      <c r="F268" s="3" t="s">
        <v>4950</v>
      </c>
      <c r="G268" s="3" t="s">
        <v>4951</v>
      </c>
      <c r="H268" s="3">
        <v>6042070338</v>
      </c>
      <c r="I268" s="12" t="e">
        <f ca="1">VLOOKUP(D268,Input!B:M,10,0)</f>
        <v>#N/A</v>
      </c>
      <c r="J268" s="12"/>
      <c r="K268" s="12"/>
      <c r="L268" s="12"/>
      <c r="M268" s="12" t="e">
        <f ca="1">VLOOKUP(D268,Input!B:M,12,0)</f>
        <v>#N/A</v>
      </c>
      <c r="N268" s="12" t="e">
        <f ca="1">VLOOKUP(D268,Input!B:N,11,0)</f>
        <v>#N/A</v>
      </c>
      <c r="O268" s="12" t="e">
        <f ca="1">VLOOKUP(D268,Input!B:M,6,0)</f>
        <v>#N/A</v>
      </c>
      <c r="P268" s="6">
        <v>267</v>
      </c>
    </row>
    <row r="269" spans="1:16" ht="14.25">
      <c r="A269" s="13" t="str">
        <f>IFERROR(VLOOKUP($D:$D,scan!$A:$B,2,0),"**")</f>
        <v>**</v>
      </c>
      <c r="B269" s="13" t="str">
        <f>IFERROR(VLOOKUP($D269,scan!A:C,3,0),"**")</f>
        <v>**</v>
      </c>
      <c r="C269" s="14">
        <v>27</v>
      </c>
      <c r="D269" s="15"/>
      <c r="E269" s="16" t="str">
        <f t="shared" si="4"/>
        <v>268.**.</v>
      </c>
      <c r="F269" s="3" t="s">
        <v>4950</v>
      </c>
      <c r="G269" s="3" t="s">
        <v>4951</v>
      </c>
      <c r="H269" s="3">
        <v>6042070338</v>
      </c>
      <c r="I269" s="12" t="e">
        <f ca="1">VLOOKUP(D269,Input!B:M,10,0)</f>
        <v>#N/A</v>
      </c>
      <c r="J269" s="12"/>
      <c r="K269" s="12"/>
      <c r="L269" s="12"/>
      <c r="M269" s="12" t="e">
        <f ca="1">VLOOKUP(D269,Input!B:M,12,0)</f>
        <v>#N/A</v>
      </c>
      <c r="N269" s="12" t="e">
        <f ca="1">VLOOKUP(D269,Input!B:N,11,0)</f>
        <v>#N/A</v>
      </c>
      <c r="O269" s="12" t="e">
        <f ca="1">VLOOKUP(D269,Input!B:M,6,0)</f>
        <v>#N/A</v>
      </c>
      <c r="P269" s="6">
        <v>268</v>
      </c>
    </row>
    <row r="270" spans="1:16" ht="14.25">
      <c r="A270" s="13" t="str">
        <f>IFERROR(VLOOKUP($D:$D,scan!$A:$B,2,0),"**")</f>
        <v>**</v>
      </c>
      <c r="B270" s="13" t="str">
        <f>IFERROR(VLOOKUP($D270,scan!A:C,3,0),"**")</f>
        <v>**</v>
      </c>
      <c r="C270" s="5">
        <v>66</v>
      </c>
      <c r="D270" s="15"/>
      <c r="E270" s="16" t="str">
        <f t="shared" si="4"/>
        <v>269.**.</v>
      </c>
      <c r="F270" s="3" t="s">
        <v>4950</v>
      </c>
      <c r="G270" s="3" t="s">
        <v>4951</v>
      </c>
      <c r="H270" s="3">
        <v>6042070338</v>
      </c>
      <c r="I270" s="12" t="e">
        <f ca="1">VLOOKUP(D270,Input!B:M,10,0)</f>
        <v>#N/A</v>
      </c>
      <c r="J270" s="12"/>
      <c r="K270" s="12"/>
      <c r="L270" s="12"/>
      <c r="M270" s="12" t="e">
        <f ca="1">VLOOKUP(D270,Input!B:M,12,0)</f>
        <v>#N/A</v>
      </c>
      <c r="N270" s="12" t="e">
        <f ca="1">VLOOKUP(D270,Input!B:N,11,0)</f>
        <v>#N/A</v>
      </c>
      <c r="O270" s="12" t="e">
        <f ca="1">VLOOKUP(D270,Input!B:M,6,0)</f>
        <v>#N/A</v>
      </c>
      <c r="P270" s="6">
        <v>269</v>
      </c>
    </row>
    <row r="271" spans="1:16" ht="14.25">
      <c r="A271" s="13" t="str">
        <f>IFERROR(VLOOKUP($D:$D,scan!$A:$B,2,0),"**")</f>
        <v>**</v>
      </c>
      <c r="B271" s="13" t="str">
        <f>IFERROR(VLOOKUP($D271,scan!A:C,3,0),"**")</f>
        <v>**</v>
      </c>
      <c r="C271" s="14">
        <v>32</v>
      </c>
      <c r="D271" s="15"/>
      <c r="E271" s="16" t="str">
        <f t="shared" si="4"/>
        <v>270.**.</v>
      </c>
      <c r="F271" s="3" t="s">
        <v>4950</v>
      </c>
      <c r="G271" s="3" t="s">
        <v>4951</v>
      </c>
      <c r="H271" s="3">
        <v>6042070338</v>
      </c>
      <c r="I271" s="12" t="e">
        <f ca="1">VLOOKUP(D271,Input!B:M,10,0)</f>
        <v>#N/A</v>
      </c>
      <c r="J271" s="12"/>
      <c r="K271" s="12"/>
      <c r="L271" s="12"/>
      <c r="M271" s="12" t="e">
        <f ca="1">VLOOKUP(D271,Input!B:M,12,0)</f>
        <v>#N/A</v>
      </c>
      <c r="N271" s="12" t="e">
        <f ca="1">VLOOKUP(D271,Input!B:N,11,0)</f>
        <v>#N/A</v>
      </c>
      <c r="O271" s="12" t="e">
        <f ca="1">VLOOKUP(D271,Input!B:M,6,0)</f>
        <v>#N/A</v>
      </c>
      <c r="P271" s="6">
        <v>270</v>
      </c>
    </row>
    <row r="272" spans="1:16" ht="14.25">
      <c r="A272" s="13" t="str">
        <f>IFERROR(VLOOKUP($D:$D,scan!$A:$B,2,0),"**")</f>
        <v>**</v>
      </c>
      <c r="B272" s="13" t="str">
        <f>IFERROR(VLOOKUP($D272,scan!A:C,3,0),"**")</f>
        <v>**</v>
      </c>
      <c r="C272" s="14">
        <v>342</v>
      </c>
      <c r="D272" s="15"/>
      <c r="E272" s="16" t="str">
        <f t="shared" si="4"/>
        <v>271.**.</v>
      </c>
      <c r="F272" s="3" t="s">
        <v>4950</v>
      </c>
      <c r="G272" s="3" t="s">
        <v>4951</v>
      </c>
      <c r="H272" s="3">
        <v>6042070338</v>
      </c>
      <c r="I272" s="12" t="e">
        <f ca="1">VLOOKUP(D272,Input!B:M,10,0)</f>
        <v>#N/A</v>
      </c>
      <c r="J272" s="12"/>
      <c r="K272" s="12"/>
      <c r="L272" s="12"/>
      <c r="M272" s="12" t="e">
        <f ca="1">VLOOKUP(D272,Input!B:M,12,0)</f>
        <v>#N/A</v>
      </c>
      <c r="N272" s="12" t="e">
        <f ca="1">VLOOKUP(D272,Input!B:N,11,0)</f>
        <v>#N/A</v>
      </c>
      <c r="O272" s="12" t="e">
        <f ca="1">VLOOKUP(D272,Input!B:M,6,0)</f>
        <v>#N/A</v>
      </c>
      <c r="P272" s="6">
        <v>271</v>
      </c>
    </row>
    <row r="273" spans="1:16" ht="14.25">
      <c r="A273" s="13" t="str">
        <f>IFERROR(VLOOKUP($D:$D,scan!$A:$B,2,0),"**")</f>
        <v>**</v>
      </c>
      <c r="B273" s="13" t="str">
        <f>IFERROR(VLOOKUP($D273,scan!A:C,3,0),"**")</f>
        <v>**</v>
      </c>
      <c r="C273" s="5">
        <v>46</v>
      </c>
      <c r="D273" s="15"/>
      <c r="E273" s="16" t="str">
        <f t="shared" si="4"/>
        <v>272.**.</v>
      </c>
      <c r="F273" s="3" t="s">
        <v>4950</v>
      </c>
      <c r="G273" s="3" t="s">
        <v>4951</v>
      </c>
      <c r="H273" s="3">
        <v>6042070338</v>
      </c>
      <c r="I273" s="12" t="e">
        <f ca="1">VLOOKUP(D273,Input!B:M,10,0)</f>
        <v>#N/A</v>
      </c>
      <c r="J273" s="12"/>
      <c r="K273" s="12"/>
      <c r="L273" s="12"/>
      <c r="M273" s="12" t="e">
        <f ca="1">VLOOKUP(D273,Input!B:M,12,0)</f>
        <v>#N/A</v>
      </c>
      <c r="N273" s="12" t="e">
        <f ca="1">VLOOKUP(D273,Input!B:N,11,0)</f>
        <v>#N/A</v>
      </c>
      <c r="O273" s="12" t="e">
        <f ca="1">VLOOKUP(D273,Input!B:M,6,0)</f>
        <v>#N/A</v>
      </c>
      <c r="P273" s="6">
        <v>272</v>
      </c>
    </row>
    <row r="274" spans="1:16" ht="14.25">
      <c r="A274" s="13" t="str">
        <f>IFERROR(VLOOKUP($D:$D,scan!$A:$B,2,0),"**")</f>
        <v>**</v>
      </c>
      <c r="B274" s="13" t="str">
        <f>IFERROR(VLOOKUP($D274,scan!A:C,3,0),"**")</f>
        <v>**</v>
      </c>
      <c r="C274" s="14">
        <v>30</v>
      </c>
      <c r="D274" s="15"/>
      <c r="E274" s="16" t="str">
        <f t="shared" si="4"/>
        <v>273.**.</v>
      </c>
      <c r="F274" s="3" t="s">
        <v>4950</v>
      </c>
      <c r="G274" s="3" t="s">
        <v>4951</v>
      </c>
      <c r="H274" s="3">
        <v>6042070338</v>
      </c>
      <c r="I274" s="12" t="e">
        <f ca="1">VLOOKUP(D274,Input!B:M,10,0)</f>
        <v>#N/A</v>
      </c>
      <c r="J274" s="12"/>
      <c r="K274" s="12"/>
      <c r="L274" s="12"/>
      <c r="M274" s="12" t="e">
        <f ca="1">VLOOKUP(D274,Input!B:M,12,0)</f>
        <v>#N/A</v>
      </c>
      <c r="N274" s="12" t="e">
        <f ca="1">VLOOKUP(D274,Input!B:N,11,0)</f>
        <v>#N/A</v>
      </c>
      <c r="O274" s="12" t="e">
        <f ca="1">VLOOKUP(D274,Input!B:M,6,0)</f>
        <v>#N/A</v>
      </c>
      <c r="P274" s="6">
        <v>273</v>
      </c>
    </row>
    <row r="275" spans="1:16" ht="14.25">
      <c r="A275" s="13" t="str">
        <f>IFERROR(VLOOKUP($D:$D,scan!$A:$B,2,0),"**")</f>
        <v>**</v>
      </c>
      <c r="B275" s="13" t="str">
        <f>IFERROR(VLOOKUP($D275,scan!A:C,3,0),"**")</f>
        <v>**</v>
      </c>
      <c r="C275" s="14">
        <v>388</v>
      </c>
      <c r="D275" s="15"/>
      <c r="E275" s="16" t="str">
        <f t="shared" si="4"/>
        <v>274.**.</v>
      </c>
      <c r="F275" s="3" t="s">
        <v>4950</v>
      </c>
      <c r="G275" s="3" t="s">
        <v>4951</v>
      </c>
      <c r="H275" s="3">
        <v>6042070338</v>
      </c>
      <c r="I275" s="12" t="e">
        <f ca="1">VLOOKUP(D275,Input!B:M,10,0)</f>
        <v>#N/A</v>
      </c>
      <c r="J275" s="12"/>
      <c r="K275" s="12"/>
      <c r="L275" s="12"/>
      <c r="M275" s="12" t="e">
        <f ca="1">VLOOKUP(D275,Input!B:M,12,0)</f>
        <v>#N/A</v>
      </c>
      <c r="N275" s="12" t="e">
        <f ca="1">VLOOKUP(D275,Input!B:N,11,0)</f>
        <v>#N/A</v>
      </c>
      <c r="O275" s="12" t="e">
        <f ca="1">VLOOKUP(D275,Input!B:M,6,0)</f>
        <v>#N/A</v>
      </c>
      <c r="P275" s="6">
        <v>274</v>
      </c>
    </row>
    <row r="276" spans="1:16" ht="14.25">
      <c r="A276" s="13" t="str">
        <f>IFERROR(VLOOKUP($D:$D,scan!$A:$B,2,0),"**")</f>
        <v>**</v>
      </c>
      <c r="B276" s="13" t="str">
        <f>IFERROR(VLOOKUP($D276,scan!A:C,3,0),"**")</f>
        <v>**</v>
      </c>
      <c r="C276" s="14">
        <v>500</v>
      </c>
      <c r="D276" s="15"/>
      <c r="E276" s="16" t="str">
        <f t="shared" si="4"/>
        <v>275.**.</v>
      </c>
      <c r="F276" s="3" t="s">
        <v>4950</v>
      </c>
      <c r="G276" s="3" t="s">
        <v>4951</v>
      </c>
      <c r="H276" s="3">
        <v>6042070338</v>
      </c>
      <c r="I276" s="12" t="e">
        <f ca="1">VLOOKUP(D276,Input!B:M,10,0)</f>
        <v>#N/A</v>
      </c>
      <c r="J276" s="12"/>
      <c r="K276" s="12"/>
      <c r="L276" s="12"/>
      <c r="M276" s="12" t="e">
        <f ca="1">VLOOKUP(D276,Input!B:M,12,0)</f>
        <v>#N/A</v>
      </c>
      <c r="N276" s="12" t="e">
        <f ca="1">VLOOKUP(D276,Input!B:N,11,0)</f>
        <v>#N/A</v>
      </c>
      <c r="O276" s="12" t="e">
        <f ca="1">VLOOKUP(D276,Input!B:M,6,0)</f>
        <v>#N/A</v>
      </c>
      <c r="P276" s="6">
        <v>275</v>
      </c>
    </row>
    <row r="277" spans="1:16" ht="14.25">
      <c r="A277" s="13" t="str">
        <f>IFERROR(VLOOKUP($D:$D,scan!$A:$B,2,0),"**")</f>
        <v>**</v>
      </c>
      <c r="B277" s="13" t="str">
        <f>IFERROR(VLOOKUP($D277,scan!A:C,3,0),"**")</f>
        <v>**</v>
      </c>
      <c r="C277" s="14">
        <v>344</v>
      </c>
      <c r="D277" s="15"/>
      <c r="E277" s="16" t="str">
        <f t="shared" si="4"/>
        <v>276.**.</v>
      </c>
      <c r="F277" s="3" t="s">
        <v>4950</v>
      </c>
      <c r="G277" s="3" t="s">
        <v>4951</v>
      </c>
      <c r="H277" s="3">
        <v>6042070338</v>
      </c>
      <c r="I277" s="12" t="e">
        <f ca="1">VLOOKUP(D277,Input!B:M,10,0)</f>
        <v>#N/A</v>
      </c>
      <c r="J277" s="12"/>
      <c r="K277" s="12"/>
      <c r="L277" s="12"/>
      <c r="M277" s="12" t="e">
        <f ca="1">VLOOKUP(D277,Input!B:M,12,0)</f>
        <v>#N/A</v>
      </c>
      <c r="N277" s="12" t="e">
        <f ca="1">VLOOKUP(D277,Input!B:N,11,0)</f>
        <v>#N/A</v>
      </c>
      <c r="O277" s="12" t="e">
        <f ca="1">VLOOKUP(D277,Input!B:M,6,0)</f>
        <v>#N/A</v>
      </c>
      <c r="P277" s="6">
        <v>276</v>
      </c>
    </row>
    <row r="278" spans="1:16" ht="14.25">
      <c r="A278" s="13" t="str">
        <f>IFERROR(VLOOKUP($D:$D,scan!$A:$B,2,0),"**")</f>
        <v>**</v>
      </c>
      <c r="B278" s="13" t="str">
        <f>IFERROR(VLOOKUP($D278,scan!A:C,3,0),"**")</f>
        <v>**</v>
      </c>
      <c r="C278" s="14">
        <v>496</v>
      </c>
      <c r="D278" s="15"/>
      <c r="E278" s="16" t="str">
        <f t="shared" si="4"/>
        <v>277.**.</v>
      </c>
      <c r="F278" s="3" t="s">
        <v>4950</v>
      </c>
      <c r="G278" s="3" t="s">
        <v>4951</v>
      </c>
      <c r="H278" s="3">
        <v>6042070338</v>
      </c>
      <c r="I278" s="12" t="e">
        <f ca="1">VLOOKUP(D278,Input!B:M,10,0)</f>
        <v>#N/A</v>
      </c>
      <c r="J278" s="12"/>
      <c r="K278" s="12"/>
      <c r="L278" s="12"/>
      <c r="M278" s="12" t="e">
        <f ca="1">VLOOKUP(D278,Input!B:M,12,0)</f>
        <v>#N/A</v>
      </c>
      <c r="N278" s="12" t="e">
        <f ca="1">VLOOKUP(D278,Input!B:N,11,0)</f>
        <v>#N/A</v>
      </c>
      <c r="O278" s="12" t="e">
        <f ca="1">VLOOKUP(D278,Input!B:M,6,0)</f>
        <v>#N/A</v>
      </c>
      <c r="P278" s="6">
        <v>277</v>
      </c>
    </row>
    <row r="279" spans="1:16" ht="14.25">
      <c r="A279" s="13" t="str">
        <f>IFERROR(VLOOKUP($D:$D,scan!$A:$B,2,0),"**")</f>
        <v>**</v>
      </c>
      <c r="B279" s="13" t="str">
        <f>IFERROR(VLOOKUP($D279,scan!A:C,3,0),"**")</f>
        <v>**</v>
      </c>
      <c r="C279" s="14">
        <v>195</v>
      </c>
      <c r="D279" s="15"/>
      <c r="E279" s="16" t="str">
        <f t="shared" si="4"/>
        <v>278.**.</v>
      </c>
      <c r="F279" s="3" t="s">
        <v>4950</v>
      </c>
      <c r="G279" s="3" t="s">
        <v>4951</v>
      </c>
      <c r="H279" s="3">
        <v>6042070338</v>
      </c>
      <c r="I279" s="12" t="e">
        <f ca="1">VLOOKUP(D279,Input!B:M,10,0)</f>
        <v>#N/A</v>
      </c>
      <c r="J279" s="12"/>
      <c r="K279" s="12"/>
      <c r="L279" s="12"/>
      <c r="M279" s="12" t="e">
        <f ca="1">VLOOKUP(D279,Input!B:M,12,0)</f>
        <v>#N/A</v>
      </c>
      <c r="N279" s="12" t="e">
        <f ca="1">VLOOKUP(D279,Input!B:N,11,0)</f>
        <v>#N/A</v>
      </c>
      <c r="O279" s="12" t="e">
        <f ca="1">VLOOKUP(D279,Input!B:M,6,0)</f>
        <v>#N/A</v>
      </c>
      <c r="P279" s="6">
        <v>278</v>
      </c>
    </row>
    <row r="280" spans="1:16" ht="14.25">
      <c r="A280" s="13" t="str">
        <f>IFERROR(VLOOKUP($D:$D,scan!$A:$B,2,0),"**")</f>
        <v>**</v>
      </c>
      <c r="B280" s="13" t="str">
        <f>IFERROR(VLOOKUP($D280,scan!A:C,3,0),"**")</f>
        <v>**</v>
      </c>
      <c r="C280" s="14">
        <v>198</v>
      </c>
      <c r="D280" s="15"/>
      <c r="E280" s="16" t="str">
        <f t="shared" si="4"/>
        <v>279.**.</v>
      </c>
      <c r="F280" s="3" t="s">
        <v>4950</v>
      </c>
      <c r="G280" s="3" t="s">
        <v>4951</v>
      </c>
      <c r="H280" s="3">
        <v>6042070338</v>
      </c>
      <c r="I280" s="12" t="e">
        <f ca="1">VLOOKUP(D280,Input!B:M,10,0)</f>
        <v>#N/A</v>
      </c>
      <c r="J280" s="12"/>
      <c r="K280" s="12"/>
      <c r="L280" s="12"/>
      <c r="M280" s="12" t="e">
        <f ca="1">VLOOKUP(D280,Input!B:M,12,0)</f>
        <v>#N/A</v>
      </c>
      <c r="N280" s="12" t="e">
        <f ca="1">VLOOKUP(D280,Input!B:N,11,0)</f>
        <v>#N/A</v>
      </c>
      <c r="O280" s="12" t="e">
        <f ca="1">VLOOKUP(D280,Input!B:M,6,0)</f>
        <v>#N/A</v>
      </c>
      <c r="P280" s="6">
        <v>279</v>
      </c>
    </row>
    <row r="281" spans="1:16" ht="14.25">
      <c r="A281" s="13" t="str">
        <f>IFERROR(VLOOKUP($D:$D,scan!$A:$B,2,0),"**")</f>
        <v>**</v>
      </c>
      <c r="B281" s="13" t="str">
        <f>IFERROR(VLOOKUP($D281,scan!A:C,3,0),"**")</f>
        <v>**</v>
      </c>
      <c r="C281" s="5">
        <v>356</v>
      </c>
      <c r="D281" s="15"/>
      <c r="E281" s="16" t="str">
        <f t="shared" si="4"/>
        <v>280.**.</v>
      </c>
      <c r="F281" s="3" t="s">
        <v>4950</v>
      </c>
      <c r="G281" s="3" t="s">
        <v>4951</v>
      </c>
      <c r="H281" s="3">
        <v>6042070338</v>
      </c>
      <c r="I281" s="12" t="e">
        <f ca="1">VLOOKUP(D281,Input!B:M,10,0)</f>
        <v>#N/A</v>
      </c>
      <c r="J281" s="12"/>
      <c r="K281" s="12"/>
      <c r="L281" s="12"/>
      <c r="M281" s="12" t="e">
        <f ca="1">VLOOKUP(D281,Input!B:M,12,0)</f>
        <v>#N/A</v>
      </c>
      <c r="N281" s="12" t="e">
        <f ca="1">VLOOKUP(D281,Input!B:N,11,0)</f>
        <v>#N/A</v>
      </c>
      <c r="O281" s="12" t="e">
        <f ca="1">VLOOKUP(D281,Input!B:M,6,0)</f>
        <v>#N/A</v>
      </c>
      <c r="P281" s="6">
        <v>280</v>
      </c>
    </row>
    <row r="282" spans="1:16" ht="14.25">
      <c r="A282" s="13" t="str">
        <f>IFERROR(VLOOKUP($D:$D,scan!$A:$B,2,0),"**")</f>
        <v>**</v>
      </c>
      <c r="B282" s="13" t="str">
        <f>IFERROR(VLOOKUP($D282,scan!A:C,3,0),"**")</f>
        <v>**</v>
      </c>
      <c r="C282" s="14">
        <v>365</v>
      </c>
      <c r="D282" s="15"/>
      <c r="E282" s="16" t="str">
        <f t="shared" si="4"/>
        <v>281.**.</v>
      </c>
      <c r="F282" s="3" t="s">
        <v>4950</v>
      </c>
      <c r="G282" s="3" t="s">
        <v>4951</v>
      </c>
      <c r="H282" s="3">
        <v>6042070338</v>
      </c>
      <c r="I282" s="12" t="e">
        <f ca="1">VLOOKUP(D282,Input!B:M,10,0)</f>
        <v>#N/A</v>
      </c>
      <c r="J282" s="12"/>
      <c r="K282" s="12"/>
      <c r="L282" s="12"/>
      <c r="M282" s="12" t="e">
        <f ca="1">VLOOKUP(D282,Input!B:M,12,0)</f>
        <v>#N/A</v>
      </c>
      <c r="N282" s="12" t="e">
        <f ca="1">VLOOKUP(D282,Input!B:N,11,0)</f>
        <v>#N/A</v>
      </c>
      <c r="O282" s="12" t="e">
        <f ca="1">VLOOKUP(D282,Input!B:M,6,0)</f>
        <v>#N/A</v>
      </c>
      <c r="P282" s="6">
        <v>281</v>
      </c>
    </row>
    <row r="283" spans="1:16" ht="14.25">
      <c r="A283" s="13" t="str">
        <f>IFERROR(VLOOKUP($D:$D,scan!$A:$B,2,0),"**")</f>
        <v>**</v>
      </c>
      <c r="B283" s="13" t="str">
        <f>IFERROR(VLOOKUP($D283,scan!A:C,3,0),"**")</f>
        <v>**</v>
      </c>
      <c r="C283" s="14">
        <v>54</v>
      </c>
      <c r="D283" s="15"/>
      <c r="E283" s="16" t="str">
        <f t="shared" si="4"/>
        <v>282.**.</v>
      </c>
      <c r="F283" s="3" t="s">
        <v>4950</v>
      </c>
      <c r="G283" s="3" t="s">
        <v>4951</v>
      </c>
      <c r="H283" s="3">
        <v>6042070338</v>
      </c>
      <c r="I283" s="12" t="e">
        <f ca="1">VLOOKUP(D283,Input!B:M,10,0)</f>
        <v>#N/A</v>
      </c>
      <c r="J283" s="12"/>
      <c r="K283" s="12"/>
      <c r="L283" s="12"/>
      <c r="M283" s="12" t="e">
        <f ca="1">VLOOKUP(D283,Input!B:M,12,0)</f>
        <v>#N/A</v>
      </c>
      <c r="N283" s="12" t="e">
        <f ca="1">VLOOKUP(D283,Input!B:N,11,0)</f>
        <v>#N/A</v>
      </c>
      <c r="O283" s="12" t="e">
        <f ca="1">VLOOKUP(D283,Input!B:M,6,0)</f>
        <v>#N/A</v>
      </c>
      <c r="P283" s="6">
        <v>282</v>
      </c>
    </row>
    <row r="284" spans="1:16" ht="14.25">
      <c r="A284" s="13" t="str">
        <f>IFERROR(VLOOKUP($D:$D,scan!$A:$B,2,0),"**")</f>
        <v>**</v>
      </c>
      <c r="B284" s="13" t="str">
        <f>IFERROR(VLOOKUP($D284,scan!A:C,3,0),"**")</f>
        <v>**</v>
      </c>
      <c r="C284" s="14">
        <v>620</v>
      </c>
      <c r="D284" s="15"/>
      <c r="E284" s="16" t="str">
        <f t="shared" si="4"/>
        <v>283.**.</v>
      </c>
      <c r="F284" s="3" t="s">
        <v>4950</v>
      </c>
      <c r="G284" s="3" t="s">
        <v>4951</v>
      </c>
      <c r="H284" s="3">
        <v>6042070338</v>
      </c>
      <c r="I284" s="12" t="e">
        <f ca="1">VLOOKUP(D284,Input!B:M,10,0)</f>
        <v>#N/A</v>
      </c>
      <c r="J284" s="12"/>
      <c r="K284" s="12"/>
      <c r="L284" s="12"/>
      <c r="M284" s="12" t="e">
        <f ca="1">VLOOKUP(D284,Input!B:M,12,0)</f>
        <v>#N/A</v>
      </c>
      <c r="N284" s="12" t="e">
        <f ca="1">VLOOKUP(D284,Input!B:N,11,0)</f>
        <v>#N/A</v>
      </c>
      <c r="O284" s="12" t="e">
        <f ca="1">VLOOKUP(D284,Input!B:M,6,0)</f>
        <v>#N/A</v>
      </c>
      <c r="P284" s="6">
        <v>283</v>
      </c>
    </row>
    <row r="285" spans="1:16" ht="14.25">
      <c r="A285" s="13" t="str">
        <f>IFERROR(VLOOKUP($D:$D,scan!$A:$B,2,0),"**")</f>
        <v>**</v>
      </c>
      <c r="B285" s="13" t="str">
        <f>IFERROR(VLOOKUP($D285,scan!A:C,3,0),"**")</f>
        <v>**</v>
      </c>
      <c r="C285" s="14">
        <v>218</v>
      </c>
      <c r="D285" s="15"/>
      <c r="E285" s="16" t="str">
        <f t="shared" si="4"/>
        <v>284.**.</v>
      </c>
      <c r="F285" s="3" t="s">
        <v>4950</v>
      </c>
      <c r="G285" s="3" t="s">
        <v>4951</v>
      </c>
      <c r="H285" s="3">
        <v>6042070338</v>
      </c>
      <c r="I285" s="12" t="e">
        <f ca="1">VLOOKUP(D285,Input!B:M,10,0)</f>
        <v>#N/A</v>
      </c>
      <c r="J285" s="12"/>
      <c r="K285" s="12"/>
      <c r="L285" s="12"/>
      <c r="M285" s="12" t="e">
        <f ca="1">VLOOKUP(D285,Input!B:M,12,0)</f>
        <v>#N/A</v>
      </c>
      <c r="N285" s="12" t="e">
        <f ca="1">VLOOKUP(D285,Input!B:N,11,0)</f>
        <v>#N/A</v>
      </c>
      <c r="O285" s="12" t="e">
        <f ca="1">VLOOKUP(D285,Input!B:M,6,0)</f>
        <v>#N/A</v>
      </c>
      <c r="P285" s="6">
        <v>284</v>
      </c>
    </row>
    <row r="286" spans="1:16" ht="14.25">
      <c r="A286" s="13" t="str">
        <f>IFERROR(VLOOKUP($D:$D,scan!$A:$B,2,0),"**")</f>
        <v>**</v>
      </c>
      <c r="B286" s="13" t="str">
        <f>IFERROR(VLOOKUP($D286,scan!A:C,3,0),"**")</f>
        <v>**</v>
      </c>
      <c r="C286" s="5">
        <v>517</v>
      </c>
      <c r="D286" s="15"/>
      <c r="E286" s="16" t="str">
        <f t="shared" si="4"/>
        <v>285.**.</v>
      </c>
      <c r="F286" s="3" t="s">
        <v>4950</v>
      </c>
      <c r="G286" s="3" t="s">
        <v>4951</v>
      </c>
      <c r="H286" s="3">
        <v>6042070338</v>
      </c>
      <c r="I286" s="12" t="e">
        <f ca="1">VLOOKUP(D286,Input!B:M,10,0)</f>
        <v>#N/A</v>
      </c>
      <c r="J286" s="12"/>
      <c r="K286" s="12"/>
      <c r="L286" s="12"/>
      <c r="M286" s="12" t="e">
        <f ca="1">VLOOKUP(D286,Input!B:M,12,0)</f>
        <v>#N/A</v>
      </c>
      <c r="N286" s="12" t="e">
        <f ca="1">VLOOKUP(D286,Input!B:N,11,0)</f>
        <v>#N/A</v>
      </c>
      <c r="O286" s="12" t="e">
        <f ca="1">VLOOKUP(D286,Input!B:M,6,0)</f>
        <v>#N/A</v>
      </c>
      <c r="P286" s="6">
        <v>285</v>
      </c>
    </row>
    <row r="287" spans="1:16" ht="14.25">
      <c r="A287" s="13" t="str">
        <f>IFERROR(VLOOKUP($D:$D,scan!$A:$B,2,0),"**")</f>
        <v>**</v>
      </c>
      <c r="B287" s="13" t="str">
        <f>IFERROR(VLOOKUP($D287,scan!A:C,3,0),"**")</f>
        <v>**</v>
      </c>
      <c r="C287" s="14">
        <v>511</v>
      </c>
      <c r="D287" s="15"/>
      <c r="E287" s="16" t="str">
        <f t="shared" si="4"/>
        <v>286.**.</v>
      </c>
      <c r="F287" s="3" t="s">
        <v>4950</v>
      </c>
      <c r="G287" s="3" t="s">
        <v>4951</v>
      </c>
      <c r="H287" s="3">
        <v>6042070338</v>
      </c>
      <c r="I287" s="12" t="e">
        <f ca="1">VLOOKUP(D287,Input!B:M,10,0)</f>
        <v>#N/A</v>
      </c>
      <c r="J287" s="12"/>
      <c r="K287" s="12"/>
      <c r="L287" s="12"/>
      <c r="M287" s="12" t="e">
        <f ca="1">VLOOKUP(D287,Input!B:M,12,0)</f>
        <v>#N/A</v>
      </c>
      <c r="N287" s="12" t="e">
        <f ca="1">VLOOKUP(D287,Input!B:N,11,0)</f>
        <v>#N/A</v>
      </c>
      <c r="O287" s="12" t="e">
        <f ca="1">VLOOKUP(D287,Input!B:M,6,0)</f>
        <v>#N/A</v>
      </c>
      <c r="P287" s="6">
        <v>286</v>
      </c>
    </row>
    <row r="288" spans="1:16" ht="14.25">
      <c r="A288" s="13" t="str">
        <f>IFERROR(VLOOKUP($D:$D,scan!$A:$B,2,0),"**")</f>
        <v>**</v>
      </c>
      <c r="B288" s="13" t="str">
        <f>IFERROR(VLOOKUP($D288,scan!A:C,3,0),"**")</f>
        <v>**</v>
      </c>
      <c r="C288" s="14">
        <v>28</v>
      </c>
      <c r="D288" s="15"/>
      <c r="E288" s="16" t="str">
        <f t="shared" si="4"/>
        <v>287.**.</v>
      </c>
      <c r="F288" s="3" t="s">
        <v>4950</v>
      </c>
      <c r="G288" s="3" t="s">
        <v>4951</v>
      </c>
      <c r="H288" s="3">
        <v>6042070338</v>
      </c>
      <c r="I288" s="12" t="e">
        <f ca="1">VLOOKUP(D288,Input!B:M,10,0)</f>
        <v>#N/A</v>
      </c>
      <c r="J288" s="12"/>
      <c r="K288" s="12"/>
      <c r="L288" s="12"/>
      <c r="M288" s="12" t="e">
        <f ca="1">VLOOKUP(D288,Input!B:M,12,0)</f>
        <v>#N/A</v>
      </c>
      <c r="N288" s="12" t="e">
        <f ca="1">VLOOKUP(D288,Input!B:N,11,0)</f>
        <v>#N/A</v>
      </c>
      <c r="O288" s="12" t="e">
        <f ca="1">VLOOKUP(D288,Input!B:M,6,0)</f>
        <v>#N/A</v>
      </c>
      <c r="P288" s="6">
        <v>287</v>
      </c>
    </row>
    <row r="289" spans="1:16" ht="14.25">
      <c r="A289" s="13" t="str">
        <f>IFERROR(VLOOKUP($D:$D,scan!$A:$B,2,0),"**")</f>
        <v>**</v>
      </c>
      <c r="B289" s="13" t="str">
        <f>IFERROR(VLOOKUP($D289,scan!A:C,3,0),"**")</f>
        <v>**</v>
      </c>
      <c r="C289" s="5">
        <v>206</v>
      </c>
      <c r="D289" s="15"/>
      <c r="E289" s="16" t="str">
        <f t="shared" si="4"/>
        <v>288.**.</v>
      </c>
      <c r="F289" s="3" t="s">
        <v>4950</v>
      </c>
      <c r="G289" s="3" t="s">
        <v>4951</v>
      </c>
      <c r="H289" s="3">
        <v>6042070338</v>
      </c>
      <c r="I289" s="12" t="e">
        <f ca="1">VLOOKUP(D289,Input!B:M,10,0)</f>
        <v>#N/A</v>
      </c>
      <c r="J289" s="12"/>
      <c r="K289" s="12"/>
      <c r="L289" s="12"/>
      <c r="M289" s="12" t="e">
        <f ca="1">VLOOKUP(D289,Input!B:M,12,0)</f>
        <v>#N/A</v>
      </c>
      <c r="N289" s="12" t="e">
        <f ca="1">VLOOKUP(D289,Input!B:N,11,0)</f>
        <v>#N/A</v>
      </c>
      <c r="O289" s="12" t="e">
        <f ca="1">VLOOKUP(D289,Input!B:M,6,0)</f>
        <v>#N/A</v>
      </c>
      <c r="P289" s="6">
        <v>288</v>
      </c>
    </row>
    <row r="290" spans="1:16" ht="15.75">
      <c r="A290" s="13" t="str">
        <f>IFERROR(VLOOKUP($D:$D,scan!$A:$B,2,0),"**")</f>
        <v>**</v>
      </c>
      <c r="B290" s="13" t="str">
        <f>IFERROR(VLOOKUP($D290,scan!A:C,3,0),"**")</f>
        <v>**</v>
      </c>
      <c r="C290" s="14">
        <v>636</v>
      </c>
      <c r="D290" s="18"/>
      <c r="E290" s="16" t="str">
        <f t="shared" si="4"/>
        <v>289.**.</v>
      </c>
      <c r="F290" s="3" t="s">
        <v>4950</v>
      </c>
      <c r="G290" s="3" t="s">
        <v>4951</v>
      </c>
      <c r="H290" s="3">
        <v>6042070338</v>
      </c>
      <c r="I290" s="12" t="e">
        <f ca="1">VLOOKUP(D290,Input!B:M,10,0)</f>
        <v>#N/A</v>
      </c>
      <c r="J290" s="12"/>
      <c r="K290" s="12"/>
      <c r="L290" s="12"/>
      <c r="M290" s="12" t="e">
        <f ca="1">VLOOKUP(D290,Input!B:M,12,0)</f>
        <v>#N/A</v>
      </c>
      <c r="N290" s="12" t="e">
        <f ca="1">VLOOKUP(D290,Input!B:N,11,0)</f>
        <v>#N/A</v>
      </c>
      <c r="O290" s="12" t="e">
        <f ca="1">VLOOKUP(D290,Input!B:M,6,0)</f>
        <v>#N/A</v>
      </c>
      <c r="P290" s="6">
        <v>289</v>
      </c>
    </row>
    <row r="291" spans="1:16" ht="15.75">
      <c r="A291" s="13" t="str">
        <f>IFERROR(VLOOKUP($D:$D,scan!$A:$B,2,0),"**")</f>
        <v>**</v>
      </c>
      <c r="B291" s="13" t="str">
        <f>IFERROR(VLOOKUP($D291,scan!A:C,3,0),"**")</f>
        <v>**</v>
      </c>
      <c r="C291" s="14">
        <v>637</v>
      </c>
      <c r="D291" s="18"/>
      <c r="E291" s="16" t="str">
        <f t="shared" si="4"/>
        <v>290.**.</v>
      </c>
      <c r="F291" s="3" t="s">
        <v>4950</v>
      </c>
      <c r="G291" s="3" t="s">
        <v>4951</v>
      </c>
      <c r="H291" s="3">
        <v>6042070338</v>
      </c>
      <c r="I291" s="12" t="e">
        <f ca="1">VLOOKUP(D291,Input!B:M,10,0)</f>
        <v>#N/A</v>
      </c>
      <c r="J291" s="12"/>
      <c r="K291" s="12"/>
      <c r="L291" s="12"/>
      <c r="M291" s="12" t="e">
        <f ca="1">VLOOKUP(D291,Input!B:M,12,0)</f>
        <v>#N/A</v>
      </c>
      <c r="N291" s="12" t="e">
        <f ca="1">VLOOKUP(D291,Input!B:N,11,0)</f>
        <v>#N/A</v>
      </c>
      <c r="O291" s="12" t="e">
        <f ca="1">VLOOKUP(D291,Input!B:M,6,0)</f>
        <v>#N/A</v>
      </c>
      <c r="P291" s="6">
        <v>290</v>
      </c>
    </row>
    <row r="292" spans="1:16" ht="14.25">
      <c r="A292" s="13" t="str">
        <f>IFERROR(VLOOKUP($D:$D,scan!$A:$B,2,0),"**")</f>
        <v>**</v>
      </c>
      <c r="B292" s="13" t="str">
        <f>IFERROR(VLOOKUP($D292,scan!A:C,3,0),"**")</f>
        <v>**</v>
      </c>
      <c r="C292" s="5">
        <v>191</v>
      </c>
      <c r="D292" s="15"/>
      <c r="E292" s="16" t="str">
        <f t="shared" si="4"/>
        <v>291.**.</v>
      </c>
      <c r="F292" s="3" t="s">
        <v>4950</v>
      </c>
      <c r="G292" s="3" t="s">
        <v>4951</v>
      </c>
      <c r="H292" s="3">
        <v>6042070338</v>
      </c>
      <c r="I292" s="12" t="e">
        <f ca="1">VLOOKUP(D292,Input!B:M,10,0)</f>
        <v>#N/A</v>
      </c>
      <c r="J292" s="12"/>
      <c r="K292" s="12"/>
      <c r="L292" s="12"/>
      <c r="M292" s="12" t="e">
        <f ca="1">VLOOKUP(D292,Input!B:M,12,0)</f>
        <v>#N/A</v>
      </c>
      <c r="N292" s="12" t="e">
        <f ca="1">VLOOKUP(D292,Input!B:N,11,0)</f>
        <v>#N/A</v>
      </c>
      <c r="O292" s="12" t="e">
        <f ca="1">VLOOKUP(D292,Input!B:M,6,0)</f>
        <v>#N/A</v>
      </c>
      <c r="P292" s="6">
        <v>291</v>
      </c>
    </row>
    <row r="293" spans="1:16" ht="15.75">
      <c r="A293" s="13" t="str">
        <f>IFERROR(VLOOKUP($D:$D,scan!$A:$B,2,0),"**")</f>
        <v>**</v>
      </c>
      <c r="B293" s="13" t="str">
        <f>IFERROR(VLOOKUP($D293,scan!A:C,3,0),"**")</f>
        <v>**</v>
      </c>
      <c r="C293" s="5">
        <v>635</v>
      </c>
      <c r="D293" s="18"/>
      <c r="E293" s="16" t="str">
        <f t="shared" si="4"/>
        <v>292.**.</v>
      </c>
      <c r="F293" s="3" t="s">
        <v>4950</v>
      </c>
      <c r="G293" s="3" t="s">
        <v>4951</v>
      </c>
      <c r="H293" s="3">
        <v>6042070338</v>
      </c>
      <c r="I293" s="12" t="e">
        <f ca="1">VLOOKUP(D293,Input!B:M,10,0)</f>
        <v>#N/A</v>
      </c>
      <c r="J293" s="12"/>
      <c r="K293" s="12"/>
      <c r="L293" s="12"/>
      <c r="M293" s="12" t="e">
        <f ca="1">VLOOKUP(D293,Input!B:M,12,0)</f>
        <v>#N/A</v>
      </c>
      <c r="N293" s="12" t="e">
        <f ca="1">VLOOKUP(D293,Input!B:N,11,0)</f>
        <v>#N/A</v>
      </c>
      <c r="O293" s="12" t="e">
        <f ca="1">VLOOKUP(D293,Input!B:M,6,0)</f>
        <v>#N/A</v>
      </c>
      <c r="P293" s="6">
        <v>292</v>
      </c>
    </row>
    <row r="294" spans="1:16" ht="14.25">
      <c r="A294" s="13" t="str">
        <f>IFERROR(VLOOKUP($D:$D,scan!$A:$B,2,0),"**")</f>
        <v>**</v>
      </c>
      <c r="B294" s="13" t="str">
        <f>IFERROR(VLOOKUP($D294,scan!A:C,3,0),"**")</f>
        <v>**</v>
      </c>
      <c r="C294" s="14">
        <v>519</v>
      </c>
      <c r="D294" s="15"/>
      <c r="E294" s="16" t="str">
        <f t="shared" si="4"/>
        <v>293.**.</v>
      </c>
      <c r="F294" s="3" t="s">
        <v>4950</v>
      </c>
      <c r="G294" s="3" t="s">
        <v>4951</v>
      </c>
      <c r="H294" s="3">
        <v>6042070338</v>
      </c>
      <c r="I294" s="12" t="e">
        <f ca="1">VLOOKUP(D294,Input!B:M,10,0)</f>
        <v>#N/A</v>
      </c>
      <c r="J294" s="12"/>
      <c r="K294" s="12"/>
      <c r="L294" s="12"/>
      <c r="M294" s="12" t="e">
        <f ca="1">VLOOKUP(D294,Input!B:M,12,0)</f>
        <v>#N/A</v>
      </c>
      <c r="N294" s="12" t="e">
        <f ca="1">VLOOKUP(D294,Input!B:N,11,0)</f>
        <v>#N/A</v>
      </c>
      <c r="O294" s="12" t="e">
        <f ca="1">VLOOKUP(D294,Input!B:M,6,0)</f>
        <v>#N/A</v>
      </c>
      <c r="P294" s="6">
        <v>293</v>
      </c>
    </row>
    <row r="295" spans="1:16" ht="14.25">
      <c r="A295" s="13" t="str">
        <f>IFERROR(VLOOKUP($D:$D,scan!$A:$B,2,0),"**")</f>
        <v>**</v>
      </c>
      <c r="B295" s="13" t="str">
        <f>IFERROR(VLOOKUP($D295,scan!A:C,3,0),"**")</f>
        <v>**</v>
      </c>
      <c r="C295" s="14">
        <v>379</v>
      </c>
      <c r="D295" s="15"/>
      <c r="E295" s="16" t="str">
        <f t="shared" si="4"/>
        <v>294.**.</v>
      </c>
      <c r="F295" s="3" t="s">
        <v>4950</v>
      </c>
      <c r="G295" s="3" t="s">
        <v>4951</v>
      </c>
      <c r="H295" s="3">
        <v>6042070338</v>
      </c>
      <c r="I295" s="12" t="e">
        <f ca="1">VLOOKUP(D295,Input!B:M,10,0)</f>
        <v>#N/A</v>
      </c>
      <c r="J295" s="12"/>
      <c r="K295" s="12"/>
      <c r="L295" s="12"/>
      <c r="M295" s="12" t="e">
        <f ca="1">VLOOKUP(D295,Input!B:M,12,0)</f>
        <v>#N/A</v>
      </c>
      <c r="N295" s="12" t="e">
        <f ca="1">VLOOKUP(D295,Input!B:N,11,0)</f>
        <v>#N/A</v>
      </c>
      <c r="O295" s="12" t="e">
        <f ca="1">VLOOKUP(D295,Input!B:M,6,0)</f>
        <v>#N/A</v>
      </c>
      <c r="P295" s="6">
        <v>294</v>
      </c>
    </row>
    <row r="296" spans="1:16" ht="15.75">
      <c r="A296" s="13" t="str">
        <f>IFERROR(VLOOKUP($D:$D,scan!$A:$B,2,0),"**")</f>
        <v>**</v>
      </c>
      <c r="B296" s="13" t="str">
        <f>IFERROR(VLOOKUP($D296,scan!A:C,3,0),"**")</f>
        <v>**</v>
      </c>
      <c r="C296" s="14">
        <v>634</v>
      </c>
      <c r="D296" s="18"/>
      <c r="E296" s="16" t="str">
        <f t="shared" si="4"/>
        <v>295.**.</v>
      </c>
      <c r="F296" s="3" t="s">
        <v>4950</v>
      </c>
      <c r="G296" s="3" t="s">
        <v>4951</v>
      </c>
      <c r="H296" s="3">
        <v>6042070338</v>
      </c>
      <c r="I296" s="12" t="e">
        <f ca="1">VLOOKUP(D296,Input!B:M,10,0)</f>
        <v>#N/A</v>
      </c>
      <c r="J296" s="12"/>
      <c r="K296" s="12"/>
      <c r="L296" s="12"/>
      <c r="M296" s="12" t="e">
        <f ca="1">VLOOKUP(D296,Input!B:M,12,0)</f>
        <v>#N/A</v>
      </c>
      <c r="N296" s="12" t="e">
        <f ca="1">VLOOKUP(D296,Input!B:N,11,0)</f>
        <v>#N/A</v>
      </c>
      <c r="O296" s="12" t="e">
        <f ca="1">VLOOKUP(D296,Input!B:M,6,0)</f>
        <v>#N/A</v>
      </c>
      <c r="P296" s="6">
        <v>295</v>
      </c>
    </row>
    <row r="297" spans="1:16" ht="14.25">
      <c r="A297" s="13" t="str">
        <f>IFERROR(VLOOKUP($D:$D,scan!$A:$B,2,0),"**")</f>
        <v>**</v>
      </c>
      <c r="B297" s="13" t="str">
        <f>IFERROR(VLOOKUP($D297,scan!A:C,3,0),"**")</f>
        <v>**</v>
      </c>
      <c r="C297" s="14">
        <v>377</v>
      </c>
      <c r="D297" s="15"/>
      <c r="E297" s="16" t="str">
        <f t="shared" si="4"/>
        <v>296.**.</v>
      </c>
      <c r="F297" s="3" t="s">
        <v>4950</v>
      </c>
      <c r="G297" s="3" t="s">
        <v>4951</v>
      </c>
      <c r="H297" s="3">
        <v>6042070338</v>
      </c>
      <c r="I297" s="12" t="e">
        <f ca="1">VLOOKUP(D297,Input!B:M,10,0)</f>
        <v>#N/A</v>
      </c>
      <c r="J297" s="12"/>
      <c r="K297" s="12"/>
      <c r="L297" s="12"/>
      <c r="M297" s="12" t="e">
        <f ca="1">VLOOKUP(D297,Input!B:M,12,0)</f>
        <v>#N/A</v>
      </c>
      <c r="N297" s="12" t="e">
        <f ca="1">VLOOKUP(D297,Input!B:N,11,0)</f>
        <v>#N/A</v>
      </c>
      <c r="O297" s="12" t="e">
        <f ca="1">VLOOKUP(D297,Input!B:M,6,0)</f>
        <v>#N/A</v>
      </c>
      <c r="P297" s="6">
        <v>296</v>
      </c>
    </row>
    <row r="298" spans="1:16" ht="14.25">
      <c r="A298" s="13" t="str">
        <f>IFERROR(VLOOKUP($D:$D,scan!$A:$B,2,0),"**")</f>
        <v>**</v>
      </c>
      <c r="B298" s="13" t="str">
        <f>IFERROR(VLOOKUP($D298,scan!A:C,3,0),"**")</f>
        <v>**</v>
      </c>
      <c r="C298" s="14">
        <v>187</v>
      </c>
      <c r="D298" s="15"/>
      <c r="E298" s="16" t="str">
        <f t="shared" si="4"/>
        <v>297.**.</v>
      </c>
      <c r="F298" s="3" t="s">
        <v>4950</v>
      </c>
      <c r="G298" s="3" t="s">
        <v>4951</v>
      </c>
      <c r="H298" s="3">
        <v>6042070338</v>
      </c>
      <c r="I298" s="12" t="e">
        <f ca="1">VLOOKUP(D298,Input!B:M,10,0)</f>
        <v>#N/A</v>
      </c>
      <c r="J298" s="12"/>
      <c r="K298" s="12"/>
      <c r="L298" s="12"/>
      <c r="M298" s="12" t="e">
        <f ca="1">VLOOKUP(D298,Input!B:M,12,0)</f>
        <v>#N/A</v>
      </c>
      <c r="N298" s="12" t="e">
        <f ca="1">VLOOKUP(D298,Input!B:N,11,0)</f>
        <v>#N/A</v>
      </c>
      <c r="O298" s="12" t="e">
        <f ca="1">VLOOKUP(D298,Input!B:M,6,0)</f>
        <v>#N/A</v>
      </c>
      <c r="P298" s="6">
        <v>297</v>
      </c>
    </row>
    <row r="299" spans="1:16" ht="14.25">
      <c r="A299" s="13" t="str">
        <f>IFERROR(VLOOKUP($D:$D,scan!$A:$B,2,0),"**")</f>
        <v>**</v>
      </c>
      <c r="B299" s="13" t="str">
        <f>IFERROR(VLOOKUP($D299,scan!A:C,3,0),"**")</f>
        <v>**</v>
      </c>
      <c r="C299" s="14">
        <v>494</v>
      </c>
      <c r="D299" s="15"/>
      <c r="E299" s="16" t="str">
        <f t="shared" si="4"/>
        <v>298.**.</v>
      </c>
      <c r="F299" s="3" t="s">
        <v>4950</v>
      </c>
      <c r="G299" s="3" t="s">
        <v>4951</v>
      </c>
      <c r="H299" s="3">
        <v>6042070338</v>
      </c>
      <c r="I299" s="12" t="e">
        <f ca="1">VLOOKUP(D299,Input!B:M,10,0)</f>
        <v>#N/A</v>
      </c>
      <c r="J299" s="12"/>
      <c r="K299" s="12"/>
      <c r="L299" s="12"/>
      <c r="M299" s="12" t="e">
        <f ca="1">VLOOKUP(D299,Input!B:M,12,0)</f>
        <v>#N/A</v>
      </c>
      <c r="N299" s="12" t="e">
        <f ca="1">VLOOKUP(D299,Input!B:N,11,0)</f>
        <v>#N/A</v>
      </c>
      <c r="O299" s="12" t="e">
        <f ca="1">VLOOKUP(D299,Input!B:M,6,0)</f>
        <v>#N/A</v>
      </c>
      <c r="P299" s="6">
        <v>298</v>
      </c>
    </row>
    <row r="300" spans="1:16" ht="14.25">
      <c r="A300" s="13" t="str">
        <f>IFERROR(VLOOKUP($D:$D,scan!$A:$B,2,0),"**")</f>
        <v>**</v>
      </c>
      <c r="B300" s="13" t="str">
        <f>IFERROR(VLOOKUP($D300,scan!A:C,3,0),"**")</f>
        <v>**</v>
      </c>
      <c r="C300" s="14">
        <v>8</v>
      </c>
      <c r="D300" s="15"/>
      <c r="E300" s="16" t="str">
        <f t="shared" si="4"/>
        <v>299.**.</v>
      </c>
      <c r="F300" s="3" t="s">
        <v>4950</v>
      </c>
      <c r="G300" s="3" t="s">
        <v>4951</v>
      </c>
      <c r="H300" s="3">
        <v>6042070338</v>
      </c>
      <c r="I300" s="12" t="e">
        <f ca="1">VLOOKUP(D300,Input!B:M,10,0)</f>
        <v>#N/A</v>
      </c>
      <c r="J300" s="12"/>
      <c r="K300" s="12"/>
      <c r="L300" s="12"/>
      <c r="M300" s="12" t="e">
        <f ca="1">VLOOKUP(D300,Input!B:M,12,0)</f>
        <v>#N/A</v>
      </c>
      <c r="N300" s="12" t="e">
        <f ca="1">VLOOKUP(D300,Input!B:N,11,0)</f>
        <v>#N/A</v>
      </c>
      <c r="O300" s="12" t="e">
        <f ca="1">VLOOKUP(D300,Input!B:M,6,0)</f>
        <v>#N/A</v>
      </c>
      <c r="P300" s="6">
        <v>299</v>
      </c>
    </row>
    <row r="301" spans="1:16" ht="14.25">
      <c r="A301" s="13" t="str">
        <f>IFERROR(VLOOKUP($D:$D,scan!$A:$B,2,0),"**")</f>
        <v>**</v>
      </c>
      <c r="B301" s="13" t="str">
        <f>IFERROR(VLOOKUP($D301,scan!A:C,3,0),"**")</f>
        <v>**</v>
      </c>
      <c r="C301" s="14">
        <v>225</v>
      </c>
      <c r="D301" s="15"/>
      <c r="E301" s="16" t="str">
        <f t="shared" si="4"/>
        <v>300.**.</v>
      </c>
      <c r="F301" s="3" t="s">
        <v>4950</v>
      </c>
      <c r="G301" s="3" t="s">
        <v>4951</v>
      </c>
      <c r="H301" s="3">
        <v>6042070338</v>
      </c>
      <c r="I301" s="12" t="e">
        <f ca="1">VLOOKUP(D301,Input!B:M,10,0)</f>
        <v>#N/A</v>
      </c>
      <c r="J301" s="12"/>
      <c r="K301" s="12"/>
      <c r="L301" s="12"/>
      <c r="M301" s="12" t="e">
        <f ca="1">VLOOKUP(D301,Input!B:M,12,0)</f>
        <v>#N/A</v>
      </c>
      <c r="N301" s="12" t="e">
        <f ca="1">VLOOKUP(D301,Input!B:N,11,0)</f>
        <v>#N/A</v>
      </c>
      <c r="O301" s="12" t="e">
        <f ca="1">VLOOKUP(D301,Input!B:M,6,0)</f>
        <v>#N/A</v>
      </c>
      <c r="P301" s="6">
        <v>300</v>
      </c>
    </row>
    <row r="302" spans="1:16" ht="14.25">
      <c r="A302" s="13" t="str">
        <f>IFERROR(VLOOKUP($D:$D,scan!$A:$B,2,0),"**")</f>
        <v>**</v>
      </c>
      <c r="B302" s="13" t="str">
        <f>IFERROR(VLOOKUP($D302,scan!A:C,3,0),"**")</f>
        <v>**</v>
      </c>
      <c r="C302" s="14">
        <v>538</v>
      </c>
      <c r="D302" s="15"/>
      <c r="E302" s="16" t="str">
        <f t="shared" si="4"/>
        <v>301.**.</v>
      </c>
      <c r="F302" s="3" t="s">
        <v>4950</v>
      </c>
      <c r="G302" s="3" t="s">
        <v>4951</v>
      </c>
      <c r="H302" s="3">
        <v>6042070338</v>
      </c>
      <c r="I302" s="12" t="e">
        <f ca="1">VLOOKUP(D302,Input!B:M,10,0)</f>
        <v>#N/A</v>
      </c>
      <c r="J302" s="12"/>
      <c r="K302" s="12"/>
      <c r="L302" s="12"/>
      <c r="M302" s="12" t="e">
        <f ca="1">VLOOKUP(D302,Input!B:M,12,0)</f>
        <v>#N/A</v>
      </c>
      <c r="N302" s="12" t="e">
        <f ca="1">VLOOKUP(D302,Input!B:N,11,0)</f>
        <v>#N/A</v>
      </c>
      <c r="O302" s="12" t="e">
        <f ca="1">VLOOKUP(D302,Input!B:M,6,0)</f>
        <v>#N/A</v>
      </c>
      <c r="P302" s="6">
        <v>301</v>
      </c>
    </row>
    <row r="303" spans="1:16" ht="14.25">
      <c r="A303" s="13" t="str">
        <f>IFERROR(VLOOKUP($D:$D,scan!$A:$B,2,0),"**")</f>
        <v>**</v>
      </c>
      <c r="B303" s="13" t="str">
        <f>IFERROR(VLOOKUP($D303,scan!A:C,3,0),"**")</f>
        <v>**</v>
      </c>
      <c r="C303" s="14">
        <v>329</v>
      </c>
      <c r="D303" s="15"/>
      <c r="E303" s="16" t="str">
        <f t="shared" si="4"/>
        <v>302.**.</v>
      </c>
      <c r="F303" s="3" t="s">
        <v>4950</v>
      </c>
      <c r="G303" s="3" t="s">
        <v>4951</v>
      </c>
      <c r="H303" s="3">
        <v>6042070338</v>
      </c>
      <c r="I303" s="12" t="e">
        <f ca="1">VLOOKUP(D303,Input!B:M,10,0)</f>
        <v>#N/A</v>
      </c>
      <c r="J303" s="12"/>
      <c r="K303" s="12"/>
      <c r="L303" s="12"/>
      <c r="M303" s="12" t="e">
        <f ca="1">VLOOKUP(D303,Input!B:M,12,0)</f>
        <v>#N/A</v>
      </c>
      <c r="N303" s="12" t="e">
        <f ca="1">VLOOKUP(D303,Input!B:N,11,0)</f>
        <v>#N/A</v>
      </c>
      <c r="O303" s="12" t="e">
        <f ca="1">VLOOKUP(D303,Input!B:M,6,0)</f>
        <v>#N/A</v>
      </c>
      <c r="P303" s="6">
        <v>302</v>
      </c>
    </row>
    <row r="304" spans="1:16" ht="14.25">
      <c r="A304" s="13" t="str">
        <f>IFERROR(VLOOKUP($D:$D,scan!$A:$B,2,0),"**")</f>
        <v>**</v>
      </c>
      <c r="B304" s="13" t="str">
        <f>IFERROR(VLOOKUP($D304,scan!A:C,3,0),"**")</f>
        <v>**</v>
      </c>
      <c r="C304" s="14">
        <v>18</v>
      </c>
      <c r="D304" s="15"/>
      <c r="E304" s="16" t="str">
        <f t="shared" si="4"/>
        <v>303.**.</v>
      </c>
      <c r="F304" s="3" t="s">
        <v>4950</v>
      </c>
      <c r="G304" s="3" t="s">
        <v>4951</v>
      </c>
      <c r="H304" s="3">
        <v>6042070338</v>
      </c>
      <c r="I304" s="12" t="e">
        <f ca="1">VLOOKUP(D304,Input!B:M,10,0)</f>
        <v>#N/A</v>
      </c>
      <c r="J304" s="12"/>
      <c r="K304" s="12"/>
      <c r="L304" s="12"/>
      <c r="M304" s="12" t="e">
        <f ca="1">VLOOKUP(D304,Input!B:M,12,0)</f>
        <v>#N/A</v>
      </c>
      <c r="N304" s="12" t="e">
        <f ca="1">VLOOKUP(D304,Input!B:N,11,0)</f>
        <v>#N/A</v>
      </c>
      <c r="O304" s="12" t="e">
        <f ca="1">VLOOKUP(D304,Input!B:M,6,0)</f>
        <v>#N/A</v>
      </c>
      <c r="P304" s="6">
        <v>303</v>
      </c>
    </row>
    <row r="305" spans="1:16" ht="14.25">
      <c r="A305" s="13" t="str">
        <f>IFERROR(VLOOKUP($D:$D,scan!$A:$B,2,0),"**")</f>
        <v>**</v>
      </c>
      <c r="B305" s="13" t="str">
        <f>IFERROR(VLOOKUP($D305,scan!A:C,3,0),"**")</f>
        <v>**</v>
      </c>
      <c r="C305" s="14">
        <v>2</v>
      </c>
      <c r="D305" s="20"/>
      <c r="E305" s="16" t="str">
        <f t="shared" si="4"/>
        <v>304.**.</v>
      </c>
      <c r="F305" s="3" t="s">
        <v>4950</v>
      </c>
      <c r="G305" s="3" t="s">
        <v>4951</v>
      </c>
      <c r="H305" s="3">
        <v>6042070338</v>
      </c>
      <c r="I305" s="12" t="e">
        <f ca="1">VLOOKUP(D305,Input!B:M,10,0)</f>
        <v>#N/A</v>
      </c>
      <c r="J305" s="12"/>
      <c r="K305" s="12"/>
      <c r="L305" s="12"/>
      <c r="M305" s="12" t="e">
        <f ca="1">VLOOKUP(D305,Input!B:M,12,0)</f>
        <v>#N/A</v>
      </c>
      <c r="N305" s="12" t="e">
        <f ca="1">VLOOKUP(D305,Input!B:N,11,0)</f>
        <v>#N/A</v>
      </c>
      <c r="O305" s="12" t="e">
        <f ca="1">VLOOKUP(D305,Input!B:M,6,0)</f>
        <v>#N/A</v>
      </c>
      <c r="P305" s="6">
        <v>304</v>
      </c>
    </row>
    <row r="306" spans="1:16" ht="14.25">
      <c r="A306" s="13" t="str">
        <f>IFERROR(VLOOKUP($D:$D,scan!$A:$B,2,0),"**")</f>
        <v>**</v>
      </c>
      <c r="B306" s="13" t="str">
        <f>IFERROR(VLOOKUP($D306,scan!A:C,3,0),"**")</f>
        <v>**</v>
      </c>
      <c r="C306" s="14">
        <v>544</v>
      </c>
      <c r="D306" s="15"/>
      <c r="E306" s="16" t="str">
        <f t="shared" si="4"/>
        <v>305.**.</v>
      </c>
      <c r="F306" s="3" t="s">
        <v>4950</v>
      </c>
      <c r="G306" s="3" t="s">
        <v>4951</v>
      </c>
      <c r="H306" s="3">
        <v>6042070338</v>
      </c>
      <c r="I306" s="12" t="e">
        <f ca="1">VLOOKUP(D306,Input!B:M,10,0)</f>
        <v>#N/A</v>
      </c>
      <c r="J306" s="12"/>
      <c r="K306" s="12"/>
      <c r="L306" s="12"/>
      <c r="M306" s="12" t="e">
        <f ca="1">VLOOKUP(D306,Input!B:M,12,0)</f>
        <v>#N/A</v>
      </c>
      <c r="N306" s="12" t="e">
        <f ca="1">VLOOKUP(D306,Input!B:N,11,0)</f>
        <v>#N/A</v>
      </c>
      <c r="O306" s="12" t="e">
        <f ca="1">VLOOKUP(D306,Input!B:M,6,0)</f>
        <v>#N/A</v>
      </c>
      <c r="P306" s="6">
        <v>305</v>
      </c>
    </row>
    <row r="307" spans="1:16" ht="14.25">
      <c r="A307" s="13" t="str">
        <f>IFERROR(VLOOKUP($D:$D,scan!$A:$B,2,0),"**")</f>
        <v>**</v>
      </c>
      <c r="B307" s="13" t="str">
        <f>IFERROR(VLOOKUP($D307,scan!A:C,3,0),"**")</f>
        <v>**</v>
      </c>
      <c r="C307" s="14">
        <v>308</v>
      </c>
      <c r="D307" s="15"/>
      <c r="E307" s="16" t="str">
        <f t="shared" si="4"/>
        <v>306.**.</v>
      </c>
      <c r="F307" s="3" t="s">
        <v>4950</v>
      </c>
      <c r="G307" s="3" t="s">
        <v>4951</v>
      </c>
      <c r="H307" s="3">
        <v>6042070338</v>
      </c>
      <c r="I307" s="12" t="e">
        <f ca="1">VLOOKUP(D307,Input!B:M,10,0)</f>
        <v>#N/A</v>
      </c>
      <c r="J307" s="12"/>
      <c r="K307" s="12"/>
      <c r="L307" s="12"/>
      <c r="M307" s="12" t="e">
        <f ca="1">VLOOKUP(D307,Input!B:M,12,0)</f>
        <v>#N/A</v>
      </c>
      <c r="N307" s="12" t="e">
        <f ca="1">VLOOKUP(D307,Input!B:N,11,0)</f>
        <v>#N/A</v>
      </c>
      <c r="O307" s="12" t="e">
        <f ca="1">VLOOKUP(D307,Input!B:M,6,0)</f>
        <v>#N/A</v>
      </c>
      <c r="P307" s="6">
        <v>306</v>
      </c>
    </row>
    <row r="308" spans="1:16" ht="15.75">
      <c r="A308" s="13" t="str">
        <f>IFERROR(VLOOKUP($D:$D,scan!$A:$B,2,0),"**")</f>
        <v>**</v>
      </c>
      <c r="B308" s="13" t="str">
        <f>IFERROR(VLOOKUP($D308,scan!A:C,3,0),"**")</f>
        <v>**</v>
      </c>
      <c r="C308" s="14">
        <v>633</v>
      </c>
      <c r="D308" s="18"/>
      <c r="E308" s="16" t="str">
        <f t="shared" si="4"/>
        <v>307.**.</v>
      </c>
      <c r="F308" s="3" t="s">
        <v>4950</v>
      </c>
      <c r="G308" s="3" t="s">
        <v>4951</v>
      </c>
      <c r="H308" s="3">
        <v>6042070338</v>
      </c>
      <c r="I308" s="12" t="e">
        <f ca="1">VLOOKUP(D308,Input!B:M,10,0)</f>
        <v>#N/A</v>
      </c>
      <c r="J308" s="12"/>
      <c r="K308" s="12"/>
      <c r="L308" s="12"/>
      <c r="M308" s="12" t="e">
        <f ca="1">VLOOKUP(D308,Input!B:M,12,0)</f>
        <v>#N/A</v>
      </c>
      <c r="N308" s="12" t="e">
        <f ca="1">VLOOKUP(D308,Input!B:N,11,0)</f>
        <v>#N/A</v>
      </c>
      <c r="O308" s="12" t="e">
        <f ca="1">VLOOKUP(D308,Input!B:M,6,0)</f>
        <v>#N/A</v>
      </c>
      <c r="P308" s="6">
        <v>307</v>
      </c>
    </row>
    <row r="309" spans="1:16" ht="14.25">
      <c r="A309" s="13" t="str">
        <f>IFERROR(VLOOKUP($D:$D,scan!$A:$B,2,0),"**")</f>
        <v>**</v>
      </c>
      <c r="B309" s="13" t="str">
        <f>IFERROR(VLOOKUP($D309,scan!A:C,3,0),"**")</f>
        <v>**</v>
      </c>
      <c r="C309" s="14">
        <v>90</v>
      </c>
      <c r="D309" s="15"/>
      <c r="E309" s="16" t="str">
        <f t="shared" si="4"/>
        <v>308.**.</v>
      </c>
      <c r="F309" s="3" t="s">
        <v>4950</v>
      </c>
      <c r="G309" s="3" t="s">
        <v>4951</v>
      </c>
      <c r="H309" s="3">
        <v>6042070338</v>
      </c>
      <c r="I309" s="12" t="e">
        <f ca="1">VLOOKUP(D309,Input!B:M,10,0)</f>
        <v>#N/A</v>
      </c>
      <c r="J309" s="12"/>
      <c r="K309" s="12"/>
      <c r="L309" s="12"/>
      <c r="M309" s="12" t="e">
        <f ca="1">VLOOKUP(D309,Input!B:M,12,0)</f>
        <v>#N/A</v>
      </c>
      <c r="N309" s="12" t="e">
        <f ca="1">VLOOKUP(D309,Input!B:N,11,0)</f>
        <v>#N/A</v>
      </c>
      <c r="O309" s="12" t="e">
        <f ca="1">VLOOKUP(D309,Input!B:M,6,0)</f>
        <v>#N/A</v>
      </c>
      <c r="P309" s="6">
        <v>308</v>
      </c>
    </row>
    <row r="310" spans="1:16" ht="14.25">
      <c r="A310" s="13" t="str">
        <f>IFERROR(VLOOKUP($D:$D,scan!$A:$B,2,0),"**")</f>
        <v>**</v>
      </c>
      <c r="B310" s="13" t="str">
        <f>IFERROR(VLOOKUP($D310,scan!A:C,3,0),"**")</f>
        <v>**</v>
      </c>
      <c r="C310" s="14">
        <v>188</v>
      </c>
      <c r="D310" s="15"/>
      <c r="E310" s="16" t="str">
        <f t="shared" si="4"/>
        <v>309.**.</v>
      </c>
      <c r="F310" s="3" t="s">
        <v>4950</v>
      </c>
      <c r="G310" s="3" t="s">
        <v>4951</v>
      </c>
      <c r="H310" s="3">
        <v>6042070338</v>
      </c>
      <c r="I310" s="12" t="e">
        <f ca="1">VLOOKUP(D310,Input!B:M,10,0)</f>
        <v>#N/A</v>
      </c>
      <c r="J310" s="12"/>
      <c r="K310" s="12"/>
      <c r="L310" s="12"/>
      <c r="M310" s="12" t="e">
        <f ca="1">VLOOKUP(D310,Input!B:M,12,0)</f>
        <v>#N/A</v>
      </c>
      <c r="N310" s="12" t="e">
        <f ca="1">VLOOKUP(D310,Input!B:N,11,0)</f>
        <v>#N/A</v>
      </c>
      <c r="O310" s="12" t="e">
        <f ca="1">VLOOKUP(D310,Input!B:M,6,0)</f>
        <v>#N/A</v>
      </c>
      <c r="P310" s="6">
        <v>309</v>
      </c>
    </row>
    <row r="311" spans="1:16" ht="14.25">
      <c r="A311" s="13" t="str">
        <f>IFERROR(VLOOKUP($D:$D,scan!$A:$B,2,0),"**")</f>
        <v>**</v>
      </c>
      <c r="B311" s="13" t="str">
        <f>IFERROR(VLOOKUP($D311,scan!A:C,3,0),"**")</f>
        <v>**</v>
      </c>
      <c r="C311" s="5">
        <v>176</v>
      </c>
      <c r="D311" s="20"/>
      <c r="E311" s="16" t="str">
        <f t="shared" si="4"/>
        <v>310.**.</v>
      </c>
      <c r="F311" s="3" t="s">
        <v>4950</v>
      </c>
      <c r="G311" s="3" t="s">
        <v>4951</v>
      </c>
      <c r="H311" s="3">
        <v>6042070338</v>
      </c>
      <c r="I311" s="12" t="e">
        <f ca="1">VLOOKUP(D311,Input!B:M,10,0)</f>
        <v>#N/A</v>
      </c>
      <c r="J311" s="12"/>
      <c r="K311" s="12"/>
      <c r="L311" s="12"/>
      <c r="M311" s="12" t="e">
        <f ca="1">VLOOKUP(D311,Input!B:M,12,0)</f>
        <v>#N/A</v>
      </c>
      <c r="N311" s="12" t="e">
        <f ca="1">VLOOKUP(D311,Input!B:N,11,0)</f>
        <v>#N/A</v>
      </c>
      <c r="O311" s="12" t="e">
        <f ca="1">VLOOKUP(D311,Input!B:M,6,0)</f>
        <v>#N/A</v>
      </c>
      <c r="P311" s="6">
        <v>310</v>
      </c>
    </row>
    <row r="312" spans="1:16" ht="14.25">
      <c r="A312" s="13" t="str">
        <f>IFERROR(VLOOKUP($D:$D,scan!$A:$B,2,0),"**")</f>
        <v>**</v>
      </c>
      <c r="B312" s="13" t="str">
        <f>IFERROR(VLOOKUP($D312,scan!A:C,3,0),"**")</f>
        <v>**</v>
      </c>
      <c r="C312" s="14">
        <v>223</v>
      </c>
      <c r="D312" s="15"/>
      <c r="E312" s="16" t="str">
        <f t="shared" si="4"/>
        <v>311.**.</v>
      </c>
      <c r="F312" s="3" t="s">
        <v>4950</v>
      </c>
      <c r="G312" s="3" t="s">
        <v>4951</v>
      </c>
      <c r="H312" s="3">
        <v>6042070338</v>
      </c>
      <c r="I312" s="12" t="e">
        <f ca="1">VLOOKUP(D312,Input!B:M,10,0)</f>
        <v>#N/A</v>
      </c>
      <c r="J312" s="12"/>
      <c r="K312" s="12"/>
      <c r="L312" s="12"/>
      <c r="M312" s="12" t="e">
        <f ca="1">VLOOKUP(D312,Input!B:M,12,0)</f>
        <v>#N/A</v>
      </c>
      <c r="N312" s="12" t="e">
        <f ca="1">VLOOKUP(D312,Input!B:N,11,0)</f>
        <v>#N/A</v>
      </c>
      <c r="O312" s="12" t="e">
        <f ca="1">VLOOKUP(D312,Input!B:M,6,0)</f>
        <v>#N/A</v>
      </c>
      <c r="P312" s="6">
        <v>311</v>
      </c>
    </row>
    <row r="313" spans="1:16" ht="14.25">
      <c r="A313" s="13" t="str">
        <f>IFERROR(VLOOKUP($D:$D,scan!$A:$B,2,0),"**")</f>
        <v>**</v>
      </c>
      <c r="B313" s="13" t="str">
        <f>IFERROR(VLOOKUP($D313,scan!A:C,3,0),"**")</f>
        <v>**</v>
      </c>
      <c r="C313" s="14">
        <v>389</v>
      </c>
      <c r="D313" s="15"/>
      <c r="E313" s="16" t="str">
        <f t="shared" si="4"/>
        <v>312.**.</v>
      </c>
      <c r="F313" s="3" t="s">
        <v>4950</v>
      </c>
      <c r="G313" s="3" t="s">
        <v>4951</v>
      </c>
      <c r="H313" s="3">
        <v>6042070338</v>
      </c>
      <c r="I313" s="12" t="e">
        <f ca="1">VLOOKUP(D313,Input!B:M,10,0)</f>
        <v>#N/A</v>
      </c>
      <c r="J313" s="12"/>
      <c r="K313" s="12"/>
      <c r="L313" s="12"/>
      <c r="M313" s="12" t="e">
        <f ca="1">VLOOKUP(D313,Input!B:M,12,0)</f>
        <v>#N/A</v>
      </c>
      <c r="N313" s="12" t="e">
        <f ca="1">VLOOKUP(D313,Input!B:N,11,0)</f>
        <v>#N/A</v>
      </c>
      <c r="O313" s="12" t="e">
        <f ca="1">VLOOKUP(D313,Input!B:M,6,0)</f>
        <v>#N/A</v>
      </c>
      <c r="P313" s="6">
        <v>312</v>
      </c>
    </row>
    <row r="314" spans="1:16" ht="14.25">
      <c r="A314" s="13" t="str">
        <f>IFERROR(VLOOKUP($D:$D,scan!$A:$B,2,0),"**")</f>
        <v>**</v>
      </c>
      <c r="B314" s="13" t="str">
        <f>IFERROR(VLOOKUP($D314,scan!A:C,3,0),"**")</f>
        <v>**</v>
      </c>
      <c r="C314" s="14">
        <v>84</v>
      </c>
      <c r="D314" s="15"/>
      <c r="E314" s="16" t="str">
        <f t="shared" si="4"/>
        <v>313.**.</v>
      </c>
      <c r="F314" s="3" t="s">
        <v>4950</v>
      </c>
      <c r="G314" s="3" t="s">
        <v>4951</v>
      </c>
      <c r="H314" s="3">
        <v>6042070338</v>
      </c>
      <c r="I314" s="12" t="e">
        <f ca="1">VLOOKUP(D314,Input!B:M,10,0)</f>
        <v>#N/A</v>
      </c>
      <c r="J314" s="12"/>
      <c r="K314" s="12"/>
      <c r="L314" s="12"/>
      <c r="M314" s="12" t="e">
        <f ca="1">VLOOKUP(D314,Input!B:M,12,0)</f>
        <v>#N/A</v>
      </c>
      <c r="N314" s="12" t="e">
        <f ca="1">VLOOKUP(D314,Input!B:N,11,0)</f>
        <v>#N/A</v>
      </c>
      <c r="O314" s="12" t="e">
        <f ca="1">VLOOKUP(D314,Input!B:M,6,0)</f>
        <v>#N/A</v>
      </c>
      <c r="P314" s="6">
        <v>313</v>
      </c>
    </row>
    <row r="315" spans="1:16" ht="14.25">
      <c r="A315" s="13" t="str">
        <f>IFERROR(VLOOKUP($D:$D,scan!$A:$B,2,0),"**")</f>
        <v>**</v>
      </c>
      <c r="B315" s="13" t="str">
        <f>IFERROR(VLOOKUP($D315,scan!A:C,3,0),"**")</f>
        <v>**</v>
      </c>
      <c r="C315" s="14">
        <v>177</v>
      </c>
      <c r="D315" s="15"/>
      <c r="E315" s="16" t="str">
        <f t="shared" si="4"/>
        <v>314.**.</v>
      </c>
      <c r="F315" s="3" t="s">
        <v>4950</v>
      </c>
      <c r="G315" s="3" t="s">
        <v>4951</v>
      </c>
      <c r="H315" s="3">
        <v>6042070338</v>
      </c>
      <c r="I315" s="12" t="e">
        <f ca="1">VLOOKUP(D315,Input!B:M,10,0)</f>
        <v>#N/A</v>
      </c>
      <c r="J315" s="12"/>
      <c r="K315" s="12"/>
      <c r="L315" s="12"/>
      <c r="M315" s="12" t="e">
        <f ca="1">VLOOKUP(D315,Input!B:M,12,0)</f>
        <v>#N/A</v>
      </c>
      <c r="N315" s="12" t="e">
        <f ca="1">VLOOKUP(D315,Input!B:N,11,0)</f>
        <v>#N/A</v>
      </c>
      <c r="O315" s="12" t="e">
        <f ca="1">VLOOKUP(D315,Input!B:M,6,0)</f>
        <v>#N/A</v>
      </c>
      <c r="P315" s="6">
        <v>314</v>
      </c>
    </row>
    <row r="316" spans="1:16" ht="14.25">
      <c r="A316" s="13" t="str">
        <f>IFERROR(VLOOKUP($D:$D,scan!$A:$B,2,0),"**")</f>
        <v>**</v>
      </c>
      <c r="B316" s="13" t="str">
        <f>IFERROR(VLOOKUP($D316,scan!A:C,3,0),"**")</f>
        <v>**</v>
      </c>
      <c r="C316" s="14">
        <v>319</v>
      </c>
      <c r="D316" s="15"/>
      <c r="E316" s="16" t="str">
        <f t="shared" si="4"/>
        <v>315.**.</v>
      </c>
      <c r="F316" s="3" t="s">
        <v>4950</v>
      </c>
      <c r="G316" s="3" t="s">
        <v>4951</v>
      </c>
      <c r="H316" s="3">
        <v>6042070338</v>
      </c>
      <c r="I316" s="12" t="e">
        <f ca="1">VLOOKUP(D316,Input!B:M,10,0)</f>
        <v>#N/A</v>
      </c>
      <c r="J316" s="12"/>
      <c r="K316" s="12"/>
      <c r="L316" s="12"/>
      <c r="M316" s="12" t="e">
        <f ca="1">VLOOKUP(D316,Input!B:M,12,0)</f>
        <v>#N/A</v>
      </c>
      <c r="N316" s="12" t="e">
        <f ca="1">VLOOKUP(D316,Input!B:N,11,0)</f>
        <v>#N/A</v>
      </c>
      <c r="O316" s="12" t="e">
        <f ca="1">VLOOKUP(D316,Input!B:M,6,0)</f>
        <v>#N/A</v>
      </c>
      <c r="P316" s="6">
        <v>315</v>
      </c>
    </row>
    <row r="317" spans="1:16" ht="14.25">
      <c r="A317" s="13" t="str">
        <f>IFERROR(VLOOKUP($D:$D,scan!$A:$B,2,0),"**")</f>
        <v>**</v>
      </c>
      <c r="B317" s="13" t="str">
        <f>IFERROR(VLOOKUP($D317,scan!A:C,3,0),"**")</f>
        <v>**</v>
      </c>
      <c r="C317" s="5">
        <v>541</v>
      </c>
      <c r="D317" s="15"/>
      <c r="E317" s="16" t="str">
        <f t="shared" si="4"/>
        <v>316.**.</v>
      </c>
      <c r="F317" s="3" t="s">
        <v>4950</v>
      </c>
      <c r="G317" s="3" t="s">
        <v>4951</v>
      </c>
      <c r="H317" s="3">
        <v>6042070338</v>
      </c>
      <c r="I317" s="12" t="e">
        <f ca="1">VLOOKUP(D317,Input!B:M,10,0)</f>
        <v>#N/A</v>
      </c>
      <c r="J317" s="12"/>
      <c r="K317" s="12"/>
      <c r="L317" s="12"/>
      <c r="M317" s="12" t="e">
        <f ca="1">VLOOKUP(D317,Input!B:M,12,0)</f>
        <v>#N/A</v>
      </c>
      <c r="N317" s="12" t="e">
        <f ca="1">VLOOKUP(D317,Input!B:N,11,0)</f>
        <v>#N/A</v>
      </c>
      <c r="O317" s="12" t="e">
        <f ca="1">VLOOKUP(D317,Input!B:M,6,0)</f>
        <v>#N/A</v>
      </c>
      <c r="P317" s="6">
        <v>316</v>
      </c>
    </row>
    <row r="318" spans="1:16" ht="14.25">
      <c r="A318" s="13" t="str">
        <f>IFERROR(VLOOKUP($D:$D,scan!$A:$B,2,0),"**")</f>
        <v>**</v>
      </c>
      <c r="B318" s="13" t="str">
        <f>IFERROR(VLOOKUP($D318,scan!A:C,3,0),"**")</f>
        <v>**</v>
      </c>
      <c r="C318" s="14">
        <v>387</v>
      </c>
      <c r="D318" s="15"/>
      <c r="E318" s="16" t="str">
        <f t="shared" si="4"/>
        <v>317.**.</v>
      </c>
      <c r="F318" s="3" t="s">
        <v>4950</v>
      </c>
      <c r="G318" s="3" t="s">
        <v>4951</v>
      </c>
      <c r="H318" s="3">
        <v>6042070338</v>
      </c>
      <c r="I318" s="12" t="e">
        <f ca="1">VLOOKUP(D318,Input!B:M,10,0)</f>
        <v>#N/A</v>
      </c>
      <c r="J318" s="12"/>
      <c r="K318" s="12"/>
      <c r="L318" s="12"/>
      <c r="M318" s="12" t="e">
        <f ca="1">VLOOKUP(D318,Input!B:M,12,0)</f>
        <v>#N/A</v>
      </c>
      <c r="N318" s="12" t="e">
        <f ca="1">VLOOKUP(D318,Input!B:N,11,0)</f>
        <v>#N/A</v>
      </c>
      <c r="O318" s="12" t="e">
        <f ca="1">VLOOKUP(D318,Input!B:M,6,0)</f>
        <v>#N/A</v>
      </c>
      <c r="P318" s="6">
        <v>317</v>
      </c>
    </row>
    <row r="319" spans="1:16" ht="14.25">
      <c r="A319" s="13" t="str">
        <f>IFERROR(VLOOKUP($D:$D,scan!$A:$B,2,0),"**")</f>
        <v>**</v>
      </c>
      <c r="B319" s="13" t="str">
        <f>IFERROR(VLOOKUP($D319,scan!A:C,3,0),"**")</f>
        <v>**</v>
      </c>
      <c r="C319" s="14">
        <v>482</v>
      </c>
      <c r="D319" s="20"/>
      <c r="E319" s="16" t="str">
        <f t="shared" si="4"/>
        <v>318.**.</v>
      </c>
      <c r="F319" s="3" t="s">
        <v>4950</v>
      </c>
      <c r="G319" s="3" t="s">
        <v>4951</v>
      </c>
      <c r="H319" s="3">
        <v>6042070338</v>
      </c>
      <c r="I319" s="12" t="e">
        <f ca="1">VLOOKUP(D319,Input!B:M,10,0)</f>
        <v>#N/A</v>
      </c>
      <c r="J319" s="12"/>
      <c r="K319" s="12"/>
      <c r="L319" s="12"/>
      <c r="M319" s="12" t="e">
        <f ca="1">VLOOKUP(D319,Input!B:M,12,0)</f>
        <v>#N/A</v>
      </c>
      <c r="N319" s="12" t="e">
        <f ca="1">VLOOKUP(D319,Input!B:N,11,0)</f>
        <v>#N/A</v>
      </c>
      <c r="O319" s="12" t="e">
        <f ca="1">VLOOKUP(D319,Input!B:M,6,0)</f>
        <v>#N/A</v>
      </c>
      <c r="P319" s="6">
        <v>318</v>
      </c>
    </row>
    <row r="320" spans="1:16" ht="14.25">
      <c r="A320" s="13" t="str">
        <f>IFERROR(VLOOKUP($D:$D,scan!$A:$B,2,0),"**")</f>
        <v>**</v>
      </c>
      <c r="B320" s="13" t="str">
        <f>IFERROR(VLOOKUP($D320,scan!A:C,3,0),"**")</f>
        <v>**</v>
      </c>
      <c r="C320" s="14">
        <v>63</v>
      </c>
      <c r="D320" s="15"/>
      <c r="E320" s="16" t="str">
        <f t="shared" si="4"/>
        <v>319.**.</v>
      </c>
      <c r="F320" s="3" t="s">
        <v>4950</v>
      </c>
      <c r="G320" s="3" t="s">
        <v>4951</v>
      </c>
      <c r="H320" s="3">
        <v>6042070338</v>
      </c>
      <c r="I320" s="12" t="e">
        <f ca="1">VLOOKUP(D320,Input!B:M,10,0)</f>
        <v>#N/A</v>
      </c>
      <c r="J320" s="12"/>
      <c r="K320" s="12"/>
      <c r="L320" s="12"/>
      <c r="M320" s="12" t="e">
        <f ca="1">VLOOKUP(D320,Input!B:M,12,0)</f>
        <v>#N/A</v>
      </c>
      <c r="N320" s="12" t="e">
        <f ca="1">VLOOKUP(D320,Input!B:N,11,0)</f>
        <v>#N/A</v>
      </c>
      <c r="O320" s="12" t="e">
        <f ca="1">VLOOKUP(D320,Input!B:M,6,0)</f>
        <v>#N/A</v>
      </c>
      <c r="P320" s="6">
        <v>319</v>
      </c>
    </row>
    <row r="321" spans="1:16" ht="14.25">
      <c r="A321" s="13" t="str">
        <f>IFERROR(VLOOKUP($D:$D,scan!$A:$B,2,0),"**")</f>
        <v>**</v>
      </c>
      <c r="B321" s="13" t="str">
        <f>IFERROR(VLOOKUP($D321,scan!A:C,3,0),"**")</f>
        <v>**</v>
      </c>
      <c r="C321" s="14">
        <v>70</v>
      </c>
      <c r="D321" s="15"/>
      <c r="E321" s="16" t="str">
        <f t="shared" si="4"/>
        <v>320.**.</v>
      </c>
      <c r="F321" s="3" t="s">
        <v>4950</v>
      </c>
      <c r="G321" s="3" t="s">
        <v>4951</v>
      </c>
      <c r="H321" s="3">
        <v>6042070338</v>
      </c>
      <c r="I321" s="12" t="e">
        <f ca="1">VLOOKUP(D321,Input!B:M,10,0)</f>
        <v>#N/A</v>
      </c>
      <c r="J321" s="12"/>
      <c r="K321" s="12"/>
      <c r="L321" s="12"/>
      <c r="M321" s="12" t="e">
        <f ca="1">VLOOKUP(D321,Input!B:M,12,0)</f>
        <v>#N/A</v>
      </c>
      <c r="N321" s="12" t="e">
        <f ca="1">VLOOKUP(D321,Input!B:N,11,0)</f>
        <v>#N/A</v>
      </c>
      <c r="O321" s="12" t="e">
        <f ca="1">VLOOKUP(D321,Input!B:M,6,0)</f>
        <v>#N/A</v>
      </c>
      <c r="P321" s="6">
        <v>320</v>
      </c>
    </row>
    <row r="322" spans="1:16" ht="14.25">
      <c r="A322" s="13" t="str">
        <f>IFERROR(VLOOKUP($D:$D,scan!$A:$B,2,0),"**")</f>
        <v>**</v>
      </c>
      <c r="B322" s="13" t="str">
        <f>IFERROR(VLOOKUP($D322,scan!A:C,3,0),"**")</f>
        <v>**</v>
      </c>
      <c r="C322" s="14">
        <v>392</v>
      </c>
      <c r="D322" s="15"/>
      <c r="E322" s="16" t="str">
        <f t="shared" ref="E322:E385" si="5">P322&amp;"."&amp;B322&amp;"."&amp;D322</f>
        <v>321.**.</v>
      </c>
      <c r="F322" s="3" t="s">
        <v>4950</v>
      </c>
      <c r="G322" s="3" t="s">
        <v>4951</v>
      </c>
      <c r="H322" s="3">
        <v>6042070338</v>
      </c>
      <c r="I322" s="12" t="e">
        <f ca="1">VLOOKUP(D322,Input!B:M,10,0)</f>
        <v>#N/A</v>
      </c>
      <c r="J322" s="12"/>
      <c r="K322" s="12"/>
      <c r="L322" s="12"/>
      <c r="M322" s="12" t="e">
        <f ca="1">VLOOKUP(D322,Input!B:M,12,0)</f>
        <v>#N/A</v>
      </c>
      <c r="N322" s="12" t="e">
        <f ca="1">VLOOKUP(D322,Input!B:N,11,0)</f>
        <v>#N/A</v>
      </c>
      <c r="O322" s="12" t="e">
        <f ca="1">VLOOKUP(D322,Input!B:M,6,0)</f>
        <v>#N/A</v>
      </c>
      <c r="P322" s="6">
        <v>321</v>
      </c>
    </row>
    <row r="323" spans="1:16" ht="14.25">
      <c r="A323" s="13" t="str">
        <f>IFERROR(VLOOKUP($D:$D,scan!$A:$B,2,0),"**")</f>
        <v>**</v>
      </c>
      <c r="B323" s="13" t="str">
        <f>IFERROR(VLOOKUP($D323,scan!A:C,3,0),"**")</f>
        <v>**</v>
      </c>
      <c r="C323" s="14">
        <v>82</v>
      </c>
      <c r="D323" s="15"/>
      <c r="E323" s="16" t="str">
        <f t="shared" si="5"/>
        <v>322.**.</v>
      </c>
      <c r="F323" s="3" t="s">
        <v>4950</v>
      </c>
      <c r="G323" s="3" t="s">
        <v>4951</v>
      </c>
      <c r="H323" s="3">
        <v>6042070338</v>
      </c>
      <c r="I323" s="12" t="e">
        <f ca="1">VLOOKUP(D323,Input!B:M,10,0)</f>
        <v>#N/A</v>
      </c>
      <c r="J323" s="12"/>
      <c r="K323" s="12"/>
      <c r="L323" s="12"/>
      <c r="M323" s="12" t="e">
        <f ca="1">VLOOKUP(D323,Input!B:M,12,0)</f>
        <v>#N/A</v>
      </c>
      <c r="N323" s="12" t="e">
        <f ca="1">VLOOKUP(D323,Input!B:N,11,0)</f>
        <v>#N/A</v>
      </c>
      <c r="O323" s="12" t="e">
        <f ca="1">VLOOKUP(D323,Input!B:M,6,0)</f>
        <v>#N/A</v>
      </c>
      <c r="P323" s="6">
        <v>322</v>
      </c>
    </row>
    <row r="324" spans="1:16" ht="14.25">
      <c r="A324" s="13" t="str">
        <f>IFERROR(VLOOKUP($D:$D,scan!$A:$B,2,0),"**")</f>
        <v>**</v>
      </c>
      <c r="B324" s="13" t="str">
        <f>IFERROR(VLOOKUP($D324,scan!A:C,3,0),"**")</f>
        <v>**</v>
      </c>
      <c r="C324" s="14">
        <v>364</v>
      </c>
      <c r="D324" s="20"/>
      <c r="E324" s="16" t="str">
        <f t="shared" si="5"/>
        <v>323.**.</v>
      </c>
      <c r="F324" s="3" t="s">
        <v>4950</v>
      </c>
      <c r="G324" s="3" t="s">
        <v>4951</v>
      </c>
      <c r="H324" s="3">
        <v>6042070338</v>
      </c>
      <c r="I324" s="12" t="e">
        <f ca="1">VLOOKUP(D324,Input!B:M,10,0)</f>
        <v>#N/A</v>
      </c>
      <c r="J324" s="12"/>
      <c r="K324" s="12"/>
      <c r="L324" s="12"/>
      <c r="M324" s="12" t="e">
        <f ca="1">VLOOKUP(D324,Input!B:M,12,0)</f>
        <v>#N/A</v>
      </c>
      <c r="N324" s="12" t="e">
        <f ca="1">VLOOKUP(D324,Input!B:N,11,0)</f>
        <v>#N/A</v>
      </c>
      <c r="O324" s="12" t="e">
        <f ca="1">VLOOKUP(D324,Input!B:M,6,0)</f>
        <v>#N/A</v>
      </c>
      <c r="P324" s="6">
        <v>323</v>
      </c>
    </row>
    <row r="325" spans="1:16" ht="14.25">
      <c r="A325" s="13" t="str">
        <f>IFERROR(VLOOKUP($D:$D,scan!$A:$B,2,0),"**")</f>
        <v>**</v>
      </c>
      <c r="B325" s="13" t="str">
        <f>IFERROR(VLOOKUP($D325,scan!A:C,3,0),"**")</f>
        <v>**</v>
      </c>
      <c r="C325" s="14">
        <v>604</v>
      </c>
      <c r="D325" s="15"/>
      <c r="E325" s="16" t="str">
        <f t="shared" si="5"/>
        <v>324.**.</v>
      </c>
      <c r="F325" s="3" t="s">
        <v>4950</v>
      </c>
      <c r="G325" s="3" t="s">
        <v>4951</v>
      </c>
      <c r="H325" s="3">
        <v>6042070338</v>
      </c>
      <c r="I325" s="12" t="e">
        <f ca="1">VLOOKUP(D325,Input!B:M,10,0)</f>
        <v>#N/A</v>
      </c>
      <c r="J325" s="12"/>
      <c r="K325" s="12"/>
      <c r="L325" s="12"/>
      <c r="M325" s="12" t="e">
        <f ca="1">VLOOKUP(D325,Input!B:M,12,0)</f>
        <v>#N/A</v>
      </c>
      <c r="N325" s="12" t="e">
        <f ca="1">VLOOKUP(D325,Input!B:N,11,0)</f>
        <v>#N/A</v>
      </c>
      <c r="O325" s="12" t="e">
        <f ca="1">VLOOKUP(D325,Input!B:M,6,0)</f>
        <v>#N/A</v>
      </c>
      <c r="P325" s="6">
        <v>324</v>
      </c>
    </row>
    <row r="326" spans="1:16" ht="14.25">
      <c r="A326" s="13" t="str">
        <f>IFERROR(VLOOKUP($D:$D,scan!$A:$B,2,0),"**")</f>
        <v>**</v>
      </c>
      <c r="B326" s="13" t="str">
        <f>IFERROR(VLOOKUP($D326,scan!A:C,3,0),"**")</f>
        <v>**</v>
      </c>
      <c r="C326" s="14">
        <v>539</v>
      </c>
      <c r="D326" s="15"/>
      <c r="E326" s="16" t="str">
        <f t="shared" si="5"/>
        <v>325.**.</v>
      </c>
      <c r="F326" s="3" t="s">
        <v>4950</v>
      </c>
      <c r="G326" s="3" t="s">
        <v>4951</v>
      </c>
      <c r="H326" s="3">
        <v>6042070338</v>
      </c>
      <c r="I326" s="12" t="e">
        <f ca="1">VLOOKUP(D326,Input!B:M,10,0)</f>
        <v>#N/A</v>
      </c>
      <c r="J326" s="12"/>
      <c r="K326" s="12"/>
      <c r="L326" s="12"/>
      <c r="M326" s="12" t="e">
        <f ca="1">VLOOKUP(D326,Input!B:M,12,0)</f>
        <v>#N/A</v>
      </c>
      <c r="N326" s="12" t="e">
        <f ca="1">VLOOKUP(D326,Input!B:N,11,0)</f>
        <v>#N/A</v>
      </c>
      <c r="O326" s="12" t="e">
        <f ca="1">VLOOKUP(D326,Input!B:M,6,0)</f>
        <v>#N/A</v>
      </c>
      <c r="P326" s="6">
        <v>325</v>
      </c>
    </row>
    <row r="327" spans="1:16" ht="14.25">
      <c r="A327" s="13" t="str">
        <f>IFERROR(VLOOKUP($D:$D,scan!$A:$B,2,0),"**")</f>
        <v>**</v>
      </c>
      <c r="B327" s="13" t="str">
        <f>IFERROR(VLOOKUP($D327,scan!A:C,3,0),"**")</f>
        <v>**</v>
      </c>
      <c r="C327" s="14">
        <v>543</v>
      </c>
      <c r="D327" s="15"/>
      <c r="E327" s="16" t="str">
        <f t="shared" si="5"/>
        <v>326.**.</v>
      </c>
      <c r="F327" s="3" t="s">
        <v>4950</v>
      </c>
      <c r="G327" s="3" t="s">
        <v>4951</v>
      </c>
      <c r="H327" s="3">
        <v>6042070338</v>
      </c>
      <c r="I327" s="12" t="e">
        <f ca="1">VLOOKUP(D327,Input!B:M,10,0)</f>
        <v>#N/A</v>
      </c>
      <c r="J327" s="12"/>
      <c r="K327" s="12"/>
      <c r="L327" s="12"/>
      <c r="M327" s="12" t="e">
        <f ca="1">VLOOKUP(D327,Input!B:M,12,0)</f>
        <v>#N/A</v>
      </c>
      <c r="N327" s="12" t="e">
        <f ca="1">VLOOKUP(D327,Input!B:N,11,0)</f>
        <v>#N/A</v>
      </c>
      <c r="O327" s="12" t="e">
        <f ca="1">VLOOKUP(D327,Input!B:M,6,0)</f>
        <v>#N/A</v>
      </c>
      <c r="P327" s="6">
        <v>326</v>
      </c>
    </row>
    <row r="328" spans="1:16" ht="14.25">
      <c r="A328" s="13" t="str">
        <f>IFERROR(VLOOKUP($D:$D,scan!$A:$B,2,0),"**")</f>
        <v>**</v>
      </c>
      <c r="B328" s="13" t="str">
        <f>IFERROR(VLOOKUP($D328,scan!A:C,3,0),"**")</f>
        <v>**</v>
      </c>
      <c r="C328" s="14">
        <v>325</v>
      </c>
      <c r="D328" s="15"/>
      <c r="E328" s="16" t="str">
        <f t="shared" si="5"/>
        <v>327.**.</v>
      </c>
      <c r="F328" s="3" t="s">
        <v>4950</v>
      </c>
      <c r="G328" s="3" t="s">
        <v>4951</v>
      </c>
      <c r="H328" s="3">
        <v>6042070338</v>
      </c>
      <c r="I328" s="12" t="e">
        <f ca="1">VLOOKUP(D328,Input!B:M,10,0)</f>
        <v>#N/A</v>
      </c>
      <c r="J328" s="12"/>
      <c r="K328" s="12"/>
      <c r="L328" s="12"/>
      <c r="M328" s="12" t="e">
        <f ca="1">VLOOKUP(D328,Input!B:M,12,0)</f>
        <v>#N/A</v>
      </c>
      <c r="N328" s="12" t="e">
        <f ca="1">VLOOKUP(D328,Input!B:N,11,0)</f>
        <v>#N/A</v>
      </c>
      <c r="O328" s="12" t="e">
        <f ca="1">VLOOKUP(D328,Input!B:M,6,0)</f>
        <v>#N/A</v>
      </c>
      <c r="P328" s="6">
        <v>327</v>
      </c>
    </row>
    <row r="329" spans="1:16" ht="14.25">
      <c r="A329" s="13" t="str">
        <f>IFERROR(VLOOKUP($D:$D,scan!$A:$B,2,0),"**")</f>
        <v>**</v>
      </c>
      <c r="B329" s="13" t="str">
        <f>IFERROR(VLOOKUP($D329,scan!A:C,3,0),"**")</f>
        <v>**</v>
      </c>
      <c r="C329" s="5">
        <v>321</v>
      </c>
      <c r="D329" s="15"/>
      <c r="E329" s="16" t="str">
        <f t="shared" si="5"/>
        <v>328.**.</v>
      </c>
      <c r="F329" s="3" t="s">
        <v>4950</v>
      </c>
      <c r="G329" s="3" t="s">
        <v>4951</v>
      </c>
      <c r="H329" s="3">
        <v>6042070338</v>
      </c>
      <c r="I329" s="12" t="e">
        <f ca="1">VLOOKUP(D329,Input!B:M,10,0)</f>
        <v>#N/A</v>
      </c>
      <c r="J329" s="12"/>
      <c r="K329" s="12"/>
      <c r="L329" s="12"/>
      <c r="M329" s="12" t="e">
        <f ca="1">VLOOKUP(D329,Input!B:M,12,0)</f>
        <v>#N/A</v>
      </c>
      <c r="N329" s="12" t="e">
        <f ca="1">VLOOKUP(D329,Input!B:N,11,0)</f>
        <v>#N/A</v>
      </c>
      <c r="O329" s="12" t="e">
        <f ca="1">VLOOKUP(D329,Input!B:M,6,0)</f>
        <v>#N/A</v>
      </c>
      <c r="P329" s="6">
        <v>328</v>
      </c>
    </row>
    <row r="330" spans="1:16" ht="14.25">
      <c r="A330" s="13" t="str">
        <f>IFERROR(VLOOKUP($D:$D,scan!$A:$B,2,0),"**")</f>
        <v>**</v>
      </c>
      <c r="B330" s="13" t="str">
        <f>IFERROR(VLOOKUP($D330,scan!A:C,3,0),"**")</f>
        <v>**</v>
      </c>
      <c r="C330" s="5">
        <v>525</v>
      </c>
      <c r="D330" s="15"/>
      <c r="E330" s="16" t="str">
        <f t="shared" si="5"/>
        <v>329.**.</v>
      </c>
      <c r="F330" s="3" t="s">
        <v>4950</v>
      </c>
      <c r="G330" s="3" t="s">
        <v>4951</v>
      </c>
      <c r="H330" s="3">
        <v>6042070338</v>
      </c>
      <c r="I330" s="12" t="e">
        <f ca="1">VLOOKUP(D330,Input!B:M,10,0)</f>
        <v>#N/A</v>
      </c>
      <c r="J330" s="12"/>
      <c r="K330" s="12"/>
      <c r="L330" s="12"/>
      <c r="M330" s="12" t="e">
        <f ca="1">VLOOKUP(D330,Input!B:M,12,0)</f>
        <v>#N/A</v>
      </c>
      <c r="N330" s="12" t="e">
        <f ca="1">VLOOKUP(D330,Input!B:N,11,0)</f>
        <v>#N/A</v>
      </c>
      <c r="O330" s="12" t="e">
        <f ca="1">VLOOKUP(D330,Input!B:M,6,0)</f>
        <v>#N/A</v>
      </c>
      <c r="P330" s="6">
        <v>329</v>
      </c>
    </row>
    <row r="331" spans="1:16" ht="14.25">
      <c r="A331" s="13" t="str">
        <f>IFERROR(VLOOKUP($D:$D,scan!$A:$B,2,0),"**")</f>
        <v>**</v>
      </c>
      <c r="B331" s="13" t="str">
        <f>IFERROR(VLOOKUP($D331,scan!A:C,3,0),"**")</f>
        <v>**</v>
      </c>
      <c r="C331" s="14">
        <v>375</v>
      </c>
      <c r="D331" s="15"/>
      <c r="E331" s="16" t="str">
        <f t="shared" si="5"/>
        <v>330.**.</v>
      </c>
      <c r="F331" s="3" t="s">
        <v>4950</v>
      </c>
      <c r="G331" s="3" t="s">
        <v>4951</v>
      </c>
      <c r="H331" s="3">
        <v>6042070338</v>
      </c>
      <c r="I331" s="12" t="e">
        <f ca="1">VLOOKUP(D331,Input!B:M,10,0)</f>
        <v>#N/A</v>
      </c>
      <c r="J331" s="12"/>
      <c r="K331" s="12"/>
      <c r="L331" s="12"/>
      <c r="M331" s="12" t="e">
        <f ca="1">VLOOKUP(D331,Input!B:M,12,0)</f>
        <v>#N/A</v>
      </c>
      <c r="N331" s="12" t="e">
        <f ca="1">VLOOKUP(D331,Input!B:N,11,0)</f>
        <v>#N/A</v>
      </c>
      <c r="O331" s="12" t="e">
        <f ca="1">VLOOKUP(D331,Input!B:M,6,0)</f>
        <v>#N/A</v>
      </c>
      <c r="P331" s="6">
        <v>330</v>
      </c>
    </row>
    <row r="332" spans="1:16" ht="14.25">
      <c r="A332" s="13" t="str">
        <f>IFERROR(VLOOKUP($D:$D,scan!$A:$B,2,0),"**")</f>
        <v>**</v>
      </c>
      <c r="B332" s="13" t="str">
        <f>IFERROR(VLOOKUP($D332,scan!A:C,3,0),"**")</f>
        <v>**</v>
      </c>
      <c r="C332" s="14">
        <v>9</v>
      </c>
      <c r="D332" s="15"/>
      <c r="E332" s="16" t="str">
        <f t="shared" si="5"/>
        <v>331.**.</v>
      </c>
      <c r="F332" s="3" t="s">
        <v>4950</v>
      </c>
      <c r="G332" s="3" t="s">
        <v>4951</v>
      </c>
      <c r="H332" s="3">
        <v>6042070338</v>
      </c>
      <c r="I332" s="12" t="e">
        <f ca="1">VLOOKUP(D332,Input!B:M,10,0)</f>
        <v>#N/A</v>
      </c>
      <c r="J332" s="12"/>
      <c r="K332" s="12"/>
      <c r="L332" s="12"/>
      <c r="M332" s="12" t="e">
        <f ca="1">VLOOKUP(D332,Input!B:M,12,0)</f>
        <v>#N/A</v>
      </c>
      <c r="N332" s="12" t="e">
        <f ca="1">VLOOKUP(D332,Input!B:N,11,0)</f>
        <v>#N/A</v>
      </c>
      <c r="O332" s="12" t="e">
        <f ca="1">VLOOKUP(D332,Input!B:M,6,0)</f>
        <v>#N/A</v>
      </c>
      <c r="P332" s="6">
        <v>331</v>
      </c>
    </row>
    <row r="333" spans="1:16" ht="14.25">
      <c r="A333" s="13" t="str">
        <f>IFERROR(VLOOKUP($D:$D,scan!$A:$B,2,0),"**")</f>
        <v>**</v>
      </c>
      <c r="B333" s="13" t="str">
        <f>IFERROR(VLOOKUP($D333,scan!A:C,3,0),"**")</f>
        <v>**</v>
      </c>
      <c r="C333" s="14">
        <v>400</v>
      </c>
      <c r="D333" s="15"/>
      <c r="E333" s="16" t="str">
        <f t="shared" si="5"/>
        <v>332.**.</v>
      </c>
      <c r="F333" s="3" t="s">
        <v>4950</v>
      </c>
      <c r="G333" s="3" t="s">
        <v>4951</v>
      </c>
      <c r="H333" s="3">
        <v>6042070338</v>
      </c>
      <c r="I333" s="12" t="e">
        <f ca="1">VLOOKUP(D333,Input!B:M,10,0)</f>
        <v>#N/A</v>
      </c>
      <c r="J333" s="12"/>
      <c r="K333" s="12"/>
      <c r="L333" s="12"/>
      <c r="M333" s="12" t="e">
        <f ca="1">VLOOKUP(D333,Input!B:M,12,0)</f>
        <v>#N/A</v>
      </c>
      <c r="N333" s="12" t="e">
        <f ca="1">VLOOKUP(D333,Input!B:N,11,0)</f>
        <v>#N/A</v>
      </c>
      <c r="O333" s="12" t="e">
        <f ca="1">VLOOKUP(D333,Input!B:M,6,0)</f>
        <v>#N/A</v>
      </c>
      <c r="P333" s="6">
        <v>332</v>
      </c>
    </row>
    <row r="334" spans="1:16" ht="14.25">
      <c r="A334" s="13" t="str">
        <f>IFERROR(VLOOKUP($D:$D,scan!$A:$B,2,0),"**")</f>
        <v>**</v>
      </c>
      <c r="B334" s="13" t="str">
        <f>IFERROR(VLOOKUP($D334,scan!A:C,3,0),"**")</f>
        <v>**</v>
      </c>
      <c r="C334" s="14">
        <v>60</v>
      </c>
      <c r="D334" s="15"/>
      <c r="E334" s="16" t="str">
        <f t="shared" si="5"/>
        <v>333.**.</v>
      </c>
      <c r="F334" s="3" t="s">
        <v>4950</v>
      </c>
      <c r="G334" s="3" t="s">
        <v>4951</v>
      </c>
      <c r="H334" s="3">
        <v>6042070338</v>
      </c>
      <c r="I334" s="12" t="e">
        <f ca="1">VLOOKUP(D334,Input!B:M,10,0)</f>
        <v>#N/A</v>
      </c>
      <c r="J334" s="12"/>
      <c r="K334" s="12"/>
      <c r="L334" s="12"/>
      <c r="M334" s="12" t="e">
        <f ca="1">VLOOKUP(D334,Input!B:M,12,0)</f>
        <v>#N/A</v>
      </c>
      <c r="N334" s="12" t="e">
        <f ca="1">VLOOKUP(D334,Input!B:N,11,0)</f>
        <v>#N/A</v>
      </c>
      <c r="O334" s="12" t="e">
        <f ca="1">VLOOKUP(D334,Input!B:M,6,0)</f>
        <v>#N/A</v>
      </c>
      <c r="P334" s="6">
        <v>333</v>
      </c>
    </row>
    <row r="335" spans="1:16" ht="14.25">
      <c r="A335" s="13" t="str">
        <f>IFERROR(VLOOKUP($D:$D,scan!$A:$B,2,0),"**")</f>
        <v>**</v>
      </c>
      <c r="B335" s="13" t="str">
        <f>IFERROR(VLOOKUP($D335,scan!A:C,3,0),"**")</f>
        <v>**</v>
      </c>
      <c r="C335" s="5">
        <v>489</v>
      </c>
      <c r="D335" s="15"/>
      <c r="E335" s="16" t="str">
        <f t="shared" si="5"/>
        <v>334.**.</v>
      </c>
      <c r="F335" s="3" t="s">
        <v>4950</v>
      </c>
      <c r="G335" s="3" t="s">
        <v>4951</v>
      </c>
      <c r="H335" s="3">
        <v>6042070338</v>
      </c>
      <c r="I335" s="12" t="e">
        <f ca="1">VLOOKUP(D335,Input!B:M,10,0)</f>
        <v>#N/A</v>
      </c>
      <c r="J335" s="12"/>
      <c r="K335" s="12"/>
      <c r="L335" s="12"/>
      <c r="M335" s="12" t="e">
        <f ca="1">VLOOKUP(D335,Input!B:M,12,0)</f>
        <v>#N/A</v>
      </c>
      <c r="N335" s="12" t="e">
        <f ca="1">VLOOKUP(D335,Input!B:N,11,0)</f>
        <v>#N/A</v>
      </c>
      <c r="O335" s="12" t="e">
        <f ca="1">VLOOKUP(D335,Input!B:M,6,0)</f>
        <v>#N/A</v>
      </c>
      <c r="P335" s="6">
        <v>334</v>
      </c>
    </row>
    <row r="336" spans="1:16" ht="14.25">
      <c r="A336" s="13" t="str">
        <f>IFERROR(VLOOKUP($D:$D,scan!$A:$B,2,0),"**")</f>
        <v>**</v>
      </c>
      <c r="B336" s="13" t="str">
        <f>IFERROR(VLOOKUP($D336,scan!A:C,3,0),"**")</f>
        <v>**</v>
      </c>
      <c r="C336" s="5">
        <v>26</v>
      </c>
      <c r="D336" s="15"/>
      <c r="E336" s="16" t="str">
        <f t="shared" si="5"/>
        <v>335.**.</v>
      </c>
      <c r="F336" s="3" t="s">
        <v>4950</v>
      </c>
      <c r="G336" s="3" t="s">
        <v>4951</v>
      </c>
      <c r="H336" s="3">
        <v>6042070338</v>
      </c>
      <c r="I336" s="12" t="e">
        <f ca="1">VLOOKUP(D336,Input!B:M,10,0)</f>
        <v>#N/A</v>
      </c>
      <c r="J336" s="12"/>
      <c r="K336" s="12"/>
      <c r="L336" s="12"/>
      <c r="M336" s="12" t="e">
        <f ca="1">VLOOKUP(D336,Input!B:M,12,0)</f>
        <v>#N/A</v>
      </c>
      <c r="N336" s="12" t="e">
        <f ca="1">VLOOKUP(D336,Input!B:N,11,0)</f>
        <v>#N/A</v>
      </c>
      <c r="O336" s="12" t="e">
        <f ca="1">VLOOKUP(D336,Input!B:M,6,0)</f>
        <v>#N/A</v>
      </c>
      <c r="P336" s="6">
        <v>335</v>
      </c>
    </row>
    <row r="337" spans="1:16" ht="14.25">
      <c r="A337" s="13" t="str">
        <f>IFERROR(VLOOKUP($D:$D,scan!$A:$B,2,0),"**")</f>
        <v>**</v>
      </c>
      <c r="B337" s="13" t="str">
        <f>IFERROR(VLOOKUP($D337,scan!A:C,3,0),"**")</f>
        <v>**</v>
      </c>
      <c r="C337" s="14">
        <v>373</v>
      </c>
      <c r="D337" s="15"/>
      <c r="E337" s="16" t="str">
        <f t="shared" si="5"/>
        <v>336.**.</v>
      </c>
      <c r="F337" s="3" t="s">
        <v>4950</v>
      </c>
      <c r="G337" s="3" t="s">
        <v>4951</v>
      </c>
      <c r="H337" s="3">
        <v>6042070338</v>
      </c>
      <c r="I337" s="12" t="e">
        <f ca="1">VLOOKUP(D337,Input!B:M,10,0)</f>
        <v>#N/A</v>
      </c>
      <c r="J337" s="12"/>
      <c r="K337" s="12"/>
      <c r="L337" s="12"/>
      <c r="M337" s="12" t="e">
        <f ca="1">VLOOKUP(D337,Input!B:M,12,0)</f>
        <v>#N/A</v>
      </c>
      <c r="N337" s="12" t="e">
        <f ca="1">VLOOKUP(D337,Input!B:N,11,0)</f>
        <v>#N/A</v>
      </c>
      <c r="O337" s="12" t="e">
        <f ca="1">VLOOKUP(D337,Input!B:M,6,0)</f>
        <v>#N/A</v>
      </c>
      <c r="P337" s="6">
        <v>336</v>
      </c>
    </row>
    <row r="338" spans="1:16" ht="14.25">
      <c r="A338" s="13" t="str">
        <f>IFERROR(VLOOKUP($D:$D,scan!$A:$B,2,0),"**")</f>
        <v>**</v>
      </c>
      <c r="B338" s="13" t="str">
        <f>IFERROR(VLOOKUP($D338,scan!A:C,3,0),"**")</f>
        <v>**</v>
      </c>
      <c r="C338" s="5">
        <v>396</v>
      </c>
      <c r="D338" s="15"/>
      <c r="E338" s="16" t="str">
        <f t="shared" si="5"/>
        <v>337.**.</v>
      </c>
      <c r="F338" s="3" t="s">
        <v>4950</v>
      </c>
      <c r="G338" s="3" t="s">
        <v>4951</v>
      </c>
      <c r="H338" s="3">
        <v>6042070338</v>
      </c>
      <c r="I338" s="12" t="e">
        <f ca="1">VLOOKUP(D338,Input!B:M,10,0)</f>
        <v>#N/A</v>
      </c>
      <c r="J338" s="12"/>
      <c r="K338" s="12"/>
      <c r="L338" s="12"/>
      <c r="M338" s="12" t="e">
        <f ca="1">VLOOKUP(D338,Input!B:M,12,0)</f>
        <v>#N/A</v>
      </c>
      <c r="N338" s="12" t="e">
        <f ca="1">VLOOKUP(D338,Input!B:N,11,0)</f>
        <v>#N/A</v>
      </c>
      <c r="O338" s="12" t="e">
        <f ca="1">VLOOKUP(D338,Input!B:M,6,0)</f>
        <v>#N/A</v>
      </c>
      <c r="P338" s="6">
        <v>337</v>
      </c>
    </row>
    <row r="339" spans="1:16" ht="14.25">
      <c r="A339" s="13" t="str">
        <f>IFERROR(VLOOKUP($D:$D,scan!$A:$B,2,0),"**")</f>
        <v>**</v>
      </c>
      <c r="B339" s="13" t="str">
        <f>IFERROR(VLOOKUP($D339,scan!A:C,3,0),"**")</f>
        <v>**</v>
      </c>
      <c r="C339" s="14">
        <v>183</v>
      </c>
      <c r="D339" s="15"/>
      <c r="E339" s="16" t="str">
        <f t="shared" si="5"/>
        <v>338.**.</v>
      </c>
      <c r="F339" s="3" t="s">
        <v>4950</v>
      </c>
      <c r="G339" s="3" t="s">
        <v>4951</v>
      </c>
      <c r="H339" s="3">
        <v>6042070338</v>
      </c>
      <c r="I339" s="12" t="e">
        <f ca="1">VLOOKUP(D339,Input!B:M,10,0)</f>
        <v>#N/A</v>
      </c>
      <c r="J339" s="12"/>
      <c r="K339" s="12"/>
      <c r="L339" s="12"/>
      <c r="M339" s="12" t="e">
        <f ca="1">VLOOKUP(D339,Input!B:M,12,0)</f>
        <v>#N/A</v>
      </c>
      <c r="N339" s="12" t="e">
        <f ca="1">VLOOKUP(D339,Input!B:N,11,0)</f>
        <v>#N/A</v>
      </c>
      <c r="O339" s="12" t="e">
        <f ca="1">VLOOKUP(D339,Input!B:M,6,0)</f>
        <v>#N/A</v>
      </c>
      <c r="P339" s="6">
        <v>338</v>
      </c>
    </row>
    <row r="340" spans="1:16" ht="14.25">
      <c r="A340" s="13" t="str">
        <f>IFERROR(VLOOKUP($D:$D,scan!$A:$B,2,0),"**")</f>
        <v>**</v>
      </c>
      <c r="B340" s="13" t="str">
        <f>IFERROR(VLOOKUP($D340,scan!A:C,3,0),"**")</f>
        <v>**</v>
      </c>
      <c r="C340" s="14">
        <v>20</v>
      </c>
      <c r="D340" s="15"/>
      <c r="E340" s="16" t="str">
        <f t="shared" si="5"/>
        <v>339.**.</v>
      </c>
      <c r="F340" s="3" t="s">
        <v>4950</v>
      </c>
      <c r="G340" s="3" t="s">
        <v>4951</v>
      </c>
      <c r="H340" s="3">
        <v>6042070338</v>
      </c>
      <c r="I340" s="12" t="e">
        <f ca="1">VLOOKUP(D340,Input!B:M,10,0)</f>
        <v>#N/A</v>
      </c>
      <c r="J340" s="12"/>
      <c r="K340" s="12"/>
      <c r="L340" s="12"/>
      <c r="M340" s="12" t="e">
        <f ca="1">VLOOKUP(D340,Input!B:M,12,0)</f>
        <v>#N/A</v>
      </c>
      <c r="N340" s="12" t="e">
        <f ca="1">VLOOKUP(D340,Input!B:N,11,0)</f>
        <v>#N/A</v>
      </c>
      <c r="O340" s="12" t="e">
        <f ca="1">VLOOKUP(D340,Input!B:M,6,0)</f>
        <v>#N/A</v>
      </c>
      <c r="P340" s="6">
        <v>339</v>
      </c>
    </row>
    <row r="341" spans="1:16" ht="14.25">
      <c r="A341" s="13" t="str">
        <f>IFERROR(VLOOKUP($D:$D,scan!$A:$B,2,0),"**")</f>
        <v>**</v>
      </c>
      <c r="B341" s="13" t="str">
        <f>IFERROR(VLOOKUP($D341,scan!A:C,3,0),"**")</f>
        <v>**</v>
      </c>
      <c r="C341" s="14">
        <v>57</v>
      </c>
      <c r="D341" s="15"/>
      <c r="E341" s="16" t="str">
        <f t="shared" si="5"/>
        <v>340.**.</v>
      </c>
      <c r="F341" s="3" t="s">
        <v>4950</v>
      </c>
      <c r="G341" s="3" t="s">
        <v>4951</v>
      </c>
      <c r="H341" s="3">
        <v>6042070338</v>
      </c>
      <c r="I341" s="12" t="e">
        <f ca="1">VLOOKUP(D341,Input!B:M,10,0)</f>
        <v>#N/A</v>
      </c>
      <c r="J341" s="12"/>
      <c r="K341" s="12"/>
      <c r="L341" s="12"/>
      <c r="M341" s="12" t="e">
        <f ca="1">VLOOKUP(D341,Input!B:M,12,0)</f>
        <v>#N/A</v>
      </c>
      <c r="N341" s="12" t="e">
        <f ca="1">VLOOKUP(D341,Input!B:N,11,0)</f>
        <v>#N/A</v>
      </c>
      <c r="O341" s="12" t="e">
        <f ca="1">VLOOKUP(D341,Input!B:M,6,0)</f>
        <v>#N/A</v>
      </c>
      <c r="P341" s="6">
        <v>340</v>
      </c>
    </row>
    <row r="342" spans="1:16" ht="14.25">
      <c r="A342" s="13" t="str">
        <f>IFERROR(VLOOKUP($D:$D,scan!$A:$B,2,0),"**")</f>
        <v>**</v>
      </c>
      <c r="B342" s="13" t="str">
        <f>IFERROR(VLOOKUP($D342,scan!A:C,3,0),"**")</f>
        <v>**</v>
      </c>
      <c r="C342" s="5">
        <v>241</v>
      </c>
      <c r="D342" s="15"/>
      <c r="E342" s="16" t="str">
        <f t="shared" si="5"/>
        <v>341.**.</v>
      </c>
      <c r="F342" s="3" t="s">
        <v>4950</v>
      </c>
      <c r="G342" s="3" t="s">
        <v>4951</v>
      </c>
      <c r="H342" s="3">
        <v>6042070338</v>
      </c>
      <c r="I342" s="12" t="e">
        <f ca="1">VLOOKUP(D342,Input!B:M,10,0)</f>
        <v>#N/A</v>
      </c>
      <c r="J342" s="12"/>
      <c r="K342" s="12"/>
      <c r="L342" s="12"/>
      <c r="M342" s="12" t="e">
        <f ca="1">VLOOKUP(D342,Input!B:M,12,0)</f>
        <v>#N/A</v>
      </c>
      <c r="N342" s="12" t="e">
        <f ca="1">VLOOKUP(D342,Input!B:N,11,0)</f>
        <v>#N/A</v>
      </c>
      <c r="O342" s="12" t="e">
        <f ca="1">VLOOKUP(D342,Input!B:M,6,0)</f>
        <v>#N/A</v>
      </c>
      <c r="P342" s="6">
        <v>341</v>
      </c>
    </row>
    <row r="343" spans="1:16" ht="14.25">
      <c r="A343" s="13" t="str">
        <f>IFERROR(VLOOKUP($D:$D,scan!$A:$B,2,0),"**")</f>
        <v>**</v>
      </c>
      <c r="B343" s="13" t="str">
        <f>IFERROR(VLOOKUP($D343,scan!A:C,3,0),"**")</f>
        <v>**</v>
      </c>
      <c r="C343" s="14">
        <v>19</v>
      </c>
      <c r="D343" s="15"/>
      <c r="E343" s="16" t="str">
        <f t="shared" si="5"/>
        <v>342.**.</v>
      </c>
      <c r="F343" s="3" t="s">
        <v>4950</v>
      </c>
      <c r="G343" s="3" t="s">
        <v>4951</v>
      </c>
      <c r="H343" s="3">
        <v>6042070338</v>
      </c>
      <c r="I343" s="12" t="e">
        <f ca="1">VLOOKUP(D343,Input!B:M,10,0)</f>
        <v>#N/A</v>
      </c>
      <c r="J343" s="12"/>
      <c r="K343" s="12"/>
      <c r="L343" s="12"/>
      <c r="M343" s="12" t="e">
        <f ca="1">VLOOKUP(D343,Input!B:M,12,0)</f>
        <v>#N/A</v>
      </c>
      <c r="N343" s="12" t="e">
        <f ca="1">VLOOKUP(D343,Input!B:N,11,0)</f>
        <v>#N/A</v>
      </c>
      <c r="O343" s="12" t="e">
        <f ca="1">VLOOKUP(D343,Input!B:M,6,0)</f>
        <v>#N/A</v>
      </c>
      <c r="P343" s="6">
        <v>342</v>
      </c>
    </row>
    <row r="344" spans="1:16" ht="14.25">
      <c r="A344" s="13" t="str">
        <f>IFERROR(VLOOKUP($D:$D,scan!$A:$B,2,0),"**")</f>
        <v>**</v>
      </c>
      <c r="B344" s="13" t="str">
        <f>IFERROR(VLOOKUP($D344,scan!A:C,3,0),"**")</f>
        <v>**</v>
      </c>
      <c r="C344" s="14">
        <v>398</v>
      </c>
      <c r="D344" s="15"/>
      <c r="E344" s="16" t="str">
        <f t="shared" si="5"/>
        <v>343.**.</v>
      </c>
      <c r="F344" s="3" t="s">
        <v>4950</v>
      </c>
      <c r="G344" s="3" t="s">
        <v>4951</v>
      </c>
      <c r="H344" s="3">
        <v>6042070338</v>
      </c>
      <c r="I344" s="12" t="e">
        <f ca="1">VLOOKUP(D344,Input!B:M,10,0)</f>
        <v>#N/A</v>
      </c>
      <c r="J344" s="12"/>
      <c r="K344" s="12"/>
      <c r="L344" s="12"/>
      <c r="M344" s="12" t="e">
        <f ca="1">VLOOKUP(D344,Input!B:M,12,0)</f>
        <v>#N/A</v>
      </c>
      <c r="N344" s="12" t="e">
        <f ca="1">VLOOKUP(D344,Input!B:N,11,0)</f>
        <v>#N/A</v>
      </c>
      <c r="O344" s="12" t="e">
        <f ca="1">VLOOKUP(D344,Input!B:M,6,0)</f>
        <v>#N/A</v>
      </c>
      <c r="P344" s="6">
        <v>343</v>
      </c>
    </row>
    <row r="345" spans="1:16" ht="14.25">
      <c r="A345" s="13" t="str">
        <f>IFERROR(VLOOKUP($D:$D,scan!$A:$B,2,0),"**")</f>
        <v>**</v>
      </c>
      <c r="B345" s="13" t="str">
        <f>IFERROR(VLOOKUP($D345,scan!A:C,3,0),"**")</f>
        <v>**</v>
      </c>
      <c r="C345" s="14">
        <v>25</v>
      </c>
      <c r="D345" s="15"/>
      <c r="E345" s="16" t="str">
        <f t="shared" si="5"/>
        <v>344.**.</v>
      </c>
      <c r="F345" s="3" t="s">
        <v>4950</v>
      </c>
      <c r="G345" s="3" t="s">
        <v>4951</v>
      </c>
      <c r="H345" s="3">
        <v>6042070338</v>
      </c>
      <c r="I345" s="12" t="e">
        <f ca="1">VLOOKUP(D345,Input!B:M,10,0)</f>
        <v>#N/A</v>
      </c>
      <c r="J345" s="12"/>
      <c r="K345" s="12"/>
      <c r="L345" s="12"/>
      <c r="M345" s="12" t="e">
        <f ca="1">VLOOKUP(D345,Input!B:M,12,0)</f>
        <v>#N/A</v>
      </c>
      <c r="N345" s="12" t="e">
        <f ca="1">VLOOKUP(D345,Input!B:N,11,0)</f>
        <v>#N/A</v>
      </c>
      <c r="O345" s="12" t="e">
        <f ca="1">VLOOKUP(D345,Input!B:M,6,0)</f>
        <v>#N/A</v>
      </c>
      <c r="P345" s="6">
        <v>344</v>
      </c>
    </row>
    <row r="346" spans="1:16" ht="14.25">
      <c r="A346" s="13" t="str">
        <f>IFERROR(VLOOKUP($D:$D,scan!$A:$B,2,0),"**")</f>
        <v>**</v>
      </c>
      <c r="B346" s="13" t="str">
        <f>IFERROR(VLOOKUP($D346,scan!A:C,3,0),"**")</f>
        <v>**</v>
      </c>
      <c r="C346" s="14">
        <v>395</v>
      </c>
      <c r="D346" s="15"/>
      <c r="E346" s="16" t="str">
        <f t="shared" si="5"/>
        <v>345.**.</v>
      </c>
      <c r="F346" s="3" t="s">
        <v>4950</v>
      </c>
      <c r="G346" s="3" t="s">
        <v>4951</v>
      </c>
      <c r="H346" s="3">
        <v>6042070338</v>
      </c>
      <c r="I346" s="12" t="e">
        <f ca="1">VLOOKUP(D346,Input!B:M,10,0)</f>
        <v>#N/A</v>
      </c>
      <c r="J346" s="12"/>
      <c r="K346" s="12"/>
      <c r="L346" s="12"/>
      <c r="M346" s="12" t="e">
        <f ca="1">VLOOKUP(D346,Input!B:M,12,0)</f>
        <v>#N/A</v>
      </c>
      <c r="N346" s="12" t="e">
        <f ca="1">VLOOKUP(D346,Input!B:N,11,0)</f>
        <v>#N/A</v>
      </c>
      <c r="O346" s="12" t="e">
        <f ca="1">VLOOKUP(D346,Input!B:M,6,0)</f>
        <v>#N/A</v>
      </c>
      <c r="P346" s="6">
        <v>345</v>
      </c>
    </row>
    <row r="347" spans="1:16" ht="14.25">
      <c r="A347" s="13" t="str">
        <f>IFERROR(VLOOKUP($D:$D,scan!$A:$B,2,0),"**")</f>
        <v>**</v>
      </c>
      <c r="B347" s="13" t="str">
        <f>IFERROR(VLOOKUP($D347,scan!A:C,3,0),"**")</f>
        <v>**</v>
      </c>
      <c r="C347" s="5">
        <v>306</v>
      </c>
      <c r="D347" s="15"/>
      <c r="E347" s="16" t="str">
        <f t="shared" si="5"/>
        <v>346.**.</v>
      </c>
      <c r="F347" s="3" t="s">
        <v>4950</v>
      </c>
      <c r="G347" s="3" t="s">
        <v>4951</v>
      </c>
      <c r="H347" s="3">
        <v>6042070338</v>
      </c>
      <c r="I347" s="12" t="e">
        <f ca="1">VLOOKUP(D347,Input!B:M,10,0)</f>
        <v>#N/A</v>
      </c>
      <c r="J347" s="12"/>
      <c r="K347" s="12"/>
      <c r="L347" s="12"/>
      <c r="M347" s="12" t="e">
        <f ca="1">VLOOKUP(D347,Input!B:M,12,0)</f>
        <v>#N/A</v>
      </c>
      <c r="N347" s="12" t="e">
        <f ca="1">VLOOKUP(D347,Input!B:N,11,0)</f>
        <v>#N/A</v>
      </c>
      <c r="O347" s="12" t="e">
        <f ca="1">VLOOKUP(D347,Input!B:M,6,0)</f>
        <v>#N/A</v>
      </c>
      <c r="P347" s="6">
        <v>346</v>
      </c>
    </row>
    <row r="348" spans="1:16" ht="14.25">
      <c r="A348" s="13" t="str">
        <f>IFERROR(VLOOKUP($D:$D,scan!$A:$B,2,0),"**")</f>
        <v>**</v>
      </c>
      <c r="B348" s="13" t="str">
        <f>IFERROR(VLOOKUP($D348,scan!A:C,3,0),"**")</f>
        <v>**</v>
      </c>
      <c r="C348" s="14">
        <v>189</v>
      </c>
      <c r="D348" s="15"/>
      <c r="E348" s="16" t="str">
        <f t="shared" si="5"/>
        <v>347.**.</v>
      </c>
      <c r="F348" s="3" t="s">
        <v>4950</v>
      </c>
      <c r="G348" s="3" t="s">
        <v>4951</v>
      </c>
      <c r="H348" s="3">
        <v>6042070338</v>
      </c>
      <c r="I348" s="12" t="e">
        <f ca="1">VLOOKUP(D348,Input!B:M,10,0)</f>
        <v>#N/A</v>
      </c>
      <c r="J348" s="12"/>
      <c r="K348" s="12"/>
      <c r="L348" s="12"/>
      <c r="M348" s="12" t="e">
        <f ca="1">VLOOKUP(D348,Input!B:M,12,0)</f>
        <v>#N/A</v>
      </c>
      <c r="N348" s="12" t="e">
        <f ca="1">VLOOKUP(D348,Input!B:N,11,0)</f>
        <v>#N/A</v>
      </c>
      <c r="O348" s="12" t="e">
        <f ca="1">VLOOKUP(D348,Input!B:M,6,0)</f>
        <v>#N/A</v>
      </c>
      <c r="P348" s="6">
        <v>347</v>
      </c>
    </row>
    <row r="349" spans="1:16" ht="14.25">
      <c r="A349" s="13" t="str">
        <f>IFERROR(VLOOKUP($D:$D,scan!$A:$B,2,0),"**")</f>
        <v>**</v>
      </c>
      <c r="B349" s="13" t="str">
        <f>IFERROR(VLOOKUP($D349,scan!A:C,3,0),"**")</f>
        <v>**</v>
      </c>
      <c r="C349" s="14">
        <v>307</v>
      </c>
      <c r="D349" s="15"/>
      <c r="E349" s="16" t="str">
        <f t="shared" si="5"/>
        <v>348.**.</v>
      </c>
      <c r="F349" s="3" t="s">
        <v>4950</v>
      </c>
      <c r="G349" s="3" t="s">
        <v>4951</v>
      </c>
      <c r="H349" s="3">
        <v>6042070338</v>
      </c>
      <c r="I349" s="12" t="e">
        <f ca="1">VLOOKUP(D349,Input!B:M,10,0)</f>
        <v>#N/A</v>
      </c>
      <c r="J349" s="12"/>
      <c r="K349" s="12"/>
      <c r="L349" s="12"/>
      <c r="M349" s="12" t="e">
        <f ca="1">VLOOKUP(D349,Input!B:M,12,0)</f>
        <v>#N/A</v>
      </c>
      <c r="N349" s="12" t="e">
        <f ca="1">VLOOKUP(D349,Input!B:N,11,0)</f>
        <v>#N/A</v>
      </c>
      <c r="O349" s="12" t="e">
        <f ca="1">VLOOKUP(D349,Input!B:M,6,0)</f>
        <v>#N/A</v>
      </c>
      <c r="P349" s="6">
        <v>348</v>
      </c>
    </row>
    <row r="350" spans="1:16" ht="14.25">
      <c r="A350" s="13" t="str">
        <f>IFERROR(VLOOKUP($D:$D,scan!$A:$B,2,0),"**")</f>
        <v>**</v>
      </c>
      <c r="B350" s="13" t="str">
        <f>IFERROR(VLOOKUP($D350,scan!A:C,3,0),"**")</f>
        <v>**</v>
      </c>
      <c r="C350" s="5">
        <v>376</v>
      </c>
      <c r="D350" s="15"/>
      <c r="E350" s="16" t="str">
        <f t="shared" si="5"/>
        <v>349.**.</v>
      </c>
      <c r="F350" s="3" t="s">
        <v>4950</v>
      </c>
      <c r="G350" s="3" t="s">
        <v>4951</v>
      </c>
      <c r="H350" s="3">
        <v>6042070338</v>
      </c>
      <c r="I350" s="12" t="e">
        <f ca="1">VLOOKUP(D350,Input!B:M,10,0)</f>
        <v>#N/A</v>
      </c>
      <c r="J350" s="12"/>
      <c r="K350" s="12"/>
      <c r="L350" s="12"/>
      <c r="M350" s="12" t="e">
        <f ca="1">VLOOKUP(D350,Input!B:M,12,0)</f>
        <v>#N/A</v>
      </c>
      <c r="N350" s="12" t="e">
        <f ca="1">VLOOKUP(D350,Input!B:N,11,0)</f>
        <v>#N/A</v>
      </c>
      <c r="O350" s="12" t="e">
        <f ca="1">VLOOKUP(D350,Input!B:M,6,0)</f>
        <v>#N/A</v>
      </c>
      <c r="P350" s="6">
        <v>349</v>
      </c>
    </row>
    <row r="351" spans="1:16" ht="14.25">
      <c r="A351" s="13" t="str">
        <f>IFERROR(VLOOKUP($D:$D,scan!$A:$B,2,0),"**")</f>
        <v>**</v>
      </c>
      <c r="B351" s="13" t="str">
        <f>IFERROR(VLOOKUP($D351,scan!A:C,3,0),"**")</f>
        <v>**</v>
      </c>
      <c r="C351" s="14">
        <v>305</v>
      </c>
      <c r="D351" s="15"/>
      <c r="E351" s="16" t="str">
        <f t="shared" si="5"/>
        <v>350.**.</v>
      </c>
      <c r="F351" s="3" t="s">
        <v>4950</v>
      </c>
      <c r="G351" s="3" t="s">
        <v>4951</v>
      </c>
      <c r="H351" s="3">
        <v>6042070338</v>
      </c>
      <c r="I351" s="12" t="e">
        <f ca="1">VLOOKUP(D351,Input!B:M,10,0)</f>
        <v>#N/A</v>
      </c>
      <c r="J351" s="12"/>
      <c r="K351" s="12"/>
      <c r="L351" s="12"/>
      <c r="M351" s="12" t="e">
        <f ca="1">VLOOKUP(D351,Input!B:M,12,0)</f>
        <v>#N/A</v>
      </c>
      <c r="N351" s="12" t="e">
        <f ca="1">VLOOKUP(D351,Input!B:N,11,0)</f>
        <v>#N/A</v>
      </c>
      <c r="O351" s="12" t="e">
        <f ca="1">VLOOKUP(D351,Input!B:M,6,0)</f>
        <v>#N/A</v>
      </c>
      <c r="P351" s="6">
        <v>350</v>
      </c>
    </row>
    <row r="352" spans="1:16" ht="14.25">
      <c r="A352" s="13" t="str">
        <f>IFERROR(VLOOKUP($D:$D,scan!$A:$B,2,0),"**")</f>
        <v>**</v>
      </c>
      <c r="B352" s="13" t="str">
        <f>IFERROR(VLOOKUP($D352,scan!A:C,3,0),"**")</f>
        <v>**</v>
      </c>
      <c r="C352" s="14">
        <v>337</v>
      </c>
      <c r="D352" s="15"/>
      <c r="E352" s="16" t="str">
        <f t="shared" si="5"/>
        <v>351.**.</v>
      </c>
      <c r="F352" s="3" t="s">
        <v>4950</v>
      </c>
      <c r="G352" s="3" t="s">
        <v>4951</v>
      </c>
      <c r="H352" s="3">
        <v>6042070338</v>
      </c>
      <c r="I352" s="12" t="e">
        <f ca="1">VLOOKUP(D352,Input!B:M,10,0)</f>
        <v>#N/A</v>
      </c>
      <c r="J352" s="12"/>
      <c r="K352" s="12"/>
      <c r="L352" s="12"/>
      <c r="M352" s="12" t="e">
        <f ca="1">VLOOKUP(D352,Input!B:M,12,0)</f>
        <v>#N/A</v>
      </c>
      <c r="N352" s="12" t="e">
        <f ca="1">VLOOKUP(D352,Input!B:N,11,0)</f>
        <v>#N/A</v>
      </c>
      <c r="O352" s="12" t="e">
        <f ca="1">VLOOKUP(D352,Input!B:M,6,0)</f>
        <v>#N/A</v>
      </c>
      <c r="P352" s="6">
        <v>351</v>
      </c>
    </row>
    <row r="353" spans="1:16" ht="14.25">
      <c r="A353" s="13" t="str">
        <f>IFERROR(VLOOKUP($D:$D,scan!$A:$B,2,0),"**")</f>
        <v>**</v>
      </c>
      <c r="B353" s="13" t="str">
        <f>IFERROR(VLOOKUP($D353,scan!A:C,3,0),"**")</f>
        <v>**</v>
      </c>
      <c r="C353" s="14">
        <v>339</v>
      </c>
      <c r="D353" s="15"/>
      <c r="E353" s="16" t="str">
        <f t="shared" si="5"/>
        <v>352.**.</v>
      </c>
      <c r="F353" s="3" t="s">
        <v>4950</v>
      </c>
      <c r="G353" s="3" t="s">
        <v>4951</v>
      </c>
      <c r="H353" s="3">
        <v>6042070338</v>
      </c>
      <c r="I353" s="12" t="e">
        <f ca="1">VLOOKUP(D353,Input!B:M,10,0)</f>
        <v>#N/A</v>
      </c>
      <c r="J353" s="12"/>
      <c r="K353" s="12"/>
      <c r="L353" s="12"/>
      <c r="M353" s="12" t="e">
        <f ca="1">VLOOKUP(D353,Input!B:M,12,0)</f>
        <v>#N/A</v>
      </c>
      <c r="N353" s="12" t="e">
        <f ca="1">VLOOKUP(D353,Input!B:N,11,0)</f>
        <v>#N/A</v>
      </c>
      <c r="O353" s="12" t="e">
        <f ca="1">VLOOKUP(D353,Input!B:M,6,0)</f>
        <v>#N/A</v>
      </c>
      <c r="P353" s="6">
        <v>352</v>
      </c>
    </row>
    <row r="354" spans="1:16" ht="14.25">
      <c r="A354" s="13" t="str">
        <f>IFERROR(VLOOKUP($D:$D,scan!$A:$B,2,0),"**")</f>
        <v>**</v>
      </c>
      <c r="B354" s="13" t="str">
        <f>IFERROR(VLOOKUP($D354,scan!A:C,3,0),"**")</f>
        <v>**</v>
      </c>
      <c r="C354" s="14">
        <v>62</v>
      </c>
      <c r="D354" s="15"/>
      <c r="E354" s="16" t="str">
        <f t="shared" si="5"/>
        <v>353.**.</v>
      </c>
      <c r="F354" s="3" t="s">
        <v>4950</v>
      </c>
      <c r="G354" s="3" t="s">
        <v>4951</v>
      </c>
      <c r="H354" s="3">
        <v>6042070338</v>
      </c>
      <c r="I354" s="12" t="e">
        <f ca="1">VLOOKUP(D354,Input!B:M,10,0)</f>
        <v>#N/A</v>
      </c>
      <c r="J354" s="12"/>
      <c r="K354" s="12"/>
      <c r="L354" s="12"/>
      <c r="M354" s="12" t="e">
        <f ca="1">VLOOKUP(D354,Input!B:M,12,0)</f>
        <v>#N/A</v>
      </c>
      <c r="N354" s="12" t="e">
        <f ca="1">VLOOKUP(D354,Input!B:N,11,0)</f>
        <v>#N/A</v>
      </c>
      <c r="O354" s="12" t="e">
        <f ca="1">VLOOKUP(D354,Input!B:M,6,0)</f>
        <v>#N/A</v>
      </c>
      <c r="P354" s="6">
        <v>353</v>
      </c>
    </row>
    <row r="355" spans="1:16" ht="14.25">
      <c r="A355" s="13" t="str">
        <f>IFERROR(VLOOKUP($D:$D,scan!$A:$B,2,0),"**")</f>
        <v>**</v>
      </c>
      <c r="B355" s="13" t="str">
        <f>IFERROR(VLOOKUP($D355,scan!A:C,3,0),"**")</f>
        <v>**</v>
      </c>
      <c r="C355" s="14">
        <v>399</v>
      </c>
      <c r="D355" s="15"/>
      <c r="E355" s="16" t="str">
        <f t="shared" si="5"/>
        <v>354.**.</v>
      </c>
      <c r="F355" s="3" t="s">
        <v>4950</v>
      </c>
      <c r="G355" s="3" t="s">
        <v>4951</v>
      </c>
      <c r="H355" s="3">
        <v>6042070338</v>
      </c>
      <c r="I355" s="12" t="e">
        <f ca="1">VLOOKUP(D355,Input!B:M,10,0)</f>
        <v>#N/A</v>
      </c>
      <c r="J355" s="12"/>
      <c r="K355" s="12"/>
      <c r="L355" s="12"/>
      <c r="M355" s="12" t="e">
        <f ca="1">VLOOKUP(D355,Input!B:M,12,0)</f>
        <v>#N/A</v>
      </c>
      <c r="N355" s="12" t="e">
        <f ca="1">VLOOKUP(D355,Input!B:N,11,0)</f>
        <v>#N/A</v>
      </c>
      <c r="O355" s="12" t="e">
        <f ca="1">VLOOKUP(D355,Input!B:M,6,0)</f>
        <v>#N/A</v>
      </c>
      <c r="P355" s="6">
        <v>354</v>
      </c>
    </row>
    <row r="356" spans="1:16" ht="14.25">
      <c r="A356" s="13" t="str">
        <f>IFERROR(VLOOKUP($D:$D,scan!$A:$B,2,0),"**")</f>
        <v>**</v>
      </c>
      <c r="B356" s="13" t="str">
        <f>IFERROR(VLOOKUP($D356,scan!A:C,3,0),"**")</f>
        <v>**</v>
      </c>
      <c r="C356" s="5">
        <v>331</v>
      </c>
      <c r="D356" s="15"/>
      <c r="E356" s="16" t="str">
        <f t="shared" si="5"/>
        <v>355.**.</v>
      </c>
      <c r="F356" s="3" t="s">
        <v>4950</v>
      </c>
      <c r="G356" s="3" t="s">
        <v>4951</v>
      </c>
      <c r="H356" s="3">
        <v>6042070338</v>
      </c>
      <c r="I356" s="12" t="e">
        <f ca="1">VLOOKUP(D356,Input!B:M,10,0)</f>
        <v>#N/A</v>
      </c>
      <c r="J356" s="12"/>
      <c r="K356" s="12"/>
      <c r="L356" s="12"/>
      <c r="M356" s="12" t="e">
        <f ca="1">VLOOKUP(D356,Input!B:M,12,0)</f>
        <v>#N/A</v>
      </c>
      <c r="N356" s="12" t="e">
        <f ca="1">VLOOKUP(D356,Input!B:N,11,0)</f>
        <v>#N/A</v>
      </c>
      <c r="O356" s="12" t="e">
        <f ca="1">VLOOKUP(D356,Input!B:M,6,0)</f>
        <v>#N/A</v>
      </c>
      <c r="P356" s="6">
        <v>355</v>
      </c>
    </row>
    <row r="357" spans="1:16" ht="14.25">
      <c r="A357" s="13" t="str">
        <f>IFERROR(VLOOKUP($D:$D,scan!$A:$B,2,0),"**")</f>
        <v>**</v>
      </c>
      <c r="B357" s="13" t="str">
        <f>IFERROR(VLOOKUP($D357,scan!A:C,3,0),"**")</f>
        <v>**</v>
      </c>
      <c r="C357" s="14">
        <v>495</v>
      </c>
      <c r="D357" s="15"/>
      <c r="E357" s="16" t="str">
        <f t="shared" si="5"/>
        <v>356.**.</v>
      </c>
      <c r="F357" s="3" t="s">
        <v>4950</v>
      </c>
      <c r="G357" s="3" t="s">
        <v>4951</v>
      </c>
      <c r="H357" s="3">
        <v>6042070338</v>
      </c>
      <c r="I357" s="12" t="e">
        <f ca="1">VLOOKUP(D357,Input!B:M,10,0)</f>
        <v>#N/A</v>
      </c>
      <c r="J357" s="12"/>
      <c r="K357" s="12"/>
      <c r="L357" s="12"/>
      <c r="M357" s="12" t="e">
        <f ca="1">VLOOKUP(D357,Input!B:M,12,0)</f>
        <v>#N/A</v>
      </c>
      <c r="N357" s="12" t="e">
        <f ca="1">VLOOKUP(D357,Input!B:N,11,0)</f>
        <v>#N/A</v>
      </c>
      <c r="O357" s="12" t="e">
        <f ca="1">VLOOKUP(D357,Input!B:M,6,0)</f>
        <v>#N/A</v>
      </c>
      <c r="P357" s="6">
        <v>356</v>
      </c>
    </row>
    <row r="358" spans="1:16" ht="14.25">
      <c r="A358" s="13" t="str">
        <f>IFERROR(VLOOKUP($D:$D,scan!$A:$B,2,0),"**")</f>
        <v>**</v>
      </c>
      <c r="B358" s="13" t="str">
        <f>IFERROR(VLOOKUP($D358,scan!A:C,3,0),"**")</f>
        <v>**</v>
      </c>
      <c r="C358" s="14">
        <v>87</v>
      </c>
      <c r="D358" s="15"/>
      <c r="E358" s="16" t="str">
        <f t="shared" si="5"/>
        <v>357.**.</v>
      </c>
      <c r="F358" s="3" t="s">
        <v>4950</v>
      </c>
      <c r="G358" s="3" t="s">
        <v>4951</v>
      </c>
      <c r="H358" s="3">
        <v>6042070338</v>
      </c>
      <c r="I358" s="12" t="e">
        <f ca="1">VLOOKUP(D358,Input!B:M,10,0)</f>
        <v>#N/A</v>
      </c>
      <c r="J358" s="12"/>
      <c r="K358" s="12"/>
      <c r="L358" s="12"/>
      <c r="M358" s="12" t="e">
        <f ca="1">VLOOKUP(D358,Input!B:M,12,0)</f>
        <v>#N/A</v>
      </c>
      <c r="N358" s="12" t="e">
        <f ca="1">VLOOKUP(D358,Input!B:N,11,0)</f>
        <v>#N/A</v>
      </c>
      <c r="O358" s="12" t="e">
        <f ca="1">VLOOKUP(D358,Input!B:M,6,0)</f>
        <v>#N/A</v>
      </c>
      <c r="P358" s="6">
        <v>357</v>
      </c>
    </row>
    <row r="359" spans="1:16" ht="14.25">
      <c r="A359" s="13" t="str">
        <f>IFERROR(VLOOKUP($D:$D,scan!$A:$B,2,0),"**")</f>
        <v>**</v>
      </c>
      <c r="B359" s="13" t="str">
        <f>IFERROR(VLOOKUP($D359,scan!A:C,3,0),"**")</f>
        <v>**</v>
      </c>
      <c r="C359" s="5">
        <v>493</v>
      </c>
      <c r="D359" s="15"/>
      <c r="E359" s="16" t="str">
        <f t="shared" si="5"/>
        <v>358.**.</v>
      </c>
      <c r="F359" s="3" t="s">
        <v>4950</v>
      </c>
      <c r="G359" s="3" t="s">
        <v>4951</v>
      </c>
      <c r="H359" s="3">
        <v>6042070338</v>
      </c>
      <c r="I359" s="12" t="e">
        <f ca="1">VLOOKUP(D359,Input!B:M,10,0)</f>
        <v>#N/A</v>
      </c>
      <c r="J359" s="12"/>
      <c r="K359" s="12"/>
      <c r="L359" s="12"/>
      <c r="M359" s="12" t="e">
        <f ca="1">VLOOKUP(D359,Input!B:M,12,0)</f>
        <v>#N/A</v>
      </c>
      <c r="N359" s="12" t="e">
        <f ca="1">VLOOKUP(D359,Input!B:N,11,0)</f>
        <v>#N/A</v>
      </c>
      <c r="O359" s="12" t="e">
        <f ca="1">VLOOKUP(D359,Input!B:M,6,0)</f>
        <v>#N/A</v>
      </c>
      <c r="P359" s="6">
        <v>358</v>
      </c>
    </row>
    <row r="360" spans="1:16" ht="14.25">
      <c r="A360" s="13" t="str">
        <f>IFERROR(VLOOKUP($D:$D,scan!$A:$B,2,0),"**")</f>
        <v>**</v>
      </c>
      <c r="B360" s="13" t="str">
        <f>IFERROR(VLOOKUP($D360,scan!A:C,3,0),"**")</f>
        <v>**</v>
      </c>
      <c r="C360" s="14">
        <v>338</v>
      </c>
      <c r="D360" s="15"/>
      <c r="E360" s="16" t="str">
        <f t="shared" si="5"/>
        <v>359.**.</v>
      </c>
      <c r="F360" s="3" t="s">
        <v>4950</v>
      </c>
      <c r="G360" s="3" t="s">
        <v>4951</v>
      </c>
      <c r="H360" s="3">
        <v>6042070338</v>
      </c>
      <c r="I360" s="12" t="e">
        <f ca="1">VLOOKUP(D360,Input!B:M,10,0)</f>
        <v>#N/A</v>
      </c>
      <c r="J360" s="12"/>
      <c r="K360" s="12"/>
      <c r="L360" s="12"/>
      <c r="M360" s="12" t="e">
        <f ca="1">VLOOKUP(D360,Input!B:M,12,0)</f>
        <v>#N/A</v>
      </c>
      <c r="N360" s="12" t="e">
        <f ca="1">VLOOKUP(D360,Input!B:N,11,0)</f>
        <v>#N/A</v>
      </c>
      <c r="O360" s="12" t="e">
        <f ca="1">VLOOKUP(D360,Input!B:M,6,0)</f>
        <v>#N/A</v>
      </c>
      <c r="P360" s="6">
        <v>359</v>
      </c>
    </row>
    <row r="361" spans="1:16" ht="14.25">
      <c r="A361" s="13" t="str">
        <f>IFERROR(VLOOKUP($D:$D,scan!$A:$B,2,0),"**")</f>
        <v>**</v>
      </c>
      <c r="B361" s="13" t="str">
        <f>IFERROR(VLOOKUP($D361,scan!A:C,3,0),"**")</f>
        <v>**</v>
      </c>
      <c r="C361" s="14">
        <v>24</v>
      </c>
      <c r="D361" s="15"/>
      <c r="E361" s="16" t="str">
        <f t="shared" si="5"/>
        <v>360.**.</v>
      </c>
      <c r="F361" s="3" t="s">
        <v>4950</v>
      </c>
      <c r="G361" s="3" t="s">
        <v>4951</v>
      </c>
      <c r="H361" s="3">
        <v>6042070338</v>
      </c>
      <c r="I361" s="12" t="e">
        <f ca="1">VLOOKUP(D361,Input!B:M,10,0)</f>
        <v>#N/A</v>
      </c>
      <c r="J361" s="12"/>
      <c r="K361" s="12"/>
      <c r="L361" s="12"/>
      <c r="M361" s="12" t="e">
        <f ca="1">VLOOKUP(D361,Input!B:M,12,0)</f>
        <v>#N/A</v>
      </c>
      <c r="N361" s="12" t="e">
        <f ca="1">VLOOKUP(D361,Input!B:N,11,0)</f>
        <v>#N/A</v>
      </c>
      <c r="O361" s="12" t="e">
        <f ca="1">VLOOKUP(D361,Input!B:M,6,0)</f>
        <v>#N/A</v>
      </c>
      <c r="P361" s="6">
        <v>360</v>
      </c>
    </row>
    <row r="362" spans="1:16" ht="14.25">
      <c r="A362" s="13" t="str">
        <f>IFERROR(VLOOKUP($D:$D,scan!$A:$B,2,0),"**")</f>
        <v>**</v>
      </c>
      <c r="B362" s="13" t="str">
        <f>IFERROR(VLOOKUP($D362,scan!A:C,3,0),"**")</f>
        <v>**</v>
      </c>
      <c r="C362" s="14">
        <v>85</v>
      </c>
      <c r="D362" s="15"/>
      <c r="E362" s="16" t="str">
        <f t="shared" si="5"/>
        <v>361.**.</v>
      </c>
      <c r="F362" s="3" t="s">
        <v>4950</v>
      </c>
      <c r="G362" s="3" t="s">
        <v>4951</v>
      </c>
      <c r="H362" s="3">
        <v>6042070338</v>
      </c>
      <c r="I362" s="12" t="e">
        <f ca="1">VLOOKUP(D362,Input!B:M,10,0)</f>
        <v>#N/A</v>
      </c>
      <c r="J362" s="12"/>
      <c r="K362" s="12"/>
      <c r="L362" s="12"/>
      <c r="M362" s="12" t="e">
        <f ca="1">VLOOKUP(D362,Input!B:M,12,0)</f>
        <v>#N/A</v>
      </c>
      <c r="N362" s="12" t="e">
        <f ca="1">VLOOKUP(D362,Input!B:N,11,0)</f>
        <v>#N/A</v>
      </c>
      <c r="O362" s="12" t="e">
        <f ca="1">VLOOKUP(D362,Input!B:M,6,0)</f>
        <v>#N/A</v>
      </c>
      <c r="P362" s="6">
        <v>361</v>
      </c>
    </row>
    <row r="363" spans="1:16" ht="14.25">
      <c r="A363" s="13" t="str">
        <f>IFERROR(VLOOKUP($D:$D,scan!$A:$B,2,0),"**")</f>
        <v>**</v>
      </c>
      <c r="B363" s="13" t="str">
        <f>IFERROR(VLOOKUP($D363,scan!A:C,3,0),"**")</f>
        <v>**</v>
      </c>
      <c r="C363" s="14">
        <v>394</v>
      </c>
      <c r="D363" s="15"/>
      <c r="E363" s="16" t="str">
        <f t="shared" si="5"/>
        <v>362.**.</v>
      </c>
      <c r="F363" s="3" t="s">
        <v>4950</v>
      </c>
      <c r="G363" s="3" t="s">
        <v>4951</v>
      </c>
      <c r="H363" s="3">
        <v>6042070338</v>
      </c>
      <c r="I363" s="12" t="e">
        <f ca="1">VLOOKUP(D363,Input!B:M,10,0)</f>
        <v>#N/A</v>
      </c>
      <c r="J363" s="12"/>
      <c r="K363" s="12"/>
      <c r="L363" s="12"/>
      <c r="M363" s="12" t="e">
        <f ca="1">VLOOKUP(D363,Input!B:M,12,0)</f>
        <v>#N/A</v>
      </c>
      <c r="N363" s="12" t="e">
        <f ca="1">VLOOKUP(D363,Input!B:N,11,0)</f>
        <v>#N/A</v>
      </c>
      <c r="O363" s="12" t="e">
        <f ca="1">VLOOKUP(D363,Input!B:M,6,0)</f>
        <v>#N/A</v>
      </c>
      <c r="P363" s="6">
        <v>362</v>
      </c>
    </row>
    <row r="364" spans="1:16" ht="14.25">
      <c r="A364" s="13" t="str">
        <f>IFERROR(VLOOKUP($D:$D,scan!$A:$B,2,0),"**")</f>
        <v>**</v>
      </c>
      <c r="B364" s="13" t="str">
        <f>IFERROR(VLOOKUP($D364,scan!A:C,3,0),"**")</f>
        <v>**</v>
      </c>
      <c r="C364" s="14">
        <v>180</v>
      </c>
      <c r="D364" s="15"/>
      <c r="E364" s="16" t="str">
        <f t="shared" si="5"/>
        <v>363.**.</v>
      </c>
      <c r="F364" s="3" t="s">
        <v>4950</v>
      </c>
      <c r="G364" s="3" t="s">
        <v>4951</v>
      </c>
      <c r="H364" s="3">
        <v>6042070338</v>
      </c>
      <c r="I364" s="12" t="e">
        <f ca="1">VLOOKUP(D364,Input!B:M,10,0)</f>
        <v>#N/A</v>
      </c>
      <c r="J364" s="12"/>
      <c r="K364" s="12"/>
      <c r="L364" s="12"/>
      <c r="M364" s="12" t="e">
        <f ca="1">VLOOKUP(D364,Input!B:M,12,0)</f>
        <v>#N/A</v>
      </c>
      <c r="N364" s="12" t="e">
        <f ca="1">VLOOKUP(D364,Input!B:N,11,0)</f>
        <v>#N/A</v>
      </c>
      <c r="O364" s="12" t="e">
        <f ca="1">VLOOKUP(D364,Input!B:M,6,0)</f>
        <v>#N/A</v>
      </c>
      <c r="P364" s="6">
        <v>363</v>
      </c>
    </row>
    <row r="365" spans="1:16" ht="14.25">
      <c r="A365" s="13" t="str">
        <f>IFERROR(VLOOKUP($D:$D,scan!$A:$B,2,0),"**")</f>
        <v>**</v>
      </c>
      <c r="B365" s="13" t="str">
        <f>IFERROR(VLOOKUP($D365,scan!A:C,3,0),"**")</f>
        <v>**</v>
      </c>
      <c r="C365" s="14">
        <v>4</v>
      </c>
      <c r="D365" s="15"/>
      <c r="E365" s="16" t="str">
        <f t="shared" si="5"/>
        <v>364.**.</v>
      </c>
      <c r="F365" s="3" t="s">
        <v>4950</v>
      </c>
      <c r="G365" s="3" t="s">
        <v>4951</v>
      </c>
      <c r="H365" s="3">
        <v>6042070338</v>
      </c>
      <c r="I365" s="12" t="e">
        <f ca="1">VLOOKUP(D365,Input!B:M,10,0)</f>
        <v>#N/A</v>
      </c>
      <c r="J365" s="12"/>
      <c r="K365" s="12"/>
      <c r="L365" s="12"/>
      <c r="M365" s="12" t="e">
        <f ca="1">VLOOKUP(D365,Input!B:M,12,0)</f>
        <v>#N/A</v>
      </c>
      <c r="N365" s="12" t="e">
        <f ca="1">VLOOKUP(D365,Input!B:N,11,0)</f>
        <v>#N/A</v>
      </c>
      <c r="O365" s="12" t="e">
        <f ca="1">VLOOKUP(D365,Input!B:M,6,0)</f>
        <v>#N/A</v>
      </c>
      <c r="P365" s="6">
        <v>364</v>
      </c>
    </row>
    <row r="366" spans="1:16" ht="14.25">
      <c r="A366" s="13" t="str">
        <f>IFERROR(VLOOKUP($D:$D,scan!$A:$B,2,0),"**")</f>
        <v>**</v>
      </c>
      <c r="B366" s="13" t="str">
        <f>IFERROR(VLOOKUP($D366,scan!A:C,3,0),"**")</f>
        <v>**</v>
      </c>
      <c r="C366" s="14">
        <v>340</v>
      </c>
      <c r="D366" s="15"/>
      <c r="E366" s="16" t="str">
        <f t="shared" si="5"/>
        <v>365.**.</v>
      </c>
      <c r="F366" s="3" t="s">
        <v>4950</v>
      </c>
      <c r="G366" s="3" t="s">
        <v>4951</v>
      </c>
      <c r="H366" s="3">
        <v>6042070338</v>
      </c>
      <c r="I366" s="12" t="e">
        <f ca="1">VLOOKUP(D366,Input!B:M,10,0)</f>
        <v>#N/A</v>
      </c>
      <c r="J366" s="12"/>
      <c r="K366" s="12"/>
      <c r="L366" s="12"/>
      <c r="M366" s="12" t="e">
        <f ca="1">VLOOKUP(D366,Input!B:M,12,0)</f>
        <v>#N/A</v>
      </c>
      <c r="N366" s="12" t="e">
        <f ca="1">VLOOKUP(D366,Input!B:N,11,0)</f>
        <v>#N/A</v>
      </c>
      <c r="O366" s="12" t="e">
        <f ca="1">VLOOKUP(D366,Input!B:M,6,0)</f>
        <v>#N/A</v>
      </c>
      <c r="P366" s="6">
        <v>365</v>
      </c>
    </row>
    <row r="367" spans="1:16" ht="14.25">
      <c r="A367" s="13" t="str">
        <f>IFERROR(VLOOKUP($D:$D,scan!$A:$B,2,0),"**")</f>
        <v>**</v>
      </c>
      <c r="B367" s="13" t="str">
        <f>IFERROR(VLOOKUP($D367,scan!A:C,3,0),"**")</f>
        <v>**</v>
      </c>
      <c r="C367" s="14">
        <v>484</v>
      </c>
      <c r="D367" s="15"/>
      <c r="E367" s="16" t="str">
        <f t="shared" si="5"/>
        <v>366.**.</v>
      </c>
      <c r="F367" s="3" t="s">
        <v>4950</v>
      </c>
      <c r="G367" s="3" t="s">
        <v>4951</v>
      </c>
      <c r="H367" s="3">
        <v>6042070338</v>
      </c>
      <c r="I367" s="12" t="e">
        <f ca="1">VLOOKUP(D367,Input!B:M,10,0)</f>
        <v>#N/A</v>
      </c>
      <c r="J367" s="12"/>
      <c r="K367" s="12"/>
      <c r="L367" s="12"/>
      <c r="M367" s="12" t="e">
        <f ca="1">VLOOKUP(D367,Input!B:M,12,0)</f>
        <v>#N/A</v>
      </c>
      <c r="N367" s="12" t="e">
        <f ca="1">VLOOKUP(D367,Input!B:N,11,0)</f>
        <v>#N/A</v>
      </c>
      <c r="O367" s="12" t="e">
        <f ca="1">VLOOKUP(D367,Input!B:M,6,0)</f>
        <v>#N/A</v>
      </c>
      <c r="P367" s="6">
        <v>366</v>
      </c>
    </row>
    <row r="368" spans="1:16" ht="14.25">
      <c r="A368" s="13" t="str">
        <f>IFERROR(VLOOKUP($D:$D,scan!$A:$B,2,0),"**")</f>
        <v>**</v>
      </c>
      <c r="B368" s="13" t="str">
        <f>IFERROR(VLOOKUP($D368,scan!A:C,3,0),"**")</f>
        <v>**</v>
      </c>
      <c r="C368" s="5">
        <v>1</v>
      </c>
      <c r="D368" s="21"/>
      <c r="E368" s="16" t="str">
        <f t="shared" si="5"/>
        <v>367.**.</v>
      </c>
      <c r="F368" s="3" t="s">
        <v>4950</v>
      </c>
      <c r="G368" s="3" t="s">
        <v>4951</v>
      </c>
      <c r="H368" s="3">
        <v>6042070338</v>
      </c>
      <c r="I368" s="12" t="e">
        <f ca="1">VLOOKUP(D368,Input!B:M,10,0)</f>
        <v>#N/A</v>
      </c>
      <c r="J368" s="12"/>
      <c r="K368" s="12"/>
      <c r="L368" s="12"/>
      <c r="M368" s="12" t="e">
        <f ca="1">VLOOKUP(D368,Input!B:M,12,0)</f>
        <v>#N/A</v>
      </c>
      <c r="N368" s="12" t="e">
        <f ca="1">VLOOKUP(D368,Input!B:N,11,0)</f>
        <v>#N/A</v>
      </c>
      <c r="O368" s="12" t="e">
        <f ca="1">VLOOKUP(D368,Input!B:M,6,0)</f>
        <v>#N/A</v>
      </c>
      <c r="P368" s="6">
        <v>367</v>
      </c>
    </row>
    <row r="369" spans="1:16" ht="14.25">
      <c r="A369" s="13" t="str">
        <f>IFERROR(VLOOKUP($D:$D,scan!$A:$B,2,0),"**")</f>
        <v>**</v>
      </c>
      <c r="B369" s="13" t="str">
        <f>IFERROR(VLOOKUP($D369,scan!A:C,3,0),"**")</f>
        <v>**</v>
      </c>
      <c r="C369" s="5">
        <v>71</v>
      </c>
      <c r="D369" s="15"/>
      <c r="E369" s="16" t="str">
        <f t="shared" si="5"/>
        <v>368.**.</v>
      </c>
      <c r="F369" s="3" t="s">
        <v>4950</v>
      </c>
      <c r="G369" s="3" t="s">
        <v>4951</v>
      </c>
      <c r="H369" s="3">
        <v>6042070338</v>
      </c>
      <c r="I369" s="12" t="e">
        <f ca="1">VLOOKUP(D369,Input!B:M,10,0)</f>
        <v>#N/A</v>
      </c>
      <c r="J369" s="12"/>
      <c r="K369" s="12"/>
      <c r="L369" s="12"/>
      <c r="M369" s="12" t="e">
        <f ca="1">VLOOKUP(D369,Input!B:M,12,0)</f>
        <v>#N/A</v>
      </c>
      <c r="N369" s="12" t="e">
        <f ca="1">VLOOKUP(D369,Input!B:N,11,0)</f>
        <v>#N/A</v>
      </c>
      <c r="O369" s="12" t="e">
        <f ca="1">VLOOKUP(D369,Input!B:M,6,0)</f>
        <v>#N/A</v>
      </c>
      <c r="P369" s="6">
        <v>368</v>
      </c>
    </row>
    <row r="370" spans="1:16" ht="14.25">
      <c r="A370" s="13" t="str">
        <f>IFERROR(VLOOKUP($D:$D,scan!$A:$B,2,0),"**")</f>
        <v>**</v>
      </c>
      <c r="B370" s="13" t="str">
        <f>IFERROR(VLOOKUP($D370,scan!A:C,3,0),"**")</f>
        <v>**</v>
      </c>
      <c r="C370" s="14">
        <v>320</v>
      </c>
      <c r="D370" s="15"/>
      <c r="E370" s="16" t="str">
        <f t="shared" si="5"/>
        <v>369.**.</v>
      </c>
      <c r="F370" s="3" t="s">
        <v>4950</v>
      </c>
      <c r="G370" s="3" t="s">
        <v>4951</v>
      </c>
      <c r="H370" s="3">
        <v>6042070338</v>
      </c>
      <c r="I370" s="12" t="e">
        <f ca="1">VLOOKUP(D370,Input!B:M,10,0)</f>
        <v>#N/A</v>
      </c>
      <c r="J370" s="12"/>
      <c r="K370" s="12"/>
      <c r="L370" s="12"/>
      <c r="M370" s="12" t="e">
        <f ca="1">VLOOKUP(D370,Input!B:M,12,0)</f>
        <v>#N/A</v>
      </c>
      <c r="N370" s="12" t="e">
        <f ca="1">VLOOKUP(D370,Input!B:N,11,0)</f>
        <v>#N/A</v>
      </c>
      <c r="O370" s="12" t="e">
        <f ca="1">VLOOKUP(D370,Input!B:M,6,0)</f>
        <v>#N/A</v>
      </c>
      <c r="P370" s="6">
        <v>369</v>
      </c>
    </row>
    <row r="371" spans="1:16" ht="14.25">
      <c r="A371" s="13" t="str">
        <f>IFERROR(VLOOKUP($D:$D,scan!$A:$B,2,0),"**")</f>
        <v>**</v>
      </c>
      <c r="B371" s="13" t="str">
        <f>IFERROR(VLOOKUP($D371,scan!A:C,3,0),"**")</f>
        <v>**</v>
      </c>
      <c r="C371" s="14">
        <v>483</v>
      </c>
      <c r="D371" s="15"/>
      <c r="E371" s="16" t="str">
        <f t="shared" si="5"/>
        <v>370.**.</v>
      </c>
      <c r="F371" s="3" t="s">
        <v>4950</v>
      </c>
      <c r="G371" s="3" t="s">
        <v>4951</v>
      </c>
      <c r="H371" s="3">
        <v>6042070338</v>
      </c>
      <c r="I371" s="12" t="e">
        <f ca="1">VLOOKUP(D371,Input!B:M,10,0)</f>
        <v>#N/A</v>
      </c>
      <c r="J371" s="12"/>
      <c r="K371" s="12"/>
      <c r="L371" s="12"/>
      <c r="M371" s="12" t="e">
        <f ca="1">VLOOKUP(D371,Input!B:M,12,0)</f>
        <v>#N/A</v>
      </c>
      <c r="N371" s="12" t="e">
        <f ca="1">VLOOKUP(D371,Input!B:N,11,0)</f>
        <v>#N/A</v>
      </c>
      <c r="O371" s="12" t="e">
        <f ca="1">VLOOKUP(D371,Input!B:M,6,0)</f>
        <v>#N/A</v>
      </c>
      <c r="P371" s="6">
        <v>370</v>
      </c>
    </row>
    <row r="372" spans="1:16" ht="14.25">
      <c r="A372" s="13" t="str">
        <f>IFERROR(VLOOKUP($D:$D,scan!$A:$B,2,0),"**")</f>
        <v>**</v>
      </c>
      <c r="B372" s="13" t="str">
        <f>IFERROR(VLOOKUP($D372,scan!A:C,3,0),"**")</f>
        <v>**</v>
      </c>
      <c r="C372" s="14">
        <v>531</v>
      </c>
      <c r="D372" s="15"/>
      <c r="E372" s="16" t="str">
        <f t="shared" si="5"/>
        <v>371.**.</v>
      </c>
      <c r="F372" s="3" t="s">
        <v>4950</v>
      </c>
      <c r="G372" s="3" t="s">
        <v>4951</v>
      </c>
      <c r="H372" s="3">
        <v>6042070338</v>
      </c>
      <c r="I372" s="12" t="e">
        <f ca="1">VLOOKUP(D372,Input!B:M,10,0)</f>
        <v>#N/A</v>
      </c>
      <c r="J372" s="12"/>
      <c r="K372" s="12"/>
      <c r="L372" s="12"/>
      <c r="M372" s="12" t="e">
        <f ca="1">VLOOKUP(D372,Input!B:M,12,0)</f>
        <v>#N/A</v>
      </c>
      <c r="N372" s="12" t="e">
        <f ca="1">VLOOKUP(D372,Input!B:N,11,0)</f>
        <v>#N/A</v>
      </c>
      <c r="O372" s="12" t="e">
        <f ca="1">VLOOKUP(D372,Input!B:M,6,0)</f>
        <v>#N/A</v>
      </c>
      <c r="P372" s="6">
        <v>371</v>
      </c>
    </row>
    <row r="373" spans="1:16" ht="14.25">
      <c r="A373" s="13" t="str">
        <f>IFERROR(VLOOKUP($D:$D,scan!$A:$B,2,0),"**")</f>
        <v>**</v>
      </c>
      <c r="B373" s="13" t="str">
        <f>IFERROR(VLOOKUP($D373,scan!A:C,3,0),"**")</f>
        <v>**</v>
      </c>
      <c r="C373" s="14">
        <v>599</v>
      </c>
      <c r="D373" s="15"/>
      <c r="E373" s="16" t="str">
        <f t="shared" si="5"/>
        <v>372.**.</v>
      </c>
      <c r="F373" s="3" t="s">
        <v>4950</v>
      </c>
      <c r="G373" s="3" t="s">
        <v>4951</v>
      </c>
      <c r="H373" s="3">
        <v>6042070338</v>
      </c>
      <c r="I373" s="12" t="e">
        <f ca="1">VLOOKUP(D373,Input!B:M,10,0)</f>
        <v>#N/A</v>
      </c>
      <c r="J373" s="12"/>
      <c r="K373" s="12"/>
      <c r="L373" s="12"/>
      <c r="M373" s="12" t="e">
        <f ca="1">VLOOKUP(D373,Input!B:M,12,0)</f>
        <v>#N/A</v>
      </c>
      <c r="N373" s="12" t="e">
        <f ca="1">VLOOKUP(D373,Input!B:N,11,0)</f>
        <v>#N/A</v>
      </c>
      <c r="O373" s="12" t="e">
        <f ca="1">VLOOKUP(D373,Input!B:M,6,0)</f>
        <v>#N/A</v>
      </c>
      <c r="P373" s="6">
        <v>372</v>
      </c>
    </row>
    <row r="374" spans="1:16" ht="14.25">
      <c r="A374" s="13" t="str">
        <f>IFERROR(VLOOKUP($D:$D,scan!$A:$B,2,0),"**")</f>
        <v>**</v>
      </c>
      <c r="B374" s="13" t="str">
        <f>IFERROR(VLOOKUP($D374,scan!A:C,3,0),"**")</f>
        <v>**</v>
      </c>
      <c r="C374" s="5">
        <v>236</v>
      </c>
      <c r="D374" s="15"/>
      <c r="E374" s="16" t="str">
        <f t="shared" si="5"/>
        <v>373.**.</v>
      </c>
      <c r="F374" s="3" t="s">
        <v>4950</v>
      </c>
      <c r="G374" s="3" t="s">
        <v>4951</v>
      </c>
      <c r="H374" s="3">
        <v>6042070338</v>
      </c>
      <c r="I374" s="12" t="e">
        <f ca="1">VLOOKUP(D374,Input!B:M,10,0)</f>
        <v>#N/A</v>
      </c>
      <c r="J374" s="12"/>
      <c r="K374" s="12"/>
      <c r="L374" s="12"/>
      <c r="M374" s="12" t="e">
        <f ca="1">VLOOKUP(D374,Input!B:M,12,0)</f>
        <v>#N/A</v>
      </c>
      <c r="N374" s="12" t="e">
        <f ca="1">VLOOKUP(D374,Input!B:N,11,0)</f>
        <v>#N/A</v>
      </c>
      <c r="O374" s="12" t="e">
        <f ca="1">VLOOKUP(D374,Input!B:M,6,0)</f>
        <v>#N/A</v>
      </c>
      <c r="P374" s="6">
        <v>373</v>
      </c>
    </row>
    <row r="375" spans="1:16" ht="14.25">
      <c r="A375" s="13" t="str">
        <f>IFERROR(VLOOKUP($D:$D,scan!$A:$B,2,0),"**")</f>
        <v>**</v>
      </c>
      <c r="B375" s="13" t="str">
        <f>IFERROR(VLOOKUP($D375,scan!A:C,3,0),"**")</f>
        <v>**</v>
      </c>
      <c r="C375" s="14">
        <v>179</v>
      </c>
      <c r="D375" s="15"/>
      <c r="E375" s="16" t="str">
        <f t="shared" si="5"/>
        <v>374.**.</v>
      </c>
      <c r="F375" s="3" t="s">
        <v>4950</v>
      </c>
      <c r="G375" s="3" t="s">
        <v>4951</v>
      </c>
      <c r="H375" s="3">
        <v>6042070338</v>
      </c>
      <c r="I375" s="12" t="e">
        <f ca="1">VLOOKUP(D375,Input!B:M,10,0)</f>
        <v>#N/A</v>
      </c>
      <c r="J375" s="12"/>
      <c r="K375" s="12"/>
      <c r="L375" s="12"/>
      <c r="M375" s="12" t="e">
        <f ca="1">VLOOKUP(D375,Input!B:M,12,0)</f>
        <v>#N/A</v>
      </c>
      <c r="N375" s="12" t="e">
        <f ca="1">VLOOKUP(D375,Input!B:N,11,0)</f>
        <v>#N/A</v>
      </c>
      <c r="O375" s="12" t="e">
        <f ca="1">VLOOKUP(D375,Input!B:M,6,0)</f>
        <v>#N/A</v>
      </c>
      <c r="P375" s="6">
        <v>374</v>
      </c>
    </row>
    <row r="376" spans="1:16" ht="14.25">
      <c r="A376" s="13" t="str">
        <f>IFERROR(VLOOKUP($D:$D,scan!$A:$B,2,0),"**")</f>
        <v>**</v>
      </c>
      <c r="B376" s="13" t="str">
        <f>IFERROR(VLOOKUP($D376,scan!A:C,3,0),"**")</f>
        <v>**</v>
      </c>
      <c r="C376" s="14">
        <v>602</v>
      </c>
      <c r="D376" s="15"/>
      <c r="E376" s="16" t="str">
        <f t="shared" si="5"/>
        <v>375.**.</v>
      </c>
      <c r="F376" s="3" t="s">
        <v>4950</v>
      </c>
      <c r="G376" s="3" t="s">
        <v>4951</v>
      </c>
      <c r="H376" s="3">
        <v>6042070338</v>
      </c>
      <c r="I376" s="12" t="e">
        <f ca="1">VLOOKUP(D376,Input!B:M,10,0)</f>
        <v>#N/A</v>
      </c>
      <c r="J376" s="12"/>
      <c r="K376" s="12"/>
      <c r="L376" s="12"/>
      <c r="M376" s="12" t="e">
        <f ca="1">VLOOKUP(D376,Input!B:M,12,0)</f>
        <v>#N/A</v>
      </c>
      <c r="N376" s="12" t="e">
        <f ca="1">VLOOKUP(D376,Input!B:N,11,0)</f>
        <v>#N/A</v>
      </c>
      <c r="O376" s="12" t="e">
        <f ca="1">VLOOKUP(D376,Input!B:M,6,0)</f>
        <v>#N/A</v>
      </c>
      <c r="P376" s="6">
        <v>375</v>
      </c>
    </row>
    <row r="377" spans="1:16" ht="14.25">
      <c r="A377" s="13" t="str">
        <f>IFERROR(VLOOKUP($D:$D,scan!$A:$B,2,0),"**")</f>
        <v>**</v>
      </c>
      <c r="B377" s="13" t="str">
        <f>IFERROR(VLOOKUP($D377,scan!A:C,3,0),"**")</f>
        <v>**</v>
      </c>
      <c r="C377" s="14">
        <v>74</v>
      </c>
      <c r="D377" s="15"/>
      <c r="E377" s="16" t="str">
        <f t="shared" si="5"/>
        <v>376.**.</v>
      </c>
      <c r="F377" s="3" t="s">
        <v>4950</v>
      </c>
      <c r="G377" s="3" t="s">
        <v>4951</v>
      </c>
      <c r="H377" s="3">
        <v>6042070338</v>
      </c>
      <c r="I377" s="12" t="e">
        <f ca="1">VLOOKUP(D377,Input!B:M,10,0)</f>
        <v>#N/A</v>
      </c>
      <c r="J377" s="12"/>
      <c r="K377" s="12"/>
      <c r="L377" s="12"/>
      <c r="M377" s="12" t="e">
        <f ca="1">VLOOKUP(D377,Input!B:M,12,0)</f>
        <v>#N/A</v>
      </c>
      <c r="N377" s="12" t="e">
        <f ca="1">VLOOKUP(D377,Input!B:N,11,0)</f>
        <v>#N/A</v>
      </c>
      <c r="O377" s="12" t="e">
        <f ca="1">VLOOKUP(D377,Input!B:M,6,0)</f>
        <v>#N/A</v>
      </c>
      <c r="P377" s="6">
        <v>376</v>
      </c>
    </row>
    <row r="378" spans="1:16" ht="14.25">
      <c r="A378" s="13" t="str">
        <f>IFERROR(VLOOKUP($D:$D,scan!$A:$B,2,0),"**")</f>
        <v>**</v>
      </c>
      <c r="B378" s="13" t="str">
        <f>IFERROR(VLOOKUP($D378,scan!A:C,3,0),"**")</f>
        <v>**</v>
      </c>
      <c r="C378" s="5">
        <v>545</v>
      </c>
      <c r="D378" s="15"/>
      <c r="E378" s="16" t="str">
        <f t="shared" si="5"/>
        <v>377.**.</v>
      </c>
      <c r="F378" s="3" t="s">
        <v>4950</v>
      </c>
      <c r="G378" s="3" t="s">
        <v>4951</v>
      </c>
      <c r="H378" s="3">
        <v>6042070338</v>
      </c>
      <c r="I378" s="12" t="e">
        <f ca="1">VLOOKUP(D378,Input!B:M,10,0)</f>
        <v>#N/A</v>
      </c>
      <c r="J378" s="12"/>
      <c r="K378" s="12"/>
      <c r="L378" s="12"/>
      <c r="M378" s="12" t="e">
        <f ca="1">VLOOKUP(D378,Input!B:M,12,0)</f>
        <v>#N/A</v>
      </c>
      <c r="N378" s="12" t="e">
        <f ca="1">VLOOKUP(D378,Input!B:N,11,0)</f>
        <v>#N/A</v>
      </c>
      <c r="O378" s="12" t="e">
        <f ca="1">VLOOKUP(D378,Input!B:M,6,0)</f>
        <v>#N/A</v>
      </c>
      <c r="P378" s="6">
        <v>377</v>
      </c>
    </row>
    <row r="379" spans="1:16" ht="14.25">
      <c r="A379" s="13" t="str">
        <f>IFERROR(VLOOKUP($D:$D,scan!$A:$B,2,0),"**")</f>
        <v>**</v>
      </c>
      <c r="B379" s="13" t="str">
        <f>IFERROR(VLOOKUP($D379,scan!A:C,3,0),"**")</f>
        <v>**</v>
      </c>
      <c r="C379" s="14">
        <v>64</v>
      </c>
      <c r="D379" s="15"/>
      <c r="E379" s="16" t="str">
        <f t="shared" si="5"/>
        <v>378.**.</v>
      </c>
      <c r="F379" s="3" t="s">
        <v>4950</v>
      </c>
      <c r="G379" s="3" t="s">
        <v>4951</v>
      </c>
      <c r="H379" s="3">
        <v>6042070338</v>
      </c>
      <c r="I379" s="12" t="e">
        <f ca="1">VLOOKUP(D379,Input!B:M,10,0)</f>
        <v>#N/A</v>
      </c>
      <c r="J379" s="12"/>
      <c r="K379" s="12"/>
      <c r="L379" s="12"/>
      <c r="M379" s="12" t="e">
        <f ca="1">VLOOKUP(D379,Input!B:M,12,0)</f>
        <v>#N/A</v>
      </c>
      <c r="N379" s="12" t="e">
        <f ca="1">VLOOKUP(D379,Input!B:N,11,0)</f>
        <v>#N/A</v>
      </c>
      <c r="O379" s="12" t="e">
        <f ca="1">VLOOKUP(D379,Input!B:M,6,0)</f>
        <v>#N/A</v>
      </c>
      <c r="P379" s="6">
        <v>378</v>
      </c>
    </row>
    <row r="380" spans="1:16" ht="14.25">
      <c r="A380" s="13" t="str">
        <f>IFERROR(VLOOKUP($D:$D,scan!$A:$B,2,0),"**")</f>
        <v>**</v>
      </c>
      <c r="B380" s="13" t="str">
        <f>IFERROR(VLOOKUP($D380,scan!A:C,3,0),"**")</f>
        <v>**</v>
      </c>
      <c r="C380" s="14">
        <v>536</v>
      </c>
      <c r="D380" s="15"/>
      <c r="E380" s="16" t="str">
        <f t="shared" si="5"/>
        <v>379.**.</v>
      </c>
      <c r="F380" s="3" t="s">
        <v>4950</v>
      </c>
      <c r="G380" s="3" t="s">
        <v>4951</v>
      </c>
      <c r="H380" s="3">
        <v>6042070338</v>
      </c>
      <c r="I380" s="12" t="e">
        <f ca="1">VLOOKUP(D380,Input!B:M,10,0)</f>
        <v>#N/A</v>
      </c>
      <c r="J380" s="12"/>
      <c r="K380" s="12"/>
      <c r="L380" s="12"/>
      <c r="M380" s="12" t="e">
        <f ca="1">VLOOKUP(D380,Input!B:M,12,0)</f>
        <v>#N/A</v>
      </c>
      <c r="N380" s="12" t="e">
        <f ca="1">VLOOKUP(D380,Input!B:N,11,0)</f>
        <v>#N/A</v>
      </c>
      <c r="O380" s="12" t="e">
        <f ca="1">VLOOKUP(D380,Input!B:M,6,0)</f>
        <v>#N/A</v>
      </c>
      <c r="P380" s="6">
        <v>379</v>
      </c>
    </row>
    <row r="381" spans="1:16" ht="14.25">
      <c r="A381" s="13" t="str">
        <f>IFERROR(VLOOKUP($D:$D,scan!$A:$B,2,0),"**")</f>
        <v>**</v>
      </c>
      <c r="B381" s="13" t="str">
        <f>IFERROR(VLOOKUP($D381,scan!A:C,3,0),"**")</f>
        <v>**</v>
      </c>
      <c r="C381" s="5">
        <v>386</v>
      </c>
      <c r="D381" s="15"/>
      <c r="E381" s="16" t="str">
        <f t="shared" si="5"/>
        <v>380.**.</v>
      </c>
      <c r="F381" s="3" t="s">
        <v>4950</v>
      </c>
      <c r="G381" s="3" t="s">
        <v>4951</v>
      </c>
      <c r="H381" s="3">
        <v>6042070338</v>
      </c>
      <c r="I381" s="12" t="e">
        <f ca="1">VLOOKUP(D381,Input!B:M,10,0)</f>
        <v>#N/A</v>
      </c>
      <c r="J381" s="12"/>
      <c r="K381" s="12"/>
      <c r="L381" s="12"/>
      <c r="M381" s="12" t="e">
        <f ca="1">VLOOKUP(D381,Input!B:M,12,0)</f>
        <v>#N/A</v>
      </c>
      <c r="N381" s="12" t="e">
        <f ca="1">VLOOKUP(D381,Input!B:N,11,0)</f>
        <v>#N/A</v>
      </c>
      <c r="O381" s="12" t="e">
        <f ca="1">VLOOKUP(D381,Input!B:M,6,0)</f>
        <v>#N/A</v>
      </c>
      <c r="P381" s="6">
        <v>380</v>
      </c>
    </row>
    <row r="382" spans="1:16" ht="14.25">
      <c r="A382" s="13" t="str">
        <f>IFERROR(VLOOKUP($D:$D,scan!$A:$B,2,0),"**")</f>
        <v>**</v>
      </c>
      <c r="B382" s="13" t="str">
        <f>IFERROR(VLOOKUP($D382,scan!A:C,3,0),"**")</f>
        <v>**</v>
      </c>
      <c r="C382" s="14">
        <v>603</v>
      </c>
      <c r="D382" s="15"/>
      <c r="E382" s="16" t="str">
        <f t="shared" si="5"/>
        <v>381.**.</v>
      </c>
      <c r="F382" s="3" t="s">
        <v>4950</v>
      </c>
      <c r="G382" s="3" t="s">
        <v>4951</v>
      </c>
      <c r="H382" s="3">
        <v>6042070338</v>
      </c>
      <c r="I382" s="12" t="e">
        <f ca="1">VLOOKUP(D382,Input!B:M,10,0)</f>
        <v>#N/A</v>
      </c>
      <c r="J382" s="12"/>
      <c r="K382" s="12"/>
      <c r="L382" s="12"/>
      <c r="M382" s="12" t="e">
        <f ca="1">VLOOKUP(D382,Input!B:M,12,0)</f>
        <v>#N/A</v>
      </c>
      <c r="N382" s="12" t="e">
        <f ca="1">VLOOKUP(D382,Input!B:N,11,0)</f>
        <v>#N/A</v>
      </c>
      <c r="O382" s="12" t="e">
        <f ca="1">VLOOKUP(D382,Input!B:M,6,0)</f>
        <v>#N/A</v>
      </c>
      <c r="P382" s="6">
        <v>381</v>
      </c>
    </row>
    <row r="383" spans="1:16" ht="14.25">
      <c r="A383" s="13" t="str">
        <f>IFERROR(VLOOKUP($D:$D,scan!$A:$B,2,0),"**")</f>
        <v>**</v>
      </c>
      <c r="B383" s="13" t="str">
        <f>IFERROR(VLOOKUP($D383,scan!A:C,3,0),"**")</f>
        <v>**</v>
      </c>
      <c r="C383" s="14">
        <v>606</v>
      </c>
      <c r="D383" s="15"/>
      <c r="E383" s="16" t="str">
        <f t="shared" si="5"/>
        <v>382.**.</v>
      </c>
      <c r="F383" s="3" t="s">
        <v>4950</v>
      </c>
      <c r="G383" s="3" t="s">
        <v>4951</v>
      </c>
      <c r="H383" s="3">
        <v>6042070338</v>
      </c>
      <c r="I383" s="12" t="e">
        <f ca="1">VLOOKUP(D383,Input!B:M,10,0)</f>
        <v>#N/A</v>
      </c>
      <c r="J383" s="12"/>
      <c r="K383" s="12"/>
      <c r="L383" s="12"/>
      <c r="M383" s="12" t="e">
        <f ca="1">VLOOKUP(D383,Input!B:M,12,0)</f>
        <v>#N/A</v>
      </c>
      <c r="N383" s="12" t="e">
        <f ca="1">VLOOKUP(D383,Input!B:N,11,0)</f>
        <v>#N/A</v>
      </c>
      <c r="O383" s="12" t="e">
        <f ca="1">VLOOKUP(D383,Input!B:M,6,0)</f>
        <v>#N/A</v>
      </c>
      <c r="P383" s="6">
        <v>382</v>
      </c>
    </row>
    <row r="384" spans="1:16" ht="14.25">
      <c r="A384" s="13" t="str">
        <f>IFERROR(VLOOKUP($D:$D,scan!$A:$B,2,0),"**")</f>
        <v>**</v>
      </c>
      <c r="B384" s="13" t="str">
        <f>IFERROR(VLOOKUP($D384,scan!A:C,3,0),"**")</f>
        <v>**</v>
      </c>
      <c r="C384" s="14">
        <v>65</v>
      </c>
      <c r="D384" s="15"/>
      <c r="E384" s="16" t="str">
        <f t="shared" si="5"/>
        <v>383.**.</v>
      </c>
      <c r="F384" s="3" t="s">
        <v>4950</v>
      </c>
      <c r="G384" s="3" t="s">
        <v>4951</v>
      </c>
      <c r="H384" s="3">
        <v>6042070338</v>
      </c>
      <c r="I384" s="12" t="e">
        <f ca="1">VLOOKUP(D384,Input!B:M,10,0)</f>
        <v>#N/A</v>
      </c>
      <c r="J384" s="12"/>
      <c r="K384" s="12"/>
      <c r="L384" s="12"/>
      <c r="M384" s="12" t="e">
        <f ca="1">VLOOKUP(D384,Input!B:M,12,0)</f>
        <v>#N/A</v>
      </c>
      <c r="N384" s="12" t="e">
        <f ca="1">VLOOKUP(D384,Input!B:N,11,0)</f>
        <v>#N/A</v>
      </c>
      <c r="O384" s="12" t="e">
        <f ca="1">VLOOKUP(D384,Input!B:M,6,0)</f>
        <v>#N/A</v>
      </c>
      <c r="P384" s="6">
        <v>383</v>
      </c>
    </row>
    <row r="385" spans="1:16" ht="14.25">
      <c r="A385" s="13" t="str">
        <f>IFERROR(VLOOKUP($D:$D,scan!$A:$B,2,0),"**")</f>
        <v>**</v>
      </c>
      <c r="B385" s="13" t="str">
        <f>IFERROR(VLOOKUP($D385,scan!A:C,3,0),"**")</f>
        <v>**</v>
      </c>
      <c r="C385" s="14">
        <v>222</v>
      </c>
      <c r="D385" s="15"/>
      <c r="E385" s="16" t="str">
        <f t="shared" si="5"/>
        <v>384.**.</v>
      </c>
      <c r="F385" s="3" t="s">
        <v>4950</v>
      </c>
      <c r="G385" s="3" t="s">
        <v>4951</v>
      </c>
      <c r="H385" s="3">
        <v>6042070338</v>
      </c>
      <c r="I385" s="12" t="e">
        <f ca="1">VLOOKUP(D385,Input!B:M,10,0)</f>
        <v>#N/A</v>
      </c>
      <c r="J385" s="12"/>
      <c r="K385" s="12"/>
      <c r="L385" s="12"/>
      <c r="M385" s="12" t="e">
        <f ca="1">VLOOKUP(D385,Input!B:M,12,0)</f>
        <v>#N/A</v>
      </c>
      <c r="N385" s="12" t="e">
        <f ca="1">VLOOKUP(D385,Input!B:N,11,0)</f>
        <v>#N/A</v>
      </c>
      <c r="O385" s="12" t="e">
        <f ca="1">VLOOKUP(D385,Input!B:M,6,0)</f>
        <v>#N/A</v>
      </c>
      <c r="P385" s="6">
        <v>384</v>
      </c>
    </row>
    <row r="386" spans="1:16" ht="14.25">
      <c r="A386" s="13" t="str">
        <f>IFERROR(VLOOKUP($D:$D,scan!$A:$B,2,0),"**")</f>
        <v>**</v>
      </c>
      <c r="B386" s="13" t="str">
        <f>IFERROR(VLOOKUP($D386,scan!A:C,3,0),"**")</f>
        <v>**</v>
      </c>
      <c r="C386" s="14">
        <v>59</v>
      </c>
      <c r="D386" s="15"/>
      <c r="E386" s="16" t="str">
        <f t="shared" ref="E386:E449" si="6">P386&amp;"."&amp;B386&amp;"."&amp;D386</f>
        <v>385.**.</v>
      </c>
      <c r="F386" s="3" t="s">
        <v>4950</v>
      </c>
      <c r="G386" s="3" t="s">
        <v>4951</v>
      </c>
      <c r="H386" s="3">
        <v>6042070338</v>
      </c>
      <c r="I386" s="12" t="e">
        <f ca="1">VLOOKUP(D386,Input!B:M,10,0)</f>
        <v>#N/A</v>
      </c>
      <c r="J386" s="12"/>
      <c r="K386" s="12"/>
      <c r="L386" s="12"/>
      <c r="M386" s="12" t="e">
        <f ca="1">VLOOKUP(D386,Input!B:M,12,0)</f>
        <v>#N/A</v>
      </c>
      <c r="N386" s="12" t="e">
        <f ca="1">VLOOKUP(D386,Input!B:N,11,0)</f>
        <v>#N/A</v>
      </c>
      <c r="O386" s="12" t="e">
        <f ca="1">VLOOKUP(D386,Input!B:M,6,0)</f>
        <v>#N/A</v>
      </c>
      <c r="P386" s="6">
        <v>385</v>
      </c>
    </row>
    <row r="387" spans="1:16" ht="14.25">
      <c r="A387" s="13" t="str">
        <f>IFERROR(VLOOKUP($D:$D,scan!$A:$B,2,0),"**")</f>
        <v>**</v>
      </c>
      <c r="B387" s="13" t="str">
        <f>IFERROR(VLOOKUP($D387,scan!A:C,3,0),"**")</f>
        <v>**</v>
      </c>
      <c r="C387" s="14">
        <v>194</v>
      </c>
      <c r="D387" s="15"/>
      <c r="E387" s="16" t="str">
        <f t="shared" si="6"/>
        <v>386.**.</v>
      </c>
      <c r="F387" s="3" t="s">
        <v>4950</v>
      </c>
      <c r="G387" s="3" t="s">
        <v>4951</v>
      </c>
      <c r="H387" s="3">
        <v>6042070338</v>
      </c>
      <c r="I387" s="12" t="e">
        <f ca="1">VLOOKUP(D387,Input!B:M,10,0)</f>
        <v>#N/A</v>
      </c>
      <c r="J387" s="12"/>
      <c r="K387" s="12"/>
      <c r="L387" s="12"/>
      <c r="M387" s="12" t="e">
        <f ca="1">VLOOKUP(D387,Input!B:M,12,0)</f>
        <v>#N/A</v>
      </c>
      <c r="N387" s="12" t="e">
        <f ca="1">VLOOKUP(D387,Input!B:N,11,0)</f>
        <v>#N/A</v>
      </c>
      <c r="O387" s="12" t="e">
        <f ca="1">VLOOKUP(D387,Input!B:M,6,0)</f>
        <v>#N/A</v>
      </c>
      <c r="P387" s="6">
        <v>386</v>
      </c>
    </row>
    <row r="388" spans="1:16" ht="14.25">
      <c r="A388" s="13" t="str">
        <f>IFERROR(VLOOKUP($D:$D,scan!$A:$B,2,0),"**")</f>
        <v>**</v>
      </c>
      <c r="B388" s="13" t="str">
        <f>IFERROR(VLOOKUP($D388,scan!A:C,3,0),"**")</f>
        <v>**</v>
      </c>
      <c r="C388" s="5">
        <v>485</v>
      </c>
      <c r="D388" s="15"/>
      <c r="E388" s="16" t="str">
        <f t="shared" si="6"/>
        <v>387.**.</v>
      </c>
      <c r="F388" s="3" t="s">
        <v>4950</v>
      </c>
      <c r="G388" s="3" t="s">
        <v>4951</v>
      </c>
      <c r="H388" s="3">
        <v>6042070338</v>
      </c>
      <c r="I388" s="12" t="e">
        <f ca="1">VLOOKUP(D388,Input!B:M,10,0)</f>
        <v>#N/A</v>
      </c>
      <c r="J388" s="12"/>
      <c r="K388" s="12"/>
      <c r="L388" s="12"/>
      <c r="M388" s="12" t="e">
        <f ca="1">VLOOKUP(D388,Input!B:M,12,0)</f>
        <v>#N/A</v>
      </c>
      <c r="N388" s="12" t="e">
        <f ca="1">VLOOKUP(D388,Input!B:N,11,0)</f>
        <v>#N/A</v>
      </c>
      <c r="O388" s="12" t="e">
        <f ca="1">VLOOKUP(D388,Input!B:M,6,0)</f>
        <v>#N/A</v>
      </c>
      <c r="P388" s="6">
        <v>387</v>
      </c>
    </row>
    <row r="389" spans="1:16" ht="14.25">
      <c r="A389" s="13" t="str">
        <f>IFERROR(VLOOKUP($D:$D,scan!$A:$B,2,0),"**")</f>
        <v>**</v>
      </c>
      <c r="B389" s="13" t="str">
        <f>IFERROR(VLOOKUP($D389,scan!A:C,3,0),"**")</f>
        <v>**</v>
      </c>
      <c r="C389" s="14">
        <v>239</v>
      </c>
      <c r="D389" s="15"/>
      <c r="E389" s="16" t="str">
        <f t="shared" si="6"/>
        <v>388.**.</v>
      </c>
      <c r="F389" s="3" t="s">
        <v>4950</v>
      </c>
      <c r="G389" s="3" t="s">
        <v>4951</v>
      </c>
      <c r="H389" s="3">
        <v>6042070338</v>
      </c>
      <c r="I389" s="12" t="e">
        <f ca="1">VLOOKUP(D389,Input!B:M,10,0)</f>
        <v>#N/A</v>
      </c>
      <c r="J389" s="12"/>
      <c r="K389" s="12"/>
      <c r="L389" s="12"/>
      <c r="M389" s="12" t="e">
        <f ca="1">VLOOKUP(D389,Input!B:M,12,0)</f>
        <v>#N/A</v>
      </c>
      <c r="N389" s="12" t="e">
        <f ca="1">VLOOKUP(D389,Input!B:N,11,0)</f>
        <v>#N/A</v>
      </c>
      <c r="O389" s="12" t="e">
        <f ca="1">VLOOKUP(D389,Input!B:M,6,0)</f>
        <v>#N/A</v>
      </c>
      <c r="P389" s="6">
        <v>388</v>
      </c>
    </row>
    <row r="390" spans="1:16" ht="14.25">
      <c r="A390" s="13" t="str">
        <f>IFERROR(VLOOKUP($D:$D,scan!$A:$B,2,0),"**")</f>
        <v>**</v>
      </c>
      <c r="B390" s="13" t="str">
        <f>IFERROR(VLOOKUP($D390,scan!A:C,3,0),"**")</f>
        <v>**</v>
      </c>
      <c r="C390" s="14">
        <v>523</v>
      </c>
      <c r="D390" s="15"/>
      <c r="E390" s="16" t="str">
        <f t="shared" si="6"/>
        <v>389.**.</v>
      </c>
      <c r="F390" s="3" t="s">
        <v>4950</v>
      </c>
      <c r="G390" s="3" t="s">
        <v>4951</v>
      </c>
      <c r="H390" s="3">
        <v>6042070338</v>
      </c>
      <c r="I390" s="12" t="e">
        <f ca="1">VLOOKUP(D390,Input!B:M,10,0)</f>
        <v>#N/A</v>
      </c>
      <c r="J390" s="12"/>
      <c r="K390" s="12"/>
      <c r="L390" s="12"/>
      <c r="M390" s="12" t="e">
        <f ca="1">VLOOKUP(D390,Input!B:M,12,0)</f>
        <v>#N/A</v>
      </c>
      <c r="N390" s="12" t="e">
        <f ca="1">VLOOKUP(D390,Input!B:N,11,0)</f>
        <v>#N/A</v>
      </c>
      <c r="O390" s="12" t="e">
        <f ca="1">VLOOKUP(D390,Input!B:M,6,0)</f>
        <v>#N/A</v>
      </c>
      <c r="P390" s="6">
        <v>389</v>
      </c>
    </row>
    <row r="391" spans="1:16" ht="14.25">
      <c r="A391" s="13" t="str">
        <f>IFERROR(VLOOKUP($D:$D,scan!$A:$B,2,0),"**")</f>
        <v>**</v>
      </c>
      <c r="B391" s="13" t="str">
        <f>IFERROR(VLOOKUP($D391,scan!A:C,3,0),"**")</f>
        <v>**</v>
      </c>
      <c r="C391" s="14">
        <v>524</v>
      </c>
      <c r="D391" s="15"/>
      <c r="E391" s="16" t="str">
        <f t="shared" si="6"/>
        <v>390.**.</v>
      </c>
      <c r="F391" s="3" t="s">
        <v>4950</v>
      </c>
      <c r="G391" s="3" t="s">
        <v>4951</v>
      </c>
      <c r="H391" s="3">
        <v>6042070338</v>
      </c>
      <c r="I391" s="12" t="e">
        <f ca="1">VLOOKUP(D391,Input!B:M,10,0)</f>
        <v>#N/A</v>
      </c>
      <c r="J391" s="12"/>
      <c r="K391" s="12"/>
      <c r="L391" s="12"/>
      <c r="M391" s="12" t="e">
        <f ca="1">VLOOKUP(D391,Input!B:M,12,0)</f>
        <v>#N/A</v>
      </c>
      <c r="N391" s="12" t="e">
        <f ca="1">VLOOKUP(D391,Input!B:N,11,0)</f>
        <v>#N/A</v>
      </c>
      <c r="O391" s="12" t="e">
        <f ca="1">VLOOKUP(D391,Input!B:M,6,0)</f>
        <v>#N/A</v>
      </c>
      <c r="P391" s="6">
        <v>390</v>
      </c>
    </row>
    <row r="392" spans="1:16" ht="14.25">
      <c r="A392" s="13" t="str">
        <f>IFERROR(VLOOKUP($D:$D,scan!$A:$B,2,0),"**")</f>
        <v>**</v>
      </c>
      <c r="B392" s="13" t="str">
        <f>IFERROR(VLOOKUP($D392,scan!A:C,3,0),"**")</f>
        <v>**</v>
      </c>
      <c r="C392" s="14">
        <v>178</v>
      </c>
      <c r="D392" s="15"/>
      <c r="E392" s="16" t="str">
        <f t="shared" si="6"/>
        <v>391.**.</v>
      </c>
      <c r="F392" s="3" t="s">
        <v>4950</v>
      </c>
      <c r="G392" s="3" t="s">
        <v>4951</v>
      </c>
      <c r="H392" s="3">
        <v>6042070338</v>
      </c>
      <c r="I392" s="12" t="e">
        <f ca="1">VLOOKUP(D392,Input!B:M,10,0)</f>
        <v>#N/A</v>
      </c>
      <c r="J392" s="12"/>
      <c r="K392" s="12"/>
      <c r="L392" s="12"/>
      <c r="M392" s="12" t="e">
        <f ca="1">VLOOKUP(D392,Input!B:M,12,0)</f>
        <v>#N/A</v>
      </c>
      <c r="N392" s="12" t="e">
        <f ca="1">VLOOKUP(D392,Input!B:N,11,0)</f>
        <v>#N/A</v>
      </c>
      <c r="O392" s="12" t="e">
        <f ca="1">VLOOKUP(D392,Input!B:M,6,0)</f>
        <v>#N/A</v>
      </c>
      <c r="P392" s="6">
        <v>391</v>
      </c>
    </row>
    <row r="393" spans="1:16" ht="14.25">
      <c r="A393" s="13" t="str">
        <f>IFERROR(VLOOKUP($D:$D,scan!$A:$B,2,0),"**")</f>
        <v>**</v>
      </c>
      <c r="B393" s="13" t="str">
        <f>IFERROR(VLOOKUP($D393,scan!A:C,3,0),"**")</f>
        <v>**</v>
      </c>
      <c r="C393" s="14">
        <v>374</v>
      </c>
      <c r="D393" s="15"/>
      <c r="E393" s="16" t="str">
        <f t="shared" si="6"/>
        <v>392.**.</v>
      </c>
      <c r="F393" s="3" t="s">
        <v>4950</v>
      </c>
      <c r="G393" s="3" t="s">
        <v>4951</v>
      </c>
      <c r="H393" s="3">
        <v>6042070338</v>
      </c>
      <c r="I393" s="12" t="e">
        <f ca="1">VLOOKUP(D393,Input!B:M,10,0)</f>
        <v>#N/A</v>
      </c>
      <c r="J393" s="12"/>
      <c r="K393" s="12"/>
      <c r="L393" s="12"/>
      <c r="M393" s="12" t="e">
        <f ca="1">VLOOKUP(D393,Input!B:M,12,0)</f>
        <v>#N/A</v>
      </c>
      <c r="N393" s="12" t="e">
        <f ca="1">VLOOKUP(D393,Input!B:N,11,0)</f>
        <v>#N/A</v>
      </c>
      <c r="O393" s="12" t="e">
        <f ca="1">VLOOKUP(D393,Input!B:M,6,0)</f>
        <v>#N/A</v>
      </c>
      <c r="P393" s="6">
        <v>392</v>
      </c>
    </row>
    <row r="394" spans="1:16" ht="14.25">
      <c r="A394" s="13" t="str">
        <f>IFERROR(VLOOKUP($D:$D,scan!$A:$B,2,0),"**")</f>
        <v>**</v>
      </c>
      <c r="B394" s="13" t="str">
        <f>IFERROR(VLOOKUP($D394,scan!A:C,3,0),"**")</f>
        <v>**</v>
      </c>
      <c r="C394" s="14">
        <v>240</v>
      </c>
      <c r="D394" s="15"/>
      <c r="E394" s="16" t="str">
        <f t="shared" si="6"/>
        <v>393.**.</v>
      </c>
      <c r="F394" s="3" t="s">
        <v>4950</v>
      </c>
      <c r="G394" s="3" t="s">
        <v>4951</v>
      </c>
      <c r="H394" s="3">
        <v>6042070338</v>
      </c>
      <c r="I394" s="12" t="e">
        <f ca="1">VLOOKUP(D394,Input!B:M,10,0)</f>
        <v>#N/A</v>
      </c>
      <c r="J394" s="12"/>
      <c r="K394" s="12"/>
      <c r="L394" s="12"/>
      <c r="M394" s="12" t="e">
        <f ca="1">VLOOKUP(D394,Input!B:M,12,0)</f>
        <v>#N/A</v>
      </c>
      <c r="N394" s="12" t="e">
        <f ca="1">VLOOKUP(D394,Input!B:N,11,0)</f>
        <v>#N/A</v>
      </c>
      <c r="O394" s="12" t="e">
        <f ca="1">VLOOKUP(D394,Input!B:M,6,0)</f>
        <v>#N/A</v>
      </c>
      <c r="P394" s="6">
        <v>393</v>
      </c>
    </row>
    <row r="395" spans="1:16" ht="14.25">
      <c r="A395" s="13" t="str">
        <f>IFERROR(VLOOKUP($D:$D,scan!$A:$B,2,0),"**")</f>
        <v>**</v>
      </c>
      <c r="B395" s="13" t="str">
        <f>IFERROR(VLOOKUP($D395,scan!A:C,3,0),"**")</f>
        <v>**</v>
      </c>
      <c r="C395" s="5">
        <v>617</v>
      </c>
      <c r="D395" s="15"/>
      <c r="E395" s="16" t="str">
        <f t="shared" si="6"/>
        <v>394.**.</v>
      </c>
      <c r="F395" s="3" t="s">
        <v>4950</v>
      </c>
      <c r="G395" s="3" t="s">
        <v>4951</v>
      </c>
      <c r="H395" s="3">
        <v>6042070338</v>
      </c>
      <c r="I395" s="12" t="e">
        <f ca="1">VLOOKUP(D395,Input!B:M,10,0)</f>
        <v>#N/A</v>
      </c>
      <c r="J395" s="12"/>
      <c r="K395" s="12"/>
      <c r="L395" s="12"/>
      <c r="M395" s="12" t="e">
        <f ca="1">VLOOKUP(D395,Input!B:M,12,0)</f>
        <v>#N/A</v>
      </c>
      <c r="N395" s="12" t="e">
        <f ca="1">VLOOKUP(D395,Input!B:N,11,0)</f>
        <v>#N/A</v>
      </c>
      <c r="O395" s="12" t="e">
        <f ca="1">VLOOKUP(D395,Input!B:M,6,0)</f>
        <v>#N/A</v>
      </c>
      <c r="P395" s="6">
        <v>394</v>
      </c>
    </row>
    <row r="396" spans="1:16" ht="14.25">
      <c r="A396" s="13" t="str">
        <f>IFERROR(VLOOKUP($D:$D,scan!$A:$B,2,0),"**")</f>
        <v>**</v>
      </c>
      <c r="B396" s="13" t="str">
        <f>IFERROR(VLOOKUP($D396,scan!A:C,3,0),"**")</f>
        <v>**</v>
      </c>
      <c r="C396" s="14">
        <v>3</v>
      </c>
      <c r="D396" s="15"/>
      <c r="E396" s="16" t="str">
        <f t="shared" si="6"/>
        <v>395.**.</v>
      </c>
      <c r="F396" s="3" t="s">
        <v>4950</v>
      </c>
      <c r="G396" s="3" t="s">
        <v>4951</v>
      </c>
      <c r="H396" s="3">
        <v>6042070338</v>
      </c>
      <c r="I396" s="12" t="e">
        <f ca="1">VLOOKUP(D396,Input!B:M,10,0)</f>
        <v>#N/A</v>
      </c>
      <c r="J396" s="12"/>
      <c r="K396" s="12"/>
      <c r="L396" s="12"/>
      <c r="M396" s="12" t="e">
        <f ca="1">VLOOKUP(D396,Input!B:M,12,0)</f>
        <v>#N/A</v>
      </c>
      <c r="N396" s="12" t="e">
        <f ca="1">VLOOKUP(D396,Input!B:N,11,0)</f>
        <v>#N/A</v>
      </c>
      <c r="O396" s="12" t="e">
        <f ca="1">VLOOKUP(D396,Input!B:M,6,0)</f>
        <v>#N/A</v>
      </c>
      <c r="P396" s="6">
        <v>395</v>
      </c>
    </row>
    <row r="397" spans="1:16" ht="14.25">
      <c r="A397" s="13" t="str">
        <f>IFERROR(VLOOKUP($D:$D,scan!$A:$B,2,0),"**")</f>
        <v>**</v>
      </c>
      <c r="B397" s="13" t="str">
        <f>IFERROR(VLOOKUP($D397,scan!A:C,3,0),"**")</f>
        <v>**</v>
      </c>
      <c r="C397" s="5">
        <v>61</v>
      </c>
      <c r="D397" s="15"/>
      <c r="E397" s="16" t="str">
        <f t="shared" si="6"/>
        <v>396.**.</v>
      </c>
      <c r="F397" s="3" t="s">
        <v>4950</v>
      </c>
      <c r="G397" s="3" t="s">
        <v>4951</v>
      </c>
      <c r="H397" s="3">
        <v>6042070338</v>
      </c>
      <c r="I397" s="12" t="e">
        <f ca="1">VLOOKUP(D397,Input!B:M,10,0)</f>
        <v>#N/A</v>
      </c>
      <c r="J397" s="12"/>
      <c r="K397" s="12"/>
      <c r="L397" s="12"/>
      <c r="M397" s="12" t="e">
        <f ca="1">VLOOKUP(D397,Input!B:M,12,0)</f>
        <v>#N/A</v>
      </c>
      <c r="N397" s="12" t="e">
        <f ca="1">VLOOKUP(D397,Input!B:N,11,0)</f>
        <v>#N/A</v>
      </c>
      <c r="O397" s="12" t="e">
        <f ca="1">VLOOKUP(D397,Input!B:M,6,0)</f>
        <v>#N/A</v>
      </c>
      <c r="P397" s="6">
        <v>396</v>
      </c>
    </row>
    <row r="398" spans="1:16" ht="14.25">
      <c r="A398" s="13" t="str">
        <f>IFERROR(VLOOKUP($D:$D,scan!$A:$B,2,0),"**")</f>
        <v>**</v>
      </c>
      <c r="B398" s="13" t="str">
        <f>IFERROR(VLOOKUP($D398,scan!A:C,3,0),"**")</f>
        <v>**</v>
      </c>
      <c r="C398" s="14">
        <v>220</v>
      </c>
      <c r="D398" s="15"/>
      <c r="E398" s="16" t="str">
        <f t="shared" si="6"/>
        <v>397.**.</v>
      </c>
      <c r="F398" s="3" t="s">
        <v>4950</v>
      </c>
      <c r="G398" s="3" t="s">
        <v>4951</v>
      </c>
      <c r="H398" s="3">
        <v>6042070338</v>
      </c>
      <c r="I398" s="12" t="e">
        <f ca="1">VLOOKUP(D398,Input!B:M,10,0)</f>
        <v>#N/A</v>
      </c>
      <c r="J398" s="12"/>
      <c r="K398" s="12"/>
      <c r="L398" s="12"/>
      <c r="M398" s="12" t="e">
        <f ca="1">VLOOKUP(D398,Input!B:M,12,0)</f>
        <v>#N/A</v>
      </c>
      <c r="N398" s="12" t="e">
        <f ca="1">VLOOKUP(D398,Input!B:N,11,0)</f>
        <v>#N/A</v>
      </c>
      <c r="O398" s="12" t="e">
        <f ca="1">VLOOKUP(D398,Input!B:M,6,0)</f>
        <v>#N/A</v>
      </c>
      <c r="P398" s="6">
        <v>397</v>
      </c>
    </row>
    <row r="399" spans="1:16" ht="14.25">
      <c r="A399" s="13" t="str">
        <f>IFERROR(VLOOKUP($D:$D,scan!$A:$B,2,0),"**")</f>
        <v>**</v>
      </c>
      <c r="B399" s="13" t="str">
        <f>IFERROR(VLOOKUP($D399,scan!A:C,3,0),"**")</f>
        <v>**</v>
      </c>
      <c r="C399" s="14">
        <v>372</v>
      </c>
      <c r="D399" s="15"/>
      <c r="E399" s="16" t="str">
        <f t="shared" si="6"/>
        <v>398.**.</v>
      </c>
      <c r="F399" s="3" t="s">
        <v>4950</v>
      </c>
      <c r="G399" s="3" t="s">
        <v>4951</v>
      </c>
      <c r="H399" s="3">
        <v>6042070338</v>
      </c>
      <c r="I399" s="12" t="e">
        <f ca="1">VLOOKUP(D399,Input!B:M,10,0)</f>
        <v>#N/A</v>
      </c>
      <c r="J399" s="12"/>
      <c r="K399" s="12"/>
      <c r="L399" s="12"/>
      <c r="M399" s="12" t="e">
        <f ca="1">VLOOKUP(D399,Input!B:M,12,0)</f>
        <v>#N/A</v>
      </c>
      <c r="N399" s="12" t="e">
        <f ca="1">VLOOKUP(D399,Input!B:N,11,0)</f>
        <v>#N/A</v>
      </c>
      <c r="O399" s="12" t="e">
        <f ca="1">VLOOKUP(D399,Input!B:M,6,0)</f>
        <v>#N/A</v>
      </c>
      <c r="P399" s="6">
        <v>398</v>
      </c>
    </row>
    <row r="400" spans="1:16" ht="14.25">
      <c r="A400" s="13" t="str">
        <f>IFERROR(VLOOKUP($D:$D,scan!$A:$B,2,0),"**")</f>
        <v>**</v>
      </c>
      <c r="B400" s="13" t="str">
        <f>IFERROR(VLOOKUP($D400,scan!A:C,3,0),"**")</f>
        <v>**</v>
      </c>
      <c r="C400" s="5">
        <v>226</v>
      </c>
      <c r="D400" s="15"/>
      <c r="E400" s="16" t="str">
        <f t="shared" si="6"/>
        <v>399.**.</v>
      </c>
      <c r="F400" s="3" t="s">
        <v>4950</v>
      </c>
      <c r="G400" s="3" t="s">
        <v>4951</v>
      </c>
      <c r="H400" s="3">
        <v>6042070338</v>
      </c>
      <c r="I400" s="12" t="e">
        <f ca="1">VLOOKUP(D400,Input!B:M,10,0)</f>
        <v>#N/A</v>
      </c>
      <c r="J400" s="12"/>
      <c r="K400" s="12"/>
      <c r="L400" s="12"/>
      <c r="M400" s="12" t="e">
        <f ca="1">VLOOKUP(D400,Input!B:M,12,0)</f>
        <v>#N/A</v>
      </c>
      <c r="N400" s="12" t="e">
        <f ca="1">VLOOKUP(D400,Input!B:N,11,0)</f>
        <v>#N/A</v>
      </c>
      <c r="O400" s="12" t="e">
        <f ca="1">VLOOKUP(D400,Input!B:M,6,0)</f>
        <v>#N/A</v>
      </c>
      <c r="P400" s="6">
        <v>399</v>
      </c>
    </row>
    <row r="401" spans="1:16" ht="14.25">
      <c r="A401" s="13" t="str">
        <f>IFERROR(VLOOKUP($D:$D,scan!$A:$B,2,0),"**")</f>
        <v>**</v>
      </c>
      <c r="B401" s="13" t="str">
        <f>IFERROR(VLOOKUP($D401,scan!A:C,3,0),"**")</f>
        <v>**</v>
      </c>
      <c r="C401" s="14">
        <v>526</v>
      </c>
      <c r="D401" s="15"/>
      <c r="E401" s="16" t="str">
        <f t="shared" si="6"/>
        <v>400.**.</v>
      </c>
      <c r="F401" s="3" t="s">
        <v>4950</v>
      </c>
      <c r="G401" s="3" t="s">
        <v>4951</v>
      </c>
      <c r="H401" s="3">
        <v>6042070338</v>
      </c>
      <c r="I401" s="12" t="e">
        <f ca="1">VLOOKUP(D401,Input!B:M,10,0)</f>
        <v>#N/A</v>
      </c>
      <c r="J401" s="12"/>
      <c r="K401" s="12"/>
      <c r="L401" s="12"/>
      <c r="M401" s="12" t="e">
        <f ca="1">VLOOKUP(D401,Input!B:M,12,0)</f>
        <v>#N/A</v>
      </c>
      <c r="N401" s="12" t="e">
        <f ca="1">VLOOKUP(D401,Input!B:N,11,0)</f>
        <v>#N/A</v>
      </c>
      <c r="O401" s="12" t="e">
        <f ca="1">VLOOKUP(D401,Input!B:M,6,0)</f>
        <v>#N/A</v>
      </c>
      <c r="P401" s="6">
        <v>400</v>
      </c>
    </row>
    <row r="402" spans="1:16" ht="14.25">
      <c r="A402" s="13" t="str">
        <f>IFERROR(VLOOKUP($D:$D,scan!$A:$B,2,0),"**")</f>
        <v>**</v>
      </c>
      <c r="B402" s="13" t="str">
        <f>IFERROR(VLOOKUP($D402,scan!A:C,3,0),"**")</f>
        <v>**</v>
      </c>
      <c r="C402" s="14">
        <v>58</v>
      </c>
      <c r="D402" s="15"/>
      <c r="E402" s="16" t="str">
        <f t="shared" si="6"/>
        <v>401.**.</v>
      </c>
      <c r="F402" s="3" t="s">
        <v>4950</v>
      </c>
      <c r="G402" s="3" t="s">
        <v>4951</v>
      </c>
      <c r="H402" s="3">
        <v>6042070338</v>
      </c>
      <c r="I402" s="12" t="e">
        <f ca="1">VLOOKUP(D402,Input!B:M,10,0)</f>
        <v>#N/A</v>
      </c>
      <c r="J402" s="12"/>
      <c r="K402" s="12"/>
      <c r="L402" s="12"/>
      <c r="M402" s="12" t="e">
        <f ca="1">VLOOKUP(D402,Input!B:M,12,0)</f>
        <v>#N/A</v>
      </c>
      <c r="N402" s="12" t="e">
        <f ca="1">VLOOKUP(D402,Input!B:N,11,0)</f>
        <v>#N/A</v>
      </c>
      <c r="O402" s="12" t="e">
        <f ca="1">VLOOKUP(D402,Input!B:M,6,0)</f>
        <v>#N/A</v>
      </c>
      <c r="P402" s="6">
        <v>401</v>
      </c>
    </row>
    <row r="403" spans="1:16" ht="14.25">
      <c r="A403" s="13" t="str">
        <f>IFERROR(VLOOKUP($D:$D,scan!$A:$B,2,0),"**")</f>
        <v>**</v>
      </c>
      <c r="B403" s="13" t="str">
        <f>IFERROR(VLOOKUP($D403,scan!A:C,3,0),"**")</f>
        <v>**</v>
      </c>
      <c r="C403" s="5">
        <v>371</v>
      </c>
      <c r="D403" s="15"/>
      <c r="E403" s="16" t="str">
        <f t="shared" si="6"/>
        <v>402.**.</v>
      </c>
      <c r="F403" s="3" t="s">
        <v>4950</v>
      </c>
      <c r="G403" s="3" t="s">
        <v>4951</v>
      </c>
      <c r="H403" s="3">
        <v>6042070338</v>
      </c>
      <c r="I403" s="12" t="e">
        <f ca="1">VLOOKUP(D403,Input!B:M,10,0)</f>
        <v>#N/A</v>
      </c>
      <c r="J403" s="12"/>
      <c r="K403" s="12"/>
      <c r="L403" s="12"/>
      <c r="M403" s="12" t="e">
        <f ca="1">VLOOKUP(D403,Input!B:M,12,0)</f>
        <v>#N/A</v>
      </c>
      <c r="N403" s="12" t="e">
        <f ca="1">VLOOKUP(D403,Input!B:N,11,0)</f>
        <v>#N/A</v>
      </c>
      <c r="O403" s="12" t="e">
        <f ca="1">VLOOKUP(D403,Input!B:M,6,0)</f>
        <v>#N/A</v>
      </c>
      <c r="P403" s="6">
        <v>402</v>
      </c>
    </row>
    <row r="404" spans="1:16" ht="14.25">
      <c r="A404" s="13" t="str">
        <f>IFERROR(VLOOKUP($D:$D,scan!$A:$B,2,0),"**")</f>
        <v>**</v>
      </c>
      <c r="B404" s="13" t="str">
        <f>IFERROR(VLOOKUP($D404,scan!A:C,3,0),"**")</f>
        <v>**</v>
      </c>
      <c r="C404" s="5">
        <v>529</v>
      </c>
      <c r="D404" s="15"/>
      <c r="E404" s="16" t="str">
        <f t="shared" si="6"/>
        <v>403.**.</v>
      </c>
      <c r="F404" s="3" t="s">
        <v>4950</v>
      </c>
      <c r="G404" s="3" t="s">
        <v>4951</v>
      </c>
      <c r="H404" s="3">
        <v>6042070338</v>
      </c>
      <c r="I404" s="12" t="e">
        <f ca="1">VLOOKUP(D404,Input!B:M,10,0)</f>
        <v>#N/A</v>
      </c>
      <c r="J404" s="12"/>
      <c r="K404" s="12"/>
      <c r="L404" s="12"/>
      <c r="M404" s="12" t="e">
        <f ca="1">VLOOKUP(D404,Input!B:M,12,0)</f>
        <v>#N/A</v>
      </c>
      <c r="N404" s="12" t="e">
        <f ca="1">VLOOKUP(D404,Input!B:N,11,0)</f>
        <v>#N/A</v>
      </c>
      <c r="O404" s="12" t="e">
        <f ca="1">VLOOKUP(D404,Input!B:M,6,0)</f>
        <v>#N/A</v>
      </c>
      <c r="P404" s="6">
        <v>403</v>
      </c>
    </row>
    <row r="405" spans="1:16" ht="14.25">
      <c r="A405" s="13" t="str">
        <f>IFERROR(VLOOKUP($D:$D,scan!$A:$B,2,0),"**")</f>
        <v>**</v>
      </c>
      <c r="B405" s="13" t="str">
        <f>IFERROR(VLOOKUP($D405,scan!A:C,3,0),"**")</f>
        <v>**</v>
      </c>
      <c r="C405" s="14">
        <v>5</v>
      </c>
      <c r="D405" s="15"/>
      <c r="E405" s="16" t="str">
        <f t="shared" si="6"/>
        <v>404.**.</v>
      </c>
      <c r="F405" s="3" t="s">
        <v>4950</v>
      </c>
      <c r="G405" s="3" t="s">
        <v>4951</v>
      </c>
      <c r="H405" s="3">
        <v>6042070338</v>
      </c>
      <c r="I405" s="12" t="e">
        <f ca="1">VLOOKUP(D405,Input!B:M,10,0)</f>
        <v>#N/A</v>
      </c>
      <c r="J405" s="12"/>
      <c r="K405" s="12"/>
      <c r="L405" s="12"/>
      <c r="M405" s="12" t="e">
        <f ca="1">VLOOKUP(D405,Input!B:M,12,0)</f>
        <v>#N/A</v>
      </c>
      <c r="N405" s="12" t="e">
        <f ca="1">VLOOKUP(D405,Input!B:N,11,0)</f>
        <v>#N/A</v>
      </c>
      <c r="O405" s="12" t="e">
        <f ca="1">VLOOKUP(D405,Input!B:M,6,0)</f>
        <v>#N/A</v>
      </c>
      <c r="P405" s="6">
        <v>404</v>
      </c>
    </row>
    <row r="406" spans="1:16" ht="14.25">
      <c r="A406" s="13" t="str">
        <f>IFERROR(VLOOKUP($D:$D,scan!$A:$B,2,0),"**")</f>
        <v>**</v>
      </c>
      <c r="B406" s="13" t="str">
        <f>IFERROR(VLOOKUP($D406,scan!A:C,3,0),"**")</f>
        <v>**</v>
      </c>
      <c r="C406" s="5">
        <v>326</v>
      </c>
      <c r="D406" s="15"/>
      <c r="E406" s="16" t="str">
        <f t="shared" si="6"/>
        <v>405.**.</v>
      </c>
      <c r="F406" s="3" t="s">
        <v>4950</v>
      </c>
      <c r="G406" s="3" t="s">
        <v>4951</v>
      </c>
      <c r="H406" s="3">
        <v>6042070338</v>
      </c>
      <c r="I406" s="12" t="e">
        <f ca="1">VLOOKUP(D406,Input!B:M,10,0)</f>
        <v>#N/A</v>
      </c>
      <c r="J406" s="12"/>
      <c r="K406" s="12"/>
      <c r="L406" s="12"/>
      <c r="M406" s="12" t="e">
        <f ca="1">VLOOKUP(D406,Input!B:M,12,0)</f>
        <v>#N/A</v>
      </c>
      <c r="N406" s="12" t="e">
        <f ca="1">VLOOKUP(D406,Input!B:N,11,0)</f>
        <v>#N/A</v>
      </c>
      <c r="O406" s="12" t="e">
        <f ca="1">VLOOKUP(D406,Input!B:M,6,0)</f>
        <v>#N/A</v>
      </c>
      <c r="P406" s="6">
        <v>405</v>
      </c>
    </row>
    <row r="407" spans="1:16" ht="14.25">
      <c r="A407" s="13" t="str">
        <f>IFERROR(VLOOKUP($D:$D,scan!$A:$B,2,0),"**")</f>
        <v>**</v>
      </c>
      <c r="B407" s="13" t="str">
        <f>IFERROR(VLOOKUP($D407,scan!A:C,3,0),"**")</f>
        <v>**</v>
      </c>
      <c r="C407" s="5">
        <v>86</v>
      </c>
      <c r="D407" s="15"/>
      <c r="E407" s="16" t="str">
        <f t="shared" si="6"/>
        <v>406.**.</v>
      </c>
      <c r="F407" s="3" t="s">
        <v>4950</v>
      </c>
      <c r="G407" s="3" t="s">
        <v>4951</v>
      </c>
      <c r="H407" s="3">
        <v>6042070338</v>
      </c>
      <c r="I407" s="12" t="e">
        <f ca="1">VLOOKUP(D407,Input!B:M,10,0)</f>
        <v>#N/A</v>
      </c>
      <c r="J407" s="12"/>
      <c r="K407" s="12"/>
      <c r="L407" s="12"/>
      <c r="M407" s="12" t="e">
        <f ca="1">VLOOKUP(D407,Input!B:M,12,0)</f>
        <v>#N/A</v>
      </c>
      <c r="N407" s="12" t="e">
        <f ca="1">VLOOKUP(D407,Input!B:N,11,0)</f>
        <v>#N/A</v>
      </c>
      <c r="O407" s="12" t="e">
        <f ca="1">VLOOKUP(D407,Input!B:M,6,0)</f>
        <v>#N/A</v>
      </c>
      <c r="P407" s="6">
        <v>406</v>
      </c>
    </row>
    <row r="408" spans="1:16" ht="14.25">
      <c r="A408" s="13" t="str">
        <f>IFERROR(VLOOKUP($D:$D,scan!$A:$B,2,0),"**")</f>
        <v>**</v>
      </c>
      <c r="B408" s="13" t="str">
        <f>IFERROR(VLOOKUP($D408,scan!A:C,3,0),"**")</f>
        <v>**</v>
      </c>
      <c r="C408" s="14">
        <v>224</v>
      </c>
      <c r="D408" s="15"/>
      <c r="E408" s="16" t="str">
        <f t="shared" si="6"/>
        <v>407.**.</v>
      </c>
      <c r="F408" s="3" t="s">
        <v>4950</v>
      </c>
      <c r="G408" s="3" t="s">
        <v>4951</v>
      </c>
      <c r="H408" s="3">
        <v>6042070338</v>
      </c>
      <c r="I408" s="12" t="e">
        <f ca="1">VLOOKUP(D408,Input!B:M,10,0)</f>
        <v>#N/A</v>
      </c>
      <c r="J408" s="12"/>
      <c r="K408" s="12"/>
      <c r="L408" s="12"/>
      <c r="M408" s="12" t="e">
        <f ca="1">VLOOKUP(D408,Input!B:M,12,0)</f>
        <v>#N/A</v>
      </c>
      <c r="N408" s="12" t="e">
        <f ca="1">VLOOKUP(D408,Input!B:N,11,0)</f>
        <v>#N/A</v>
      </c>
      <c r="O408" s="12" t="e">
        <f ca="1">VLOOKUP(D408,Input!B:M,6,0)</f>
        <v>#N/A</v>
      </c>
      <c r="P408" s="6">
        <v>407</v>
      </c>
    </row>
    <row r="409" spans="1:16" ht="14.25">
      <c r="A409" s="13" t="str">
        <f>IFERROR(VLOOKUP($D:$D,scan!$A:$B,2,0),"**")</f>
        <v>**</v>
      </c>
      <c r="B409" s="13" t="str">
        <f>IFERROR(VLOOKUP($D409,scan!A:C,3,0),"**")</f>
        <v>**</v>
      </c>
      <c r="C409" s="14">
        <v>327</v>
      </c>
      <c r="D409" s="15"/>
      <c r="E409" s="16" t="str">
        <f t="shared" si="6"/>
        <v>408.**.</v>
      </c>
      <c r="F409" s="3" t="s">
        <v>4950</v>
      </c>
      <c r="G409" s="3" t="s">
        <v>4951</v>
      </c>
      <c r="H409" s="3">
        <v>6042070338</v>
      </c>
      <c r="I409" s="12" t="e">
        <f ca="1">VLOOKUP(D409,Input!B:M,10,0)</f>
        <v>#N/A</v>
      </c>
      <c r="J409" s="12"/>
      <c r="K409" s="12"/>
      <c r="L409" s="12"/>
      <c r="M409" s="12" t="e">
        <f ca="1">VLOOKUP(D409,Input!B:M,12,0)</f>
        <v>#N/A</v>
      </c>
      <c r="N409" s="12" t="e">
        <f ca="1">VLOOKUP(D409,Input!B:N,11,0)</f>
        <v>#N/A</v>
      </c>
      <c r="O409" s="12" t="e">
        <f ca="1">VLOOKUP(D409,Input!B:M,6,0)</f>
        <v>#N/A</v>
      </c>
      <c r="P409" s="6">
        <v>408</v>
      </c>
    </row>
    <row r="410" spans="1:16" ht="14.25">
      <c r="A410" s="13" t="str">
        <f>IFERROR(VLOOKUP($D:$D,scan!$A:$B,2,0),"**")</f>
        <v>**</v>
      </c>
      <c r="B410" s="13" t="str">
        <f>IFERROR(VLOOKUP($D410,scan!A:C,3,0),"**")</f>
        <v>**</v>
      </c>
      <c r="C410" s="14">
        <v>328</v>
      </c>
      <c r="D410" s="15"/>
      <c r="E410" s="16" t="str">
        <f t="shared" si="6"/>
        <v>409.**.</v>
      </c>
      <c r="F410" s="3" t="s">
        <v>4950</v>
      </c>
      <c r="G410" s="3" t="s">
        <v>4951</v>
      </c>
      <c r="H410" s="3">
        <v>6042070338</v>
      </c>
      <c r="I410" s="12" t="e">
        <f ca="1">VLOOKUP(D410,Input!B:M,10,0)</f>
        <v>#N/A</v>
      </c>
      <c r="J410" s="12"/>
      <c r="K410" s="12"/>
      <c r="L410" s="12"/>
      <c r="M410" s="12" t="e">
        <f ca="1">VLOOKUP(D410,Input!B:M,12,0)</f>
        <v>#N/A</v>
      </c>
      <c r="N410" s="12" t="e">
        <f ca="1">VLOOKUP(D410,Input!B:N,11,0)</f>
        <v>#N/A</v>
      </c>
      <c r="O410" s="12" t="e">
        <f ca="1">VLOOKUP(D410,Input!B:M,6,0)</f>
        <v>#N/A</v>
      </c>
      <c r="P410" s="6">
        <v>409</v>
      </c>
    </row>
    <row r="411" spans="1:16" ht="14.25">
      <c r="A411" s="13" t="str">
        <f>IFERROR(VLOOKUP($D:$D,scan!$A:$B,2,0),"**")</f>
        <v>**</v>
      </c>
      <c r="B411" s="13" t="str">
        <f>IFERROR(VLOOKUP($D411,scan!A:C,3,0),"**")</f>
        <v>**</v>
      </c>
      <c r="C411" s="14">
        <v>10</v>
      </c>
      <c r="D411" s="15"/>
      <c r="E411" s="16" t="str">
        <f t="shared" si="6"/>
        <v>410.**.</v>
      </c>
      <c r="F411" s="3" t="s">
        <v>4950</v>
      </c>
      <c r="G411" s="3" t="s">
        <v>4951</v>
      </c>
      <c r="H411" s="3">
        <v>6042070338</v>
      </c>
      <c r="I411" s="12" t="e">
        <f ca="1">VLOOKUP(D411,Input!B:M,10,0)</f>
        <v>#N/A</v>
      </c>
      <c r="J411" s="12"/>
      <c r="K411" s="12"/>
      <c r="L411" s="12"/>
      <c r="M411" s="12" t="e">
        <f ca="1">VLOOKUP(D411,Input!B:M,12,0)</f>
        <v>#N/A</v>
      </c>
      <c r="N411" s="12" t="e">
        <f ca="1">VLOOKUP(D411,Input!B:N,11,0)</f>
        <v>#N/A</v>
      </c>
      <c r="O411" s="12" t="e">
        <f ca="1">VLOOKUP(D411,Input!B:M,6,0)</f>
        <v>#N/A</v>
      </c>
      <c r="P411" s="6">
        <v>410</v>
      </c>
    </row>
    <row r="412" spans="1:16" ht="14.25">
      <c r="A412" s="13" t="str">
        <f>IFERROR(VLOOKUP($D:$D,scan!$A:$B,2,0),"**")</f>
        <v>**</v>
      </c>
      <c r="B412" s="13" t="str">
        <f>IFERROR(VLOOKUP($D412,scan!A:C,3,0),"**")</f>
        <v>**</v>
      </c>
      <c r="C412" s="14">
        <v>491</v>
      </c>
      <c r="D412" s="15"/>
      <c r="E412" s="16" t="str">
        <f t="shared" si="6"/>
        <v>411.**.</v>
      </c>
      <c r="F412" s="3" t="s">
        <v>4950</v>
      </c>
      <c r="G412" s="3" t="s">
        <v>4951</v>
      </c>
      <c r="H412" s="3">
        <v>6042070338</v>
      </c>
      <c r="I412" s="12" t="e">
        <f ca="1">VLOOKUP(D412,Input!B:M,10,0)</f>
        <v>#N/A</v>
      </c>
      <c r="J412" s="12"/>
      <c r="K412" s="12"/>
      <c r="L412" s="12"/>
      <c r="M412" s="12" t="e">
        <f ca="1">VLOOKUP(D412,Input!B:M,12,0)</f>
        <v>#N/A</v>
      </c>
      <c r="N412" s="12" t="e">
        <f ca="1">VLOOKUP(D412,Input!B:N,11,0)</f>
        <v>#N/A</v>
      </c>
      <c r="O412" s="12" t="e">
        <f ca="1">VLOOKUP(D412,Input!B:M,6,0)</f>
        <v>#N/A</v>
      </c>
      <c r="P412" s="6">
        <v>411</v>
      </c>
    </row>
    <row r="413" spans="1:16" ht="14.25">
      <c r="A413" s="13" t="str">
        <f>IFERROR(VLOOKUP($D:$D,scan!$A:$B,2,0),"**")</f>
        <v>**</v>
      </c>
      <c r="B413" s="13" t="str">
        <f>IFERROR(VLOOKUP($D413,scan!A:C,3,0),"**")</f>
        <v>**</v>
      </c>
      <c r="C413" s="5">
        <v>221</v>
      </c>
      <c r="D413" s="15"/>
      <c r="E413" s="16" t="str">
        <f t="shared" si="6"/>
        <v>412.**.</v>
      </c>
      <c r="F413" s="3" t="s">
        <v>4950</v>
      </c>
      <c r="G413" s="3" t="s">
        <v>4951</v>
      </c>
      <c r="H413" s="3">
        <v>6042070338</v>
      </c>
      <c r="I413" s="12" t="e">
        <f ca="1">VLOOKUP(D413,Input!B:M,10,0)</f>
        <v>#N/A</v>
      </c>
      <c r="J413" s="12"/>
      <c r="K413" s="12"/>
      <c r="L413" s="12"/>
      <c r="M413" s="12" t="e">
        <f ca="1">VLOOKUP(D413,Input!B:M,12,0)</f>
        <v>#N/A</v>
      </c>
      <c r="N413" s="12" t="e">
        <f ca="1">VLOOKUP(D413,Input!B:N,11,0)</f>
        <v>#N/A</v>
      </c>
      <c r="O413" s="12" t="e">
        <f ca="1">VLOOKUP(D413,Input!B:M,6,0)</f>
        <v>#N/A</v>
      </c>
      <c r="P413" s="6">
        <v>412</v>
      </c>
    </row>
    <row r="414" spans="1:16" ht="14.25">
      <c r="A414" s="13" t="str">
        <f>IFERROR(VLOOKUP($D:$D,scan!$A:$B,2,0),"**")</f>
        <v>**</v>
      </c>
      <c r="B414" s="13" t="str">
        <f>IFERROR(VLOOKUP($D414,scan!A:C,3,0),"**")</f>
        <v>**</v>
      </c>
      <c r="C414" s="14">
        <v>492</v>
      </c>
      <c r="D414" s="15"/>
      <c r="E414" s="16" t="str">
        <f t="shared" si="6"/>
        <v>413.**.</v>
      </c>
      <c r="F414" s="3" t="s">
        <v>4950</v>
      </c>
      <c r="G414" s="3" t="s">
        <v>4951</v>
      </c>
      <c r="H414" s="3">
        <v>6042070338</v>
      </c>
      <c r="I414" s="12" t="e">
        <f ca="1">VLOOKUP(D414,Input!B:M,10,0)</f>
        <v>#N/A</v>
      </c>
      <c r="J414" s="12"/>
      <c r="K414" s="12"/>
      <c r="L414" s="12"/>
      <c r="M414" s="12" t="e">
        <f ca="1">VLOOKUP(D414,Input!B:M,12,0)</f>
        <v>#N/A</v>
      </c>
      <c r="N414" s="12" t="e">
        <f ca="1">VLOOKUP(D414,Input!B:N,11,0)</f>
        <v>#N/A</v>
      </c>
      <c r="O414" s="12" t="e">
        <f ca="1">VLOOKUP(D414,Input!B:M,6,0)</f>
        <v>#N/A</v>
      </c>
      <c r="P414" s="6">
        <v>413</v>
      </c>
    </row>
    <row r="415" spans="1:16" ht="14.25">
      <c r="A415" s="13" t="str">
        <f>IFERROR(VLOOKUP($D:$D,scan!$A:$B,2,0),"**")</f>
        <v>**</v>
      </c>
      <c r="B415" s="13" t="str">
        <f>IFERROR(VLOOKUP($D415,scan!A:C,3,0),"**")</f>
        <v>**</v>
      </c>
      <c r="C415" s="14">
        <v>17</v>
      </c>
      <c r="D415" s="15"/>
      <c r="E415" s="16" t="str">
        <f t="shared" si="6"/>
        <v>414.**.</v>
      </c>
      <c r="F415" s="3" t="s">
        <v>4950</v>
      </c>
      <c r="G415" s="3" t="s">
        <v>4951</v>
      </c>
      <c r="H415" s="3">
        <v>6042070338</v>
      </c>
      <c r="I415" s="12" t="e">
        <f ca="1">VLOOKUP(D415,Input!B:M,10,0)</f>
        <v>#N/A</v>
      </c>
      <c r="J415" s="12"/>
      <c r="K415" s="12"/>
      <c r="L415" s="12"/>
      <c r="M415" s="12" t="e">
        <f ca="1">VLOOKUP(D415,Input!B:M,12,0)</f>
        <v>#N/A</v>
      </c>
      <c r="N415" s="12" t="e">
        <f ca="1">VLOOKUP(D415,Input!B:N,11,0)</f>
        <v>#N/A</v>
      </c>
      <c r="O415" s="12" t="e">
        <f ca="1">VLOOKUP(D415,Input!B:M,6,0)</f>
        <v>#N/A</v>
      </c>
      <c r="P415" s="6">
        <v>414</v>
      </c>
    </row>
    <row r="416" spans="1:16" ht="14.25">
      <c r="A416" s="13" t="str">
        <f>IFERROR(VLOOKUP($D:$D,scan!$A:$B,2,0),"**")</f>
        <v>**</v>
      </c>
      <c r="B416" s="13" t="str">
        <f>IFERROR(VLOOKUP($D416,scan!A:C,3,0),"**")</f>
        <v>**</v>
      </c>
      <c r="C416" s="14">
        <v>185</v>
      </c>
      <c r="D416" s="15"/>
      <c r="E416" s="16" t="str">
        <f t="shared" si="6"/>
        <v>415.**.</v>
      </c>
      <c r="F416" s="3" t="s">
        <v>4950</v>
      </c>
      <c r="G416" s="3" t="s">
        <v>4951</v>
      </c>
      <c r="H416" s="3">
        <v>6042070338</v>
      </c>
      <c r="I416" s="12" t="e">
        <f ca="1">VLOOKUP(D416,Input!B:M,10,0)</f>
        <v>#N/A</v>
      </c>
      <c r="J416" s="12"/>
      <c r="K416" s="12"/>
      <c r="L416" s="12"/>
      <c r="M416" s="12" t="e">
        <f ca="1">VLOOKUP(D416,Input!B:M,12,0)</f>
        <v>#N/A</v>
      </c>
      <c r="N416" s="12" t="e">
        <f ca="1">VLOOKUP(D416,Input!B:N,11,0)</f>
        <v>#N/A</v>
      </c>
      <c r="O416" s="12" t="e">
        <f ca="1">VLOOKUP(D416,Input!B:M,6,0)</f>
        <v>#N/A</v>
      </c>
      <c r="P416" s="6">
        <v>415</v>
      </c>
    </row>
    <row r="417" spans="1:16" ht="14.25">
      <c r="A417" s="13" t="str">
        <f>IFERROR(VLOOKUP($D:$D,scan!$A:$B,2,0),"**")</f>
        <v>**</v>
      </c>
      <c r="B417" s="13" t="str">
        <f>IFERROR(VLOOKUP($D417,scan!A:C,3,0),"**")</f>
        <v>**</v>
      </c>
      <c r="C417" s="14">
        <v>233</v>
      </c>
      <c r="D417" s="15"/>
      <c r="E417" s="16" t="str">
        <f t="shared" si="6"/>
        <v>416.**.</v>
      </c>
      <c r="F417" s="3" t="s">
        <v>4950</v>
      </c>
      <c r="G417" s="3" t="s">
        <v>4951</v>
      </c>
      <c r="H417" s="3">
        <v>6042070338</v>
      </c>
      <c r="I417" s="12" t="e">
        <f ca="1">VLOOKUP(D417,Input!B:M,10,0)</f>
        <v>#N/A</v>
      </c>
      <c r="J417" s="12"/>
      <c r="K417" s="12"/>
      <c r="L417" s="12"/>
      <c r="M417" s="12" t="e">
        <f ca="1">VLOOKUP(D417,Input!B:M,12,0)</f>
        <v>#N/A</v>
      </c>
      <c r="N417" s="12" t="e">
        <f ca="1">VLOOKUP(D417,Input!B:N,11,0)</f>
        <v>#N/A</v>
      </c>
      <c r="O417" s="12" t="e">
        <f ca="1">VLOOKUP(D417,Input!B:M,6,0)</f>
        <v>#N/A</v>
      </c>
      <c r="P417" s="6">
        <v>416</v>
      </c>
    </row>
    <row r="418" spans="1:16" ht="14.25">
      <c r="A418" s="13" t="str">
        <f>IFERROR(VLOOKUP($D:$D,scan!$A:$B,2,0),"**")</f>
        <v>**</v>
      </c>
      <c r="B418" s="13" t="str">
        <f>IFERROR(VLOOKUP($D418,scan!A:C,3,0),"**")</f>
        <v>**</v>
      </c>
      <c r="C418" s="14">
        <v>527</v>
      </c>
      <c r="D418" s="15"/>
      <c r="E418" s="16" t="str">
        <f t="shared" si="6"/>
        <v>417.**.</v>
      </c>
      <c r="F418" s="3" t="s">
        <v>4950</v>
      </c>
      <c r="G418" s="3" t="s">
        <v>4951</v>
      </c>
      <c r="H418" s="3">
        <v>6042070338</v>
      </c>
      <c r="I418" s="12" t="e">
        <f ca="1">VLOOKUP(D418,Input!B:M,10,0)</f>
        <v>#N/A</v>
      </c>
      <c r="J418" s="12"/>
      <c r="K418" s="12"/>
      <c r="L418" s="12"/>
      <c r="M418" s="12" t="e">
        <f ca="1">VLOOKUP(D418,Input!B:M,12,0)</f>
        <v>#N/A</v>
      </c>
      <c r="N418" s="12" t="e">
        <f ca="1">VLOOKUP(D418,Input!B:N,11,0)</f>
        <v>#N/A</v>
      </c>
      <c r="O418" s="12" t="e">
        <f ca="1">VLOOKUP(D418,Input!B:M,6,0)</f>
        <v>#N/A</v>
      </c>
      <c r="P418" s="6">
        <v>417</v>
      </c>
    </row>
    <row r="419" spans="1:16" ht="14.25">
      <c r="A419" s="13" t="str">
        <f>IFERROR(VLOOKUP($D:$D,scan!$A:$B,2,0),"**")</f>
        <v>**</v>
      </c>
      <c r="B419" s="13" t="str">
        <f>IFERROR(VLOOKUP($D419,scan!A:C,3,0),"**")</f>
        <v>**</v>
      </c>
      <c r="C419" s="5">
        <v>16</v>
      </c>
      <c r="D419" s="15"/>
      <c r="E419" s="16" t="str">
        <f t="shared" si="6"/>
        <v>418.**.</v>
      </c>
      <c r="F419" s="3" t="s">
        <v>4950</v>
      </c>
      <c r="G419" s="3" t="s">
        <v>4951</v>
      </c>
      <c r="H419" s="3">
        <v>6042070338</v>
      </c>
      <c r="I419" s="12" t="e">
        <f ca="1">VLOOKUP(D419,Input!B:M,10,0)</f>
        <v>#N/A</v>
      </c>
      <c r="J419" s="12"/>
      <c r="K419" s="12"/>
      <c r="L419" s="12"/>
      <c r="M419" s="12" t="e">
        <f ca="1">VLOOKUP(D419,Input!B:M,12,0)</f>
        <v>#N/A</v>
      </c>
      <c r="N419" s="12" t="e">
        <f ca="1">VLOOKUP(D419,Input!B:N,11,0)</f>
        <v>#N/A</v>
      </c>
      <c r="O419" s="12" t="e">
        <f ca="1">VLOOKUP(D419,Input!B:M,6,0)</f>
        <v>#N/A</v>
      </c>
      <c r="P419" s="6">
        <v>418</v>
      </c>
    </row>
    <row r="420" spans="1:16" ht="14.25">
      <c r="A420" s="13" t="str">
        <f>IFERROR(VLOOKUP($D:$D,scan!$A:$B,2,0),"**")</f>
        <v>**</v>
      </c>
      <c r="B420" s="13" t="str">
        <f>IFERROR(VLOOKUP($D420,scan!A:C,3,0),"**")</f>
        <v>**</v>
      </c>
      <c r="C420" s="5">
        <v>186</v>
      </c>
      <c r="D420" s="15"/>
      <c r="E420" s="16" t="str">
        <f t="shared" si="6"/>
        <v>419.**.</v>
      </c>
      <c r="F420" s="3" t="s">
        <v>4950</v>
      </c>
      <c r="G420" s="3" t="s">
        <v>4951</v>
      </c>
      <c r="H420" s="3">
        <v>6042070338</v>
      </c>
      <c r="I420" s="12" t="e">
        <f ca="1">VLOOKUP(D420,Input!B:M,10,0)</f>
        <v>#N/A</v>
      </c>
      <c r="J420" s="12"/>
      <c r="K420" s="12"/>
      <c r="L420" s="12"/>
      <c r="M420" s="12" t="e">
        <f ca="1">VLOOKUP(D420,Input!B:M,12,0)</f>
        <v>#N/A</v>
      </c>
      <c r="N420" s="12" t="e">
        <f ca="1">VLOOKUP(D420,Input!B:N,11,0)</f>
        <v>#N/A</v>
      </c>
      <c r="O420" s="12" t="e">
        <f ca="1">VLOOKUP(D420,Input!B:M,6,0)</f>
        <v>#N/A</v>
      </c>
      <c r="P420" s="6">
        <v>419</v>
      </c>
    </row>
    <row r="421" spans="1:16" ht="14.25">
      <c r="A421" s="13" t="str">
        <f>IFERROR(VLOOKUP($D:$D,scan!$A:$B,2,0),"**")</f>
        <v>**</v>
      </c>
      <c r="B421" s="13" t="str">
        <f>IFERROR(VLOOKUP($D421,scan!A:C,3,0),"**")</f>
        <v>**</v>
      </c>
      <c r="C421" s="14">
        <v>490</v>
      </c>
      <c r="D421" s="15"/>
      <c r="E421" s="16" t="str">
        <f t="shared" si="6"/>
        <v>420.**.</v>
      </c>
      <c r="F421" s="3" t="s">
        <v>4950</v>
      </c>
      <c r="G421" s="3" t="s">
        <v>4951</v>
      </c>
      <c r="H421" s="3">
        <v>6042070338</v>
      </c>
      <c r="I421" s="12" t="e">
        <f ca="1">VLOOKUP(D421,Input!B:M,10,0)</f>
        <v>#N/A</v>
      </c>
      <c r="J421" s="12"/>
      <c r="K421" s="12"/>
      <c r="L421" s="12"/>
      <c r="M421" s="12" t="e">
        <f ca="1">VLOOKUP(D421,Input!B:M,12,0)</f>
        <v>#N/A</v>
      </c>
      <c r="N421" s="12" t="e">
        <f ca="1">VLOOKUP(D421,Input!B:N,11,0)</f>
        <v>#N/A</v>
      </c>
      <c r="O421" s="12" t="e">
        <f ca="1">VLOOKUP(D421,Input!B:M,6,0)</f>
        <v>#N/A</v>
      </c>
      <c r="P421" s="6">
        <v>420</v>
      </c>
    </row>
    <row r="422" spans="1:16" ht="14.25">
      <c r="A422" s="13" t="str">
        <f>IFERROR(VLOOKUP($D:$D,scan!$A:$B,2,0),"**")</f>
        <v>**</v>
      </c>
      <c r="B422" s="13" t="str">
        <f>IFERROR(VLOOKUP($D422,scan!A:C,3,0),"**")</f>
        <v>**</v>
      </c>
      <c r="C422" s="14">
        <v>184</v>
      </c>
      <c r="D422" s="15"/>
      <c r="E422" s="16" t="str">
        <f t="shared" si="6"/>
        <v>421.**.</v>
      </c>
      <c r="F422" s="3" t="s">
        <v>4950</v>
      </c>
      <c r="G422" s="3" t="s">
        <v>4951</v>
      </c>
      <c r="H422" s="3">
        <v>6042070338</v>
      </c>
      <c r="I422" s="12" t="e">
        <f ca="1">VLOOKUP(D422,Input!B:M,10,0)</f>
        <v>#N/A</v>
      </c>
      <c r="J422" s="12"/>
      <c r="K422" s="12"/>
      <c r="L422" s="12"/>
      <c r="M422" s="12" t="e">
        <f ca="1">VLOOKUP(D422,Input!B:M,12,0)</f>
        <v>#N/A</v>
      </c>
      <c r="N422" s="12" t="e">
        <f ca="1">VLOOKUP(D422,Input!B:N,11,0)</f>
        <v>#N/A</v>
      </c>
      <c r="O422" s="12" t="e">
        <f ca="1">VLOOKUP(D422,Input!B:M,6,0)</f>
        <v>#N/A</v>
      </c>
      <c r="P422" s="6">
        <v>421</v>
      </c>
    </row>
    <row r="423" spans="1:16" ht="14.25">
      <c r="A423" s="13" t="str">
        <f>IFERROR(VLOOKUP($D:$D,scan!$A:$B,2,0),"**")</f>
        <v>**</v>
      </c>
      <c r="B423" s="13" t="str">
        <f>IFERROR(VLOOKUP($D423,scan!A:C,3,0),"**")</f>
        <v>**</v>
      </c>
      <c r="C423" s="14">
        <v>88</v>
      </c>
      <c r="D423" s="15"/>
      <c r="E423" s="16" t="str">
        <f t="shared" si="6"/>
        <v>422.**.</v>
      </c>
      <c r="F423" s="3" t="s">
        <v>4950</v>
      </c>
      <c r="G423" s="3" t="s">
        <v>4951</v>
      </c>
      <c r="H423" s="3">
        <v>6042070338</v>
      </c>
      <c r="I423" s="12" t="e">
        <f ca="1">VLOOKUP(D423,Input!B:M,10,0)</f>
        <v>#N/A</v>
      </c>
      <c r="J423" s="12"/>
      <c r="K423" s="12"/>
      <c r="L423" s="12"/>
      <c r="M423" s="12" t="e">
        <f ca="1">VLOOKUP(D423,Input!B:M,12,0)</f>
        <v>#N/A</v>
      </c>
      <c r="N423" s="12" t="e">
        <f ca="1">VLOOKUP(D423,Input!B:N,11,0)</f>
        <v>#N/A</v>
      </c>
      <c r="O423" s="12" t="e">
        <f ca="1">VLOOKUP(D423,Input!B:M,6,0)</f>
        <v>#N/A</v>
      </c>
      <c r="P423" s="6">
        <v>422</v>
      </c>
    </row>
    <row r="424" spans="1:16" ht="14.25">
      <c r="A424" s="13" t="str">
        <f>IFERROR(VLOOKUP($D:$D,scan!$A:$B,2,0),"**")</f>
        <v>**</v>
      </c>
      <c r="B424" s="13" t="str">
        <f>IFERROR(VLOOKUP($D424,scan!A:C,3,0),"**")</f>
        <v>**</v>
      </c>
      <c r="C424" s="14">
        <v>616</v>
      </c>
      <c r="D424" s="15"/>
      <c r="E424" s="16" t="str">
        <f t="shared" si="6"/>
        <v>423.**.</v>
      </c>
      <c r="F424" s="3" t="s">
        <v>4950</v>
      </c>
      <c r="G424" s="3" t="s">
        <v>4951</v>
      </c>
      <c r="H424" s="3">
        <v>6042070338</v>
      </c>
      <c r="I424" s="12" t="e">
        <f ca="1">VLOOKUP(D424,Input!B:M,10,0)</f>
        <v>#N/A</v>
      </c>
      <c r="J424" s="12"/>
      <c r="K424" s="12"/>
      <c r="L424" s="12"/>
      <c r="M424" s="12" t="e">
        <f ca="1">VLOOKUP(D424,Input!B:M,12,0)</f>
        <v>#N/A</v>
      </c>
      <c r="N424" s="12" t="e">
        <f ca="1">VLOOKUP(D424,Input!B:N,11,0)</f>
        <v>#N/A</v>
      </c>
      <c r="O424" s="12" t="e">
        <f ca="1">VLOOKUP(D424,Input!B:M,6,0)</f>
        <v>#N/A</v>
      </c>
      <c r="P424" s="6">
        <v>423</v>
      </c>
    </row>
    <row r="425" spans="1:16" ht="14.25">
      <c r="A425" s="13" t="str">
        <f>IFERROR(VLOOKUP($D:$D,scan!$A:$B,2,0),"**")</f>
        <v>**</v>
      </c>
      <c r="B425" s="13" t="str">
        <f>IFERROR(VLOOKUP($D425,scan!A:C,3,0),"**")</f>
        <v>**</v>
      </c>
      <c r="C425" s="14">
        <v>618</v>
      </c>
      <c r="D425" s="15"/>
      <c r="E425" s="16" t="str">
        <f t="shared" si="6"/>
        <v>424.**.</v>
      </c>
      <c r="F425" s="3" t="s">
        <v>4950</v>
      </c>
      <c r="G425" s="3" t="s">
        <v>4951</v>
      </c>
      <c r="H425" s="3">
        <v>6042070338</v>
      </c>
      <c r="I425" s="12" t="e">
        <f ca="1">VLOOKUP(D425,Input!B:M,10,0)</f>
        <v>#N/A</v>
      </c>
      <c r="J425" s="12"/>
      <c r="K425" s="12"/>
      <c r="L425" s="12"/>
      <c r="M425" s="12" t="e">
        <f ca="1">VLOOKUP(D425,Input!B:M,12,0)</f>
        <v>#N/A</v>
      </c>
      <c r="N425" s="12" t="e">
        <f ca="1">VLOOKUP(D425,Input!B:N,11,0)</f>
        <v>#N/A</v>
      </c>
      <c r="O425" s="12" t="e">
        <f ca="1">VLOOKUP(D425,Input!B:M,6,0)</f>
        <v>#N/A</v>
      </c>
      <c r="P425" s="6">
        <v>424</v>
      </c>
    </row>
    <row r="426" spans="1:16" ht="14.25">
      <c r="A426" s="13" t="str">
        <f>IFERROR(VLOOKUP($D:$D,scan!$A:$B,2,0),"**")</f>
        <v>**</v>
      </c>
      <c r="B426" s="13" t="str">
        <f>IFERROR(VLOOKUP($D426,scan!A:C,3,0),"**")</f>
        <v>**</v>
      </c>
      <c r="C426" s="14">
        <v>528</v>
      </c>
      <c r="D426" s="15"/>
      <c r="E426" s="16" t="str">
        <f t="shared" si="6"/>
        <v>425.**.</v>
      </c>
      <c r="F426" s="3" t="s">
        <v>4950</v>
      </c>
      <c r="G426" s="3" t="s">
        <v>4951</v>
      </c>
      <c r="H426" s="3">
        <v>6042070338</v>
      </c>
      <c r="I426" s="12" t="e">
        <f ca="1">VLOOKUP(D426,Input!B:M,10,0)</f>
        <v>#N/A</v>
      </c>
      <c r="J426" s="12"/>
      <c r="K426" s="12"/>
      <c r="L426" s="12"/>
      <c r="M426" s="12" t="e">
        <f ca="1">VLOOKUP(D426,Input!B:M,12,0)</f>
        <v>#N/A</v>
      </c>
      <c r="N426" s="12" t="e">
        <f ca="1">VLOOKUP(D426,Input!B:N,11,0)</f>
        <v>#N/A</v>
      </c>
      <c r="O426" s="12" t="e">
        <f ca="1">VLOOKUP(D426,Input!B:M,6,0)</f>
        <v>#N/A</v>
      </c>
      <c r="P426" s="6">
        <v>425</v>
      </c>
    </row>
    <row r="427" spans="1:16" ht="14.25">
      <c r="A427" s="13" t="str">
        <f>IFERROR(VLOOKUP($D:$D,scan!$A:$B,2,0),"**")</f>
        <v>**</v>
      </c>
      <c r="B427" s="13" t="str">
        <f>IFERROR(VLOOKUP($D427,scan!A:C,3,0),"**")</f>
        <v>**</v>
      </c>
      <c r="C427" s="14">
        <v>83</v>
      </c>
      <c r="D427" s="15"/>
      <c r="E427" s="16" t="str">
        <f t="shared" si="6"/>
        <v>426.**.</v>
      </c>
      <c r="F427" s="3" t="s">
        <v>4950</v>
      </c>
      <c r="G427" s="3" t="s">
        <v>4951</v>
      </c>
      <c r="H427" s="3">
        <v>6042070338</v>
      </c>
      <c r="I427" s="12" t="e">
        <f ca="1">VLOOKUP(D427,Input!B:M,10,0)</f>
        <v>#N/A</v>
      </c>
      <c r="J427" s="12"/>
      <c r="K427" s="12"/>
      <c r="L427" s="12"/>
      <c r="M427" s="12" t="e">
        <f ca="1">VLOOKUP(D427,Input!B:M,12,0)</f>
        <v>#N/A</v>
      </c>
      <c r="N427" s="12" t="e">
        <f ca="1">VLOOKUP(D427,Input!B:N,11,0)</f>
        <v>#N/A</v>
      </c>
      <c r="O427" s="12" t="e">
        <f ca="1">VLOOKUP(D427,Input!B:M,6,0)</f>
        <v>#N/A</v>
      </c>
      <c r="P427" s="6">
        <v>426</v>
      </c>
    </row>
    <row r="428" spans="1:16" ht="14.25">
      <c r="A428" s="13" t="str">
        <f>IFERROR(VLOOKUP($D:$D,scan!$A:$B,2,0),"**")</f>
        <v>**</v>
      </c>
      <c r="B428" s="13" t="str">
        <f>IFERROR(VLOOKUP($D428,scan!A:C,3,0),"**")</f>
        <v>**</v>
      </c>
      <c r="C428" s="5">
        <v>6</v>
      </c>
      <c r="D428" s="15"/>
      <c r="E428" s="16" t="str">
        <f t="shared" si="6"/>
        <v>427.**.</v>
      </c>
      <c r="F428" s="3" t="s">
        <v>4950</v>
      </c>
      <c r="G428" s="3" t="s">
        <v>4951</v>
      </c>
      <c r="H428" s="3">
        <v>6042070338</v>
      </c>
      <c r="I428" s="12" t="e">
        <f ca="1">VLOOKUP(D428,Input!B:M,10,0)</f>
        <v>#N/A</v>
      </c>
      <c r="J428" s="12"/>
      <c r="K428" s="12"/>
      <c r="L428" s="12"/>
      <c r="M428" s="12" t="e">
        <f ca="1">VLOOKUP(D428,Input!B:M,12,0)</f>
        <v>#N/A</v>
      </c>
      <c r="N428" s="12" t="e">
        <f ca="1">VLOOKUP(D428,Input!B:N,11,0)</f>
        <v>#N/A</v>
      </c>
      <c r="O428" s="12" t="e">
        <f ca="1">VLOOKUP(D428,Input!B:M,6,0)</f>
        <v>#N/A</v>
      </c>
      <c r="P428" s="6">
        <v>427</v>
      </c>
    </row>
    <row r="429" spans="1:16" ht="14.25">
      <c r="A429" s="13" t="str">
        <f>IFERROR(VLOOKUP($D:$D,scan!$A:$B,2,0),"**")</f>
        <v>**</v>
      </c>
      <c r="B429" s="13" t="str">
        <f>IFERROR(VLOOKUP($D429,scan!A:C,3,0),"**")</f>
        <v>**</v>
      </c>
      <c r="C429" s="14">
        <v>486</v>
      </c>
      <c r="D429" s="15"/>
      <c r="E429" s="16" t="str">
        <f t="shared" si="6"/>
        <v>428.**.</v>
      </c>
      <c r="F429" s="3" t="s">
        <v>4950</v>
      </c>
      <c r="G429" s="3" t="s">
        <v>4951</v>
      </c>
      <c r="H429" s="3">
        <v>6042070338</v>
      </c>
      <c r="I429" s="12" t="e">
        <f ca="1">VLOOKUP(D429,Input!B:M,10,0)</f>
        <v>#N/A</v>
      </c>
      <c r="J429" s="12"/>
      <c r="K429" s="12"/>
      <c r="L429" s="12"/>
      <c r="M429" s="12" t="e">
        <f ca="1">VLOOKUP(D429,Input!B:M,12,0)</f>
        <v>#N/A</v>
      </c>
      <c r="N429" s="12" t="e">
        <f ca="1">VLOOKUP(D429,Input!B:N,11,0)</f>
        <v>#N/A</v>
      </c>
      <c r="O429" s="12" t="e">
        <f ca="1">VLOOKUP(D429,Input!B:M,6,0)</f>
        <v>#N/A</v>
      </c>
      <c r="P429" s="6">
        <v>428</v>
      </c>
    </row>
    <row r="430" spans="1:16" ht="14.25">
      <c r="A430" s="13" t="str">
        <f>IFERROR(VLOOKUP($D:$D,scan!$A:$B,2,0),"**")</f>
        <v>**</v>
      </c>
      <c r="B430" s="13" t="str">
        <f>IFERROR(VLOOKUP($D430,scan!A:C,3,0),"**")</f>
        <v>**</v>
      </c>
      <c r="C430" s="14">
        <v>322</v>
      </c>
      <c r="D430" s="17"/>
      <c r="E430" s="16" t="str">
        <f t="shared" si="6"/>
        <v>429.**.</v>
      </c>
      <c r="F430" s="3" t="s">
        <v>4950</v>
      </c>
      <c r="G430" s="3" t="s">
        <v>4951</v>
      </c>
      <c r="H430" s="3">
        <v>6042070338</v>
      </c>
      <c r="I430" s="12" t="e">
        <f ca="1">VLOOKUP(D430,Input!B:M,10,0)</f>
        <v>#N/A</v>
      </c>
      <c r="J430" s="12"/>
      <c r="K430" s="12"/>
      <c r="L430" s="12"/>
      <c r="M430" s="12" t="e">
        <f ca="1">VLOOKUP(D430,Input!B:M,12,0)</f>
        <v>#N/A</v>
      </c>
      <c r="N430" s="12" t="e">
        <f ca="1">VLOOKUP(D430,Input!B:N,11,0)</f>
        <v>#N/A</v>
      </c>
      <c r="O430" s="12" t="e">
        <f ca="1">VLOOKUP(D430,Input!B:M,6,0)</f>
        <v>#N/A</v>
      </c>
      <c r="P430" s="6">
        <v>429</v>
      </c>
    </row>
    <row r="431" spans="1:16" ht="14.25">
      <c r="A431" s="13" t="str">
        <f>IFERROR(VLOOKUP($D:$D,scan!$A:$B,2,0),"**")</f>
        <v>**</v>
      </c>
      <c r="B431" s="13" t="str">
        <f>IFERROR(VLOOKUP($D431,scan!A:C,3,0),"**")</f>
        <v>**</v>
      </c>
      <c r="C431" s="14">
        <v>324</v>
      </c>
      <c r="D431" s="17"/>
      <c r="E431" s="16" t="str">
        <f t="shared" si="6"/>
        <v>430.**.</v>
      </c>
      <c r="F431" s="3" t="s">
        <v>4950</v>
      </c>
      <c r="G431" s="3" t="s">
        <v>4951</v>
      </c>
      <c r="H431" s="3">
        <v>6042070338</v>
      </c>
      <c r="I431" s="12" t="e">
        <f ca="1">VLOOKUP(D431,Input!B:M,10,0)</f>
        <v>#N/A</v>
      </c>
      <c r="J431" s="12"/>
      <c r="K431" s="12"/>
      <c r="L431" s="12"/>
      <c r="M431" s="12" t="e">
        <f ca="1">VLOOKUP(D431,Input!B:M,12,0)</f>
        <v>#N/A</v>
      </c>
      <c r="N431" s="12" t="e">
        <f ca="1">VLOOKUP(D431,Input!B:N,11,0)</f>
        <v>#N/A</v>
      </c>
      <c r="O431" s="12" t="e">
        <f ca="1">VLOOKUP(D431,Input!B:M,6,0)</f>
        <v>#N/A</v>
      </c>
      <c r="P431" s="6">
        <v>430</v>
      </c>
    </row>
    <row r="432" spans="1:16" ht="14.25">
      <c r="A432" s="13" t="str">
        <f>IFERROR(VLOOKUP($D:$D,scan!$A:$B,2,0),"**")</f>
        <v>**</v>
      </c>
      <c r="B432" s="13" t="str">
        <f>IFERROR(VLOOKUP($D432,scan!A:C,3,0),"**")</f>
        <v>**</v>
      </c>
      <c r="C432" s="5">
        <v>181</v>
      </c>
      <c r="D432" s="17"/>
      <c r="E432" s="16" t="str">
        <f t="shared" si="6"/>
        <v>431.**.</v>
      </c>
      <c r="F432" s="3" t="s">
        <v>4950</v>
      </c>
      <c r="G432" s="3" t="s">
        <v>4951</v>
      </c>
      <c r="H432" s="3">
        <v>6042070338</v>
      </c>
      <c r="I432" s="12" t="e">
        <f ca="1">VLOOKUP(D432,Input!B:M,10,0)</f>
        <v>#N/A</v>
      </c>
      <c r="J432" s="12"/>
      <c r="K432" s="12"/>
      <c r="L432" s="12"/>
      <c r="M432" s="12" t="e">
        <f ca="1">VLOOKUP(D432,Input!B:M,12,0)</f>
        <v>#N/A</v>
      </c>
      <c r="N432" s="12" t="e">
        <f ca="1">VLOOKUP(D432,Input!B:N,11,0)</f>
        <v>#N/A</v>
      </c>
      <c r="O432" s="12" t="e">
        <f ca="1">VLOOKUP(D432,Input!B:M,6,0)</f>
        <v>#N/A</v>
      </c>
      <c r="P432" s="6">
        <v>431</v>
      </c>
    </row>
    <row r="433" spans="1:16" ht="14.25">
      <c r="A433" s="13" t="str">
        <f>IFERROR(VLOOKUP($D:$D,scan!$A:$B,2,0),"**")</f>
        <v>**</v>
      </c>
      <c r="B433" s="13" t="str">
        <f>IFERROR(VLOOKUP($D433,scan!A:C,3,0),"**")</f>
        <v>**</v>
      </c>
      <c r="C433" s="14">
        <v>182</v>
      </c>
      <c r="D433" s="17"/>
      <c r="E433" s="16" t="str">
        <f t="shared" si="6"/>
        <v>432.**.</v>
      </c>
      <c r="F433" s="3" t="s">
        <v>4950</v>
      </c>
      <c r="G433" s="3" t="s">
        <v>4951</v>
      </c>
      <c r="H433" s="3">
        <v>6042070338</v>
      </c>
      <c r="I433" s="12" t="e">
        <f ca="1">VLOOKUP(D433,Input!B:M,10,0)</f>
        <v>#N/A</v>
      </c>
      <c r="J433" s="12"/>
      <c r="K433" s="12"/>
      <c r="L433" s="12"/>
      <c r="M433" s="12" t="e">
        <f ca="1">VLOOKUP(D433,Input!B:M,12,0)</f>
        <v>#N/A</v>
      </c>
      <c r="N433" s="12" t="e">
        <f ca="1">VLOOKUP(D433,Input!B:N,11,0)</f>
        <v>#N/A</v>
      </c>
      <c r="O433" s="12" t="e">
        <f ca="1">VLOOKUP(D433,Input!B:M,6,0)</f>
        <v>#N/A</v>
      </c>
      <c r="P433" s="6">
        <v>432</v>
      </c>
    </row>
    <row r="434" spans="1:16" ht="14.25">
      <c r="A434" s="13" t="str">
        <f>IFERROR(VLOOKUP($D:$D,scan!$A:$B,2,0),"**")</f>
        <v>**</v>
      </c>
      <c r="B434" s="13" t="str">
        <f>IFERROR(VLOOKUP($D434,scan!A:C,3,0),"**")</f>
        <v>**</v>
      </c>
      <c r="C434" s="14">
        <v>279</v>
      </c>
      <c r="D434" s="15"/>
      <c r="E434" s="16" t="str">
        <f t="shared" si="6"/>
        <v>433.**.</v>
      </c>
      <c r="F434" s="3" t="s">
        <v>4950</v>
      </c>
      <c r="G434" s="3" t="s">
        <v>4951</v>
      </c>
      <c r="H434" s="3">
        <v>6042070338</v>
      </c>
      <c r="I434" s="12" t="e">
        <f ca="1">VLOOKUP(D434,Input!B:M,10,0)</f>
        <v>#N/A</v>
      </c>
      <c r="J434" s="12"/>
      <c r="K434" s="12"/>
      <c r="L434" s="12"/>
      <c r="M434" s="12" t="e">
        <f ca="1">VLOOKUP(D434,Input!B:M,12,0)</f>
        <v>#N/A</v>
      </c>
      <c r="N434" s="12" t="e">
        <f ca="1">VLOOKUP(D434,Input!B:N,11,0)</f>
        <v>#N/A</v>
      </c>
      <c r="O434" s="12" t="e">
        <f ca="1">VLOOKUP(D434,Input!B:M,6,0)</f>
        <v>#N/A</v>
      </c>
      <c r="P434" s="6">
        <v>433</v>
      </c>
    </row>
    <row r="435" spans="1:16" ht="14.25">
      <c r="A435" s="13" t="str">
        <f>IFERROR(VLOOKUP($D:$D,scan!$A:$B,2,0),"**")</f>
        <v>**</v>
      </c>
      <c r="B435" s="13" t="str">
        <f>IFERROR(VLOOKUP($D435,scan!A:C,3,0),"**")</f>
        <v>**</v>
      </c>
      <c r="C435" s="14">
        <v>591</v>
      </c>
      <c r="D435" s="15"/>
      <c r="E435" s="16" t="str">
        <f t="shared" si="6"/>
        <v>434.**.</v>
      </c>
      <c r="F435" s="3" t="s">
        <v>4950</v>
      </c>
      <c r="G435" s="3" t="s">
        <v>4951</v>
      </c>
      <c r="H435" s="3">
        <v>6042070338</v>
      </c>
      <c r="I435" s="12" t="e">
        <f ca="1">VLOOKUP(D435,Input!B:M,10,0)</f>
        <v>#N/A</v>
      </c>
      <c r="J435" s="12"/>
      <c r="K435" s="12"/>
      <c r="L435" s="12"/>
      <c r="M435" s="12" t="e">
        <f ca="1">VLOOKUP(D435,Input!B:M,12,0)</f>
        <v>#N/A</v>
      </c>
      <c r="N435" s="12" t="e">
        <f ca="1">VLOOKUP(D435,Input!B:N,11,0)</f>
        <v>#N/A</v>
      </c>
      <c r="O435" s="12" t="e">
        <f ca="1">VLOOKUP(D435,Input!B:M,6,0)</f>
        <v>#N/A</v>
      </c>
      <c r="P435" s="6">
        <v>434</v>
      </c>
    </row>
    <row r="436" spans="1:16" ht="14.25">
      <c r="A436" s="13" t="str">
        <f>IFERROR(VLOOKUP($D:$D,scan!$A:$B,2,0),"**")</f>
        <v>**</v>
      </c>
      <c r="B436" s="13" t="str">
        <f>IFERROR(VLOOKUP($D436,scan!A:C,3,0),"**")</f>
        <v>**</v>
      </c>
      <c r="C436" s="14">
        <v>488</v>
      </c>
      <c r="D436" s="15"/>
      <c r="E436" s="16" t="str">
        <f t="shared" si="6"/>
        <v>435.**.</v>
      </c>
      <c r="F436" s="3" t="s">
        <v>4950</v>
      </c>
      <c r="G436" s="3" t="s">
        <v>4951</v>
      </c>
      <c r="H436" s="3">
        <v>6042070338</v>
      </c>
      <c r="I436" s="12" t="e">
        <f ca="1">VLOOKUP(D436,Input!B:M,10,0)</f>
        <v>#N/A</v>
      </c>
      <c r="J436" s="12"/>
      <c r="K436" s="12"/>
      <c r="L436" s="12"/>
      <c r="M436" s="12" t="e">
        <f ca="1">VLOOKUP(D436,Input!B:M,12,0)</f>
        <v>#N/A</v>
      </c>
      <c r="N436" s="12" t="e">
        <f ca="1">VLOOKUP(D436,Input!B:N,11,0)</f>
        <v>#N/A</v>
      </c>
      <c r="O436" s="12" t="e">
        <f ca="1">VLOOKUP(D436,Input!B:M,6,0)</f>
        <v>#N/A</v>
      </c>
      <c r="P436" s="6">
        <v>435</v>
      </c>
    </row>
    <row r="437" spans="1:16" ht="14.25">
      <c r="A437" s="13" t="str">
        <f>IFERROR(VLOOKUP($D:$D,scan!$A:$B,2,0),"**")</f>
        <v>**</v>
      </c>
      <c r="B437" s="13" t="str">
        <f>IFERROR(VLOOKUP($D437,scan!A:C,3,0),"**")</f>
        <v>**</v>
      </c>
      <c r="C437" s="14">
        <v>487</v>
      </c>
      <c r="D437" s="15"/>
      <c r="E437" s="16" t="str">
        <f t="shared" si="6"/>
        <v>436.**.</v>
      </c>
      <c r="F437" s="3" t="s">
        <v>4950</v>
      </c>
      <c r="G437" s="3" t="s">
        <v>4951</v>
      </c>
      <c r="H437" s="3">
        <v>6042070338</v>
      </c>
      <c r="I437" s="12" t="e">
        <f ca="1">VLOOKUP(D437,Input!B:M,10,0)</f>
        <v>#N/A</v>
      </c>
      <c r="J437" s="12"/>
      <c r="K437" s="12"/>
      <c r="L437" s="12"/>
      <c r="M437" s="12" t="e">
        <f ca="1">VLOOKUP(D437,Input!B:M,12,0)</f>
        <v>#N/A</v>
      </c>
      <c r="N437" s="12" t="e">
        <f ca="1">VLOOKUP(D437,Input!B:N,11,0)</f>
        <v>#N/A</v>
      </c>
      <c r="O437" s="12" t="e">
        <f ca="1">VLOOKUP(D437,Input!B:M,6,0)</f>
        <v>#N/A</v>
      </c>
      <c r="P437" s="6">
        <v>436</v>
      </c>
    </row>
    <row r="438" spans="1:16" ht="14.25">
      <c r="A438" s="13" t="str">
        <f>IFERROR(VLOOKUP($D:$D,scan!$A:$B,2,0),"**")</f>
        <v>**</v>
      </c>
      <c r="B438" s="13" t="str">
        <f>IFERROR(VLOOKUP($D438,scan!A:C,3,0),"**")</f>
        <v>**</v>
      </c>
      <c r="C438" s="14">
        <v>432</v>
      </c>
      <c r="D438" s="15"/>
      <c r="E438" s="16" t="str">
        <f t="shared" si="6"/>
        <v>437.**.</v>
      </c>
      <c r="F438" s="3" t="s">
        <v>4950</v>
      </c>
      <c r="G438" s="3" t="s">
        <v>4951</v>
      </c>
      <c r="H438" s="3">
        <v>6042070338</v>
      </c>
      <c r="I438" s="12" t="e">
        <f ca="1">VLOOKUP(D438,Input!B:M,10,0)</f>
        <v>#N/A</v>
      </c>
      <c r="J438" s="12"/>
      <c r="K438" s="12"/>
      <c r="L438" s="12"/>
      <c r="M438" s="12" t="e">
        <f ca="1">VLOOKUP(D438,Input!B:M,12,0)</f>
        <v>#N/A</v>
      </c>
      <c r="N438" s="12" t="e">
        <f ca="1">VLOOKUP(D438,Input!B:N,11,0)</f>
        <v>#N/A</v>
      </c>
      <c r="O438" s="12" t="e">
        <f ca="1">VLOOKUP(D438,Input!B:M,6,0)</f>
        <v>#N/A</v>
      </c>
      <c r="P438" s="6">
        <v>437</v>
      </c>
    </row>
    <row r="439" spans="1:16" ht="14.25">
      <c r="A439" s="13" t="str">
        <f>IFERROR(VLOOKUP($D:$D,scan!$A:$B,2,0),"**")</f>
        <v>**</v>
      </c>
      <c r="B439" s="13" t="str">
        <f>IFERROR(VLOOKUP($D439,scan!A:C,3,0),"**")</f>
        <v>**</v>
      </c>
      <c r="C439" s="5">
        <v>126</v>
      </c>
      <c r="D439" s="15"/>
      <c r="E439" s="16" t="str">
        <f t="shared" si="6"/>
        <v>438.**.</v>
      </c>
      <c r="F439" s="3" t="s">
        <v>4950</v>
      </c>
      <c r="G439" s="3" t="s">
        <v>4951</v>
      </c>
      <c r="H439" s="3">
        <v>6042070338</v>
      </c>
      <c r="I439" s="12" t="e">
        <f ca="1">VLOOKUP(D439,Input!B:M,10,0)</f>
        <v>#N/A</v>
      </c>
      <c r="J439" s="12"/>
      <c r="K439" s="12"/>
      <c r="L439" s="12"/>
      <c r="M439" s="12" t="e">
        <f ca="1">VLOOKUP(D439,Input!B:M,12,0)</f>
        <v>#N/A</v>
      </c>
      <c r="N439" s="12" t="e">
        <f ca="1">VLOOKUP(D439,Input!B:N,11,0)</f>
        <v>#N/A</v>
      </c>
      <c r="O439" s="12" t="e">
        <f ca="1">VLOOKUP(D439,Input!B:M,6,0)</f>
        <v>#N/A</v>
      </c>
      <c r="P439" s="6">
        <v>438</v>
      </c>
    </row>
    <row r="440" spans="1:16" ht="14.25">
      <c r="A440" s="13" t="str">
        <f>IFERROR(VLOOKUP($D:$D,scan!$A:$B,2,0),"**")</f>
        <v>**</v>
      </c>
      <c r="B440" s="13" t="str">
        <f>IFERROR(VLOOKUP($D440,scan!A:C,3,0),"**")</f>
        <v>**</v>
      </c>
      <c r="C440" s="14">
        <v>155</v>
      </c>
      <c r="D440" s="15"/>
      <c r="E440" s="16" t="str">
        <f t="shared" si="6"/>
        <v>439.**.</v>
      </c>
      <c r="F440" s="3" t="s">
        <v>4950</v>
      </c>
      <c r="G440" s="3" t="s">
        <v>4951</v>
      </c>
      <c r="H440" s="3">
        <v>6042070338</v>
      </c>
      <c r="I440" s="12" t="e">
        <f ca="1">VLOOKUP(D440,Input!B:M,10,0)</f>
        <v>#N/A</v>
      </c>
      <c r="J440" s="12"/>
      <c r="K440" s="12"/>
      <c r="L440" s="12"/>
      <c r="M440" s="12" t="e">
        <f ca="1">VLOOKUP(D440,Input!B:M,12,0)</f>
        <v>#N/A</v>
      </c>
      <c r="N440" s="12" t="e">
        <f ca="1">VLOOKUP(D440,Input!B:N,11,0)</f>
        <v>#N/A</v>
      </c>
      <c r="O440" s="12" t="e">
        <f ca="1">VLOOKUP(D440,Input!B:M,6,0)</f>
        <v>#N/A</v>
      </c>
      <c r="P440" s="6">
        <v>439</v>
      </c>
    </row>
    <row r="441" spans="1:16" ht="14.25">
      <c r="A441" s="13" t="str">
        <f>IFERROR(VLOOKUP($D:$D,scan!$A:$B,2,0),"**")</f>
        <v>**</v>
      </c>
      <c r="B441" s="13" t="str">
        <f>IFERROR(VLOOKUP($D441,scan!A:C,3,0),"**")</f>
        <v>**</v>
      </c>
      <c r="C441" s="14">
        <v>302</v>
      </c>
      <c r="D441" s="15"/>
      <c r="E441" s="16" t="str">
        <f t="shared" si="6"/>
        <v>440.**.</v>
      </c>
      <c r="F441" s="3" t="s">
        <v>4950</v>
      </c>
      <c r="G441" s="3" t="s">
        <v>4951</v>
      </c>
      <c r="H441" s="3">
        <v>6042070338</v>
      </c>
      <c r="I441" s="12" t="e">
        <f ca="1">VLOOKUP(D441,Input!B:M,10,0)</f>
        <v>#N/A</v>
      </c>
      <c r="J441" s="12"/>
      <c r="K441" s="12"/>
      <c r="L441" s="12"/>
      <c r="M441" s="12" t="e">
        <f ca="1">VLOOKUP(D441,Input!B:M,12,0)</f>
        <v>#N/A</v>
      </c>
      <c r="N441" s="12" t="e">
        <f ca="1">VLOOKUP(D441,Input!B:N,11,0)</f>
        <v>#N/A</v>
      </c>
      <c r="O441" s="12" t="e">
        <f ca="1">VLOOKUP(D441,Input!B:M,6,0)</f>
        <v>#N/A</v>
      </c>
      <c r="P441" s="6">
        <v>440</v>
      </c>
    </row>
    <row r="442" spans="1:16" ht="14.25">
      <c r="A442" s="13" t="str">
        <f>IFERROR(VLOOKUP($D:$D,scan!$A:$B,2,0),"**")</f>
        <v>**</v>
      </c>
      <c r="B442" s="13" t="str">
        <f>IFERROR(VLOOKUP($D442,scan!A:C,3,0),"**")</f>
        <v>**</v>
      </c>
      <c r="C442" s="14">
        <v>157</v>
      </c>
      <c r="D442" s="15"/>
      <c r="E442" s="16" t="str">
        <f t="shared" si="6"/>
        <v>441.**.</v>
      </c>
      <c r="F442" s="3" t="s">
        <v>4950</v>
      </c>
      <c r="G442" s="3" t="s">
        <v>4951</v>
      </c>
      <c r="H442" s="3">
        <v>6042070338</v>
      </c>
      <c r="I442" s="12" t="e">
        <f ca="1">VLOOKUP(D442,Input!B:M,10,0)</f>
        <v>#N/A</v>
      </c>
      <c r="J442" s="12"/>
      <c r="K442" s="12"/>
      <c r="L442" s="12"/>
      <c r="M442" s="12" t="e">
        <f ca="1">VLOOKUP(D442,Input!B:M,12,0)</f>
        <v>#N/A</v>
      </c>
      <c r="N442" s="12" t="e">
        <f ca="1">VLOOKUP(D442,Input!B:N,11,0)</f>
        <v>#N/A</v>
      </c>
      <c r="O442" s="12" t="e">
        <f ca="1">VLOOKUP(D442,Input!B:M,6,0)</f>
        <v>#N/A</v>
      </c>
      <c r="P442" s="6">
        <v>441</v>
      </c>
    </row>
    <row r="443" spans="1:16" ht="14.25">
      <c r="A443" s="13" t="str">
        <f>IFERROR(VLOOKUP($D:$D,scan!$A:$B,2,0),"**")</f>
        <v>**</v>
      </c>
      <c r="B443" s="13" t="str">
        <f>IFERROR(VLOOKUP($D443,scan!A:C,3,0),"**")</f>
        <v>**</v>
      </c>
      <c r="C443" s="14">
        <v>466</v>
      </c>
      <c r="D443" s="15"/>
      <c r="E443" s="16" t="str">
        <f t="shared" si="6"/>
        <v>442.**.</v>
      </c>
      <c r="F443" s="3" t="s">
        <v>4950</v>
      </c>
      <c r="G443" s="3" t="s">
        <v>4951</v>
      </c>
      <c r="H443" s="3">
        <v>6042070338</v>
      </c>
      <c r="I443" s="12" t="e">
        <f ca="1">VLOOKUP(D443,Input!B:M,10,0)</f>
        <v>#N/A</v>
      </c>
      <c r="J443" s="12"/>
      <c r="K443" s="12"/>
      <c r="L443" s="12"/>
      <c r="M443" s="12" t="e">
        <f ca="1">VLOOKUP(D443,Input!B:M,12,0)</f>
        <v>#N/A</v>
      </c>
      <c r="N443" s="12" t="e">
        <f ca="1">VLOOKUP(D443,Input!B:N,11,0)</f>
        <v>#N/A</v>
      </c>
      <c r="O443" s="12" t="e">
        <f ca="1">VLOOKUP(D443,Input!B:M,6,0)</f>
        <v>#N/A</v>
      </c>
      <c r="P443" s="6">
        <v>442</v>
      </c>
    </row>
    <row r="444" spans="1:16" ht="14.25">
      <c r="A444" s="13" t="str">
        <f>IFERROR(VLOOKUP($D:$D,scan!$A:$B,2,0),"**")</f>
        <v>**</v>
      </c>
      <c r="B444" s="13" t="str">
        <f>IFERROR(VLOOKUP($D444,scan!A:C,3,0),"**")</f>
        <v>**</v>
      </c>
      <c r="C444" s="14">
        <v>143</v>
      </c>
      <c r="D444" s="22"/>
      <c r="E444" s="16" t="str">
        <f t="shared" si="6"/>
        <v>443.**.</v>
      </c>
      <c r="F444" s="3" t="s">
        <v>4950</v>
      </c>
      <c r="G444" s="3" t="s">
        <v>4951</v>
      </c>
      <c r="H444" s="3">
        <v>6042070338</v>
      </c>
      <c r="I444" s="12" t="e">
        <f ca="1">VLOOKUP(D444,Input!B:M,10,0)</f>
        <v>#N/A</v>
      </c>
      <c r="J444" s="12"/>
      <c r="K444" s="12"/>
      <c r="L444" s="12"/>
      <c r="M444" s="12" t="e">
        <f ca="1">VLOOKUP(D444,Input!B:M,12,0)</f>
        <v>#N/A</v>
      </c>
      <c r="N444" s="12" t="e">
        <f ca="1">VLOOKUP(D444,Input!B:N,11,0)</f>
        <v>#N/A</v>
      </c>
      <c r="O444" s="12" t="e">
        <f ca="1">VLOOKUP(D444,Input!B:M,6,0)</f>
        <v>#N/A</v>
      </c>
      <c r="P444" s="6">
        <v>443</v>
      </c>
    </row>
    <row r="445" spans="1:16" ht="14.25">
      <c r="A445" s="13" t="str">
        <f>IFERROR(VLOOKUP($D:$D,scan!$A:$B,2,0),"**")</f>
        <v>**</v>
      </c>
      <c r="B445" s="13" t="str">
        <f>IFERROR(VLOOKUP($D445,scan!A:C,3,0),"**")</f>
        <v>**</v>
      </c>
      <c r="C445" s="5">
        <v>156</v>
      </c>
      <c r="D445" s="15"/>
      <c r="E445" s="16" t="str">
        <f t="shared" si="6"/>
        <v>444.**.</v>
      </c>
      <c r="F445" s="3" t="s">
        <v>4950</v>
      </c>
      <c r="G445" s="3" t="s">
        <v>4951</v>
      </c>
      <c r="H445" s="3">
        <v>6042070338</v>
      </c>
      <c r="I445" s="12" t="e">
        <f ca="1">VLOOKUP(D445,Input!B:M,10,0)</f>
        <v>#N/A</v>
      </c>
      <c r="J445" s="12"/>
      <c r="K445" s="12"/>
      <c r="L445" s="12"/>
      <c r="M445" s="12" t="e">
        <f ca="1">VLOOKUP(D445,Input!B:M,12,0)</f>
        <v>#N/A</v>
      </c>
      <c r="N445" s="12" t="e">
        <f ca="1">VLOOKUP(D445,Input!B:N,11,0)</f>
        <v>#N/A</v>
      </c>
      <c r="O445" s="12" t="e">
        <f ca="1">VLOOKUP(D445,Input!B:M,6,0)</f>
        <v>#N/A</v>
      </c>
      <c r="P445" s="6">
        <v>444</v>
      </c>
    </row>
    <row r="446" spans="1:16" ht="14.25">
      <c r="A446" s="13" t="str">
        <f>IFERROR(VLOOKUP($D:$D,scan!$A:$B,2,0),"**")</f>
        <v>**</v>
      </c>
      <c r="B446" s="13" t="str">
        <f>IFERROR(VLOOKUP($D446,scan!A:C,3,0),"**")</f>
        <v>**</v>
      </c>
      <c r="C446" s="5">
        <v>465</v>
      </c>
      <c r="D446" s="15"/>
      <c r="E446" s="16" t="str">
        <f t="shared" si="6"/>
        <v>445.**.</v>
      </c>
      <c r="F446" s="3" t="s">
        <v>4950</v>
      </c>
      <c r="G446" s="3" t="s">
        <v>4951</v>
      </c>
      <c r="H446" s="3">
        <v>6042070338</v>
      </c>
      <c r="I446" s="12" t="e">
        <f ca="1">VLOOKUP(D446,Input!B:M,10,0)</f>
        <v>#N/A</v>
      </c>
      <c r="J446" s="12"/>
      <c r="K446" s="12"/>
      <c r="L446" s="12"/>
      <c r="M446" s="12" t="e">
        <f ca="1">VLOOKUP(D446,Input!B:M,12,0)</f>
        <v>#N/A</v>
      </c>
      <c r="N446" s="12" t="e">
        <f ca="1">VLOOKUP(D446,Input!B:N,11,0)</f>
        <v>#N/A</v>
      </c>
      <c r="O446" s="12" t="e">
        <f ca="1">VLOOKUP(D446,Input!B:M,6,0)</f>
        <v>#N/A</v>
      </c>
      <c r="P446" s="6">
        <v>445</v>
      </c>
    </row>
    <row r="447" spans="1:16" ht="14.25">
      <c r="A447" s="13" t="str">
        <f>IFERROR(VLOOKUP($D:$D,scan!$A:$B,2,0),"**")</f>
        <v>**</v>
      </c>
      <c r="B447" s="13" t="str">
        <f>IFERROR(VLOOKUP($D447,scan!A:C,3,0),"**")</f>
        <v>**</v>
      </c>
      <c r="C447" s="14">
        <v>13</v>
      </c>
      <c r="D447" s="15"/>
      <c r="E447" s="16" t="str">
        <f t="shared" si="6"/>
        <v>446.**.</v>
      </c>
      <c r="F447" s="3" t="s">
        <v>4950</v>
      </c>
      <c r="G447" s="3" t="s">
        <v>4951</v>
      </c>
      <c r="H447" s="3">
        <v>6042070338</v>
      </c>
      <c r="I447" s="12" t="e">
        <f ca="1">VLOOKUP(D447,Input!B:M,10,0)</f>
        <v>#N/A</v>
      </c>
      <c r="J447" s="12"/>
      <c r="K447" s="12"/>
      <c r="L447" s="12"/>
      <c r="M447" s="12" t="e">
        <f ca="1">VLOOKUP(D447,Input!B:M,12,0)</f>
        <v>#N/A</v>
      </c>
      <c r="N447" s="12" t="e">
        <f ca="1">VLOOKUP(D447,Input!B:N,11,0)</f>
        <v>#N/A</v>
      </c>
      <c r="O447" s="12" t="e">
        <f ca="1">VLOOKUP(D447,Input!B:M,6,0)</f>
        <v>#N/A</v>
      </c>
      <c r="P447" s="6">
        <v>446</v>
      </c>
    </row>
    <row r="448" spans="1:16" ht="14.25">
      <c r="A448" s="13" t="str">
        <f>IFERROR(VLOOKUP($D:$D,scan!$A:$B,2,0),"**")</f>
        <v>**</v>
      </c>
      <c r="B448" s="13" t="str">
        <f>IFERROR(VLOOKUP($D448,scan!A:C,3,0),"**")</f>
        <v>**</v>
      </c>
      <c r="C448" s="5">
        <v>301</v>
      </c>
      <c r="D448" s="15"/>
      <c r="E448" s="16" t="str">
        <f t="shared" si="6"/>
        <v>447.**.</v>
      </c>
      <c r="F448" s="3" t="s">
        <v>4950</v>
      </c>
      <c r="G448" s="3" t="s">
        <v>4951</v>
      </c>
      <c r="H448" s="3">
        <v>6042070338</v>
      </c>
      <c r="I448" s="12" t="e">
        <f ca="1">VLOOKUP(D448,Input!B:M,10,0)</f>
        <v>#N/A</v>
      </c>
      <c r="J448" s="12"/>
      <c r="K448" s="12"/>
      <c r="L448" s="12"/>
      <c r="M448" s="12" t="e">
        <f ca="1">VLOOKUP(D448,Input!B:M,12,0)</f>
        <v>#N/A</v>
      </c>
      <c r="N448" s="12" t="e">
        <f ca="1">VLOOKUP(D448,Input!B:N,11,0)</f>
        <v>#N/A</v>
      </c>
      <c r="O448" s="12" t="e">
        <f ca="1">VLOOKUP(D448,Input!B:M,6,0)</f>
        <v>#N/A</v>
      </c>
      <c r="P448" s="6">
        <v>447</v>
      </c>
    </row>
    <row r="449" spans="1:16" ht="14.25">
      <c r="A449" s="13" t="str">
        <f>IFERROR(VLOOKUP($D:$D,scan!$A:$B,2,0),"**")</f>
        <v>**</v>
      </c>
      <c r="B449" s="13" t="str">
        <f>IFERROR(VLOOKUP($D449,scan!A:C,3,0),"**")</f>
        <v>**</v>
      </c>
      <c r="C449" s="14">
        <v>12</v>
      </c>
      <c r="D449" s="15"/>
      <c r="E449" s="16" t="str">
        <f t="shared" si="6"/>
        <v>448.**.</v>
      </c>
      <c r="F449" s="3" t="s">
        <v>4950</v>
      </c>
      <c r="G449" s="3" t="s">
        <v>4951</v>
      </c>
      <c r="H449" s="3">
        <v>6042070338</v>
      </c>
      <c r="I449" s="12" t="e">
        <f ca="1">VLOOKUP(D449,Input!B:M,10,0)</f>
        <v>#N/A</v>
      </c>
      <c r="J449" s="12"/>
      <c r="K449" s="12"/>
      <c r="L449" s="12"/>
      <c r="M449" s="12" t="e">
        <f ca="1">VLOOKUP(D449,Input!B:M,12,0)</f>
        <v>#N/A</v>
      </c>
      <c r="N449" s="12" t="e">
        <f ca="1">VLOOKUP(D449,Input!B:N,11,0)</f>
        <v>#N/A</v>
      </c>
      <c r="O449" s="12" t="e">
        <f ca="1">VLOOKUP(D449,Input!B:M,6,0)</f>
        <v>#N/A</v>
      </c>
      <c r="P449" s="6">
        <v>448</v>
      </c>
    </row>
    <row r="450" spans="1:16" ht="14.25">
      <c r="A450" s="13" t="str">
        <f>IFERROR(VLOOKUP($D:$D,scan!$A:$B,2,0),"**")</f>
        <v>**</v>
      </c>
      <c r="B450" s="13" t="str">
        <f>IFERROR(VLOOKUP($D450,scan!A:C,3,0),"**")</f>
        <v>**</v>
      </c>
      <c r="C450" s="5">
        <v>36</v>
      </c>
      <c r="D450" s="15"/>
      <c r="E450" s="16" t="str">
        <f t="shared" ref="E450:E513" si="7">P450&amp;"."&amp;B450&amp;"."&amp;D450</f>
        <v>449.**.</v>
      </c>
      <c r="F450" s="3" t="s">
        <v>4950</v>
      </c>
      <c r="G450" s="3" t="s">
        <v>4951</v>
      </c>
      <c r="H450" s="3">
        <v>6042070338</v>
      </c>
      <c r="I450" s="12" t="e">
        <f ca="1">VLOOKUP(D450,Input!B:M,10,0)</f>
        <v>#N/A</v>
      </c>
      <c r="J450" s="12"/>
      <c r="K450" s="12"/>
      <c r="L450" s="12"/>
      <c r="M450" s="12" t="e">
        <f ca="1">VLOOKUP(D450,Input!B:M,12,0)</f>
        <v>#N/A</v>
      </c>
      <c r="N450" s="12" t="e">
        <f ca="1">VLOOKUP(D450,Input!B:N,11,0)</f>
        <v>#N/A</v>
      </c>
      <c r="O450" s="12" t="e">
        <f ca="1">VLOOKUP(D450,Input!B:M,6,0)</f>
        <v>#N/A</v>
      </c>
      <c r="P450" s="6">
        <v>449</v>
      </c>
    </row>
    <row r="451" spans="1:16" ht="14.25">
      <c r="A451" s="13" t="str">
        <f>IFERROR(VLOOKUP($D:$D,scan!$A:$B,2,0),"**")</f>
        <v>**</v>
      </c>
      <c r="B451" s="13" t="str">
        <f>IFERROR(VLOOKUP($D451,scan!A:C,3,0),"**")</f>
        <v>**</v>
      </c>
      <c r="C451" s="14">
        <v>284</v>
      </c>
      <c r="D451" s="15"/>
      <c r="E451" s="16" t="str">
        <f t="shared" si="7"/>
        <v>450.**.</v>
      </c>
      <c r="F451" s="3" t="s">
        <v>4950</v>
      </c>
      <c r="G451" s="3" t="s">
        <v>4951</v>
      </c>
      <c r="H451" s="3">
        <v>6042070338</v>
      </c>
      <c r="I451" s="12" t="e">
        <f ca="1">VLOOKUP(D451,Input!B:M,10,0)</f>
        <v>#N/A</v>
      </c>
      <c r="J451" s="12"/>
      <c r="K451" s="12"/>
      <c r="L451" s="12"/>
      <c r="M451" s="12" t="e">
        <f ca="1">VLOOKUP(D451,Input!B:M,12,0)</f>
        <v>#N/A</v>
      </c>
      <c r="N451" s="12" t="e">
        <f ca="1">VLOOKUP(D451,Input!B:N,11,0)</f>
        <v>#N/A</v>
      </c>
      <c r="O451" s="12" t="e">
        <f ca="1">VLOOKUP(D451,Input!B:M,6,0)</f>
        <v>#N/A</v>
      </c>
      <c r="P451" s="6">
        <v>450</v>
      </c>
    </row>
    <row r="452" spans="1:16" ht="14.25">
      <c r="A452" s="13" t="str">
        <f>IFERROR(VLOOKUP($D:$D,scan!$A:$B,2,0),"**")</f>
        <v>**</v>
      </c>
      <c r="B452" s="13" t="str">
        <f>IFERROR(VLOOKUP($D452,scan!A:C,3,0),"**")</f>
        <v>**</v>
      </c>
      <c r="C452" s="5">
        <v>573</v>
      </c>
      <c r="D452" s="15"/>
      <c r="E452" s="16" t="str">
        <f t="shared" si="7"/>
        <v>451.**.</v>
      </c>
      <c r="F452" s="3" t="s">
        <v>4950</v>
      </c>
      <c r="G452" s="3" t="s">
        <v>4951</v>
      </c>
      <c r="H452" s="3">
        <v>6042070338</v>
      </c>
      <c r="I452" s="12" t="e">
        <f ca="1">VLOOKUP(D452,Input!B:M,10,0)</f>
        <v>#N/A</v>
      </c>
      <c r="J452" s="12"/>
      <c r="K452" s="12"/>
      <c r="L452" s="12"/>
      <c r="M452" s="12" t="e">
        <f ca="1">VLOOKUP(D452,Input!B:M,12,0)</f>
        <v>#N/A</v>
      </c>
      <c r="N452" s="12" t="e">
        <f ca="1">VLOOKUP(D452,Input!B:N,11,0)</f>
        <v>#N/A</v>
      </c>
      <c r="O452" s="12" t="e">
        <f ca="1">VLOOKUP(D452,Input!B:M,6,0)</f>
        <v>#N/A</v>
      </c>
      <c r="P452" s="6">
        <v>451</v>
      </c>
    </row>
    <row r="453" spans="1:16" ht="14.25">
      <c r="A453" s="13" t="str">
        <f>IFERROR(VLOOKUP($D:$D,scan!$A:$B,2,0),"**")</f>
        <v>**</v>
      </c>
      <c r="B453" s="13" t="str">
        <f>IFERROR(VLOOKUP($D453,scan!A:C,3,0),"**")</f>
        <v>**</v>
      </c>
      <c r="C453" s="5">
        <v>441</v>
      </c>
      <c r="D453" s="15"/>
      <c r="E453" s="16" t="str">
        <f t="shared" si="7"/>
        <v>452.**.</v>
      </c>
      <c r="F453" s="3" t="s">
        <v>4950</v>
      </c>
      <c r="G453" s="3" t="s">
        <v>4951</v>
      </c>
      <c r="H453" s="3">
        <v>6042070338</v>
      </c>
      <c r="I453" s="12" t="e">
        <f ca="1">VLOOKUP(D453,Input!B:M,10,0)</f>
        <v>#N/A</v>
      </c>
      <c r="J453" s="12"/>
      <c r="K453" s="12"/>
      <c r="L453" s="12"/>
      <c r="M453" s="12" t="e">
        <f ca="1">VLOOKUP(D453,Input!B:M,12,0)</f>
        <v>#N/A</v>
      </c>
      <c r="N453" s="12" t="e">
        <f ca="1">VLOOKUP(D453,Input!B:N,11,0)</f>
        <v>#N/A</v>
      </c>
      <c r="O453" s="12" t="e">
        <f ca="1">VLOOKUP(D453,Input!B:M,6,0)</f>
        <v>#N/A</v>
      </c>
      <c r="P453" s="6">
        <v>452</v>
      </c>
    </row>
    <row r="454" spans="1:16" ht="14.25">
      <c r="A454" s="13" t="str">
        <f>IFERROR(VLOOKUP($D:$D,scan!$A:$B,2,0),"**")</f>
        <v>**</v>
      </c>
      <c r="B454" s="13" t="str">
        <f>IFERROR(VLOOKUP($D454,scan!A:C,3,0),"**")</f>
        <v>**</v>
      </c>
      <c r="C454" s="5">
        <v>131</v>
      </c>
      <c r="D454" s="15"/>
      <c r="E454" s="16" t="str">
        <f t="shared" si="7"/>
        <v>453.**.</v>
      </c>
      <c r="F454" s="3" t="s">
        <v>4950</v>
      </c>
      <c r="G454" s="3" t="s">
        <v>4951</v>
      </c>
      <c r="H454" s="3">
        <v>6042070338</v>
      </c>
      <c r="I454" s="12" t="e">
        <f ca="1">VLOOKUP(D454,Input!B:M,10,0)</f>
        <v>#N/A</v>
      </c>
      <c r="J454" s="12"/>
      <c r="K454" s="12"/>
      <c r="L454" s="12"/>
      <c r="M454" s="12" t="e">
        <f ca="1">VLOOKUP(D454,Input!B:M,12,0)</f>
        <v>#N/A</v>
      </c>
      <c r="N454" s="12" t="e">
        <f ca="1">VLOOKUP(D454,Input!B:N,11,0)</f>
        <v>#N/A</v>
      </c>
      <c r="O454" s="12" t="e">
        <f ca="1">VLOOKUP(D454,Input!B:M,6,0)</f>
        <v>#N/A</v>
      </c>
      <c r="P454" s="6">
        <v>453</v>
      </c>
    </row>
    <row r="455" spans="1:16" ht="14.25">
      <c r="A455" s="13" t="str">
        <f>IFERROR(VLOOKUP($D:$D,scan!$A:$B,2,0),"**")</f>
        <v>**</v>
      </c>
      <c r="B455" s="13" t="str">
        <f>IFERROR(VLOOKUP($D455,scan!A:C,3,0),"**")</f>
        <v>**</v>
      </c>
      <c r="C455" s="14">
        <v>575</v>
      </c>
      <c r="D455" s="15"/>
      <c r="E455" s="16" t="str">
        <f t="shared" si="7"/>
        <v>454.**.</v>
      </c>
      <c r="F455" s="3" t="s">
        <v>4950</v>
      </c>
      <c r="G455" s="3" t="s">
        <v>4951</v>
      </c>
      <c r="H455" s="3">
        <v>6042070338</v>
      </c>
      <c r="I455" s="12" t="e">
        <f ca="1">VLOOKUP(D455,Input!B:M,10,0)</f>
        <v>#N/A</v>
      </c>
      <c r="J455" s="12"/>
      <c r="K455" s="12"/>
      <c r="L455" s="12"/>
      <c r="M455" s="12" t="e">
        <f ca="1">VLOOKUP(D455,Input!B:M,12,0)</f>
        <v>#N/A</v>
      </c>
      <c r="N455" s="12" t="e">
        <f ca="1">VLOOKUP(D455,Input!B:N,11,0)</f>
        <v>#N/A</v>
      </c>
      <c r="O455" s="12" t="e">
        <f ca="1">VLOOKUP(D455,Input!B:M,6,0)</f>
        <v>#N/A</v>
      </c>
      <c r="P455" s="6">
        <v>454</v>
      </c>
    </row>
    <row r="456" spans="1:16" ht="14.25">
      <c r="A456" s="13" t="str">
        <f>IFERROR(VLOOKUP($D:$D,scan!$A:$B,2,0),"**")</f>
        <v>**</v>
      </c>
      <c r="B456" s="13" t="str">
        <f>IFERROR(VLOOKUP($D456,scan!A:C,3,0),"**")</f>
        <v>**</v>
      </c>
      <c r="C456" s="5">
        <v>286</v>
      </c>
      <c r="D456" s="15"/>
      <c r="E456" s="16" t="str">
        <f t="shared" si="7"/>
        <v>455.**.</v>
      </c>
      <c r="F456" s="3" t="s">
        <v>4950</v>
      </c>
      <c r="G456" s="3" t="s">
        <v>4951</v>
      </c>
      <c r="H456" s="3">
        <v>6042070338</v>
      </c>
      <c r="I456" s="12" t="e">
        <f ca="1">VLOOKUP(D456,Input!B:M,10,0)</f>
        <v>#N/A</v>
      </c>
      <c r="J456" s="12"/>
      <c r="K456" s="12"/>
      <c r="L456" s="12"/>
      <c r="M456" s="12" t="e">
        <f ca="1">VLOOKUP(D456,Input!B:M,12,0)</f>
        <v>#N/A</v>
      </c>
      <c r="N456" s="12" t="e">
        <f ca="1">VLOOKUP(D456,Input!B:N,11,0)</f>
        <v>#N/A</v>
      </c>
      <c r="O456" s="12" t="e">
        <f ca="1">VLOOKUP(D456,Input!B:M,6,0)</f>
        <v>#N/A</v>
      </c>
      <c r="P456" s="6">
        <v>455</v>
      </c>
    </row>
    <row r="457" spans="1:16" ht="14.25">
      <c r="A457" s="13" t="str">
        <f>IFERROR(VLOOKUP($D:$D,scan!$A:$B,2,0),"**")</f>
        <v>**</v>
      </c>
      <c r="B457" s="13" t="str">
        <f>IFERROR(VLOOKUP($D457,scan!A:C,3,0),"**")</f>
        <v>**</v>
      </c>
      <c r="C457" s="14">
        <v>440</v>
      </c>
      <c r="D457" s="15"/>
      <c r="E457" s="16" t="str">
        <f t="shared" si="7"/>
        <v>456.**.</v>
      </c>
      <c r="F457" s="3" t="s">
        <v>4950</v>
      </c>
      <c r="G457" s="3" t="s">
        <v>4951</v>
      </c>
      <c r="H457" s="3">
        <v>6042070338</v>
      </c>
      <c r="I457" s="12" t="e">
        <f ca="1">VLOOKUP(D457,Input!B:M,10,0)</f>
        <v>#N/A</v>
      </c>
      <c r="J457" s="12"/>
      <c r="K457" s="12"/>
      <c r="L457" s="12"/>
      <c r="M457" s="12" t="e">
        <f ca="1">VLOOKUP(D457,Input!B:M,12,0)</f>
        <v>#N/A</v>
      </c>
      <c r="N457" s="12" t="e">
        <f ca="1">VLOOKUP(D457,Input!B:N,11,0)</f>
        <v>#N/A</v>
      </c>
      <c r="O457" s="12" t="e">
        <f ca="1">VLOOKUP(D457,Input!B:M,6,0)</f>
        <v>#N/A</v>
      </c>
      <c r="P457" s="6">
        <v>456</v>
      </c>
    </row>
    <row r="458" spans="1:16" ht="14.25">
      <c r="A458" s="13" t="str">
        <f>IFERROR(VLOOKUP($D:$D,scan!$A:$B,2,0),"**")</f>
        <v>**</v>
      </c>
      <c r="B458" s="13" t="str">
        <f>IFERROR(VLOOKUP($D458,scan!A:C,3,0),"**")</f>
        <v>**</v>
      </c>
      <c r="C458" s="14">
        <v>132</v>
      </c>
      <c r="D458" s="15"/>
      <c r="E458" s="16" t="str">
        <f t="shared" si="7"/>
        <v>457.**.</v>
      </c>
      <c r="F458" s="3" t="s">
        <v>4950</v>
      </c>
      <c r="G458" s="3" t="s">
        <v>4951</v>
      </c>
      <c r="H458" s="3">
        <v>6042070338</v>
      </c>
      <c r="I458" s="12" t="e">
        <f ca="1">VLOOKUP(D458,Input!B:M,10,0)</f>
        <v>#N/A</v>
      </c>
      <c r="J458" s="12"/>
      <c r="K458" s="12"/>
      <c r="L458" s="12"/>
      <c r="M458" s="12" t="e">
        <f ca="1">VLOOKUP(D458,Input!B:M,12,0)</f>
        <v>#N/A</v>
      </c>
      <c r="N458" s="12" t="e">
        <f ca="1">VLOOKUP(D458,Input!B:N,11,0)</f>
        <v>#N/A</v>
      </c>
      <c r="O458" s="12" t="e">
        <f ca="1">VLOOKUP(D458,Input!B:M,6,0)</f>
        <v>#N/A</v>
      </c>
      <c r="P458" s="6">
        <v>457</v>
      </c>
    </row>
    <row r="459" spans="1:16" ht="14.25">
      <c r="A459" s="13" t="str">
        <f>IFERROR(VLOOKUP($D:$D,scan!$A:$B,2,0),"**")</f>
        <v>**</v>
      </c>
      <c r="B459" s="13" t="str">
        <f>IFERROR(VLOOKUP($D459,scan!A:C,3,0),"**")</f>
        <v>**</v>
      </c>
      <c r="C459" s="5">
        <v>281</v>
      </c>
      <c r="D459" s="15"/>
      <c r="E459" s="16" t="str">
        <f t="shared" si="7"/>
        <v>458.**.</v>
      </c>
      <c r="F459" s="3" t="s">
        <v>4950</v>
      </c>
      <c r="G459" s="3" t="s">
        <v>4951</v>
      </c>
      <c r="H459" s="3">
        <v>6042070338</v>
      </c>
      <c r="I459" s="12" t="e">
        <f ca="1">VLOOKUP(D459,Input!B:M,10,0)</f>
        <v>#N/A</v>
      </c>
      <c r="J459" s="12"/>
      <c r="K459" s="12"/>
      <c r="L459" s="12"/>
      <c r="M459" s="12" t="e">
        <f ca="1">VLOOKUP(D459,Input!B:M,12,0)</f>
        <v>#N/A</v>
      </c>
      <c r="N459" s="12" t="e">
        <f ca="1">VLOOKUP(D459,Input!B:N,11,0)</f>
        <v>#N/A</v>
      </c>
      <c r="O459" s="12" t="e">
        <f ca="1">VLOOKUP(D459,Input!B:M,6,0)</f>
        <v>#N/A</v>
      </c>
      <c r="P459" s="6">
        <v>458</v>
      </c>
    </row>
    <row r="460" spans="1:16" ht="14.25">
      <c r="A460" s="13" t="str">
        <f>IFERROR(VLOOKUP($D:$D,scan!$A:$B,2,0),"**")</f>
        <v>**</v>
      </c>
      <c r="B460" s="13" t="str">
        <f>IFERROR(VLOOKUP($D460,scan!A:C,3,0),"**")</f>
        <v>**</v>
      </c>
      <c r="C460" s="14">
        <v>130</v>
      </c>
      <c r="D460" s="15"/>
      <c r="E460" s="16" t="str">
        <f t="shared" si="7"/>
        <v>459.**.</v>
      </c>
      <c r="F460" s="3" t="s">
        <v>4950</v>
      </c>
      <c r="G460" s="3" t="s">
        <v>4951</v>
      </c>
      <c r="H460" s="3">
        <v>6042070338</v>
      </c>
      <c r="I460" s="12" t="e">
        <f ca="1">VLOOKUP(D460,Input!B:M,10,0)</f>
        <v>#N/A</v>
      </c>
      <c r="J460" s="12"/>
      <c r="K460" s="12"/>
      <c r="L460" s="12"/>
      <c r="M460" s="12" t="e">
        <f ca="1">VLOOKUP(D460,Input!B:M,12,0)</f>
        <v>#N/A</v>
      </c>
      <c r="N460" s="12" t="e">
        <f ca="1">VLOOKUP(D460,Input!B:N,11,0)</f>
        <v>#N/A</v>
      </c>
      <c r="O460" s="12" t="e">
        <f ca="1">VLOOKUP(D460,Input!B:M,6,0)</f>
        <v>#N/A</v>
      </c>
      <c r="P460" s="6">
        <v>459</v>
      </c>
    </row>
    <row r="461" spans="1:16" ht="14.25">
      <c r="A461" s="13" t="str">
        <f>IFERROR(VLOOKUP($D:$D,scan!$A:$B,2,0),"**")</f>
        <v>**</v>
      </c>
      <c r="B461" s="13" t="str">
        <f>IFERROR(VLOOKUP($D461,scan!A:C,3,0),"**")</f>
        <v>**</v>
      </c>
      <c r="C461" s="5">
        <v>296</v>
      </c>
      <c r="D461" s="15"/>
      <c r="E461" s="16" t="str">
        <f t="shared" si="7"/>
        <v>460.**.</v>
      </c>
      <c r="F461" s="3" t="s">
        <v>4950</v>
      </c>
      <c r="G461" s="3" t="s">
        <v>4951</v>
      </c>
      <c r="H461" s="3">
        <v>6042070338</v>
      </c>
      <c r="I461" s="12" t="e">
        <f ca="1">VLOOKUP(D461,Input!B:M,10,0)</f>
        <v>#N/A</v>
      </c>
      <c r="J461" s="12"/>
      <c r="K461" s="12"/>
      <c r="L461" s="12"/>
      <c r="M461" s="12" t="e">
        <f ca="1">VLOOKUP(D461,Input!B:M,12,0)</f>
        <v>#N/A</v>
      </c>
      <c r="N461" s="12" t="e">
        <f ca="1">VLOOKUP(D461,Input!B:N,11,0)</f>
        <v>#N/A</v>
      </c>
      <c r="O461" s="12" t="e">
        <f ca="1">VLOOKUP(D461,Input!B:M,6,0)</f>
        <v>#N/A</v>
      </c>
      <c r="P461" s="6">
        <v>460</v>
      </c>
    </row>
    <row r="462" spans="1:16" ht="14.25">
      <c r="A462" s="13" t="str">
        <f>IFERROR(VLOOKUP($D:$D,scan!$A:$B,2,0),"**")</f>
        <v>**</v>
      </c>
      <c r="B462" s="13" t="str">
        <f>IFERROR(VLOOKUP($D462,scan!A:C,3,0),"**")</f>
        <v>**</v>
      </c>
      <c r="C462" s="14">
        <v>283</v>
      </c>
      <c r="D462" s="15"/>
      <c r="E462" s="16" t="str">
        <f t="shared" si="7"/>
        <v>461.**.</v>
      </c>
      <c r="F462" s="3" t="s">
        <v>4950</v>
      </c>
      <c r="G462" s="3" t="s">
        <v>4951</v>
      </c>
      <c r="H462" s="3">
        <v>6042070338</v>
      </c>
      <c r="I462" s="12" t="e">
        <f ca="1">VLOOKUP(D462,Input!B:M,10,0)</f>
        <v>#N/A</v>
      </c>
      <c r="J462" s="12"/>
      <c r="K462" s="12"/>
      <c r="L462" s="12"/>
      <c r="M462" s="12" t="e">
        <f ca="1">VLOOKUP(D462,Input!B:M,12,0)</f>
        <v>#N/A</v>
      </c>
      <c r="N462" s="12" t="e">
        <f ca="1">VLOOKUP(D462,Input!B:N,11,0)</f>
        <v>#N/A</v>
      </c>
      <c r="O462" s="12" t="e">
        <f ca="1">VLOOKUP(D462,Input!B:M,6,0)</f>
        <v>#N/A</v>
      </c>
      <c r="P462" s="6">
        <v>461</v>
      </c>
    </row>
    <row r="463" spans="1:16" ht="14.25">
      <c r="A463" s="13" t="str">
        <f>IFERROR(VLOOKUP($D:$D,scan!$A:$B,2,0),"**")</f>
        <v>**</v>
      </c>
      <c r="B463" s="13" t="str">
        <f>IFERROR(VLOOKUP($D463,scan!A:C,3,0),"**")</f>
        <v>**</v>
      </c>
      <c r="C463" s="14">
        <v>129</v>
      </c>
      <c r="D463" s="15"/>
      <c r="E463" s="16" t="str">
        <f t="shared" si="7"/>
        <v>462.**.</v>
      </c>
      <c r="F463" s="3" t="s">
        <v>4950</v>
      </c>
      <c r="G463" s="3" t="s">
        <v>4951</v>
      </c>
      <c r="H463" s="3">
        <v>6042070338</v>
      </c>
      <c r="I463" s="12" t="e">
        <f ca="1">VLOOKUP(D463,Input!B:M,10,0)</f>
        <v>#N/A</v>
      </c>
      <c r="J463" s="12"/>
      <c r="K463" s="12"/>
      <c r="L463" s="12"/>
      <c r="M463" s="12" t="e">
        <f ca="1">VLOOKUP(D463,Input!B:M,12,0)</f>
        <v>#N/A</v>
      </c>
      <c r="N463" s="12" t="e">
        <f ca="1">VLOOKUP(D463,Input!B:N,11,0)</f>
        <v>#N/A</v>
      </c>
      <c r="O463" s="12" t="e">
        <f ca="1">VLOOKUP(D463,Input!B:M,6,0)</f>
        <v>#N/A</v>
      </c>
      <c r="P463" s="6">
        <v>462</v>
      </c>
    </row>
    <row r="464" spans="1:16" ht="14.25">
      <c r="A464" s="13" t="str">
        <f>IFERROR(VLOOKUP($D:$D,scan!$A:$B,2,0),"**")</f>
        <v>**</v>
      </c>
      <c r="B464" s="13" t="str">
        <f>IFERROR(VLOOKUP($D464,scan!A:C,3,0),"**")</f>
        <v>**</v>
      </c>
      <c r="C464" s="14">
        <v>438</v>
      </c>
      <c r="D464" s="15"/>
      <c r="E464" s="16" t="str">
        <f t="shared" si="7"/>
        <v>463.**.</v>
      </c>
      <c r="F464" s="3" t="s">
        <v>4950</v>
      </c>
      <c r="G464" s="3" t="s">
        <v>4951</v>
      </c>
      <c r="H464" s="3">
        <v>6042070338</v>
      </c>
      <c r="I464" s="12" t="e">
        <f ca="1">VLOOKUP(D464,Input!B:M,10,0)</f>
        <v>#N/A</v>
      </c>
      <c r="J464" s="12"/>
      <c r="K464" s="12"/>
      <c r="L464" s="12"/>
      <c r="M464" s="12" t="e">
        <f ca="1">VLOOKUP(D464,Input!B:M,12,0)</f>
        <v>#N/A</v>
      </c>
      <c r="N464" s="12" t="e">
        <f ca="1">VLOOKUP(D464,Input!B:N,11,0)</f>
        <v>#N/A</v>
      </c>
      <c r="O464" s="12" t="e">
        <f ca="1">VLOOKUP(D464,Input!B:M,6,0)</f>
        <v>#N/A</v>
      </c>
      <c r="P464" s="6">
        <v>463</v>
      </c>
    </row>
    <row r="465" spans="1:16" ht="14.25">
      <c r="A465" s="13" t="str">
        <f>IFERROR(VLOOKUP($D:$D,scan!$A:$B,2,0),"**")</f>
        <v>**</v>
      </c>
      <c r="B465" s="13" t="str">
        <f>IFERROR(VLOOKUP($D465,scan!A:C,3,0),"**")</f>
        <v>**</v>
      </c>
      <c r="C465" s="14">
        <v>574</v>
      </c>
      <c r="D465" s="15"/>
      <c r="E465" s="16" t="str">
        <f t="shared" si="7"/>
        <v>464.**.</v>
      </c>
      <c r="F465" s="3" t="s">
        <v>4950</v>
      </c>
      <c r="G465" s="3" t="s">
        <v>4951</v>
      </c>
      <c r="H465" s="3">
        <v>6042070338</v>
      </c>
      <c r="I465" s="12" t="e">
        <f ca="1">VLOOKUP(D465,Input!B:M,10,0)</f>
        <v>#N/A</v>
      </c>
      <c r="J465" s="12"/>
      <c r="K465" s="12"/>
      <c r="L465" s="12"/>
      <c r="M465" s="12" t="e">
        <f ca="1">VLOOKUP(D465,Input!B:M,12,0)</f>
        <v>#N/A</v>
      </c>
      <c r="N465" s="12" t="e">
        <f ca="1">VLOOKUP(D465,Input!B:N,11,0)</f>
        <v>#N/A</v>
      </c>
      <c r="O465" s="12" t="e">
        <f ca="1">VLOOKUP(D465,Input!B:M,6,0)</f>
        <v>#N/A</v>
      </c>
      <c r="P465" s="6">
        <v>464</v>
      </c>
    </row>
    <row r="466" spans="1:16" ht="14.25">
      <c r="A466" s="13" t="str">
        <f>IFERROR(VLOOKUP($D:$D,scan!$A:$B,2,0),"**")</f>
        <v>**</v>
      </c>
      <c r="B466" s="13" t="str">
        <f>IFERROR(VLOOKUP($D466,scan!A:C,3,0),"**")</f>
        <v>**</v>
      </c>
      <c r="C466" s="14">
        <v>439</v>
      </c>
      <c r="D466" s="15"/>
      <c r="E466" s="16" t="str">
        <f t="shared" si="7"/>
        <v>465.**.</v>
      </c>
      <c r="F466" s="3" t="s">
        <v>4950</v>
      </c>
      <c r="G466" s="3" t="s">
        <v>4951</v>
      </c>
      <c r="H466" s="3">
        <v>6042070338</v>
      </c>
      <c r="I466" s="12" t="e">
        <f ca="1">VLOOKUP(D466,Input!B:M,10,0)</f>
        <v>#N/A</v>
      </c>
      <c r="J466" s="12"/>
      <c r="K466" s="12"/>
      <c r="L466" s="12"/>
      <c r="M466" s="12" t="e">
        <f ca="1">VLOOKUP(D466,Input!B:M,12,0)</f>
        <v>#N/A</v>
      </c>
      <c r="N466" s="12" t="e">
        <f ca="1">VLOOKUP(D466,Input!B:N,11,0)</f>
        <v>#N/A</v>
      </c>
      <c r="O466" s="12" t="e">
        <f ca="1">VLOOKUP(D466,Input!B:M,6,0)</f>
        <v>#N/A</v>
      </c>
      <c r="P466" s="6">
        <v>465</v>
      </c>
    </row>
    <row r="467" spans="1:16" ht="14.25">
      <c r="A467" s="13" t="str">
        <f>IFERROR(VLOOKUP($D:$D,scan!$A:$B,2,0),"**")</f>
        <v>**</v>
      </c>
      <c r="B467" s="13" t="str">
        <f>IFERROR(VLOOKUP($D467,scan!A:C,3,0),"**")</f>
        <v>**</v>
      </c>
      <c r="C467" s="14">
        <v>134</v>
      </c>
      <c r="D467" s="15"/>
      <c r="E467" s="16" t="str">
        <f t="shared" si="7"/>
        <v>466.**.</v>
      </c>
      <c r="F467" s="3" t="s">
        <v>4950</v>
      </c>
      <c r="G467" s="3" t="s">
        <v>4951</v>
      </c>
      <c r="H467" s="3">
        <v>6042070338</v>
      </c>
      <c r="I467" s="12" t="e">
        <f ca="1">VLOOKUP(D467,Input!B:M,10,0)</f>
        <v>#N/A</v>
      </c>
      <c r="J467" s="12"/>
      <c r="K467" s="12"/>
      <c r="L467" s="12"/>
      <c r="M467" s="12" t="e">
        <f ca="1">VLOOKUP(D467,Input!B:M,12,0)</f>
        <v>#N/A</v>
      </c>
      <c r="N467" s="12" t="e">
        <f ca="1">VLOOKUP(D467,Input!B:N,11,0)</f>
        <v>#N/A</v>
      </c>
      <c r="O467" s="12" t="e">
        <f ca="1">VLOOKUP(D467,Input!B:M,6,0)</f>
        <v>#N/A</v>
      </c>
      <c r="P467" s="6">
        <v>466</v>
      </c>
    </row>
    <row r="468" spans="1:16" ht="14.25">
      <c r="A468" s="13" t="str">
        <f>IFERROR(VLOOKUP($D:$D,scan!$A:$B,2,0),"**")</f>
        <v>**</v>
      </c>
      <c r="B468" s="13" t="str">
        <f>IFERROR(VLOOKUP($D468,scan!A:C,3,0),"**")</f>
        <v>**</v>
      </c>
      <c r="C468" s="14">
        <v>285</v>
      </c>
      <c r="D468" s="15"/>
      <c r="E468" s="16" t="str">
        <f t="shared" si="7"/>
        <v>467.**.</v>
      </c>
      <c r="F468" s="3" t="s">
        <v>4950</v>
      </c>
      <c r="G468" s="3" t="s">
        <v>4951</v>
      </c>
      <c r="H468" s="3">
        <v>6042070338</v>
      </c>
      <c r="I468" s="12" t="e">
        <f ca="1">VLOOKUP(D468,Input!B:M,10,0)</f>
        <v>#N/A</v>
      </c>
      <c r="J468" s="12"/>
      <c r="K468" s="12"/>
      <c r="L468" s="12"/>
      <c r="M468" s="12" t="e">
        <f ca="1">VLOOKUP(D468,Input!B:M,12,0)</f>
        <v>#N/A</v>
      </c>
      <c r="N468" s="12" t="e">
        <f ca="1">VLOOKUP(D468,Input!B:N,11,0)</f>
        <v>#N/A</v>
      </c>
      <c r="O468" s="12" t="e">
        <f ca="1">VLOOKUP(D468,Input!B:M,6,0)</f>
        <v>#N/A</v>
      </c>
      <c r="P468" s="6">
        <v>467</v>
      </c>
    </row>
    <row r="469" spans="1:16" ht="14.25">
      <c r="A469" s="13" t="str">
        <f>IFERROR(VLOOKUP($D:$D,scan!$A:$B,2,0),"**")</f>
        <v>**</v>
      </c>
      <c r="B469" s="13" t="str">
        <f>IFERROR(VLOOKUP($D469,scan!A:C,3,0),"**")</f>
        <v>**</v>
      </c>
      <c r="C469" s="14">
        <v>457</v>
      </c>
      <c r="D469" s="15"/>
      <c r="E469" s="16" t="str">
        <f t="shared" si="7"/>
        <v>468.**.</v>
      </c>
      <c r="F469" s="3" t="s">
        <v>4950</v>
      </c>
      <c r="G469" s="3" t="s">
        <v>4951</v>
      </c>
      <c r="H469" s="3">
        <v>6042070338</v>
      </c>
      <c r="I469" s="12" t="e">
        <f ca="1">VLOOKUP(D469,Input!B:M,10,0)</f>
        <v>#N/A</v>
      </c>
      <c r="J469" s="12"/>
      <c r="K469" s="12"/>
      <c r="L469" s="12"/>
      <c r="M469" s="12" t="e">
        <f ca="1">VLOOKUP(D469,Input!B:M,12,0)</f>
        <v>#N/A</v>
      </c>
      <c r="N469" s="12" t="e">
        <f ca="1">VLOOKUP(D469,Input!B:N,11,0)</f>
        <v>#N/A</v>
      </c>
      <c r="O469" s="12" t="e">
        <f ca="1">VLOOKUP(D469,Input!B:M,6,0)</f>
        <v>#N/A</v>
      </c>
      <c r="P469" s="6">
        <v>468</v>
      </c>
    </row>
    <row r="470" spans="1:16" ht="14.25">
      <c r="A470" s="13" t="str">
        <f>IFERROR(VLOOKUP($D:$D,scan!$A:$B,2,0),"**")</f>
        <v>**</v>
      </c>
      <c r="B470" s="13" t="str">
        <f>IFERROR(VLOOKUP($D470,scan!A:C,3,0),"**")</f>
        <v>**</v>
      </c>
      <c r="C470" s="14">
        <v>576</v>
      </c>
      <c r="D470" s="15"/>
      <c r="E470" s="16" t="str">
        <f t="shared" si="7"/>
        <v>469.**.</v>
      </c>
      <c r="F470" s="3" t="s">
        <v>4950</v>
      </c>
      <c r="G470" s="3" t="s">
        <v>4951</v>
      </c>
      <c r="H470" s="3">
        <v>6042070338</v>
      </c>
      <c r="I470" s="12" t="e">
        <f ca="1">VLOOKUP(D470,Input!B:M,10,0)</f>
        <v>#N/A</v>
      </c>
      <c r="J470" s="12"/>
      <c r="K470" s="12"/>
      <c r="L470" s="12"/>
      <c r="M470" s="12" t="e">
        <f ca="1">VLOOKUP(D470,Input!B:M,12,0)</f>
        <v>#N/A</v>
      </c>
      <c r="N470" s="12" t="e">
        <f ca="1">VLOOKUP(D470,Input!B:N,11,0)</f>
        <v>#N/A</v>
      </c>
      <c r="O470" s="12" t="e">
        <f ca="1">VLOOKUP(D470,Input!B:M,6,0)</f>
        <v>#N/A</v>
      </c>
      <c r="P470" s="6">
        <v>469</v>
      </c>
    </row>
    <row r="471" spans="1:16" ht="14.25">
      <c r="A471" s="13" t="str">
        <f>IFERROR(VLOOKUP($D:$D,scan!$A:$B,2,0),"**")</f>
        <v>**</v>
      </c>
      <c r="B471" s="13" t="str">
        <f>IFERROR(VLOOKUP($D471,scan!A:C,3,0),"**")</f>
        <v>**</v>
      </c>
      <c r="C471" s="5">
        <v>609</v>
      </c>
      <c r="D471" s="15"/>
      <c r="E471" s="16" t="str">
        <f t="shared" si="7"/>
        <v>470.**.</v>
      </c>
      <c r="F471" s="3" t="s">
        <v>4950</v>
      </c>
      <c r="G471" s="3" t="s">
        <v>4951</v>
      </c>
      <c r="H471" s="3">
        <v>6042070338</v>
      </c>
      <c r="I471" s="12" t="e">
        <f ca="1">VLOOKUP(D471,Input!B:M,10,0)</f>
        <v>#N/A</v>
      </c>
      <c r="J471" s="12"/>
      <c r="K471" s="12"/>
      <c r="L471" s="12"/>
      <c r="M471" s="12" t="e">
        <f ca="1">VLOOKUP(D471,Input!B:M,12,0)</f>
        <v>#N/A</v>
      </c>
      <c r="N471" s="12" t="e">
        <f ca="1">VLOOKUP(D471,Input!B:N,11,0)</f>
        <v>#N/A</v>
      </c>
      <c r="O471" s="12" t="e">
        <f ca="1">VLOOKUP(D471,Input!B:M,6,0)</f>
        <v>#N/A</v>
      </c>
      <c r="P471" s="6">
        <v>470</v>
      </c>
    </row>
    <row r="472" spans="1:16" ht="14.25">
      <c r="A472" s="13" t="str">
        <f>IFERROR(VLOOKUP($D:$D,scan!$A:$B,2,0),"**")</f>
        <v>**</v>
      </c>
      <c r="B472" s="13" t="str">
        <f>IFERROR(VLOOKUP($D472,scan!A:C,3,0),"**")</f>
        <v>**</v>
      </c>
      <c r="C472" s="5">
        <v>577</v>
      </c>
      <c r="D472" s="15"/>
      <c r="E472" s="16" t="str">
        <f t="shared" si="7"/>
        <v>471.**.</v>
      </c>
      <c r="F472" s="3" t="s">
        <v>4950</v>
      </c>
      <c r="G472" s="3" t="s">
        <v>4951</v>
      </c>
      <c r="H472" s="3">
        <v>6042070338</v>
      </c>
      <c r="I472" s="12" t="e">
        <f ca="1">VLOOKUP(D472,Input!B:M,10,0)</f>
        <v>#N/A</v>
      </c>
      <c r="J472" s="12"/>
      <c r="K472" s="12"/>
      <c r="L472" s="12"/>
      <c r="M472" s="12" t="e">
        <f ca="1">VLOOKUP(D472,Input!B:M,12,0)</f>
        <v>#N/A</v>
      </c>
      <c r="N472" s="12" t="e">
        <f ca="1">VLOOKUP(D472,Input!B:N,11,0)</f>
        <v>#N/A</v>
      </c>
      <c r="O472" s="12" t="e">
        <f ca="1">VLOOKUP(D472,Input!B:M,6,0)</f>
        <v>#N/A</v>
      </c>
      <c r="P472" s="6">
        <v>471</v>
      </c>
    </row>
    <row r="473" spans="1:16" ht="14.25">
      <c r="A473" s="13" t="str">
        <f>IFERROR(VLOOKUP($D:$D,scan!$A:$B,2,0),"**")</f>
        <v>**</v>
      </c>
      <c r="B473" s="13" t="str">
        <f>IFERROR(VLOOKUP($D473,scan!A:C,3,0),"**")</f>
        <v>**</v>
      </c>
      <c r="C473" s="14">
        <v>128</v>
      </c>
      <c r="D473" s="15"/>
      <c r="E473" s="16" t="str">
        <f t="shared" si="7"/>
        <v>472.**.</v>
      </c>
      <c r="F473" s="3" t="s">
        <v>4950</v>
      </c>
      <c r="G473" s="3" t="s">
        <v>4951</v>
      </c>
      <c r="H473" s="3">
        <v>6042070338</v>
      </c>
      <c r="I473" s="12" t="e">
        <f ca="1">VLOOKUP(D473,Input!B:M,10,0)</f>
        <v>#N/A</v>
      </c>
      <c r="J473" s="12"/>
      <c r="K473" s="12"/>
      <c r="L473" s="12"/>
      <c r="M473" s="12" t="e">
        <f ca="1">VLOOKUP(D473,Input!B:M,12,0)</f>
        <v>#N/A</v>
      </c>
      <c r="N473" s="12" t="e">
        <f ca="1">VLOOKUP(D473,Input!B:N,11,0)</f>
        <v>#N/A</v>
      </c>
      <c r="O473" s="12" t="e">
        <f ca="1">VLOOKUP(D473,Input!B:M,6,0)</f>
        <v>#N/A</v>
      </c>
      <c r="P473" s="6">
        <v>472</v>
      </c>
    </row>
    <row r="474" spans="1:16" ht="14.25">
      <c r="A474" s="13" t="str">
        <f>IFERROR(VLOOKUP($D:$D,scan!$A:$B,2,0),"**")</f>
        <v>**</v>
      </c>
      <c r="B474" s="13" t="str">
        <f>IFERROR(VLOOKUP($D474,scan!A:C,3,0),"**")</f>
        <v>**</v>
      </c>
      <c r="C474" s="14">
        <v>437</v>
      </c>
      <c r="D474" s="15"/>
      <c r="E474" s="16" t="str">
        <f t="shared" si="7"/>
        <v>473.**.</v>
      </c>
      <c r="F474" s="3" t="s">
        <v>4950</v>
      </c>
      <c r="G474" s="3" t="s">
        <v>4951</v>
      </c>
      <c r="H474" s="3">
        <v>6042070338</v>
      </c>
      <c r="I474" s="12" t="e">
        <f ca="1">VLOOKUP(D474,Input!B:M,10,0)</f>
        <v>#N/A</v>
      </c>
      <c r="J474" s="12"/>
      <c r="K474" s="12"/>
      <c r="L474" s="12"/>
      <c r="M474" s="12" t="e">
        <f ca="1">VLOOKUP(D474,Input!B:M,12,0)</f>
        <v>#N/A</v>
      </c>
      <c r="N474" s="12" t="e">
        <f ca="1">VLOOKUP(D474,Input!B:N,11,0)</f>
        <v>#N/A</v>
      </c>
      <c r="O474" s="12" t="e">
        <f ca="1">VLOOKUP(D474,Input!B:M,6,0)</f>
        <v>#N/A</v>
      </c>
      <c r="P474" s="6">
        <v>473</v>
      </c>
    </row>
    <row r="475" spans="1:16" ht="14.25">
      <c r="A475" s="13" t="str">
        <f>IFERROR(VLOOKUP($D:$D,scan!$A:$B,2,0),"**")</f>
        <v>**</v>
      </c>
      <c r="B475" s="13" t="str">
        <f>IFERROR(VLOOKUP($D475,scan!A:C,3,0),"**")</f>
        <v>**</v>
      </c>
      <c r="C475" s="14">
        <v>282</v>
      </c>
      <c r="D475" s="17"/>
      <c r="E475" s="16" t="str">
        <f t="shared" si="7"/>
        <v>474.**.</v>
      </c>
      <c r="F475" s="3" t="s">
        <v>4950</v>
      </c>
      <c r="G475" s="3" t="s">
        <v>4951</v>
      </c>
      <c r="H475" s="3">
        <v>6042070338</v>
      </c>
      <c r="I475" s="12" t="e">
        <f ca="1">VLOOKUP(D475,Input!B:M,10,0)</f>
        <v>#N/A</v>
      </c>
      <c r="J475" s="12"/>
      <c r="K475" s="12"/>
      <c r="L475" s="12"/>
      <c r="M475" s="12" t="e">
        <f ca="1">VLOOKUP(D475,Input!B:M,12,0)</f>
        <v>#N/A</v>
      </c>
      <c r="N475" s="12" t="e">
        <f ca="1">VLOOKUP(D475,Input!B:N,11,0)</f>
        <v>#N/A</v>
      </c>
      <c r="O475" s="12" t="e">
        <f ca="1">VLOOKUP(D475,Input!B:M,6,0)</f>
        <v>#N/A</v>
      </c>
      <c r="P475" s="6">
        <v>474</v>
      </c>
    </row>
    <row r="476" spans="1:16" ht="14.25">
      <c r="A476" s="13" t="str">
        <f>IFERROR(VLOOKUP($D:$D,scan!$A:$B,2,0),"**")</f>
        <v>**</v>
      </c>
      <c r="B476" s="13" t="str">
        <f>IFERROR(VLOOKUP($D476,scan!A:C,3,0),"**")</f>
        <v>**</v>
      </c>
      <c r="C476" s="14">
        <v>297</v>
      </c>
      <c r="D476" s="17"/>
      <c r="E476" s="16" t="str">
        <f t="shared" si="7"/>
        <v>475.**.</v>
      </c>
      <c r="F476" s="3" t="s">
        <v>4950</v>
      </c>
      <c r="G476" s="3" t="s">
        <v>4951</v>
      </c>
      <c r="H476" s="3">
        <v>6042070338</v>
      </c>
      <c r="I476" s="12" t="e">
        <f ca="1">VLOOKUP(D476,Input!B:M,10,0)</f>
        <v>#N/A</v>
      </c>
      <c r="J476" s="12"/>
      <c r="K476" s="12"/>
      <c r="L476" s="12"/>
      <c r="M476" s="12" t="e">
        <f ca="1">VLOOKUP(D476,Input!B:M,12,0)</f>
        <v>#N/A</v>
      </c>
      <c r="N476" s="12" t="e">
        <f ca="1">VLOOKUP(D476,Input!B:N,11,0)</f>
        <v>#N/A</v>
      </c>
      <c r="O476" s="12" t="e">
        <f ca="1">VLOOKUP(D476,Input!B:M,6,0)</f>
        <v>#N/A</v>
      </c>
      <c r="P476" s="6">
        <v>475</v>
      </c>
    </row>
    <row r="477" spans="1:16" ht="14.25">
      <c r="A477" s="13" t="str">
        <f>IFERROR(VLOOKUP($D:$D,scan!$A:$B,2,0),"**")</f>
        <v>**</v>
      </c>
      <c r="B477" s="13" t="str">
        <f>IFERROR(VLOOKUP($D477,scan!A:C,3,0),"**")</f>
        <v>**</v>
      </c>
      <c r="C477" s="14">
        <v>435</v>
      </c>
      <c r="D477" s="15"/>
      <c r="E477" s="16" t="str">
        <f t="shared" si="7"/>
        <v>476.**.</v>
      </c>
      <c r="F477" s="3" t="s">
        <v>4950</v>
      </c>
      <c r="G477" s="3" t="s">
        <v>4951</v>
      </c>
      <c r="H477" s="3">
        <v>6042070338</v>
      </c>
      <c r="I477" s="12" t="e">
        <f ca="1">VLOOKUP(D477,Input!B:M,10,0)</f>
        <v>#N/A</v>
      </c>
      <c r="J477" s="12"/>
      <c r="K477" s="12"/>
      <c r="L477" s="12"/>
      <c r="M477" s="12" t="e">
        <f ca="1">VLOOKUP(D477,Input!B:M,12,0)</f>
        <v>#N/A</v>
      </c>
      <c r="N477" s="12" t="e">
        <f ca="1">VLOOKUP(D477,Input!B:N,11,0)</f>
        <v>#N/A</v>
      </c>
      <c r="O477" s="12" t="e">
        <f ca="1">VLOOKUP(D477,Input!B:M,6,0)</f>
        <v>#N/A</v>
      </c>
      <c r="P477" s="6">
        <v>476</v>
      </c>
    </row>
    <row r="478" spans="1:16" ht="14.25">
      <c r="A478" s="13" t="str">
        <f>IFERROR(VLOOKUP($D:$D,scan!$A:$B,2,0),"**")</f>
        <v>**</v>
      </c>
      <c r="B478" s="13" t="str">
        <f>IFERROR(VLOOKUP($D478,scan!A:C,3,0),"**")</f>
        <v>**</v>
      </c>
      <c r="C478" s="14">
        <v>149</v>
      </c>
      <c r="D478" s="15"/>
      <c r="E478" s="16" t="str">
        <f t="shared" si="7"/>
        <v>477.**.</v>
      </c>
      <c r="F478" s="3" t="s">
        <v>4950</v>
      </c>
      <c r="G478" s="3" t="s">
        <v>4951</v>
      </c>
      <c r="H478" s="3">
        <v>6042070338</v>
      </c>
      <c r="I478" s="12" t="e">
        <f ca="1">VLOOKUP(D478,Input!B:M,10,0)</f>
        <v>#N/A</v>
      </c>
      <c r="J478" s="12"/>
      <c r="K478" s="12"/>
      <c r="L478" s="12"/>
      <c r="M478" s="12" t="e">
        <f ca="1">VLOOKUP(D478,Input!B:M,12,0)</f>
        <v>#N/A</v>
      </c>
      <c r="N478" s="12" t="e">
        <f ca="1">VLOOKUP(D478,Input!B:N,11,0)</f>
        <v>#N/A</v>
      </c>
      <c r="O478" s="12" t="e">
        <f ca="1">VLOOKUP(D478,Input!B:M,6,0)</f>
        <v>#N/A</v>
      </c>
      <c r="P478" s="6">
        <v>477</v>
      </c>
    </row>
    <row r="479" spans="1:16" ht="14.25">
      <c r="A479" s="13" t="str">
        <f>IFERROR(VLOOKUP($D:$D,scan!$A:$B,2,0),"**")</f>
        <v>**</v>
      </c>
      <c r="B479" s="13" t="str">
        <f>IFERROR(VLOOKUP($D479,scan!A:C,3,0),"**")</f>
        <v>**</v>
      </c>
      <c r="C479" s="14">
        <v>75</v>
      </c>
      <c r="D479" s="15"/>
      <c r="E479" s="16" t="str">
        <f t="shared" si="7"/>
        <v>478.**.</v>
      </c>
      <c r="F479" s="3" t="s">
        <v>4950</v>
      </c>
      <c r="G479" s="3" t="s">
        <v>4951</v>
      </c>
      <c r="H479" s="3">
        <v>6042070338</v>
      </c>
      <c r="I479" s="12" t="e">
        <f ca="1">VLOOKUP(D479,Input!B:M,10,0)</f>
        <v>#N/A</v>
      </c>
      <c r="J479" s="12"/>
      <c r="K479" s="12"/>
      <c r="L479" s="12"/>
      <c r="M479" s="12" t="e">
        <f ca="1">VLOOKUP(D479,Input!B:M,12,0)</f>
        <v>#N/A</v>
      </c>
      <c r="N479" s="12" t="e">
        <f ca="1">VLOOKUP(D479,Input!B:N,11,0)</f>
        <v>#N/A</v>
      </c>
      <c r="O479" s="12" t="e">
        <f ca="1">VLOOKUP(D479,Input!B:M,6,0)</f>
        <v>#N/A</v>
      </c>
      <c r="P479" s="6">
        <v>478</v>
      </c>
    </row>
    <row r="480" spans="1:16" ht="14.25">
      <c r="A480" s="13" t="str">
        <f>IFERROR(VLOOKUP($D:$D,scan!$A:$B,2,0),"**")</f>
        <v>**</v>
      </c>
      <c r="B480" s="13" t="str">
        <f>IFERROR(VLOOKUP($D480,scan!A:C,3,0),"**")</f>
        <v>**</v>
      </c>
      <c r="C480" s="14">
        <v>332</v>
      </c>
      <c r="D480" s="15"/>
      <c r="E480" s="16" t="str">
        <f t="shared" si="7"/>
        <v>479.**.</v>
      </c>
      <c r="F480" s="3" t="s">
        <v>4950</v>
      </c>
      <c r="G480" s="3" t="s">
        <v>4951</v>
      </c>
      <c r="H480" s="3">
        <v>6042070338</v>
      </c>
      <c r="I480" s="12" t="e">
        <f ca="1">VLOOKUP(D480,Input!B:M,10,0)</f>
        <v>#N/A</v>
      </c>
      <c r="J480" s="12"/>
      <c r="K480" s="12"/>
      <c r="L480" s="12"/>
      <c r="M480" s="12" t="e">
        <f ca="1">VLOOKUP(D480,Input!B:M,12,0)</f>
        <v>#N/A</v>
      </c>
      <c r="N480" s="12" t="e">
        <f ca="1">VLOOKUP(D480,Input!B:N,11,0)</f>
        <v>#N/A</v>
      </c>
      <c r="O480" s="12" t="e">
        <f ca="1">VLOOKUP(D480,Input!B:M,6,0)</f>
        <v>#N/A</v>
      </c>
      <c r="P480" s="6">
        <v>479</v>
      </c>
    </row>
    <row r="481" spans="1:16" ht="14.25">
      <c r="A481" s="13" t="str">
        <f>IFERROR(VLOOKUP($D:$D,scan!$A:$B,2,0),"**")</f>
        <v>**</v>
      </c>
      <c r="B481" s="13" t="str">
        <f>IFERROR(VLOOKUP($D481,scan!A:C,3,0),"**")</f>
        <v>**</v>
      </c>
      <c r="C481" s="14">
        <v>592</v>
      </c>
      <c r="D481" s="15"/>
      <c r="E481" s="16" t="str">
        <f t="shared" si="7"/>
        <v>480.**.</v>
      </c>
      <c r="F481" s="3" t="s">
        <v>4950</v>
      </c>
      <c r="G481" s="3" t="s">
        <v>4951</v>
      </c>
      <c r="H481" s="3">
        <v>6042070338</v>
      </c>
      <c r="I481" s="12" t="e">
        <f ca="1">VLOOKUP(D481,Input!B:M,10,0)</f>
        <v>#N/A</v>
      </c>
      <c r="J481" s="12"/>
      <c r="K481" s="12"/>
      <c r="L481" s="12"/>
      <c r="M481" s="12" t="e">
        <f ca="1">VLOOKUP(D481,Input!B:M,12,0)</f>
        <v>#N/A</v>
      </c>
      <c r="N481" s="12" t="e">
        <f ca="1">VLOOKUP(D481,Input!B:N,11,0)</f>
        <v>#N/A</v>
      </c>
      <c r="O481" s="12" t="e">
        <f ca="1">VLOOKUP(D481,Input!B:M,6,0)</f>
        <v>#N/A</v>
      </c>
      <c r="P481" s="6">
        <v>480</v>
      </c>
    </row>
    <row r="482" spans="1:16" ht="14.25">
      <c r="A482" s="13" t="str">
        <f>IFERROR(VLOOKUP($D:$D,scan!$A:$B,2,0),"**")</f>
        <v>**</v>
      </c>
      <c r="B482" s="13" t="str">
        <f>IFERROR(VLOOKUP($D482,scan!A:C,3,0),"**")</f>
        <v>**</v>
      </c>
      <c r="C482" s="14">
        <v>333</v>
      </c>
      <c r="D482" s="15"/>
      <c r="E482" s="16" t="str">
        <f t="shared" si="7"/>
        <v>481.**.</v>
      </c>
      <c r="F482" s="3" t="s">
        <v>4950</v>
      </c>
      <c r="G482" s="3" t="s">
        <v>4951</v>
      </c>
      <c r="H482" s="3">
        <v>6042070338</v>
      </c>
      <c r="I482" s="12" t="e">
        <f ca="1">VLOOKUP(D482,Input!B:M,10,0)</f>
        <v>#N/A</v>
      </c>
      <c r="J482" s="12"/>
      <c r="K482" s="12"/>
      <c r="L482" s="12"/>
      <c r="M482" s="12" t="e">
        <f ca="1">VLOOKUP(D482,Input!B:M,12,0)</f>
        <v>#N/A</v>
      </c>
      <c r="N482" s="12" t="e">
        <f ca="1">VLOOKUP(D482,Input!B:N,11,0)</f>
        <v>#N/A</v>
      </c>
      <c r="O482" s="12" t="e">
        <f ca="1">VLOOKUP(D482,Input!B:M,6,0)</f>
        <v>#N/A</v>
      </c>
      <c r="P482" s="6">
        <v>481</v>
      </c>
    </row>
    <row r="483" spans="1:16" ht="14.25">
      <c r="A483" s="13" t="str">
        <f>IFERROR(VLOOKUP($D:$D,scan!$A:$B,2,0),"**")</f>
        <v>**</v>
      </c>
      <c r="B483" s="13" t="str">
        <f>IFERROR(VLOOKUP($D483,scan!A:C,3,0),"**")</f>
        <v>**</v>
      </c>
      <c r="C483" s="14">
        <v>228</v>
      </c>
      <c r="D483" s="15"/>
      <c r="E483" s="16" t="str">
        <f t="shared" si="7"/>
        <v>482.**.</v>
      </c>
      <c r="F483" s="3" t="s">
        <v>4950</v>
      </c>
      <c r="G483" s="3" t="s">
        <v>4951</v>
      </c>
      <c r="H483" s="3">
        <v>6042070338</v>
      </c>
      <c r="I483" s="12" t="e">
        <f ca="1">VLOOKUP(D483,Input!B:M,10,0)</f>
        <v>#N/A</v>
      </c>
      <c r="J483" s="12"/>
      <c r="K483" s="12"/>
      <c r="L483" s="12"/>
      <c r="M483" s="12" t="e">
        <f ca="1">VLOOKUP(D483,Input!B:M,12,0)</f>
        <v>#N/A</v>
      </c>
      <c r="N483" s="12" t="e">
        <f ca="1">VLOOKUP(D483,Input!B:N,11,0)</f>
        <v>#N/A</v>
      </c>
      <c r="O483" s="12" t="e">
        <f ca="1">VLOOKUP(D483,Input!B:M,6,0)</f>
        <v>#N/A</v>
      </c>
      <c r="P483" s="6">
        <v>482</v>
      </c>
    </row>
    <row r="484" spans="1:16" ht="14.25">
      <c r="A484" s="13" t="str">
        <f>IFERROR(VLOOKUP($D:$D,scan!$A:$B,2,0),"**")</f>
        <v>**</v>
      </c>
      <c r="B484" s="13" t="str">
        <f>IFERROR(VLOOKUP($D484,scan!A:C,3,0),"**")</f>
        <v>**</v>
      </c>
      <c r="C484" s="5">
        <v>211</v>
      </c>
      <c r="D484" s="22"/>
      <c r="E484" s="16" t="str">
        <f t="shared" si="7"/>
        <v>483.**.</v>
      </c>
      <c r="F484" s="3" t="s">
        <v>4950</v>
      </c>
      <c r="G484" s="3" t="s">
        <v>4951</v>
      </c>
      <c r="H484" s="3">
        <v>6042070338</v>
      </c>
      <c r="I484" s="12" t="e">
        <f ca="1">VLOOKUP(D484,Input!B:M,10,0)</f>
        <v>#N/A</v>
      </c>
      <c r="J484" s="12"/>
      <c r="K484" s="12"/>
      <c r="L484" s="12"/>
      <c r="M484" s="12" t="e">
        <f ca="1">VLOOKUP(D484,Input!B:M,12,0)</f>
        <v>#N/A</v>
      </c>
      <c r="N484" s="12" t="e">
        <f ca="1">VLOOKUP(D484,Input!B:N,11,0)</f>
        <v>#N/A</v>
      </c>
      <c r="O484" s="12" t="e">
        <f ca="1">VLOOKUP(D484,Input!B:M,6,0)</f>
        <v>#N/A</v>
      </c>
      <c r="P484" s="6">
        <v>483</v>
      </c>
    </row>
    <row r="485" spans="1:16" ht="14.25">
      <c r="A485" s="13" t="str">
        <f>IFERROR(VLOOKUP($D:$D,scan!$A:$B,2,0),"**")</f>
        <v>**</v>
      </c>
      <c r="B485" s="13" t="str">
        <f>IFERROR(VLOOKUP($D485,scan!A:C,3,0),"**")</f>
        <v>**</v>
      </c>
      <c r="C485" s="14">
        <v>434</v>
      </c>
      <c r="D485" s="17"/>
      <c r="E485" s="16" t="str">
        <f t="shared" si="7"/>
        <v>484.**.</v>
      </c>
      <c r="F485" s="3" t="s">
        <v>4950</v>
      </c>
      <c r="G485" s="3" t="s">
        <v>4951</v>
      </c>
      <c r="H485" s="3">
        <v>6042070338</v>
      </c>
      <c r="I485" s="12" t="e">
        <f ca="1">VLOOKUP(D485,Input!B:M,10,0)</f>
        <v>#N/A</v>
      </c>
      <c r="J485" s="12"/>
      <c r="K485" s="12"/>
      <c r="L485" s="12"/>
      <c r="M485" s="12" t="e">
        <f ca="1">VLOOKUP(D485,Input!B:M,12,0)</f>
        <v>#N/A</v>
      </c>
      <c r="N485" s="12" t="e">
        <f ca="1">VLOOKUP(D485,Input!B:N,11,0)</f>
        <v>#N/A</v>
      </c>
      <c r="O485" s="12" t="e">
        <f ca="1">VLOOKUP(D485,Input!B:M,6,0)</f>
        <v>#N/A</v>
      </c>
      <c r="P485" s="6">
        <v>484</v>
      </c>
    </row>
    <row r="486" spans="1:16" ht="14.25">
      <c r="A486" s="13" t="str">
        <f>IFERROR(VLOOKUP($D:$D,scan!$A:$B,2,0),"**")</f>
        <v>**</v>
      </c>
      <c r="B486" s="13" t="str">
        <f>IFERROR(VLOOKUP($D486,scan!A:C,3,0),"**")</f>
        <v>**</v>
      </c>
      <c r="C486" s="14">
        <v>227</v>
      </c>
      <c r="D486" s="15"/>
      <c r="E486" s="16" t="str">
        <f t="shared" si="7"/>
        <v>485.**.</v>
      </c>
      <c r="F486" s="3" t="s">
        <v>4950</v>
      </c>
      <c r="G486" s="3" t="s">
        <v>4951</v>
      </c>
      <c r="H486" s="3">
        <v>6042070338</v>
      </c>
      <c r="I486" s="12" t="e">
        <f ca="1">VLOOKUP(D486,Input!B:M,10,0)</f>
        <v>#N/A</v>
      </c>
      <c r="J486" s="12"/>
      <c r="K486" s="12"/>
      <c r="L486" s="12"/>
      <c r="M486" s="12" t="e">
        <f ca="1">VLOOKUP(D486,Input!B:M,12,0)</f>
        <v>#N/A</v>
      </c>
      <c r="N486" s="12" t="e">
        <f ca="1">VLOOKUP(D486,Input!B:N,11,0)</f>
        <v>#N/A</v>
      </c>
      <c r="O486" s="12" t="e">
        <f ca="1">VLOOKUP(D486,Input!B:M,6,0)</f>
        <v>#N/A</v>
      </c>
      <c r="P486" s="6">
        <v>485</v>
      </c>
    </row>
    <row r="487" spans="1:16" ht="14.25">
      <c r="A487" s="13" t="str">
        <f>IFERROR(VLOOKUP($D:$D,scan!$A:$B,2,0),"**")</f>
        <v>**</v>
      </c>
      <c r="B487" s="13" t="str">
        <f>IFERROR(VLOOKUP($D487,scan!A:C,3,0),"**")</f>
        <v>**</v>
      </c>
      <c r="C487" s="14">
        <v>458</v>
      </c>
      <c r="D487" s="15"/>
      <c r="E487" s="16" t="str">
        <f t="shared" si="7"/>
        <v>486.**.</v>
      </c>
      <c r="F487" s="3" t="s">
        <v>4950</v>
      </c>
      <c r="G487" s="3" t="s">
        <v>4951</v>
      </c>
      <c r="H487" s="3">
        <v>6042070338</v>
      </c>
      <c r="I487" s="12" t="e">
        <f ca="1">VLOOKUP(D487,Input!B:M,10,0)</f>
        <v>#N/A</v>
      </c>
      <c r="J487" s="12"/>
      <c r="K487" s="12"/>
      <c r="L487" s="12"/>
      <c r="M487" s="12" t="e">
        <f ca="1">VLOOKUP(D487,Input!B:M,12,0)</f>
        <v>#N/A</v>
      </c>
      <c r="N487" s="12" t="e">
        <f ca="1">VLOOKUP(D487,Input!B:N,11,0)</f>
        <v>#N/A</v>
      </c>
      <c r="O487" s="12" t="e">
        <f ca="1">VLOOKUP(D487,Input!B:M,6,0)</f>
        <v>#N/A</v>
      </c>
      <c r="P487" s="6">
        <v>486</v>
      </c>
    </row>
    <row r="488" spans="1:16" ht="14.25">
      <c r="A488" s="13" t="str">
        <f>IFERROR(VLOOKUP($D:$D,scan!$A:$B,2,0),"**")</f>
        <v>**</v>
      </c>
      <c r="B488" s="13" t="str">
        <f>IFERROR(VLOOKUP($D488,scan!A:C,3,0),"**")</f>
        <v>**</v>
      </c>
      <c r="C488" s="5">
        <v>76</v>
      </c>
      <c r="D488" s="15"/>
      <c r="E488" s="16" t="str">
        <f t="shared" si="7"/>
        <v>487.**.</v>
      </c>
      <c r="F488" s="3" t="s">
        <v>4950</v>
      </c>
      <c r="G488" s="3" t="s">
        <v>4951</v>
      </c>
      <c r="H488" s="3">
        <v>6042070338</v>
      </c>
      <c r="I488" s="12" t="e">
        <f ca="1">VLOOKUP(D488,Input!B:M,10,0)</f>
        <v>#N/A</v>
      </c>
      <c r="J488" s="12"/>
      <c r="K488" s="12"/>
      <c r="L488" s="12"/>
      <c r="M488" s="12" t="e">
        <f ca="1">VLOOKUP(D488,Input!B:M,12,0)</f>
        <v>#N/A</v>
      </c>
      <c r="N488" s="12" t="e">
        <f ca="1">VLOOKUP(D488,Input!B:N,11,0)</f>
        <v>#N/A</v>
      </c>
      <c r="O488" s="12" t="e">
        <f ca="1">VLOOKUP(D488,Input!B:M,6,0)</f>
        <v>#N/A</v>
      </c>
      <c r="P488" s="6">
        <v>487</v>
      </c>
    </row>
    <row r="489" spans="1:16" ht="14.25">
      <c r="A489" s="13" t="str">
        <f>IFERROR(VLOOKUP($D:$D,scan!$A:$B,2,0),"**")</f>
        <v>**</v>
      </c>
      <c r="B489" s="13" t="str">
        <f>IFERROR(VLOOKUP($D489,scan!A:C,3,0),"**")</f>
        <v>**</v>
      </c>
      <c r="C489" s="14">
        <v>459</v>
      </c>
      <c r="D489" s="15"/>
      <c r="E489" s="16" t="str">
        <f t="shared" si="7"/>
        <v>488.**.</v>
      </c>
      <c r="F489" s="3" t="s">
        <v>4950</v>
      </c>
      <c r="G489" s="3" t="s">
        <v>4951</v>
      </c>
      <c r="H489" s="3">
        <v>6042070338</v>
      </c>
      <c r="I489" s="12" t="e">
        <f ca="1">VLOOKUP(D489,Input!B:M,10,0)</f>
        <v>#N/A</v>
      </c>
      <c r="J489" s="12"/>
      <c r="K489" s="12"/>
      <c r="L489" s="12"/>
      <c r="M489" s="12" t="e">
        <f ca="1">VLOOKUP(D489,Input!B:M,12,0)</f>
        <v>#N/A</v>
      </c>
      <c r="N489" s="12" t="e">
        <f ca="1">VLOOKUP(D489,Input!B:N,11,0)</f>
        <v>#N/A</v>
      </c>
      <c r="O489" s="12" t="e">
        <f ca="1">VLOOKUP(D489,Input!B:M,6,0)</f>
        <v>#N/A</v>
      </c>
      <c r="P489" s="6">
        <v>488</v>
      </c>
    </row>
    <row r="490" spans="1:16" ht="14.25">
      <c r="A490" s="13" t="str">
        <f>IFERROR(VLOOKUP($D:$D,scan!$A:$B,2,0),"**")</f>
        <v>**</v>
      </c>
      <c r="B490" s="13" t="str">
        <f>IFERROR(VLOOKUP($D490,scan!A:C,3,0),"**")</f>
        <v>**</v>
      </c>
      <c r="C490" s="14">
        <v>610</v>
      </c>
      <c r="D490" s="15"/>
      <c r="E490" s="16" t="str">
        <f t="shared" si="7"/>
        <v>489.**.</v>
      </c>
      <c r="F490" s="3" t="s">
        <v>4950</v>
      </c>
      <c r="G490" s="3" t="s">
        <v>4951</v>
      </c>
      <c r="H490" s="3">
        <v>6042070338</v>
      </c>
      <c r="I490" s="12" t="e">
        <f ca="1">VLOOKUP(D490,Input!B:M,10,0)</f>
        <v>#N/A</v>
      </c>
      <c r="J490" s="12"/>
      <c r="K490" s="12"/>
      <c r="L490" s="12"/>
      <c r="M490" s="12" t="e">
        <f ca="1">VLOOKUP(D490,Input!B:M,12,0)</f>
        <v>#N/A</v>
      </c>
      <c r="N490" s="12" t="e">
        <f ca="1">VLOOKUP(D490,Input!B:N,11,0)</f>
        <v>#N/A</v>
      </c>
      <c r="O490" s="12" t="e">
        <f ca="1">VLOOKUP(D490,Input!B:M,6,0)</f>
        <v>#N/A</v>
      </c>
      <c r="P490" s="6">
        <v>489</v>
      </c>
    </row>
    <row r="491" spans="1:16" ht="14.25">
      <c r="A491" s="13" t="str">
        <f>IFERROR(VLOOKUP($D:$D,scan!$A:$B,2,0),"**")</f>
        <v>**</v>
      </c>
      <c r="B491" s="13" t="str">
        <f>IFERROR(VLOOKUP($D491,scan!A:C,3,0),"**")</f>
        <v>**</v>
      </c>
      <c r="C491" s="14">
        <v>298</v>
      </c>
      <c r="D491" s="15"/>
      <c r="E491" s="16" t="str">
        <f t="shared" si="7"/>
        <v>490.**.</v>
      </c>
      <c r="F491" s="3" t="s">
        <v>4950</v>
      </c>
      <c r="G491" s="3" t="s">
        <v>4951</v>
      </c>
      <c r="H491" s="3">
        <v>6042070338</v>
      </c>
      <c r="I491" s="12" t="e">
        <f ca="1">VLOOKUP(D491,Input!B:M,10,0)</f>
        <v>#N/A</v>
      </c>
      <c r="J491" s="12"/>
      <c r="K491" s="12"/>
      <c r="L491" s="12"/>
      <c r="M491" s="12" t="e">
        <f ca="1">VLOOKUP(D491,Input!B:M,12,0)</f>
        <v>#N/A</v>
      </c>
      <c r="N491" s="12" t="e">
        <f ca="1">VLOOKUP(D491,Input!B:N,11,0)</f>
        <v>#N/A</v>
      </c>
      <c r="O491" s="12" t="e">
        <f ca="1">VLOOKUP(D491,Input!B:M,6,0)</f>
        <v>#N/A</v>
      </c>
      <c r="P491" s="6">
        <v>490</v>
      </c>
    </row>
    <row r="492" spans="1:16" ht="14.25">
      <c r="A492" s="13" t="str">
        <f>IFERROR(VLOOKUP($D:$D,scan!$A:$B,2,0),"**")</f>
        <v>**</v>
      </c>
      <c r="B492" s="13" t="str">
        <f>IFERROR(VLOOKUP($D492,scan!A:C,3,0),"**")</f>
        <v>**</v>
      </c>
      <c r="C492" s="14">
        <v>611</v>
      </c>
      <c r="D492" s="15"/>
      <c r="E492" s="16" t="str">
        <f t="shared" si="7"/>
        <v>491.**.</v>
      </c>
      <c r="F492" s="3" t="s">
        <v>4950</v>
      </c>
      <c r="G492" s="3" t="s">
        <v>4951</v>
      </c>
      <c r="H492" s="3">
        <v>6042070338</v>
      </c>
      <c r="I492" s="12" t="e">
        <f ca="1">VLOOKUP(D492,Input!B:M,10,0)</f>
        <v>#N/A</v>
      </c>
      <c r="J492" s="12"/>
      <c r="K492" s="12"/>
      <c r="L492" s="12"/>
      <c r="M492" s="12" t="e">
        <f ca="1">VLOOKUP(D492,Input!B:M,12,0)</f>
        <v>#N/A</v>
      </c>
      <c r="N492" s="12" t="e">
        <f ca="1">VLOOKUP(D492,Input!B:N,11,0)</f>
        <v>#N/A</v>
      </c>
      <c r="O492" s="12" t="e">
        <f ca="1">VLOOKUP(D492,Input!B:M,6,0)</f>
        <v>#N/A</v>
      </c>
      <c r="P492" s="6">
        <v>491</v>
      </c>
    </row>
    <row r="493" spans="1:16" ht="14.25">
      <c r="A493" s="13" t="str">
        <f>IFERROR(VLOOKUP($D:$D,scan!$A:$B,2,0),"**")</f>
        <v>**</v>
      </c>
      <c r="B493" s="13" t="str">
        <f>IFERROR(VLOOKUP($D493,scan!A:C,3,0),"**")</f>
        <v>**</v>
      </c>
      <c r="C493" s="14">
        <v>7</v>
      </c>
      <c r="D493" s="15"/>
      <c r="E493" s="16" t="str">
        <f t="shared" si="7"/>
        <v>492.**.</v>
      </c>
      <c r="F493" s="3" t="s">
        <v>4950</v>
      </c>
      <c r="G493" s="3" t="s">
        <v>4951</v>
      </c>
      <c r="H493" s="3">
        <v>6042070338</v>
      </c>
      <c r="I493" s="12" t="e">
        <f ca="1">VLOOKUP(D493,Input!B:M,10,0)</f>
        <v>#N/A</v>
      </c>
      <c r="J493" s="12"/>
      <c r="K493" s="12"/>
      <c r="L493" s="12"/>
      <c r="M493" s="12" t="e">
        <f ca="1">VLOOKUP(D493,Input!B:M,12,0)</f>
        <v>#N/A</v>
      </c>
      <c r="N493" s="12" t="e">
        <f ca="1">VLOOKUP(D493,Input!B:N,11,0)</f>
        <v>#N/A</v>
      </c>
      <c r="O493" s="12" t="e">
        <f ca="1">VLOOKUP(D493,Input!B:M,6,0)</f>
        <v>#N/A</v>
      </c>
      <c r="P493" s="6">
        <v>492</v>
      </c>
    </row>
    <row r="494" spans="1:16" ht="14.25">
      <c r="A494" s="13" t="str">
        <f>IFERROR(VLOOKUP($D:$D,scan!$A:$B,2,0),"**")</f>
        <v>**</v>
      </c>
      <c r="B494" s="13" t="str">
        <f>IFERROR(VLOOKUP($D494,scan!A:C,3,0),"**")</f>
        <v>**</v>
      </c>
      <c r="C494" s="14">
        <v>213</v>
      </c>
      <c r="D494" s="15"/>
      <c r="E494" s="16" t="str">
        <f t="shared" si="7"/>
        <v>493.**.</v>
      </c>
      <c r="F494" s="3" t="s">
        <v>4950</v>
      </c>
      <c r="G494" s="3" t="s">
        <v>4951</v>
      </c>
      <c r="H494" s="3">
        <v>6042070338</v>
      </c>
      <c r="I494" s="12" t="e">
        <f ca="1">VLOOKUP(D494,Input!B:M,10,0)</f>
        <v>#N/A</v>
      </c>
      <c r="J494" s="12"/>
      <c r="K494" s="12"/>
      <c r="L494" s="12"/>
      <c r="M494" s="12" t="e">
        <f ca="1">VLOOKUP(D494,Input!B:M,12,0)</f>
        <v>#N/A</v>
      </c>
      <c r="N494" s="12" t="e">
        <f ca="1">VLOOKUP(D494,Input!B:N,11,0)</f>
        <v>#N/A</v>
      </c>
      <c r="O494" s="12" t="e">
        <f ca="1">VLOOKUP(D494,Input!B:M,6,0)</f>
        <v>#N/A</v>
      </c>
      <c r="P494" s="6">
        <v>493</v>
      </c>
    </row>
    <row r="495" spans="1:16" ht="14.25">
      <c r="A495" s="13" t="str">
        <f>IFERROR(VLOOKUP($D:$D,scan!$A:$B,2,0),"**")</f>
        <v>**</v>
      </c>
      <c r="B495" s="13" t="str">
        <f>IFERROR(VLOOKUP($D495,scan!A:C,3,0),"**")</f>
        <v>**</v>
      </c>
      <c r="C495" s="14">
        <v>212</v>
      </c>
      <c r="D495" s="15"/>
      <c r="E495" s="16" t="str">
        <f t="shared" si="7"/>
        <v>494.**.</v>
      </c>
      <c r="F495" s="3" t="s">
        <v>4950</v>
      </c>
      <c r="G495" s="3" t="s">
        <v>4951</v>
      </c>
      <c r="H495" s="3">
        <v>6042070338</v>
      </c>
      <c r="I495" s="12" t="e">
        <f ca="1">VLOOKUP(D495,Input!B:M,10,0)</f>
        <v>#N/A</v>
      </c>
      <c r="J495" s="12"/>
      <c r="K495" s="12"/>
      <c r="L495" s="12"/>
      <c r="M495" s="12" t="e">
        <f ca="1">VLOOKUP(D495,Input!B:M,12,0)</f>
        <v>#N/A</v>
      </c>
      <c r="N495" s="12" t="e">
        <f ca="1">VLOOKUP(D495,Input!B:N,11,0)</f>
        <v>#N/A</v>
      </c>
      <c r="O495" s="12" t="e">
        <f ca="1">VLOOKUP(D495,Input!B:M,6,0)</f>
        <v>#N/A</v>
      </c>
      <c r="P495" s="6">
        <v>494</v>
      </c>
    </row>
    <row r="496" spans="1:16" ht="14.25">
      <c r="A496" s="13" t="str">
        <f>IFERROR(VLOOKUP($D:$D,scan!$A:$B,2,0),"**")</f>
        <v>**</v>
      </c>
      <c r="B496" s="13" t="str">
        <f>IFERROR(VLOOKUP($D496,scan!A:C,3,0),"**")</f>
        <v>**</v>
      </c>
      <c r="C496" s="14">
        <v>442</v>
      </c>
      <c r="D496" s="15"/>
      <c r="E496" s="16" t="str">
        <f t="shared" si="7"/>
        <v>495.**.</v>
      </c>
      <c r="F496" s="3" t="s">
        <v>4950</v>
      </c>
      <c r="G496" s="3" t="s">
        <v>4951</v>
      </c>
      <c r="H496" s="3">
        <v>6042070338</v>
      </c>
      <c r="I496" s="12" t="e">
        <f ca="1">VLOOKUP(D496,Input!B:M,10,0)</f>
        <v>#N/A</v>
      </c>
      <c r="J496" s="12"/>
      <c r="K496" s="12"/>
      <c r="L496" s="12"/>
      <c r="M496" s="12" t="e">
        <f ca="1">VLOOKUP(D496,Input!B:M,12,0)</f>
        <v>#N/A</v>
      </c>
      <c r="N496" s="12" t="e">
        <f ca="1">VLOOKUP(D496,Input!B:N,11,0)</f>
        <v>#N/A</v>
      </c>
      <c r="O496" s="12" t="e">
        <f ca="1">VLOOKUP(D496,Input!B:M,6,0)</f>
        <v>#N/A</v>
      </c>
      <c r="P496" s="6">
        <v>495</v>
      </c>
    </row>
    <row r="497" spans="1:16" ht="14.25">
      <c r="A497" s="13" t="str">
        <f>IFERROR(VLOOKUP($D:$D,scan!$A:$B,2,0),"**")</f>
        <v>**</v>
      </c>
      <c r="B497" s="13" t="str">
        <f>IFERROR(VLOOKUP($D497,scan!A:C,3,0),"**")</f>
        <v>**</v>
      </c>
      <c r="C497" s="14">
        <v>280</v>
      </c>
      <c r="D497" s="15"/>
      <c r="E497" s="16" t="str">
        <f t="shared" si="7"/>
        <v>496.**.</v>
      </c>
      <c r="F497" s="3" t="s">
        <v>4950</v>
      </c>
      <c r="G497" s="3" t="s">
        <v>4951</v>
      </c>
      <c r="H497" s="3">
        <v>6042070338</v>
      </c>
      <c r="I497" s="12" t="e">
        <f ca="1">VLOOKUP(D497,Input!B:M,10,0)</f>
        <v>#N/A</v>
      </c>
      <c r="J497" s="12"/>
      <c r="K497" s="12"/>
      <c r="L497" s="12"/>
      <c r="M497" s="12" t="e">
        <f ca="1">VLOOKUP(D497,Input!B:M,12,0)</f>
        <v>#N/A</v>
      </c>
      <c r="N497" s="12" t="e">
        <f ca="1">VLOOKUP(D497,Input!B:N,11,0)</f>
        <v>#N/A</v>
      </c>
      <c r="O497" s="12" t="e">
        <f ca="1">VLOOKUP(D497,Input!B:M,6,0)</f>
        <v>#N/A</v>
      </c>
      <c r="P497" s="6">
        <v>496</v>
      </c>
    </row>
    <row r="498" spans="1:16" ht="14.25">
      <c r="A498" s="13" t="str">
        <f>IFERROR(VLOOKUP($D:$D,scan!$A:$B,2,0),"**")</f>
        <v>**</v>
      </c>
      <c r="B498" s="13" t="str">
        <f>IFERROR(VLOOKUP($D498,scan!A:C,3,0),"**")</f>
        <v>**</v>
      </c>
      <c r="C498" s="14">
        <v>444</v>
      </c>
      <c r="D498" s="15"/>
      <c r="E498" s="16" t="str">
        <f t="shared" si="7"/>
        <v>497.**.</v>
      </c>
      <c r="F498" s="3" t="s">
        <v>4950</v>
      </c>
      <c r="G498" s="3" t="s">
        <v>4951</v>
      </c>
      <c r="H498" s="3">
        <v>6042070338</v>
      </c>
      <c r="I498" s="12" t="e">
        <f ca="1">VLOOKUP(D498,Input!B:M,10,0)</f>
        <v>#N/A</v>
      </c>
      <c r="J498" s="12"/>
      <c r="K498" s="12"/>
      <c r="L498" s="12"/>
      <c r="M498" s="12" t="e">
        <f ca="1">VLOOKUP(D498,Input!B:M,12,0)</f>
        <v>#N/A</v>
      </c>
      <c r="N498" s="12" t="e">
        <f ca="1">VLOOKUP(D498,Input!B:N,11,0)</f>
        <v>#N/A</v>
      </c>
      <c r="O498" s="12" t="e">
        <f ca="1">VLOOKUP(D498,Input!B:M,6,0)</f>
        <v>#N/A</v>
      </c>
      <c r="P498" s="6">
        <v>497</v>
      </c>
    </row>
    <row r="499" spans="1:16" ht="14.25">
      <c r="A499" s="13" t="str">
        <f>IFERROR(VLOOKUP($D:$D,scan!$A:$B,2,0),"**")</f>
        <v>**</v>
      </c>
      <c r="B499" s="13" t="str">
        <f>IFERROR(VLOOKUP($D499,scan!A:C,3,0),"**")</f>
        <v>**</v>
      </c>
      <c r="C499" s="14">
        <v>289</v>
      </c>
      <c r="D499" s="15"/>
      <c r="E499" s="16" t="str">
        <f t="shared" si="7"/>
        <v>498.**.</v>
      </c>
      <c r="F499" s="3" t="s">
        <v>4950</v>
      </c>
      <c r="G499" s="3" t="s">
        <v>4951</v>
      </c>
      <c r="H499" s="3">
        <v>6042070338</v>
      </c>
      <c r="I499" s="12" t="e">
        <f ca="1">VLOOKUP(D499,Input!B:M,10,0)</f>
        <v>#N/A</v>
      </c>
      <c r="J499" s="12"/>
      <c r="K499" s="12"/>
      <c r="L499" s="12"/>
      <c r="M499" s="12" t="e">
        <f ca="1">VLOOKUP(D499,Input!B:M,12,0)</f>
        <v>#N/A</v>
      </c>
      <c r="N499" s="12" t="e">
        <f ca="1">VLOOKUP(D499,Input!B:N,11,0)</f>
        <v>#N/A</v>
      </c>
      <c r="O499" s="12" t="e">
        <f ca="1">VLOOKUP(D499,Input!B:M,6,0)</f>
        <v>#N/A</v>
      </c>
      <c r="P499" s="6">
        <v>498</v>
      </c>
    </row>
    <row r="500" spans="1:16" ht="14.25">
      <c r="A500" s="13" t="str">
        <f>IFERROR(VLOOKUP($D:$D,scan!$A:$B,2,0),"**")</f>
        <v>**</v>
      </c>
      <c r="B500" s="13" t="str">
        <f>IFERROR(VLOOKUP($D500,scan!A:C,3,0),"**")</f>
        <v>**</v>
      </c>
      <c r="C500" s="14">
        <v>278</v>
      </c>
      <c r="D500" s="15"/>
      <c r="E500" s="16" t="str">
        <f t="shared" si="7"/>
        <v>499.**.</v>
      </c>
      <c r="F500" s="3" t="s">
        <v>4950</v>
      </c>
      <c r="G500" s="3" t="s">
        <v>4951</v>
      </c>
      <c r="H500" s="3">
        <v>6042070338</v>
      </c>
      <c r="I500" s="12" t="e">
        <f ca="1">VLOOKUP(D500,Input!B:M,10,0)</f>
        <v>#N/A</v>
      </c>
      <c r="J500" s="12"/>
      <c r="K500" s="12"/>
      <c r="L500" s="12"/>
      <c r="M500" s="12" t="e">
        <f ca="1">VLOOKUP(D500,Input!B:M,12,0)</f>
        <v>#N/A</v>
      </c>
      <c r="N500" s="12" t="e">
        <f ca="1">VLOOKUP(D500,Input!B:N,11,0)</f>
        <v>#N/A</v>
      </c>
      <c r="O500" s="12" t="e">
        <f ca="1">VLOOKUP(D500,Input!B:M,6,0)</f>
        <v>#N/A</v>
      </c>
      <c r="P500" s="6">
        <v>499</v>
      </c>
    </row>
    <row r="501" spans="1:16" ht="14.25">
      <c r="A501" s="13" t="str">
        <f>IFERROR(VLOOKUP($D:$D,scan!$A:$B,2,0),"**")</f>
        <v>**</v>
      </c>
      <c r="B501" s="13" t="str">
        <f>IFERROR(VLOOKUP($D501,scan!A:C,3,0),"**")</f>
        <v>**</v>
      </c>
      <c r="C501" s="14">
        <v>287</v>
      </c>
      <c r="D501" s="15"/>
      <c r="E501" s="16" t="str">
        <f t="shared" si="7"/>
        <v>500.**.</v>
      </c>
      <c r="F501" s="3" t="s">
        <v>4950</v>
      </c>
      <c r="G501" s="3" t="s">
        <v>4951</v>
      </c>
      <c r="H501" s="3">
        <v>6042070338</v>
      </c>
      <c r="I501" s="12" t="e">
        <f ca="1">VLOOKUP(D501,Input!B:M,10,0)</f>
        <v>#N/A</v>
      </c>
      <c r="J501" s="12"/>
      <c r="K501" s="12"/>
      <c r="L501" s="12"/>
      <c r="M501" s="12" t="e">
        <f ca="1">VLOOKUP(D501,Input!B:M,12,0)</f>
        <v>#N/A</v>
      </c>
      <c r="N501" s="12" t="e">
        <f ca="1">VLOOKUP(D501,Input!B:N,11,0)</f>
        <v>#N/A</v>
      </c>
      <c r="O501" s="12" t="e">
        <f ca="1">VLOOKUP(D501,Input!B:M,6,0)</f>
        <v>#N/A</v>
      </c>
      <c r="P501" s="6">
        <v>500</v>
      </c>
    </row>
    <row r="502" spans="1:16" ht="14.25">
      <c r="A502" s="13" t="str">
        <f>IFERROR(VLOOKUP($D:$D,scan!$A:$B,2,0),"**")</f>
        <v>**</v>
      </c>
      <c r="B502" s="13" t="str">
        <f>IFERROR(VLOOKUP($D502,scan!A:C,3,0),"**")</f>
        <v>**</v>
      </c>
      <c r="C502" s="14">
        <v>125</v>
      </c>
      <c r="D502" s="15"/>
      <c r="E502" s="16" t="str">
        <f t="shared" si="7"/>
        <v>501.**.</v>
      </c>
      <c r="F502" s="3" t="s">
        <v>4950</v>
      </c>
      <c r="G502" s="3" t="s">
        <v>4951</v>
      </c>
      <c r="H502" s="3">
        <v>6042070338</v>
      </c>
      <c r="I502" s="12" t="e">
        <f ca="1">VLOOKUP(D502,Input!B:M,10,0)</f>
        <v>#N/A</v>
      </c>
      <c r="J502" s="12"/>
      <c r="K502" s="12"/>
      <c r="L502" s="12"/>
      <c r="M502" s="12" t="e">
        <f ca="1">VLOOKUP(D502,Input!B:M,12,0)</f>
        <v>#N/A</v>
      </c>
      <c r="N502" s="12" t="e">
        <f ca="1">VLOOKUP(D502,Input!B:N,11,0)</f>
        <v>#N/A</v>
      </c>
      <c r="O502" s="12" t="e">
        <f ca="1">VLOOKUP(D502,Input!B:M,6,0)</f>
        <v>#N/A</v>
      </c>
      <c r="P502" s="6">
        <v>501</v>
      </c>
    </row>
    <row r="503" spans="1:16" ht="14.25">
      <c r="A503" s="13" t="str">
        <f>IFERROR(VLOOKUP($D:$D,scan!$A:$B,2,0),"**")</f>
        <v>**</v>
      </c>
      <c r="B503" s="13" t="str">
        <f>IFERROR(VLOOKUP($D503,scan!A:C,3,0),"**")</f>
        <v>**</v>
      </c>
      <c r="C503" s="14">
        <v>323</v>
      </c>
      <c r="D503" s="15"/>
      <c r="E503" s="16" t="str">
        <f t="shared" si="7"/>
        <v>502.**.</v>
      </c>
      <c r="F503" s="3" t="s">
        <v>4950</v>
      </c>
      <c r="G503" s="3" t="s">
        <v>4951</v>
      </c>
      <c r="H503" s="3">
        <v>6042070338</v>
      </c>
      <c r="I503" s="12" t="e">
        <f ca="1">VLOOKUP(D503,Input!B:M,10,0)</f>
        <v>#N/A</v>
      </c>
      <c r="J503" s="12"/>
      <c r="K503" s="12"/>
      <c r="L503" s="12"/>
      <c r="M503" s="12" t="e">
        <f ca="1">VLOOKUP(D503,Input!B:M,12,0)</f>
        <v>#N/A</v>
      </c>
      <c r="N503" s="12" t="e">
        <f ca="1">VLOOKUP(D503,Input!B:N,11,0)</f>
        <v>#N/A</v>
      </c>
      <c r="O503" s="12" t="e">
        <f ca="1">VLOOKUP(D503,Input!B:M,6,0)</f>
        <v>#N/A</v>
      </c>
      <c r="P503" s="6">
        <v>502</v>
      </c>
    </row>
    <row r="504" spans="1:16" ht="14.25">
      <c r="A504" s="13" t="str">
        <f>IFERROR(VLOOKUP($D:$D,scan!$A:$B,2,0),"**")</f>
        <v>**</v>
      </c>
      <c r="B504" s="13" t="str">
        <f>IFERROR(VLOOKUP($D504,scan!A:C,3,0),"**")</f>
        <v>**</v>
      </c>
      <c r="C504" s="14">
        <v>133</v>
      </c>
      <c r="D504" s="15"/>
      <c r="E504" s="16" t="str">
        <f t="shared" si="7"/>
        <v>503.**.</v>
      </c>
      <c r="F504" s="3" t="s">
        <v>4950</v>
      </c>
      <c r="G504" s="3" t="s">
        <v>4951</v>
      </c>
      <c r="H504" s="3">
        <v>6042070338</v>
      </c>
      <c r="I504" s="12" t="e">
        <f ca="1">VLOOKUP(D504,Input!B:M,10,0)</f>
        <v>#N/A</v>
      </c>
      <c r="J504" s="12"/>
      <c r="K504" s="12"/>
      <c r="L504" s="12"/>
      <c r="M504" s="12" t="e">
        <f ca="1">VLOOKUP(D504,Input!B:M,12,0)</f>
        <v>#N/A</v>
      </c>
      <c r="N504" s="12" t="e">
        <f ca="1">VLOOKUP(D504,Input!B:N,11,0)</f>
        <v>#N/A</v>
      </c>
      <c r="O504" s="12" t="e">
        <f ca="1">VLOOKUP(D504,Input!B:M,6,0)</f>
        <v>#N/A</v>
      </c>
      <c r="P504" s="6">
        <v>503</v>
      </c>
    </row>
    <row r="505" spans="1:16" ht="14.25">
      <c r="A505" s="13" t="str">
        <f>IFERROR(VLOOKUP($D:$D,scan!$A:$B,2,0),"**")</f>
        <v>**</v>
      </c>
      <c r="B505" s="13" t="str">
        <f>IFERROR(VLOOKUP($D505,scan!A:C,3,0),"**")</f>
        <v>**</v>
      </c>
      <c r="C505" s="5">
        <v>593</v>
      </c>
      <c r="D505" s="15"/>
      <c r="E505" s="16" t="str">
        <f t="shared" si="7"/>
        <v>504.**.</v>
      </c>
      <c r="F505" s="3" t="s">
        <v>4950</v>
      </c>
      <c r="G505" s="3" t="s">
        <v>4951</v>
      </c>
      <c r="H505" s="3">
        <v>6042070338</v>
      </c>
      <c r="I505" s="12" t="e">
        <f ca="1">VLOOKUP(D505,Input!B:M,10,0)</f>
        <v>#N/A</v>
      </c>
      <c r="J505" s="12"/>
      <c r="K505" s="12"/>
      <c r="L505" s="12"/>
      <c r="M505" s="12" t="e">
        <f ca="1">VLOOKUP(D505,Input!B:M,12,0)</f>
        <v>#N/A</v>
      </c>
      <c r="N505" s="12" t="e">
        <f ca="1">VLOOKUP(D505,Input!B:N,11,0)</f>
        <v>#N/A</v>
      </c>
      <c r="O505" s="12" t="e">
        <f ca="1">VLOOKUP(D505,Input!B:M,6,0)</f>
        <v>#N/A</v>
      </c>
      <c r="P505" s="6">
        <v>504</v>
      </c>
    </row>
    <row r="506" spans="1:16" ht="14.25">
      <c r="A506" s="13" t="str">
        <f>IFERROR(VLOOKUP($D:$D,scan!$A:$B,2,0),"**")</f>
        <v>**</v>
      </c>
      <c r="B506" s="13" t="str">
        <f>IFERROR(VLOOKUP($D506,scan!A:C,3,0),"**")</f>
        <v>**</v>
      </c>
      <c r="C506" s="14">
        <v>586</v>
      </c>
      <c r="D506" s="15"/>
      <c r="E506" s="16" t="str">
        <f t="shared" si="7"/>
        <v>505.**.</v>
      </c>
      <c r="F506" s="3" t="s">
        <v>4950</v>
      </c>
      <c r="G506" s="3" t="s">
        <v>4951</v>
      </c>
      <c r="H506" s="3">
        <v>6042070338</v>
      </c>
      <c r="I506" s="12" t="e">
        <f ca="1">VLOOKUP(D506,Input!B:M,10,0)</f>
        <v>#N/A</v>
      </c>
      <c r="J506" s="12"/>
      <c r="K506" s="12"/>
      <c r="L506" s="12"/>
      <c r="M506" s="12" t="e">
        <f ca="1">VLOOKUP(D506,Input!B:M,12,0)</f>
        <v>#N/A</v>
      </c>
      <c r="N506" s="12" t="e">
        <f ca="1">VLOOKUP(D506,Input!B:N,11,0)</f>
        <v>#N/A</v>
      </c>
      <c r="O506" s="12" t="e">
        <f ca="1">VLOOKUP(D506,Input!B:M,6,0)</f>
        <v>#N/A</v>
      </c>
      <c r="P506" s="6">
        <v>505</v>
      </c>
    </row>
    <row r="507" spans="1:16" ht="14.25">
      <c r="A507" s="13" t="str">
        <f>IFERROR(VLOOKUP($D:$D,scan!$A:$B,2,0),"**")</f>
        <v>**</v>
      </c>
      <c r="B507" s="13" t="str">
        <f>IFERROR(VLOOKUP($D507,scan!A:C,3,0),"**")</f>
        <v>**</v>
      </c>
      <c r="C507" s="5">
        <v>436</v>
      </c>
      <c r="D507" s="15"/>
      <c r="E507" s="16" t="str">
        <f t="shared" si="7"/>
        <v>506.**.</v>
      </c>
      <c r="F507" s="3" t="s">
        <v>4950</v>
      </c>
      <c r="G507" s="3" t="s">
        <v>4951</v>
      </c>
      <c r="H507" s="3">
        <v>6042070338</v>
      </c>
      <c r="I507" s="12" t="e">
        <f ca="1">VLOOKUP(D507,Input!B:M,10,0)</f>
        <v>#N/A</v>
      </c>
      <c r="J507" s="12"/>
      <c r="K507" s="12"/>
      <c r="L507" s="12"/>
      <c r="M507" s="12" t="e">
        <f ca="1">VLOOKUP(D507,Input!B:M,12,0)</f>
        <v>#N/A</v>
      </c>
      <c r="N507" s="12" t="e">
        <f ca="1">VLOOKUP(D507,Input!B:N,11,0)</f>
        <v>#N/A</v>
      </c>
      <c r="O507" s="12" t="e">
        <f ca="1">VLOOKUP(D507,Input!B:M,6,0)</f>
        <v>#N/A</v>
      </c>
      <c r="P507" s="6">
        <v>506</v>
      </c>
    </row>
    <row r="508" spans="1:16" ht="14.25">
      <c r="A508" s="13" t="str">
        <f>IFERROR(VLOOKUP($D:$D,scan!$A:$B,2,0),"**")</f>
        <v>**</v>
      </c>
      <c r="B508" s="13" t="str">
        <f>IFERROR(VLOOKUP($D508,scan!A:C,3,0),"**")</f>
        <v>**</v>
      </c>
      <c r="C508" s="14">
        <v>433</v>
      </c>
      <c r="D508" s="15"/>
      <c r="E508" s="16" t="str">
        <f t="shared" si="7"/>
        <v>507.**.</v>
      </c>
      <c r="F508" s="3" t="s">
        <v>4950</v>
      </c>
      <c r="G508" s="3" t="s">
        <v>4951</v>
      </c>
      <c r="H508" s="3">
        <v>6042070338</v>
      </c>
      <c r="I508" s="12" t="e">
        <f ca="1">VLOOKUP(D508,Input!B:M,10,0)</f>
        <v>#N/A</v>
      </c>
      <c r="J508" s="12"/>
      <c r="K508" s="12"/>
      <c r="L508" s="12"/>
      <c r="M508" s="12" t="e">
        <f ca="1">VLOOKUP(D508,Input!B:M,12,0)</f>
        <v>#N/A</v>
      </c>
      <c r="N508" s="12" t="e">
        <f ca="1">VLOOKUP(D508,Input!B:N,11,0)</f>
        <v>#N/A</v>
      </c>
      <c r="O508" s="12" t="e">
        <f ca="1">VLOOKUP(D508,Input!B:M,6,0)</f>
        <v>#N/A</v>
      </c>
      <c r="P508" s="6">
        <v>507</v>
      </c>
    </row>
    <row r="509" spans="1:16" ht="14.25">
      <c r="A509" s="13" t="str">
        <f>IFERROR(VLOOKUP($D:$D,scan!$A:$B,2,0),"**")</f>
        <v>**</v>
      </c>
      <c r="B509" s="13" t="str">
        <f>IFERROR(VLOOKUP($D509,scan!A:C,3,0),"**")</f>
        <v>**</v>
      </c>
      <c r="C509" s="14">
        <v>124</v>
      </c>
      <c r="D509" s="15"/>
      <c r="E509" s="16" t="str">
        <f t="shared" si="7"/>
        <v>508.**.</v>
      </c>
      <c r="F509" s="3" t="s">
        <v>4950</v>
      </c>
      <c r="G509" s="3" t="s">
        <v>4951</v>
      </c>
      <c r="H509" s="3">
        <v>6042070338</v>
      </c>
      <c r="I509" s="12" t="e">
        <f ca="1">VLOOKUP(D509,Input!B:M,10,0)</f>
        <v>#N/A</v>
      </c>
      <c r="J509" s="12"/>
      <c r="K509" s="12"/>
      <c r="L509" s="12"/>
      <c r="M509" s="12" t="e">
        <f ca="1">VLOOKUP(D509,Input!B:M,12,0)</f>
        <v>#N/A</v>
      </c>
      <c r="N509" s="12" t="e">
        <f ca="1">VLOOKUP(D509,Input!B:N,11,0)</f>
        <v>#N/A</v>
      </c>
      <c r="O509" s="12" t="e">
        <f ca="1">VLOOKUP(D509,Input!B:M,6,0)</f>
        <v>#N/A</v>
      </c>
      <c r="P509" s="6">
        <v>508</v>
      </c>
    </row>
    <row r="510" spans="1:16" ht="14.25">
      <c r="A510" s="13" t="str">
        <f>IFERROR(VLOOKUP($D:$D,scan!$A:$B,2,0),"**")</f>
        <v>**</v>
      </c>
      <c r="B510" s="13" t="str">
        <f>IFERROR(VLOOKUP($D510,scan!A:C,3,0),"**")</f>
        <v>**</v>
      </c>
      <c r="C510" s="14">
        <v>127</v>
      </c>
      <c r="D510" s="15"/>
      <c r="E510" s="16" t="str">
        <f t="shared" si="7"/>
        <v>509.**.</v>
      </c>
      <c r="F510" s="3" t="s">
        <v>4950</v>
      </c>
      <c r="G510" s="3" t="s">
        <v>4951</v>
      </c>
      <c r="H510" s="3">
        <v>6042070338</v>
      </c>
      <c r="I510" s="12" t="e">
        <f ca="1">VLOOKUP(D510,Input!B:M,10,0)</f>
        <v>#N/A</v>
      </c>
      <c r="J510" s="12"/>
      <c r="K510" s="12"/>
      <c r="L510" s="12"/>
      <c r="M510" s="12" t="e">
        <f ca="1">VLOOKUP(D510,Input!B:M,12,0)</f>
        <v>#N/A</v>
      </c>
      <c r="N510" s="12" t="e">
        <f ca="1">VLOOKUP(D510,Input!B:N,11,0)</f>
        <v>#N/A</v>
      </c>
      <c r="O510" s="12" t="e">
        <f ca="1">VLOOKUP(D510,Input!B:M,6,0)</f>
        <v>#N/A</v>
      </c>
      <c r="P510" s="6">
        <v>509</v>
      </c>
    </row>
    <row r="511" spans="1:16" ht="14.25">
      <c r="A511" s="13" t="str">
        <f>IFERROR(VLOOKUP($D:$D,scan!$A:$B,2,0),"**")</f>
        <v>**</v>
      </c>
      <c r="B511" s="13" t="str">
        <f>IFERROR(VLOOKUP($D511,scan!A:C,3,0),"**")</f>
        <v>**</v>
      </c>
      <c r="C511" s="14">
        <v>590</v>
      </c>
      <c r="D511" s="15"/>
      <c r="E511" s="16" t="str">
        <f t="shared" si="7"/>
        <v>510.**.</v>
      </c>
      <c r="F511" s="3" t="s">
        <v>4950</v>
      </c>
      <c r="G511" s="3" t="s">
        <v>4951</v>
      </c>
      <c r="H511" s="3">
        <v>6042070338</v>
      </c>
      <c r="I511" s="12" t="e">
        <f ca="1">VLOOKUP(D511,Input!B:M,10,0)</f>
        <v>#N/A</v>
      </c>
      <c r="J511" s="12"/>
      <c r="K511" s="12"/>
      <c r="L511" s="12"/>
      <c r="M511" s="12" t="e">
        <f ca="1">VLOOKUP(D511,Input!B:M,12,0)</f>
        <v>#N/A</v>
      </c>
      <c r="N511" s="12" t="e">
        <f ca="1">VLOOKUP(D511,Input!B:N,11,0)</f>
        <v>#N/A</v>
      </c>
      <c r="O511" s="12" t="e">
        <f ca="1">VLOOKUP(D511,Input!B:M,6,0)</f>
        <v>#N/A</v>
      </c>
      <c r="P511" s="6">
        <v>510</v>
      </c>
    </row>
    <row r="512" spans="1:16" ht="14.25">
      <c r="A512" s="13" t="str">
        <f>IFERROR(VLOOKUP($D:$D,scan!$A:$B,2,0),"**")</f>
        <v>**</v>
      </c>
      <c r="B512" s="13" t="str">
        <f>IFERROR(VLOOKUP($D512,scan!A:C,3,0),"**")</f>
        <v>**</v>
      </c>
      <c r="C512" s="14">
        <v>578</v>
      </c>
      <c r="D512" s="15"/>
      <c r="E512" s="16" t="str">
        <f t="shared" si="7"/>
        <v>511.**.</v>
      </c>
      <c r="F512" s="3" t="s">
        <v>4950</v>
      </c>
      <c r="G512" s="3" t="s">
        <v>4951</v>
      </c>
      <c r="H512" s="3">
        <v>6042070338</v>
      </c>
      <c r="I512" s="12" t="e">
        <f ca="1">VLOOKUP(D512,Input!B:M,10,0)</f>
        <v>#N/A</v>
      </c>
      <c r="J512" s="12"/>
      <c r="K512" s="12"/>
      <c r="L512" s="12"/>
      <c r="M512" s="12" t="e">
        <f ca="1">VLOOKUP(D512,Input!B:M,12,0)</f>
        <v>#N/A</v>
      </c>
      <c r="N512" s="12" t="e">
        <f ca="1">VLOOKUP(D512,Input!B:N,11,0)</f>
        <v>#N/A</v>
      </c>
      <c r="O512" s="12" t="e">
        <f ca="1">VLOOKUP(D512,Input!B:M,6,0)</f>
        <v>#N/A</v>
      </c>
      <c r="P512" s="6">
        <v>511</v>
      </c>
    </row>
    <row r="513" spans="1:16" ht="15.75">
      <c r="A513" s="13" t="str">
        <f>IFERROR(VLOOKUP($D:$D,scan!$A:$B,2,0),"**")</f>
        <v>**</v>
      </c>
      <c r="B513" s="13" t="str">
        <f>IFERROR(VLOOKUP($D513,scan!A:C,3,0),"**")</f>
        <v>**</v>
      </c>
      <c r="C513" s="14">
        <v>175</v>
      </c>
      <c r="D513" s="23"/>
      <c r="E513" s="16" t="str">
        <f t="shared" si="7"/>
        <v>512.**.</v>
      </c>
      <c r="F513" s="3" t="s">
        <v>4950</v>
      </c>
      <c r="G513" s="3" t="s">
        <v>4951</v>
      </c>
      <c r="H513" s="3">
        <v>6042070338</v>
      </c>
      <c r="I513" s="12" t="e">
        <f ca="1">VLOOKUP(D513,Input!B:M,10,0)</f>
        <v>#N/A</v>
      </c>
      <c r="J513" s="12"/>
      <c r="K513" s="12"/>
      <c r="L513" s="12"/>
      <c r="M513" s="12" t="e">
        <f ca="1">VLOOKUP(D513,Input!B:M,12,0)</f>
        <v>#N/A</v>
      </c>
      <c r="N513" s="12" t="e">
        <f ca="1">VLOOKUP(D513,Input!B:N,11,0)</f>
        <v>#N/A</v>
      </c>
      <c r="O513" s="12" t="e">
        <f ca="1">VLOOKUP(D513,Input!B:M,6,0)</f>
        <v>#N/A</v>
      </c>
      <c r="P513" s="6">
        <v>512</v>
      </c>
    </row>
    <row r="514" spans="1:16" ht="15.75">
      <c r="A514" s="13" t="str">
        <f>IFERROR(VLOOKUP($D:$D,scan!$A:$B,2,0),"**")</f>
        <v>**</v>
      </c>
      <c r="B514" s="13" t="str">
        <f>IFERROR(VLOOKUP($D514,scan!A:C,3,0),"**")</f>
        <v>**</v>
      </c>
      <c r="C514" s="14">
        <v>363</v>
      </c>
      <c r="D514" s="24"/>
      <c r="E514" s="16" t="str">
        <f t="shared" ref="E514:E577" si="8">P514&amp;"."&amp;B514&amp;"."&amp;D514</f>
        <v>513.**.</v>
      </c>
      <c r="F514" s="3" t="s">
        <v>4950</v>
      </c>
      <c r="G514" s="3" t="s">
        <v>4951</v>
      </c>
      <c r="H514" s="3">
        <v>6042070338</v>
      </c>
      <c r="I514" s="12" t="e">
        <f ca="1">VLOOKUP(D514,Input!B:M,10,0)</f>
        <v>#N/A</v>
      </c>
      <c r="J514" s="12"/>
      <c r="K514" s="12"/>
      <c r="L514" s="12"/>
      <c r="M514" s="12" t="e">
        <f ca="1">VLOOKUP(D514,Input!B:M,12,0)</f>
        <v>#N/A</v>
      </c>
      <c r="N514" s="12" t="e">
        <f ca="1">VLOOKUP(D514,Input!B:N,11,0)</f>
        <v>#N/A</v>
      </c>
      <c r="O514" s="12" t="e">
        <f ca="1">VLOOKUP(D514,Input!B:M,6,0)</f>
        <v>#N/A</v>
      </c>
      <c r="P514" s="6">
        <v>513</v>
      </c>
    </row>
    <row r="515" spans="1:16" ht="14.25">
      <c r="A515" s="13" t="str">
        <f>IFERROR(VLOOKUP($D:$D,scan!$A:$B,2,0),"**")</f>
        <v>**</v>
      </c>
      <c r="B515" s="13" t="str">
        <f>IFERROR(VLOOKUP($D515,scan!A:C,3,0),"**")</f>
        <v>**</v>
      </c>
      <c r="C515" s="14">
        <v>234</v>
      </c>
      <c r="D515" s="15"/>
      <c r="E515" s="16" t="str">
        <f t="shared" si="8"/>
        <v>514.**.</v>
      </c>
      <c r="F515" s="3" t="s">
        <v>4950</v>
      </c>
      <c r="G515" s="3" t="s">
        <v>4951</v>
      </c>
      <c r="H515" s="3">
        <v>6042070338</v>
      </c>
      <c r="I515" s="12" t="e">
        <f ca="1">VLOOKUP(D515,Input!B:M,10,0)</f>
        <v>#N/A</v>
      </c>
      <c r="J515" s="12"/>
      <c r="K515" s="12"/>
      <c r="L515" s="12"/>
      <c r="M515" s="12" t="e">
        <f ca="1">VLOOKUP(D515,Input!B:M,12,0)</f>
        <v>#N/A</v>
      </c>
      <c r="N515" s="12" t="e">
        <f ca="1">VLOOKUP(D515,Input!B:N,11,0)</f>
        <v>#N/A</v>
      </c>
      <c r="O515" s="12" t="e">
        <f ca="1">VLOOKUP(D515,Input!B:M,6,0)</f>
        <v>#N/A</v>
      </c>
      <c r="P515" s="6">
        <v>514</v>
      </c>
    </row>
    <row r="516" spans="1:16" ht="14.25">
      <c r="A516" s="13" t="str">
        <f>IFERROR(VLOOKUP($D:$D,scan!$A:$B,2,0),"**")</f>
        <v>**</v>
      </c>
      <c r="B516" s="13" t="str">
        <f>IFERROR(VLOOKUP($D516,scan!A:C,3,0),"**")</f>
        <v>**</v>
      </c>
      <c r="C516" s="14">
        <v>55</v>
      </c>
      <c r="D516" s="15"/>
      <c r="E516" s="16" t="str">
        <f t="shared" si="8"/>
        <v>515.**.</v>
      </c>
      <c r="F516" s="3" t="s">
        <v>4950</v>
      </c>
      <c r="G516" s="3" t="s">
        <v>4951</v>
      </c>
      <c r="H516" s="3">
        <v>6042070338</v>
      </c>
      <c r="I516" s="12" t="e">
        <f ca="1">VLOOKUP(D516,Input!B:M,10,0)</f>
        <v>#N/A</v>
      </c>
      <c r="J516" s="12"/>
      <c r="K516" s="12"/>
      <c r="L516" s="12"/>
      <c r="M516" s="12" t="e">
        <f ca="1">VLOOKUP(D516,Input!B:M,12,0)</f>
        <v>#N/A</v>
      </c>
      <c r="N516" s="12" t="e">
        <f ca="1">VLOOKUP(D516,Input!B:N,11,0)</f>
        <v>#N/A</v>
      </c>
      <c r="O516" s="12" t="e">
        <f ca="1">VLOOKUP(D516,Input!B:M,6,0)</f>
        <v>#N/A</v>
      </c>
      <c r="P516" s="6">
        <v>515</v>
      </c>
    </row>
    <row r="517" spans="1:16" ht="15.75">
      <c r="A517" s="13" t="str">
        <f>IFERROR(VLOOKUP($D:$D,scan!$A:$B,2,0),"**")</f>
        <v>**</v>
      </c>
      <c r="B517" s="13" t="str">
        <f>IFERROR(VLOOKUP($D517,scan!A:C,3,0),"**")</f>
        <v>**</v>
      </c>
      <c r="C517" s="5">
        <v>638</v>
      </c>
      <c r="D517" s="18"/>
      <c r="E517" s="16" t="str">
        <f t="shared" si="8"/>
        <v>516.**.</v>
      </c>
      <c r="F517" s="3" t="s">
        <v>4950</v>
      </c>
      <c r="G517" s="3" t="s">
        <v>4951</v>
      </c>
      <c r="H517" s="3">
        <v>6042070338</v>
      </c>
      <c r="I517" s="12" t="e">
        <f ca="1">VLOOKUP(D517,Input!B:M,10,0)</f>
        <v>#N/A</v>
      </c>
      <c r="J517" s="12"/>
      <c r="K517" s="12"/>
      <c r="L517" s="12"/>
      <c r="M517" s="12" t="e">
        <f ca="1">VLOOKUP(D517,Input!B:M,12,0)</f>
        <v>#N/A</v>
      </c>
      <c r="N517" s="12" t="e">
        <f ca="1">VLOOKUP(D517,Input!B:N,11,0)</f>
        <v>#N/A</v>
      </c>
      <c r="O517" s="12" t="e">
        <f ca="1">VLOOKUP(D517,Input!B:M,6,0)</f>
        <v>#N/A</v>
      </c>
      <c r="P517" s="6">
        <v>516</v>
      </c>
    </row>
    <row r="518" spans="1:16" ht="14.25">
      <c r="A518" s="13" t="str">
        <f>IFERROR(VLOOKUP($D:$D,scan!$A:$B,2,0),"**")</f>
        <v>**</v>
      </c>
      <c r="B518" s="13" t="str">
        <f>IFERROR(VLOOKUP($D518,scan!A:C,3,0),"**")</f>
        <v>**</v>
      </c>
      <c r="C518" s="5">
        <v>11</v>
      </c>
      <c r="D518" s="15"/>
      <c r="E518" s="16" t="str">
        <f t="shared" si="8"/>
        <v>517.**.</v>
      </c>
      <c r="F518" s="3" t="s">
        <v>4950</v>
      </c>
      <c r="G518" s="3" t="s">
        <v>4951</v>
      </c>
      <c r="H518" s="3">
        <v>6042070338</v>
      </c>
      <c r="I518" s="12" t="e">
        <f ca="1">VLOOKUP(D518,Input!B:M,10,0)</f>
        <v>#N/A</v>
      </c>
      <c r="J518" s="12"/>
      <c r="K518" s="12"/>
      <c r="L518" s="12"/>
      <c r="M518" s="12" t="e">
        <f ca="1">VLOOKUP(D518,Input!B:M,12,0)</f>
        <v>#N/A</v>
      </c>
      <c r="N518" s="12" t="e">
        <f ca="1">VLOOKUP(D518,Input!B:N,11,0)</f>
        <v>#N/A</v>
      </c>
      <c r="O518" s="12" t="e">
        <f ca="1">VLOOKUP(D518,Input!B:M,6,0)</f>
        <v>#N/A</v>
      </c>
      <c r="P518" s="6">
        <v>517</v>
      </c>
    </row>
    <row r="519" spans="1:16" ht="14.25">
      <c r="A519" s="13" t="str">
        <f>IFERROR(VLOOKUP($D:$D,scan!$A:$B,2,0),"**")</f>
        <v>**</v>
      </c>
      <c r="B519" s="13" t="str">
        <f>IFERROR(VLOOKUP($D519,scan!A:C,3,0),"**")</f>
        <v>**</v>
      </c>
      <c r="C519" s="5">
        <v>21</v>
      </c>
      <c r="D519" s="15"/>
      <c r="E519" s="16" t="str">
        <f t="shared" si="8"/>
        <v>518.**.</v>
      </c>
      <c r="F519" s="3" t="s">
        <v>4950</v>
      </c>
      <c r="G519" s="3" t="s">
        <v>4951</v>
      </c>
      <c r="H519" s="3">
        <v>6042070338</v>
      </c>
      <c r="I519" s="12" t="e">
        <f ca="1">VLOOKUP(D519,Input!B:M,10,0)</f>
        <v>#N/A</v>
      </c>
      <c r="J519" s="12"/>
      <c r="K519" s="12"/>
      <c r="L519" s="12"/>
      <c r="M519" s="12" t="e">
        <f ca="1">VLOOKUP(D519,Input!B:M,12,0)</f>
        <v>#N/A</v>
      </c>
      <c r="N519" s="12" t="e">
        <f ca="1">VLOOKUP(D519,Input!B:N,11,0)</f>
        <v>#N/A</v>
      </c>
      <c r="O519" s="12" t="e">
        <f ca="1">VLOOKUP(D519,Input!B:M,6,0)</f>
        <v>#N/A</v>
      </c>
      <c r="P519" s="6">
        <v>518</v>
      </c>
    </row>
    <row r="520" spans="1:16" ht="14.25">
      <c r="A520" s="13" t="str">
        <f>IFERROR(VLOOKUP($D:$D,scan!$A:$B,2,0),"**")</f>
        <v>**</v>
      </c>
      <c r="B520" s="13" t="str">
        <f>IFERROR(VLOOKUP($D520,scan!A:C,3,0),"**")</f>
        <v>**</v>
      </c>
      <c r="C520" s="14">
        <v>22</v>
      </c>
      <c r="D520" s="15"/>
      <c r="E520" s="16" t="str">
        <f t="shared" si="8"/>
        <v>519.**.</v>
      </c>
      <c r="F520" s="3" t="s">
        <v>4950</v>
      </c>
      <c r="G520" s="3" t="s">
        <v>4951</v>
      </c>
      <c r="H520" s="3">
        <v>6042070338</v>
      </c>
      <c r="I520" s="12" t="e">
        <f ca="1">VLOOKUP(D520,Input!B:M,10,0)</f>
        <v>#N/A</v>
      </c>
      <c r="J520" s="12"/>
      <c r="K520" s="12"/>
      <c r="L520" s="12"/>
      <c r="M520" s="12" t="e">
        <f ca="1">VLOOKUP(D520,Input!B:M,12,0)</f>
        <v>#N/A</v>
      </c>
      <c r="N520" s="12" t="e">
        <f ca="1">VLOOKUP(D520,Input!B:N,11,0)</f>
        <v>#N/A</v>
      </c>
      <c r="O520" s="12" t="e">
        <f ca="1">VLOOKUP(D520,Input!B:M,6,0)</f>
        <v>#N/A</v>
      </c>
      <c r="P520" s="6">
        <v>519</v>
      </c>
    </row>
    <row r="521" spans="1:16" ht="14.25">
      <c r="A521" s="13" t="str">
        <f>IFERROR(VLOOKUP($D:$D,scan!$A:$B,2,0),"**")</f>
        <v>**</v>
      </c>
      <c r="B521" s="13" t="str">
        <f>IFERROR(VLOOKUP($D521,scan!A:C,3,0),"**")</f>
        <v>**</v>
      </c>
      <c r="C521" s="14">
        <v>23</v>
      </c>
      <c r="D521" s="15"/>
      <c r="E521" s="16" t="str">
        <f t="shared" si="8"/>
        <v>520.**.</v>
      </c>
      <c r="F521" s="3" t="s">
        <v>4950</v>
      </c>
      <c r="G521" s="3" t="s">
        <v>4951</v>
      </c>
      <c r="H521" s="3">
        <v>6042070338</v>
      </c>
      <c r="I521" s="12" t="e">
        <f ca="1">VLOOKUP(D521,Input!B:M,10,0)</f>
        <v>#N/A</v>
      </c>
      <c r="J521" s="12"/>
      <c r="K521" s="12"/>
      <c r="L521" s="12"/>
      <c r="M521" s="12" t="e">
        <f ca="1">VLOOKUP(D521,Input!B:M,12,0)</f>
        <v>#N/A</v>
      </c>
      <c r="N521" s="12" t="e">
        <f ca="1">VLOOKUP(D521,Input!B:N,11,0)</f>
        <v>#N/A</v>
      </c>
      <c r="O521" s="12" t="e">
        <f ca="1">VLOOKUP(D521,Input!B:M,6,0)</f>
        <v>#N/A</v>
      </c>
      <c r="P521" s="6">
        <v>520</v>
      </c>
    </row>
    <row r="522" spans="1:16" ht="14.25">
      <c r="A522" s="13" t="str">
        <f>IFERROR(VLOOKUP($D:$D,scan!$A:$B,2,0),"**")</f>
        <v>**</v>
      </c>
      <c r="B522" s="13" t="str">
        <f>IFERROR(VLOOKUP($D522,scan!A:C,3,0),"**")</f>
        <v>**</v>
      </c>
      <c r="C522" s="14">
        <v>33</v>
      </c>
      <c r="D522" s="15"/>
      <c r="E522" s="16" t="str">
        <f t="shared" si="8"/>
        <v>521.**.</v>
      </c>
      <c r="F522" s="3" t="s">
        <v>4950</v>
      </c>
      <c r="G522" s="3" t="s">
        <v>4951</v>
      </c>
      <c r="H522" s="3">
        <v>6042070338</v>
      </c>
      <c r="I522" s="12" t="e">
        <f ca="1">VLOOKUP(D522,Input!B:M,10,0)</f>
        <v>#N/A</v>
      </c>
      <c r="J522" s="12"/>
      <c r="K522" s="12"/>
      <c r="L522" s="12"/>
      <c r="M522" s="12" t="e">
        <f ca="1">VLOOKUP(D522,Input!B:M,12,0)</f>
        <v>#N/A</v>
      </c>
      <c r="N522" s="12" t="e">
        <f ca="1">VLOOKUP(D522,Input!B:N,11,0)</f>
        <v>#N/A</v>
      </c>
      <c r="O522" s="12" t="e">
        <f ca="1">VLOOKUP(D522,Input!B:M,6,0)</f>
        <v>#N/A</v>
      </c>
      <c r="P522" s="6">
        <v>521</v>
      </c>
    </row>
    <row r="523" spans="1:16" ht="14.25">
      <c r="A523" s="13" t="str">
        <f>IFERROR(VLOOKUP($D:$D,scan!$A:$B,2,0),"**")</f>
        <v>**</v>
      </c>
      <c r="B523" s="13" t="str">
        <f>IFERROR(VLOOKUP($D523,scan!A:C,3,0),"**")</f>
        <v>**</v>
      </c>
      <c r="C523" s="14">
        <v>34</v>
      </c>
      <c r="D523" s="15"/>
      <c r="E523" s="16" t="str">
        <f t="shared" si="8"/>
        <v>522.**.</v>
      </c>
      <c r="F523" s="3" t="s">
        <v>4950</v>
      </c>
      <c r="G523" s="3" t="s">
        <v>4951</v>
      </c>
      <c r="H523" s="3">
        <v>6042070338</v>
      </c>
      <c r="I523" s="12" t="e">
        <f ca="1">VLOOKUP(D523,Input!B:M,10,0)</f>
        <v>#N/A</v>
      </c>
      <c r="J523" s="12"/>
      <c r="K523" s="12"/>
      <c r="L523" s="12"/>
      <c r="M523" s="12" t="e">
        <f ca="1">VLOOKUP(D523,Input!B:M,12,0)</f>
        <v>#N/A</v>
      </c>
      <c r="N523" s="12" t="e">
        <f ca="1">VLOOKUP(D523,Input!B:N,11,0)</f>
        <v>#N/A</v>
      </c>
      <c r="O523" s="12" t="e">
        <f ca="1">VLOOKUP(D523,Input!B:M,6,0)</f>
        <v>#N/A</v>
      </c>
      <c r="P523" s="6">
        <v>522</v>
      </c>
    </row>
    <row r="524" spans="1:16" ht="14.25">
      <c r="A524" s="13" t="str">
        <f>IFERROR(VLOOKUP($D:$D,scan!$A:$B,2,0),"**")</f>
        <v>**</v>
      </c>
      <c r="B524" s="13" t="str">
        <f>IFERROR(VLOOKUP($D524,scan!A:C,3,0),"**")</f>
        <v>**</v>
      </c>
      <c r="C524" s="14">
        <v>35</v>
      </c>
      <c r="D524" s="22"/>
      <c r="E524" s="16" t="str">
        <f t="shared" si="8"/>
        <v>523.**.</v>
      </c>
      <c r="F524" s="3" t="s">
        <v>4950</v>
      </c>
      <c r="G524" s="3" t="s">
        <v>4951</v>
      </c>
      <c r="H524" s="3">
        <v>6042070338</v>
      </c>
      <c r="I524" s="12" t="e">
        <f ca="1">VLOOKUP(D524,Input!B:M,10,0)</f>
        <v>#N/A</v>
      </c>
      <c r="J524" s="12"/>
      <c r="K524" s="12"/>
      <c r="L524" s="12"/>
      <c r="M524" s="12" t="e">
        <f ca="1">VLOOKUP(D524,Input!B:M,12,0)</f>
        <v>#N/A</v>
      </c>
      <c r="N524" s="12" t="e">
        <f ca="1">VLOOKUP(D524,Input!B:N,11,0)</f>
        <v>#N/A</v>
      </c>
      <c r="O524" s="12" t="e">
        <f ca="1">VLOOKUP(D524,Input!B:M,6,0)</f>
        <v>#N/A</v>
      </c>
      <c r="P524" s="6">
        <v>523</v>
      </c>
    </row>
    <row r="525" spans="1:16" ht="14.25">
      <c r="A525" s="13" t="str">
        <f>IFERROR(VLOOKUP($D:$D,scan!$A:$B,2,0),"**")</f>
        <v>**</v>
      </c>
      <c r="B525" s="13" t="str">
        <f>IFERROR(VLOOKUP($D525,scan!A:C,3,0),"**")</f>
        <v>**</v>
      </c>
      <c r="C525" s="5">
        <v>56</v>
      </c>
      <c r="D525" s="15"/>
      <c r="E525" s="16" t="str">
        <f t="shared" si="8"/>
        <v>524.**.</v>
      </c>
      <c r="F525" s="3" t="s">
        <v>4950</v>
      </c>
      <c r="G525" s="3" t="s">
        <v>4951</v>
      </c>
      <c r="H525" s="3">
        <v>6042070338</v>
      </c>
      <c r="I525" s="12" t="e">
        <f ca="1">VLOOKUP(D525,Input!B:M,10,0)</f>
        <v>#N/A</v>
      </c>
      <c r="J525" s="12"/>
      <c r="K525" s="12"/>
      <c r="L525" s="12"/>
      <c r="M525" s="12" t="e">
        <f ca="1">VLOOKUP(D525,Input!B:M,12,0)</f>
        <v>#N/A</v>
      </c>
      <c r="N525" s="12" t="e">
        <f ca="1">VLOOKUP(D525,Input!B:N,11,0)</f>
        <v>#N/A</v>
      </c>
      <c r="O525" s="12" t="e">
        <f ca="1">VLOOKUP(D525,Input!B:M,6,0)</f>
        <v>#N/A</v>
      </c>
      <c r="P525" s="6">
        <v>524</v>
      </c>
    </row>
    <row r="526" spans="1:16" ht="15">
      <c r="A526" s="13" t="str">
        <f>IFERROR(VLOOKUP($D:$D,scan!$A:$B,2,0),"**")</f>
        <v>**</v>
      </c>
      <c r="B526" s="13" t="str">
        <f>IFERROR(VLOOKUP($D526,scan!A:C,3,0),"**")</f>
        <v>**</v>
      </c>
      <c r="C526" s="14">
        <v>77</v>
      </c>
      <c r="D526" s="25"/>
      <c r="E526" s="16" t="str">
        <f t="shared" si="8"/>
        <v>525.**.</v>
      </c>
      <c r="F526" s="3" t="s">
        <v>4950</v>
      </c>
      <c r="G526" s="3" t="s">
        <v>4951</v>
      </c>
      <c r="H526" s="3">
        <v>6042070338</v>
      </c>
      <c r="I526" s="12" t="e">
        <f ca="1">VLOOKUP(D526,Input!B:M,10,0)</f>
        <v>#N/A</v>
      </c>
      <c r="J526" s="12"/>
      <c r="K526" s="12"/>
      <c r="L526" s="12"/>
      <c r="M526" s="12" t="e">
        <f ca="1">VLOOKUP(D526,Input!B:M,12,0)</f>
        <v>#N/A</v>
      </c>
      <c r="N526" s="12" t="e">
        <f ca="1">VLOOKUP(D526,Input!B:N,11,0)</f>
        <v>#N/A</v>
      </c>
      <c r="O526" s="12" t="e">
        <f ca="1">VLOOKUP(D526,Input!B:M,6,0)</f>
        <v>#N/A</v>
      </c>
      <c r="P526" s="6">
        <v>525</v>
      </c>
    </row>
    <row r="527" spans="1:16" ht="14.25">
      <c r="A527" s="13" t="str">
        <f>IFERROR(VLOOKUP($D:$D,scan!$A:$B,2,0),"**")</f>
        <v>**</v>
      </c>
      <c r="B527" s="13" t="str">
        <f>IFERROR(VLOOKUP($D527,scan!A:C,3,0),"**")</f>
        <v>**</v>
      </c>
      <c r="C527" s="14">
        <v>78</v>
      </c>
      <c r="D527" s="15"/>
      <c r="E527" s="16" t="str">
        <f t="shared" si="8"/>
        <v>526.**.</v>
      </c>
      <c r="F527" s="3" t="s">
        <v>4950</v>
      </c>
      <c r="G527" s="3" t="s">
        <v>4951</v>
      </c>
      <c r="H527" s="3">
        <v>6042070338</v>
      </c>
      <c r="I527" s="12" t="e">
        <f ca="1">VLOOKUP(D527,Input!B:M,10,0)</f>
        <v>#N/A</v>
      </c>
      <c r="J527" s="12"/>
      <c r="K527" s="12"/>
      <c r="L527" s="12"/>
      <c r="M527" s="12" t="e">
        <f ca="1">VLOOKUP(D527,Input!B:M,12,0)</f>
        <v>#N/A</v>
      </c>
      <c r="N527" s="12" t="e">
        <f ca="1">VLOOKUP(D527,Input!B:N,11,0)</f>
        <v>#N/A</v>
      </c>
      <c r="O527" s="12" t="e">
        <f ca="1">VLOOKUP(D527,Input!B:M,6,0)</f>
        <v>#N/A</v>
      </c>
      <c r="P527" s="6">
        <v>526</v>
      </c>
    </row>
    <row r="528" spans="1:16" ht="14.25">
      <c r="A528" s="13" t="str">
        <f>IFERROR(VLOOKUP($D:$D,scan!$A:$B,2,0),"**")</f>
        <v>**</v>
      </c>
      <c r="B528" s="13" t="str">
        <f>IFERROR(VLOOKUP($D528,scan!A:C,3,0),"**")</f>
        <v>**</v>
      </c>
      <c r="C528" s="14">
        <v>79</v>
      </c>
      <c r="D528" s="15"/>
      <c r="E528" s="16" t="str">
        <f t="shared" si="8"/>
        <v>527.**.</v>
      </c>
      <c r="F528" s="3" t="s">
        <v>4950</v>
      </c>
      <c r="G528" s="3" t="s">
        <v>4951</v>
      </c>
      <c r="H528" s="3">
        <v>6042070338</v>
      </c>
      <c r="I528" s="12" t="e">
        <f ca="1">VLOOKUP(D528,Input!B:M,10,0)</f>
        <v>#N/A</v>
      </c>
      <c r="J528" s="12"/>
      <c r="K528" s="12"/>
      <c r="L528" s="12"/>
      <c r="M528" s="12" t="e">
        <f ca="1">VLOOKUP(D528,Input!B:M,12,0)</f>
        <v>#N/A</v>
      </c>
      <c r="N528" s="12" t="e">
        <f ca="1">VLOOKUP(D528,Input!B:N,11,0)</f>
        <v>#N/A</v>
      </c>
      <c r="O528" s="12" t="e">
        <f ca="1">VLOOKUP(D528,Input!B:M,6,0)</f>
        <v>#N/A</v>
      </c>
      <c r="P528" s="6">
        <v>527</v>
      </c>
    </row>
    <row r="529" spans="1:16" ht="14.25">
      <c r="A529" s="13" t="str">
        <f>IFERROR(VLOOKUP($D:$D,scan!$A:$B,2,0),"**")</f>
        <v>**</v>
      </c>
      <c r="B529" s="13" t="str">
        <f>IFERROR(VLOOKUP($D529,scan!A:C,3,0),"**")</f>
        <v>**</v>
      </c>
      <c r="C529" s="14">
        <v>80</v>
      </c>
      <c r="D529" s="15"/>
      <c r="E529" s="16" t="str">
        <f t="shared" si="8"/>
        <v>528.**.</v>
      </c>
      <c r="F529" s="3" t="s">
        <v>4950</v>
      </c>
      <c r="G529" s="3" t="s">
        <v>4951</v>
      </c>
      <c r="H529" s="3">
        <v>6042070338</v>
      </c>
      <c r="I529" s="12" t="e">
        <f ca="1">VLOOKUP(D529,Input!B:M,10,0)</f>
        <v>#N/A</v>
      </c>
      <c r="J529" s="12"/>
      <c r="K529" s="12"/>
      <c r="L529" s="12"/>
      <c r="M529" s="12" t="e">
        <f ca="1">VLOOKUP(D529,Input!B:M,12,0)</f>
        <v>#N/A</v>
      </c>
      <c r="N529" s="12" t="e">
        <f ca="1">VLOOKUP(D529,Input!B:N,11,0)</f>
        <v>#N/A</v>
      </c>
      <c r="O529" s="12" t="e">
        <f ca="1">VLOOKUP(D529,Input!B:M,6,0)</f>
        <v>#N/A</v>
      </c>
      <c r="P529" s="6">
        <v>528</v>
      </c>
    </row>
    <row r="530" spans="1:16" ht="14.25">
      <c r="A530" s="13" t="str">
        <f>IFERROR(VLOOKUP($D:$D,scan!$A:$B,2,0),"**")</f>
        <v>**</v>
      </c>
      <c r="B530" s="13" t="str">
        <f>IFERROR(VLOOKUP($D530,scan!A:C,3,0),"**")</f>
        <v>**</v>
      </c>
      <c r="C530" s="14">
        <v>123</v>
      </c>
      <c r="D530" s="26"/>
      <c r="E530" s="16" t="str">
        <f t="shared" si="8"/>
        <v>529.**.</v>
      </c>
      <c r="F530" s="3" t="s">
        <v>4950</v>
      </c>
      <c r="G530" s="3" t="s">
        <v>4951</v>
      </c>
      <c r="H530" s="3">
        <v>6042070338</v>
      </c>
      <c r="I530" s="12" t="e">
        <f ca="1">VLOOKUP(D530,Input!B:M,10,0)</f>
        <v>#N/A</v>
      </c>
      <c r="J530" s="12"/>
      <c r="K530" s="12"/>
      <c r="L530" s="12"/>
      <c r="M530" s="12" t="e">
        <f ca="1">VLOOKUP(D530,Input!B:M,12,0)</f>
        <v>#N/A</v>
      </c>
      <c r="N530" s="12" t="e">
        <f ca="1">VLOOKUP(D530,Input!B:N,11,0)</f>
        <v>#N/A</v>
      </c>
      <c r="O530" s="12" t="e">
        <f ca="1">VLOOKUP(D530,Input!B:M,6,0)</f>
        <v>#N/A</v>
      </c>
      <c r="P530" s="6">
        <v>529</v>
      </c>
    </row>
    <row r="531" spans="1:16" ht="15">
      <c r="A531" s="13" t="str">
        <f>IFERROR(VLOOKUP($D:$D,scan!$A:$B,2,0),"**")</f>
        <v>**</v>
      </c>
      <c r="B531" s="13" t="str">
        <f>IFERROR(VLOOKUP($D531,scan!A:C,3,0),"**")</f>
        <v>**</v>
      </c>
      <c r="C531" s="14">
        <v>135</v>
      </c>
      <c r="D531" s="27"/>
      <c r="E531" s="16" t="str">
        <f t="shared" si="8"/>
        <v>530.**.</v>
      </c>
      <c r="F531" s="3" t="s">
        <v>4950</v>
      </c>
      <c r="G531" s="3" t="s">
        <v>4951</v>
      </c>
      <c r="H531" s="3">
        <v>6042070338</v>
      </c>
      <c r="I531" s="12" t="e">
        <f ca="1">VLOOKUP(D531,Input!B:M,10,0)</f>
        <v>#N/A</v>
      </c>
      <c r="J531" s="12"/>
      <c r="K531" s="12"/>
      <c r="L531" s="12"/>
      <c r="M531" s="12" t="e">
        <f ca="1">VLOOKUP(D531,Input!B:M,12,0)</f>
        <v>#N/A</v>
      </c>
      <c r="N531" s="12" t="e">
        <f ca="1">VLOOKUP(D531,Input!B:N,11,0)</f>
        <v>#N/A</v>
      </c>
      <c r="O531" s="12" t="e">
        <f ca="1">VLOOKUP(D531,Input!B:M,6,0)</f>
        <v>#N/A</v>
      </c>
      <c r="P531" s="6">
        <v>530</v>
      </c>
    </row>
    <row r="532" spans="1:16" ht="14.25">
      <c r="A532" s="13" t="str">
        <f>IFERROR(VLOOKUP($D:$D,scan!$A:$B,2,0),"**")</f>
        <v>**</v>
      </c>
      <c r="B532" s="13" t="str">
        <f>IFERROR(VLOOKUP($D532,scan!A:C,3,0),"**")</f>
        <v>**</v>
      </c>
      <c r="C532" s="5">
        <v>136</v>
      </c>
      <c r="D532" s="22"/>
      <c r="E532" s="16" t="str">
        <f t="shared" si="8"/>
        <v>531.**.</v>
      </c>
      <c r="F532" s="3" t="s">
        <v>4950</v>
      </c>
      <c r="G532" s="3" t="s">
        <v>4951</v>
      </c>
      <c r="H532" s="3">
        <v>6042070338</v>
      </c>
      <c r="I532" s="12" t="e">
        <f ca="1">VLOOKUP(D532,Input!B:M,10,0)</f>
        <v>#N/A</v>
      </c>
      <c r="J532" s="12"/>
      <c r="K532" s="12"/>
      <c r="L532" s="12"/>
      <c r="M532" s="12" t="e">
        <f ca="1">VLOOKUP(D532,Input!B:M,12,0)</f>
        <v>#N/A</v>
      </c>
      <c r="N532" s="12" t="e">
        <f ca="1">VLOOKUP(D532,Input!B:N,11,0)</f>
        <v>#N/A</v>
      </c>
      <c r="O532" s="12" t="e">
        <f ca="1">VLOOKUP(D532,Input!B:M,6,0)</f>
        <v>#N/A</v>
      </c>
      <c r="P532" s="6">
        <v>531</v>
      </c>
    </row>
    <row r="533" spans="1:16" ht="14.25">
      <c r="A533" s="13" t="str">
        <f>IFERROR(VLOOKUP($D:$D,scan!$A:$B,2,0),"**")</f>
        <v>**</v>
      </c>
      <c r="B533" s="13" t="str">
        <f>IFERROR(VLOOKUP($D533,scan!A:C,3,0),"**")</f>
        <v>**</v>
      </c>
      <c r="C533" s="14">
        <v>137</v>
      </c>
      <c r="D533" s="28"/>
      <c r="E533" s="16" t="str">
        <f t="shared" si="8"/>
        <v>532.**.</v>
      </c>
      <c r="F533" s="3" t="s">
        <v>4950</v>
      </c>
      <c r="G533" s="3" t="s">
        <v>4951</v>
      </c>
      <c r="H533" s="3">
        <v>6042070338</v>
      </c>
      <c r="I533" s="12" t="e">
        <f ca="1">VLOOKUP(D533,Input!B:M,10,0)</f>
        <v>#N/A</v>
      </c>
      <c r="J533" s="12"/>
      <c r="K533" s="12"/>
      <c r="L533" s="12"/>
      <c r="M533" s="12" t="e">
        <f ca="1">VLOOKUP(D533,Input!B:M,12,0)</f>
        <v>#N/A</v>
      </c>
      <c r="N533" s="12" t="e">
        <f ca="1">VLOOKUP(D533,Input!B:N,11,0)</f>
        <v>#N/A</v>
      </c>
      <c r="O533" s="12" t="e">
        <f ca="1">VLOOKUP(D533,Input!B:M,6,0)</f>
        <v>#N/A</v>
      </c>
      <c r="P533" s="6">
        <v>532</v>
      </c>
    </row>
    <row r="534" spans="1:16" ht="14.25">
      <c r="A534" s="13" t="str">
        <f>IFERROR(VLOOKUP($D:$D,scan!$A:$B,2,0),"**")</f>
        <v>**</v>
      </c>
      <c r="B534" s="13" t="str">
        <f>IFERROR(VLOOKUP($D534,scan!A:C,3,0),"**")</f>
        <v>**</v>
      </c>
      <c r="C534" s="14">
        <v>138</v>
      </c>
      <c r="D534" s="28"/>
      <c r="E534" s="16" t="str">
        <f t="shared" si="8"/>
        <v>533.**.</v>
      </c>
      <c r="F534" s="3" t="s">
        <v>4950</v>
      </c>
      <c r="G534" s="3" t="s">
        <v>4951</v>
      </c>
      <c r="H534" s="3">
        <v>6042070338</v>
      </c>
      <c r="I534" s="12" t="e">
        <f ca="1">VLOOKUP(D534,Input!B:M,10,0)</f>
        <v>#N/A</v>
      </c>
      <c r="J534" s="12"/>
      <c r="K534" s="12"/>
      <c r="L534" s="12"/>
      <c r="M534" s="12" t="e">
        <f ca="1">VLOOKUP(D534,Input!B:M,12,0)</f>
        <v>#N/A</v>
      </c>
      <c r="N534" s="12" t="e">
        <f ca="1">VLOOKUP(D534,Input!B:N,11,0)</f>
        <v>#N/A</v>
      </c>
      <c r="O534" s="12" t="e">
        <f ca="1">VLOOKUP(D534,Input!B:M,6,0)</f>
        <v>#N/A</v>
      </c>
      <c r="P534" s="6">
        <v>533</v>
      </c>
    </row>
    <row r="535" spans="1:16" ht="14.25">
      <c r="A535" s="13" t="str">
        <f>IFERROR(VLOOKUP($D:$D,scan!$A:$B,2,0),"**")</f>
        <v>**</v>
      </c>
      <c r="B535" s="13" t="str">
        <f>IFERROR(VLOOKUP($D535,scan!A:C,3,0),"**")</f>
        <v>**</v>
      </c>
      <c r="C535" s="14">
        <v>139</v>
      </c>
      <c r="D535" s="28"/>
      <c r="E535" s="16" t="str">
        <f t="shared" si="8"/>
        <v>534.**.</v>
      </c>
      <c r="F535" s="3" t="s">
        <v>4950</v>
      </c>
      <c r="G535" s="3" t="s">
        <v>4951</v>
      </c>
      <c r="H535" s="3">
        <v>6042070338</v>
      </c>
      <c r="I535" s="12" t="e">
        <f ca="1">VLOOKUP(D535,Input!B:M,10,0)</f>
        <v>#N/A</v>
      </c>
      <c r="J535" s="12"/>
      <c r="K535" s="12"/>
      <c r="L535" s="12"/>
      <c r="M535" s="12" t="e">
        <f ca="1">VLOOKUP(D535,Input!B:M,12,0)</f>
        <v>#N/A</v>
      </c>
      <c r="N535" s="12" t="e">
        <f ca="1">VLOOKUP(D535,Input!B:N,11,0)</f>
        <v>#N/A</v>
      </c>
      <c r="O535" s="12" t="e">
        <f ca="1">VLOOKUP(D535,Input!B:M,6,0)</f>
        <v>#N/A</v>
      </c>
      <c r="P535" s="6">
        <v>534</v>
      </c>
    </row>
    <row r="536" spans="1:16" ht="14.25">
      <c r="A536" s="13" t="str">
        <f>IFERROR(VLOOKUP($D:$D,scan!$A:$B,2,0),"**")</f>
        <v>**</v>
      </c>
      <c r="B536" s="13" t="str">
        <f>IFERROR(VLOOKUP($D536,scan!A:C,3,0),"**")</f>
        <v>**</v>
      </c>
      <c r="C536" s="14">
        <v>140</v>
      </c>
      <c r="D536" s="15"/>
      <c r="E536" s="16" t="str">
        <f t="shared" si="8"/>
        <v>535.**.</v>
      </c>
      <c r="F536" s="3" t="s">
        <v>4950</v>
      </c>
      <c r="G536" s="3" t="s">
        <v>4951</v>
      </c>
      <c r="H536" s="3">
        <v>6042070338</v>
      </c>
      <c r="I536" s="12" t="e">
        <f ca="1">VLOOKUP(D536,Input!B:M,10,0)</f>
        <v>#N/A</v>
      </c>
      <c r="J536" s="12"/>
      <c r="K536" s="12"/>
      <c r="L536" s="12"/>
      <c r="M536" s="12" t="e">
        <f ca="1">VLOOKUP(D536,Input!B:M,12,0)</f>
        <v>#N/A</v>
      </c>
      <c r="N536" s="12" t="e">
        <f ca="1">VLOOKUP(D536,Input!B:N,11,0)</f>
        <v>#N/A</v>
      </c>
      <c r="O536" s="12" t="e">
        <f ca="1">VLOOKUP(D536,Input!B:M,6,0)</f>
        <v>#N/A</v>
      </c>
      <c r="P536" s="6">
        <v>535</v>
      </c>
    </row>
    <row r="537" spans="1:16" ht="14.25">
      <c r="A537" s="13" t="str">
        <f>IFERROR(VLOOKUP($D:$D,scan!$A:$B,2,0),"**")</f>
        <v>**</v>
      </c>
      <c r="B537" s="13" t="str">
        <f>IFERROR(VLOOKUP($D537,scan!A:C,3,0),"**")</f>
        <v>**</v>
      </c>
      <c r="C537" s="5">
        <v>141</v>
      </c>
      <c r="D537" s="15"/>
      <c r="E537" s="16" t="str">
        <f t="shared" si="8"/>
        <v>536.**.</v>
      </c>
      <c r="F537" s="3" t="s">
        <v>4950</v>
      </c>
      <c r="G537" s="3" t="s">
        <v>4951</v>
      </c>
      <c r="H537" s="3">
        <v>6042070338</v>
      </c>
      <c r="I537" s="12" t="e">
        <f ca="1">VLOOKUP(D537,Input!B:M,10,0)</f>
        <v>#N/A</v>
      </c>
      <c r="J537" s="12"/>
      <c r="K537" s="12"/>
      <c r="L537" s="12"/>
      <c r="M537" s="12" t="e">
        <f ca="1">VLOOKUP(D537,Input!B:M,12,0)</f>
        <v>#N/A</v>
      </c>
      <c r="N537" s="12" t="e">
        <f ca="1">VLOOKUP(D537,Input!B:N,11,0)</f>
        <v>#N/A</v>
      </c>
      <c r="O537" s="12" t="e">
        <f ca="1">VLOOKUP(D537,Input!B:M,6,0)</f>
        <v>#N/A</v>
      </c>
      <c r="P537" s="6">
        <v>536</v>
      </c>
    </row>
    <row r="538" spans="1:16" ht="14.25">
      <c r="A538" s="13" t="str">
        <f>IFERROR(VLOOKUP($D:$D,scan!$A:$B,2,0),"**")</f>
        <v>**</v>
      </c>
      <c r="B538" s="13" t="str">
        <f>IFERROR(VLOOKUP($D538,scan!A:C,3,0),"**")</f>
        <v>**</v>
      </c>
      <c r="C538" s="14">
        <v>142</v>
      </c>
      <c r="D538" s="22"/>
      <c r="E538" s="16" t="str">
        <f t="shared" si="8"/>
        <v>537.**.</v>
      </c>
      <c r="F538" s="3" t="s">
        <v>4950</v>
      </c>
      <c r="G538" s="3" t="s">
        <v>4951</v>
      </c>
      <c r="H538" s="3">
        <v>6042070338</v>
      </c>
      <c r="I538" s="12" t="e">
        <f ca="1">VLOOKUP(D538,Input!B:M,10,0)</f>
        <v>#N/A</v>
      </c>
      <c r="J538" s="12"/>
      <c r="K538" s="12"/>
      <c r="L538" s="12"/>
      <c r="M538" s="12" t="e">
        <f ca="1">VLOOKUP(D538,Input!B:M,12,0)</f>
        <v>#N/A</v>
      </c>
      <c r="N538" s="12" t="e">
        <f ca="1">VLOOKUP(D538,Input!B:N,11,0)</f>
        <v>#N/A</v>
      </c>
      <c r="O538" s="12" t="e">
        <f ca="1">VLOOKUP(D538,Input!B:M,6,0)</f>
        <v>#N/A</v>
      </c>
      <c r="P538" s="6">
        <v>537</v>
      </c>
    </row>
    <row r="539" spans="1:16" ht="14.25">
      <c r="A539" s="13" t="str">
        <f>IFERROR(VLOOKUP($D:$D,scan!$A:$B,2,0),"**")</f>
        <v>**</v>
      </c>
      <c r="B539" s="13" t="str">
        <f>IFERROR(VLOOKUP($D539,scan!A:C,3,0),"**")</f>
        <v>**</v>
      </c>
      <c r="C539" s="14">
        <v>144</v>
      </c>
      <c r="D539" s="28"/>
      <c r="E539" s="16" t="str">
        <f t="shared" si="8"/>
        <v>538.**.</v>
      </c>
      <c r="F539" s="3" t="s">
        <v>4950</v>
      </c>
      <c r="G539" s="3" t="s">
        <v>4951</v>
      </c>
      <c r="H539" s="3">
        <v>6042070338</v>
      </c>
      <c r="I539" s="12" t="e">
        <f ca="1">VLOOKUP(D539,Input!B:M,10,0)</f>
        <v>#N/A</v>
      </c>
      <c r="J539" s="12"/>
      <c r="K539" s="12"/>
      <c r="L539" s="12"/>
      <c r="M539" s="12" t="e">
        <f ca="1">VLOOKUP(D539,Input!B:M,12,0)</f>
        <v>#N/A</v>
      </c>
      <c r="N539" s="12" t="e">
        <f ca="1">VLOOKUP(D539,Input!B:N,11,0)</f>
        <v>#N/A</v>
      </c>
      <c r="O539" s="12" t="e">
        <f ca="1">VLOOKUP(D539,Input!B:M,6,0)</f>
        <v>#N/A</v>
      </c>
      <c r="P539" s="6">
        <v>538</v>
      </c>
    </row>
    <row r="540" spans="1:16" ht="14.25">
      <c r="A540" s="13" t="str">
        <f>IFERROR(VLOOKUP($D:$D,scan!$A:$B,2,0),"**")</f>
        <v>**</v>
      </c>
      <c r="B540" s="13" t="str">
        <f>IFERROR(VLOOKUP($D540,scan!A:C,3,0),"**")</f>
        <v>**</v>
      </c>
      <c r="C540" s="14">
        <v>145</v>
      </c>
      <c r="D540" s="28"/>
      <c r="E540" s="16" t="str">
        <f t="shared" si="8"/>
        <v>539.**.</v>
      </c>
      <c r="F540" s="3" t="s">
        <v>4950</v>
      </c>
      <c r="G540" s="3" t="s">
        <v>4951</v>
      </c>
      <c r="H540" s="3">
        <v>6042070338</v>
      </c>
      <c r="I540" s="12" t="e">
        <f ca="1">VLOOKUP(D540,Input!B:M,10,0)</f>
        <v>#N/A</v>
      </c>
      <c r="J540" s="12"/>
      <c r="K540" s="12"/>
      <c r="L540" s="12"/>
      <c r="M540" s="12" t="e">
        <f ca="1">VLOOKUP(D540,Input!B:M,12,0)</f>
        <v>#N/A</v>
      </c>
      <c r="N540" s="12" t="e">
        <f ca="1">VLOOKUP(D540,Input!B:N,11,0)</f>
        <v>#N/A</v>
      </c>
      <c r="O540" s="12" t="e">
        <f ca="1">VLOOKUP(D540,Input!B:M,6,0)</f>
        <v>#N/A</v>
      </c>
      <c r="P540" s="6">
        <v>539</v>
      </c>
    </row>
    <row r="541" spans="1:16" ht="14.25">
      <c r="A541" s="13" t="str">
        <f>IFERROR(VLOOKUP($D:$D,scan!$A:$B,2,0),"**")</f>
        <v>**</v>
      </c>
      <c r="B541" s="13" t="str">
        <f>IFERROR(VLOOKUP($D541,scan!A:C,3,0),"**")</f>
        <v>**</v>
      </c>
      <c r="C541" s="5">
        <v>146</v>
      </c>
      <c r="D541" s="28"/>
      <c r="E541" s="16" t="str">
        <f t="shared" si="8"/>
        <v>540.**.</v>
      </c>
      <c r="F541" s="3" t="s">
        <v>4950</v>
      </c>
      <c r="G541" s="3" t="s">
        <v>4951</v>
      </c>
      <c r="H541" s="3">
        <v>6042070338</v>
      </c>
      <c r="I541" s="12" t="e">
        <f ca="1">VLOOKUP(D541,Input!B:M,10,0)</f>
        <v>#N/A</v>
      </c>
      <c r="J541" s="12"/>
      <c r="K541" s="12"/>
      <c r="L541" s="12"/>
      <c r="M541" s="12" t="e">
        <f ca="1">VLOOKUP(D541,Input!B:M,12,0)</f>
        <v>#N/A</v>
      </c>
      <c r="N541" s="12" t="e">
        <f ca="1">VLOOKUP(D541,Input!B:N,11,0)</f>
        <v>#N/A</v>
      </c>
      <c r="O541" s="12" t="e">
        <f ca="1">VLOOKUP(D541,Input!B:M,6,0)</f>
        <v>#N/A</v>
      </c>
      <c r="P541" s="6">
        <v>540</v>
      </c>
    </row>
    <row r="542" spans="1:16" ht="14.25">
      <c r="A542" s="13" t="str">
        <f>IFERROR(VLOOKUP($D:$D,scan!$A:$B,2,0),"**")</f>
        <v>**</v>
      </c>
      <c r="B542" s="13" t="str">
        <f>IFERROR(VLOOKUP($D542,scan!A:C,3,0),"**")</f>
        <v>**</v>
      </c>
      <c r="C542" s="14">
        <v>147</v>
      </c>
      <c r="D542" s="28"/>
      <c r="E542" s="16" t="str">
        <f t="shared" si="8"/>
        <v>541.**.</v>
      </c>
      <c r="F542" s="3" t="s">
        <v>4950</v>
      </c>
      <c r="G542" s="3" t="s">
        <v>4951</v>
      </c>
      <c r="H542" s="3">
        <v>6042070338</v>
      </c>
      <c r="I542" s="12" t="e">
        <f ca="1">VLOOKUP(D542,Input!B:M,10,0)</f>
        <v>#N/A</v>
      </c>
      <c r="J542" s="12"/>
      <c r="K542" s="12"/>
      <c r="L542" s="12"/>
      <c r="M542" s="12" t="e">
        <f ca="1">VLOOKUP(D542,Input!B:M,12,0)</f>
        <v>#N/A</v>
      </c>
      <c r="N542" s="12" t="e">
        <f ca="1">VLOOKUP(D542,Input!B:N,11,0)</f>
        <v>#N/A</v>
      </c>
      <c r="O542" s="12" t="e">
        <f ca="1">VLOOKUP(D542,Input!B:M,6,0)</f>
        <v>#N/A</v>
      </c>
      <c r="P542" s="6">
        <v>541</v>
      </c>
    </row>
    <row r="543" spans="1:16" ht="14.25">
      <c r="A543" s="13" t="str">
        <f>IFERROR(VLOOKUP($D:$D,scan!$A:$B,2,0),"**")</f>
        <v>**</v>
      </c>
      <c r="B543" s="13" t="str">
        <f>IFERROR(VLOOKUP($D543,scan!A:C,3,0),"**")</f>
        <v>**</v>
      </c>
      <c r="C543" s="14">
        <v>148</v>
      </c>
      <c r="D543" s="28"/>
      <c r="E543" s="16" t="str">
        <f t="shared" si="8"/>
        <v>542.**.</v>
      </c>
      <c r="F543" s="3" t="s">
        <v>4950</v>
      </c>
      <c r="G543" s="3" t="s">
        <v>4951</v>
      </c>
      <c r="H543" s="3">
        <v>6042070338</v>
      </c>
      <c r="I543" s="12" t="e">
        <f ca="1">VLOOKUP(D543,Input!B:M,10,0)</f>
        <v>#N/A</v>
      </c>
      <c r="J543" s="12"/>
      <c r="K543" s="12"/>
      <c r="L543" s="12"/>
      <c r="M543" s="12" t="e">
        <f ca="1">VLOOKUP(D543,Input!B:M,12,0)</f>
        <v>#N/A</v>
      </c>
      <c r="N543" s="12" t="e">
        <f ca="1">VLOOKUP(D543,Input!B:N,11,0)</f>
        <v>#N/A</v>
      </c>
      <c r="O543" s="12" t="e">
        <f ca="1">VLOOKUP(D543,Input!B:M,6,0)</f>
        <v>#N/A</v>
      </c>
      <c r="P543" s="6">
        <v>542</v>
      </c>
    </row>
    <row r="544" spans="1:16" ht="15">
      <c r="A544" s="13" t="str">
        <f>IFERROR(VLOOKUP($D:$D,scan!$A:$B,2,0),"**")</f>
        <v>**</v>
      </c>
      <c r="B544" s="13" t="str">
        <f>IFERROR(VLOOKUP($D544,scan!A:C,3,0),"**")</f>
        <v>**</v>
      </c>
      <c r="C544" s="14">
        <v>150</v>
      </c>
      <c r="D544" s="25"/>
      <c r="E544" s="16" t="str">
        <f t="shared" si="8"/>
        <v>543.**.</v>
      </c>
      <c r="F544" s="3" t="s">
        <v>4950</v>
      </c>
      <c r="G544" s="3" t="s">
        <v>4951</v>
      </c>
      <c r="H544" s="3">
        <v>6042070338</v>
      </c>
      <c r="I544" s="12" t="e">
        <f ca="1">VLOOKUP(D544,Input!B:M,10,0)</f>
        <v>#N/A</v>
      </c>
      <c r="J544" s="12"/>
      <c r="K544" s="12"/>
      <c r="L544" s="12"/>
      <c r="M544" s="12" t="e">
        <f ca="1">VLOOKUP(D544,Input!B:M,12,0)</f>
        <v>#N/A</v>
      </c>
      <c r="N544" s="12" t="e">
        <f ca="1">VLOOKUP(D544,Input!B:N,11,0)</f>
        <v>#N/A</v>
      </c>
      <c r="O544" s="12" t="e">
        <f ca="1">VLOOKUP(D544,Input!B:M,6,0)</f>
        <v>#N/A</v>
      </c>
      <c r="P544" s="6">
        <v>543</v>
      </c>
    </row>
    <row r="545" spans="1:16" ht="14.25">
      <c r="A545" s="13" t="str">
        <f>IFERROR(VLOOKUP($D:$D,scan!$A:$B,2,0),"**")</f>
        <v>**</v>
      </c>
      <c r="B545" s="13" t="str">
        <f>IFERROR(VLOOKUP($D545,scan!A:C,3,0),"**")</f>
        <v>**</v>
      </c>
      <c r="C545" s="5">
        <v>151</v>
      </c>
      <c r="D545" s="15"/>
      <c r="E545" s="16" t="str">
        <f t="shared" si="8"/>
        <v>544.**.</v>
      </c>
      <c r="F545" s="3" t="s">
        <v>4950</v>
      </c>
      <c r="G545" s="3" t="s">
        <v>4951</v>
      </c>
      <c r="H545" s="3">
        <v>6042070338</v>
      </c>
      <c r="I545" s="12" t="e">
        <f ca="1">VLOOKUP(D545,Input!B:M,10,0)</f>
        <v>#N/A</v>
      </c>
      <c r="J545" s="12"/>
      <c r="K545" s="12"/>
      <c r="L545" s="12"/>
      <c r="M545" s="12" t="e">
        <f ca="1">VLOOKUP(D545,Input!B:M,12,0)</f>
        <v>#N/A</v>
      </c>
      <c r="N545" s="12" t="e">
        <f ca="1">VLOOKUP(D545,Input!B:N,11,0)</f>
        <v>#N/A</v>
      </c>
      <c r="O545" s="12" t="e">
        <f ca="1">VLOOKUP(D545,Input!B:M,6,0)</f>
        <v>#N/A</v>
      </c>
      <c r="P545" s="6">
        <v>544</v>
      </c>
    </row>
    <row r="546" spans="1:16" ht="14.25">
      <c r="A546" s="13" t="str">
        <f>IFERROR(VLOOKUP($D:$D,scan!$A:$B,2,0),"**")</f>
        <v>**</v>
      </c>
      <c r="B546" s="13" t="str">
        <f>IFERROR(VLOOKUP($D546,scan!A:C,3,0),"**")</f>
        <v>**</v>
      </c>
      <c r="C546" s="14">
        <v>152</v>
      </c>
      <c r="D546" s="15"/>
      <c r="E546" s="16" t="str">
        <f t="shared" si="8"/>
        <v>545.**.</v>
      </c>
      <c r="F546" s="3" t="s">
        <v>4950</v>
      </c>
      <c r="G546" s="3" t="s">
        <v>4951</v>
      </c>
      <c r="H546" s="3">
        <v>6042070338</v>
      </c>
      <c r="I546" s="12" t="e">
        <f ca="1">VLOOKUP(D546,Input!B:M,10,0)</f>
        <v>#N/A</v>
      </c>
      <c r="J546" s="12"/>
      <c r="K546" s="12"/>
      <c r="L546" s="12"/>
      <c r="M546" s="12" t="e">
        <f ca="1">VLOOKUP(D546,Input!B:M,12,0)</f>
        <v>#N/A</v>
      </c>
      <c r="N546" s="12" t="e">
        <f ca="1">VLOOKUP(D546,Input!B:N,11,0)</f>
        <v>#N/A</v>
      </c>
      <c r="O546" s="12" t="e">
        <f ca="1">VLOOKUP(D546,Input!B:M,6,0)</f>
        <v>#N/A</v>
      </c>
      <c r="P546" s="6">
        <v>545</v>
      </c>
    </row>
    <row r="547" spans="1:16" ht="14.25">
      <c r="A547" s="13" t="str">
        <f>IFERROR(VLOOKUP($D:$D,scan!$A:$B,2,0),"**")</f>
        <v>**</v>
      </c>
      <c r="B547" s="13" t="str">
        <f>IFERROR(VLOOKUP($D547,scan!A:C,3,0),"**")</f>
        <v>**</v>
      </c>
      <c r="C547" s="14">
        <v>153</v>
      </c>
      <c r="D547" s="15"/>
      <c r="E547" s="16" t="str">
        <f t="shared" si="8"/>
        <v>546.**.</v>
      </c>
      <c r="F547" s="3" t="s">
        <v>4950</v>
      </c>
      <c r="G547" s="3" t="s">
        <v>4951</v>
      </c>
      <c r="H547" s="3">
        <v>6042070338</v>
      </c>
      <c r="I547" s="12" t="e">
        <f ca="1">VLOOKUP(D547,Input!B:M,10,0)</f>
        <v>#N/A</v>
      </c>
      <c r="J547" s="12"/>
      <c r="K547" s="12"/>
      <c r="L547" s="12"/>
      <c r="M547" s="12" t="e">
        <f ca="1">VLOOKUP(D547,Input!B:M,12,0)</f>
        <v>#N/A</v>
      </c>
      <c r="N547" s="12" t="e">
        <f ca="1">VLOOKUP(D547,Input!B:N,11,0)</f>
        <v>#N/A</v>
      </c>
      <c r="O547" s="12" t="e">
        <f ca="1">VLOOKUP(D547,Input!B:M,6,0)</f>
        <v>#N/A</v>
      </c>
      <c r="P547" s="6">
        <v>546</v>
      </c>
    </row>
    <row r="548" spans="1:16" ht="14.25">
      <c r="A548" s="13" t="str">
        <f>IFERROR(VLOOKUP($D:$D,scan!$A:$B,2,0),"**")</f>
        <v>**</v>
      </c>
      <c r="B548" s="13" t="str">
        <f>IFERROR(VLOOKUP($D548,scan!A:C,3,0),"**")</f>
        <v>**</v>
      </c>
      <c r="C548" s="14">
        <v>154</v>
      </c>
      <c r="D548" s="22"/>
      <c r="E548" s="16" t="str">
        <f t="shared" si="8"/>
        <v>547.**.</v>
      </c>
      <c r="F548" s="3" t="s">
        <v>4950</v>
      </c>
      <c r="G548" s="3" t="s">
        <v>4951</v>
      </c>
      <c r="H548" s="3">
        <v>6042070338</v>
      </c>
      <c r="I548" s="12" t="e">
        <f ca="1">VLOOKUP(D548,Input!B:M,10,0)</f>
        <v>#N/A</v>
      </c>
      <c r="J548" s="12"/>
      <c r="K548" s="12"/>
      <c r="L548" s="12"/>
      <c r="M548" s="12" t="e">
        <f ca="1">VLOOKUP(D548,Input!B:M,12,0)</f>
        <v>#N/A</v>
      </c>
      <c r="N548" s="12" t="e">
        <f ca="1">VLOOKUP(D548,Input!B:N,11,0)</f>
        <v>#N/A</v>
      </c>
      <c r="O548" s="12" t="e">
        <f ca="1">VLOOKUP(D548,Input!B:M,6,0)</f>
        <v>#N/A</v>
      </c>
      <c r="P548" s="6">
        <v>547</v>
      </c>
    </row>
    <row r="549" spans="1:16" ht="14.25">
      <c r="A549" s="13" t="str">
        <f>IFERROR(VLOOKUP($D:$D,scan!$A:$B,2,0),"**")</f>
        <v>**</v>
      </c>
      <c r="B549" s="13" t="str">
        <f>IFERROR(VLOOKUP($D549,scan!A:C,3,0),"**")</f>
        <v>**</v>
      </c>
      <c r="C549" s="14">
        <v>160</v>
      </c>
      <c r="D549" s="28"/>
      <c r="E549" s="16" t="str">
        <f t="shared" si="8"/>
        <v>548.**.</v>
      </c>
      <c r="F549" s="3" t="s">
        <v>4950</v>
      </c>
      <c r="G549" s="3" t="s">
        <v>4951</v>
      </c>
      <c r="H549" s="3">
        <v>6042070338</v>
      </c>
      <c r="I549" s="12" t="e">
        <f ca="1">VLOOKUP(D549,Input!B:M,10,0)</f>
        <v>#N/A</v>
      </c>
      <c r="J549" s="12"/>
      <c r="K549" s="12"/>
      <c r="L549" s="12"/>
      <c r="M549" s="12" t="e">
        <f ca="1">VLOOKUP(D549,Input!B:M,12,0)</f>
        <v>#N/A</v>
      </c>
      <c r="N549" s="12" t="e">
        <f ca="1">VLOOKUP(D549,Input!B:N,11,0)</f>
        <v>#N/A</v>
      </c>
      <c r="O549" s="12" t="e">
        <f ca="1">VLOOKUP(D549,Input!B:M,6,0)</f>
        <v>#N/A</v>
      </c>
      <c r="P549" s="6">
        <v>548</v>
      </c>
    </row>
    <row r="550" spans="1:16" ht="14.25">
      <c r="A550" s="13" t="str">
        <f>IFERROR(VLOOKUP($D:$D,scan!$A:$B,2,0),"**")</f>
        <v>**</v>
      </c>
      <c r="B550" s="13" t="str">
        <f>IFERROR(VLOOKUP($D550,scan!A:C,3,0),"**")</f>
        <v>**</v>
      </c>
      <c r="C550" s="5">
        <v>161</v>
      </c>
      <c r="D550" s="28"/>
      <c r="E550" s="16" t="str">
        <f t="shared" si="8"/>
        <v>549.**.</v>
      </c>
      <c r="F550" s="3" t="s">
        <v>4950</v>
      </c>
      <c r="G550" s="3" t="s">
        <v>4951</v>
      </c>
      <c r="H550" s="3">
        <v>6042070338</v>
      </c>
      <c r="I550" s="12" t="e">
        <f ca="1">VLOOKUP(D550,Input!B:M,10,0)</f>
        <v>#N/A</v>
      </c>
      <c r="J550" s="12"/>
      <c r="K550" s="12"/>
      <c r="L550" s="12"/>
      <c r="M550" s="12" t="e">
        <f ca="1">VLOOKUP(D550,Input!B:M,12,0)</f>
        <v>#N/A</v>
      </c>
      <c r="N550" s="12" t="e">
        <f ca="1">VLOOKUP(D550,Input!B:N,11,0)</f>
        <v>#N/A</v>
      </c>
      <c r="O550" s="12" t="e">
        <f ca="1">VLOOKUP(D550,Input!B:M,6,0)</f>
        <v>#N/A</v>
      </c>
      <c r="P550" s="6">
        <v>549</v>
      </c>
    </row>
    <row r="551" spans="1:16" ht="14.25">
      <c r="A551" s="13" t="str">
        <f>IFERROR(VLOOKUP($D:$D,scan!$A:$B,2,0),"**")</f>
        <v>**</v>
      </c>
      <c r="B551" s="13" t="str">
        <f>IFERROR(VLOOKUP($D551,scan!A:C,3,0),"**")</f>
        <v>**</v>
      </c>
      <c r="C551" s="14">
        <v>162</v>
      </c>
      <c r="D551" s="28"/>
      <c r="E551" s="16" t="str">
        <f t="shared" si="8"/>
        <v>550.**.</v>
      </c>
      <c r="F551" s="3" t="s">
        <v>4950</v>
      </c>
      <c r="G551" s="3" t="s">
        <v>4951</v>
      </c>
      <c r="H551" s="3">
        <v>6042070338</v>
      </c>
      <c r="I551" s="12" t="e">
        <f ca="1">VLOOKUP(D551,Input!B:M,10,0)</f>
        <v>#N/A</v>
      </c>
      <c r="J551" s="12"/>
      <c r="K551" s="12"/>
      <c r="L551" s="12"/>
      <c r="M551" s="12" t="e">
        <f ca="1">VLOOKUP(D551,Input!B:M,12,0)</f>
        <v>#N/A</v>
      </c>
      <c r="N551" s="12" t="e">
        <f ca="1">VLOOKUP(D551,Input!B:N,11,0)</f>
        <v>#N/A</v>
      </c>
      <c r="O551" s="12" t="e">
        <f ca="1">VLOOKUP(D551,Input!B:M,6,0)</f>
        <v>#N/A</v>
      </c>
      <c r="P551" s="6">
        <v>550</v>
      </c>
    </row>
    <row r="552" spans="1:16" ht="15.75">
      <c r="A552" s="13" t="str">
        <f>IFERROR(VLOOKUP($D:$D,scan!$A:$B,2,0),"**")</f>
        <v>**</v>
      </c>
      <c r="B552" s="13" t="str">
        <f>IFERROR(VLOOKUP($D552,scan!A:C,3,0),"**")</f>
        <v>**</v>
      </c>
      <c r="C552" s="5">
        <v>166</v>
      </c>
      <c r="D552" s="29"/>
      <c r="E552" s="16" t="str">
        <f t="shared" si="8"/>
        <v>551.**.</v>
      </c>
      <c r="F552" s="3" t="s">
        <v>4950</v>
      </c>
      <c r="G552" s="3" t="s">
        <v>4951</v>
      </c>
      <c r="H552" s="3">
        <v>6042070338</v>
      </c>
      <c r="I552" s="12" t="e">
        <f ca="1">VLOOKUP(D552,Input!B:M,10,0)</f>
        <v>#N/A</v>
      </c>
      <c r="J552" s="12"/>
      <c r="K552" s="12"/>
      <c r="L552" s="12"/>
      <c r="M552" s="12" t="e">
        <f ca="1">VLOOKUP(D552,Input!B:M,12,0)</f>
        <v>#N/A</v>
      </c>
      <c r="N552" s="12" t="e">
        <f ca="1">VLOOKUP(D552,Input!B:N,11,0)</f>
        <v>#N/A</v>
      </c>
      <c r="O552" s="12" t="e">
        <f ca="1">VLOOKUP(D552,Input!B:M,6,0)</f>
        <v>#N/A</v>
      </c>
      <c r="P552" s="6">
        <v>551</v>
      </c>
    </row>
    <row r="553" spans="1:16" ht="14.25">
      <c r="A553" s="13" t="str">
        <f>IFERROR(VLOOKUP($D:$D,scan!$A:$B,2,0),"**")</f>
        <v>**</v>
      </c>
      <c r="B553" s="13" t="str">
        <f>IFERROR(VLOOKUP($D553,scan!A:C,3,0),"**")</f>
        <v>**</v>
      </c>
      <c r="C553" s="14">
        <v>167</v>
      </c>
      <c r="D553" s="30"/>
      <c r="E553" s="16" t="str">
        <f t="shared" si="8"/>
        <v>552.**.</v>
      </c>
      <c r="F553" s="3" t="s">
        <v>4950</v>
      </c>
      <c r="G553" s="3" t="s">
        <v>4951</v>
      </c>
      <c r="H553" s="3">
        <v>6042070338</v>
      </c>
      <c r="I553" s="12" t="e">
        <f ca="1">VLOOKUP(D553,Input!B:M,10,0)</f>
        <v>#N/A</v>
      </c>
      <c r="J553" s="12"/>
      <c r="K553" s="12"/>
      <c r="L553" s="12"/>
      <c r="M553" s="12" t="e">
        <f ca="1">VLOOKUP(D553,Input!B:M,12,0)</f>
        <v>#N/A</v>
      </c>
      <c r="N553" s="12" t="e">
        <f ca="1">VLOOKUP(D553,Input!B:N,11,0)</f>
        <v>#N/A</v>
      </c>
      <c r="O553" s="12" t="e">
        <f ca="1">VLOOKUP(D553,Input!B:M,6,0)</f>
        <v>#N/A</v>
      </c>
      <c r="P553" s="6">
        <v>552</v>
      </c>
    </row>
    <row r="554" spans="1:16" ht="14.25">
      <c r="A554" s="13" t="str">
        <f>IFERROR(VLOOKUP($D:$D,scan!$A:$B,2,0),"**")</f>
        <v>**</v>
      </c>
      <c r="B554" s="13" t="str">
        <f>IFERROR(VLOOKUP($D554,scan!A:C,3,0),"**")</f>
        <v>**</v>
      </c>
      <c r="C554" s="14">
        <v>168</v>
      </c>
      <c r="D554" s="22"/>
      <c r="E554" s="16" t="str">
        <f t="shared" si="8"/>
        <v>553.**.</v>
      </c>
      <c r="F554" s="3" t="s">
        <v>4950</v>
      </c>
      <c r="G554" s="3" t="s">
        <v>4951</v>
      </c>
      <c r="H554" s="3">
        <v>6042070338</v>
      </c>
      <c r="I554" s="12" t="e">
        <f ca="1">VLOOKUP(D554,Input!B:M,10,0)</f>
        <v>#N/A</v>
      </c>
      <c r="J554" s="12"/>
      <c r="K554" s="12"/>
      <c r="L554" s="12"/>
      <c r="M554" s="12" t="e">
        <f ca="1">VLOOKUP(D554,Input!B:M,12,0)</f>
        <v>#N/A</v>
      </c>
      <c r="N554" s="12" t="e">
        <f ca="1">VLOOKUP(D554,Input!B:N,11,0)</f>
        <v>#N/A</v>
      </c>
      <c r="O554" s="12" t="e">
        <f ca="1">VLOOKUP(D554,Input!B:M,6,0)</f>
        <v>#N/A</v>
      </c>
      <c r="P554" s="6">
        <v>553</v>
      </c>
    </row>
    <row r="555" spans="1:16" ht="14.25">
      <c r="A555" s="13" t="str">
        <f>IFERROR(VLOOKUP($D:$D,scan!$A:$B,2,0),"**")</f>
        <v>**</v>
      </c>
      <c r="B555" s="13" t="str">
        <f>IFERROR(VLOOKUP($D555,scan!A:C,3,0),"**")</f>
        <v>**</v>
      </c>
      <c r="C555" s="14">
        <v>169</v>
      </c>
      <c r="D555" s="22"/>
      <c r="E555" s="16" t="str">
        <f t="shared" si="8"/>
        <v>554.**.</v>
      </c>
      <c r="F555" s="3" t="s">
        <v>4950</v>
      </c>
      <c r="G555" s="3" t="s">
        <v>4951</v>
      </c>
      <c r="H555" s="3">
        <v>6042070338</v>
      </c>
      <c r="I555" s="12" t="e">
        <f ca="1">VLOOKUP(D555,Input!B:M,10,0)</f>
        <v>#N/A</v>
      </c>
      <c r="J555" s="12"/>
      <c r="K555" s="12"/>
      <c r="L555" s="12"/>
      <c r="M555" s="12" t="e">
        <f ca="1">VLOOKUP(D555,Input!B:M,12,0)</f>
        <v>#N/A</v>
      </c>
      <c r="N555" s="12" t="e">
        <f ca="1">VLOOKUP(D555,Input!B:N,11,0)</f>
        <v>#N/A</v>
      </c>
      <c r="O555" s="12" t="e">
        <f ca="1">VLOOKUP(D555,Input!B:M,6,0)</f>
        <v>#N/A</v>
      </c>
      <c r="P555" s="6">
        <v>554</v>
      </c>
    </row>
    <row r="556" spans="1:16" ht="14.25">
      <c r="A556" s="13" t="str">
        <f>IFERROR(VLOOKUP($D:$D,scan!$A:$B,2,0),"**")</f>
        <v>**</v>
      </c>
      <c r="B556" s="13" t="str">
        <f>IFERROR(VLOOKUP($D556,scan!A:C,3,0),"**")</f>
        <v>**</v>
      </c>
      <c r="C556" s="14">
        <v>170</v>
      </c>
      <c r="D556" s="22"/>
      <c r="E556" s="16" t="str">
        <f t="shared" si="8"/>
        <v>555.**.</v>
      </c>
      <c r="F556" s="3" t="s">
        <v>4950</v>
      </c>
      <c r="G556" s="3" t="s">
        <v>4951</v>
      </c>
      <c r="H556" s="3">
        <v>6042070338</v>
      </c>
      <c r="I556" s="12" t="e">
        <f ca="1">VLOOKUP(D556,Input!B:M,10,0)</f>
        <v>#N/A</v>
      </c>
      <c r="J556" s="12"/>
      <c r="K556" s="12"/>
      <c r="L556" s="12"/>
      <c r="M556" s="12" t="e">
        <f ca="1">VLOOKUP(D556,Input!B:M,12,0)</f>
        <v>#N/A</v>
      </c>
      <c r="N556" s="12" t="e">
        <f ca="1">VLOOKUP(D556,Input!B:N,11,0)</f>
        <v>#N/A</v>
      </c>
      <c r="O556" s="12" t="e">
        <f ca="1">VLOOKUP(D556,Input!B:M,6,0)</f>
        <v>#N/A</v>
      </c>
      <c r="P556" s="6">
        <v>555</v>
      </c>
    </row>
    <row r="557" spans="1:16" ht="14.25">
      <c r="A557" s="13" t="str">
        <f>IFERROR(VLOOKUP($D:$D,scan!$A:$B,2,0),"**")</f>
        <v>**</v>
      </c>
      <c r="B557" s="13" t="str">
        <f>IFERROR(VLOOKUP($D557,scan!A:C,3,0),"**")</f>
        <v>**</v>
      </c>
      <c r="C557" s="5">
        <v>171</v>
      </c>
      <c r="D557" s="22"/>
      <c r="E557" s="16" t="str">
        <f t="shared" si="8"/>
        <v>556.**.</v>
      </c>
      <c r="F557" s="3" t="s">
        <v>4950</v>
      </c>
      <c r="G557" s="3" t="s">
        <v>4951</v>
      </c>
      <c r="H557" s="3">
        <v>6042070338</v>
      </c>
      <c r="I557" s="12" t="e">
        <f ca="1">VLOOKUP(D557,Input!B:M,10,0)</f>
        <v>#N/A</v>
      </c>
      <c r="J557" s="12"/>
      <c r="K557" s="12"/>
      <c r="L557" s="12"/>
      <c r="M557" s="12" t="e">
        <f ca="1">VLOOKUP(D557,Input!B:M,12,0)</f>
        <v>#N/A</v>
      </c>
      <c r="N557" s="12" t="e">
        <f ca="1">VLOOKUP(D557,Input!B:N,11,0)</f>
        <v>#N/A</v>
      </c>
      <c r="O557" s="12" t="e">
        <f ca="1">VLOOKUP(D557,Input!B:M,6,0)</f>
        <v>#N/A</v>
      </c>
      <c r="P557" s="6">
        <v>556</v>
      </c>
    </row>
    <row r="558" spans="1:16" ht="14.25">
      <c r="A558" s="13" t="str">
        <f>IFERROR(VLOOKUP($D:$D,scan!$A:$B,2,0),"**")</f>
        <v>**</v>
      </c>
      <c r="B558" s="13" t="str">
        <f>IFERROR(VLOOKUP($D558,scan!A:C,3,0),"**")</f>
        <v>**</v>
      </c>
      <c r="C558" s="14">
        <v>172</v>
      </c>
      <c r="D558" s="31"/>
      <c r="E558" s="16" t="str">
        <f t="shared" si="8"/>
        <v>557.**.</v>
      </c>
      <c r="F558" s="3" t="s">
        <v>4950</v>
      </c>
      <c r="G558" s="3" t="s">
        <v>4951</v>
      </c>
      <c r="H558" s="3">
        <v>6042070338</v>
      </c>
      <c r="I558" s="12" t="e">
        <f ca="1">VLOOKUP(D558,Input!B:M,10,0)</f>
        <v>#N/A</v>
      </c>
      <c r="J558" s="12"/>
      <c r="K558" s="12"/>
      <c r="L558" s="12"/>
      <c r="M558" s="12" t="e">
        <f ca="1">VLOOKUP(D558,Input!B:M,12,0)</f>
        <v>#N/A</v>
      </c>
      <c r="N558" s="12" t="e">
        <f ca="1">VLOOKUP(D558,Input!B:N,11,0)</f>
        <v>#N/A</v>
      </c>
      <c r="O558" s="12" t="e">
        <f ca="1">VLOOKUP(D558,Input!B:M,6,0)</f>
        <v>#N/A</v>
      </c>
      <c r="P558" s="6">
        <v>557</v>
      </c>
    </row>
    <row r="559" spans="1:16" ht="14.25">
      <c r="A559" s="13" t="str">
        <f>IFERROR(VLOOKUP($D:$D,scan!$A:$B,2,0),"**")</f>
        <v>**</v>
      </c>
      <c r="B559" s="13" t="str">
        <f>IFERROR(VLOOKUP($D559,scan!A:C,3,0),"**")</f>
        <v>**</v>
      </c>
      <c r="C559" s="14">
        <v>173</v>
      </c>
      <c r="D559" s="31"/>
      <c r="E559" s="16" t="str">
        <f t="shared" si="8"/>
        <v>558.**.</v>
      </c>
      <c r="F559" s="3" t="s">
        <v>4950</v>
      </c>
      <c r="G559" s="3" t="s">
        <v>4951</v>
      </c>
      <c r="H559" s="3">
        <v>6042070338</v>
      </c>
      <c r="I559" s="12" t="e">
        <f ca="1">VLOOKUP(D559,Input!B:M,10,0)</f>
        <v>#N/A</v>
      </c>
      <c r="J559" s="12"/>
      <c r="K559" s="12"/>
      <c r="L559" s="12"/>
      <c r="M559" s="12" t="e">
        <f ca="1">VLOOKUP(D559,Input!B:M,12,0)</f>
        <v>#N/A</v>
      </c>
      <c r="N559" s="12" t="e">
        <f ca="1">VLOOKUP(D559,Input!B:N,11,0)</f>
        <v>#N/A</v>
      </c>
      <c r="O559" s="12" t="e">
        <f ca="1">VLOOKUP(D559,Input!B:M,6,0)</f>
        <v>#N/A</v>
      </c>
      <c r="P559" s="6">
        <v>558</v>
      </c>
    </row>
    <row r="560" spans="1:16" ht="14.25">
      <c r="A560" s="13" t="str">
        <f>IFERROR(VLOOKUP($D:$D,scan!$A:$B,2,0),"**")</f>
        <v>**</v>
      </c>
      <c r="B560" s="13" t="str">
        <f>IFERROR(VLOOKUP($D560,scan!A:C,3,0),"**")</f>
        <v>**</v>
      </c>
      <c r="C560" s="14">
        <v>174</v>
      </c>
      <c r="D560" s="32"/>
      <c r="E560" s="16" t="str">
        <f t="shared" si="8"/>
        <v>559.**.</v>
      </c>
      <c r="F560" s="3" t="s">
        <v>4950</v>
      </c>
      <c r="G560" s="3" t="s">
        <v>4951</v>
      </c>
      <c r="H560" s="3">
        <v>6042070338</v>
      </c>
      <c r="I560" s="12" t="e">
        <f ca="1">VLOOKUP(D560,Input!B:M,10,0)</f>
        <v>#N/A</v>
      </c>
      <c r="J560" s="12"/>
      <c r="K560" s="12"/>
      <c r="L560" s="12"/>
      <c r="M560" s="12" t="e">
        <f ca="1">VLOOKUP(D560,Input!B:M,12,0)</f>
        <v>#N/A</v>
      </c>
      <c r="N560" s="12" t="e">
        <f ca="1">VLOOKUP(D560,Input!B:N,11,0)</f>
        <v>#N/A</v>
      </c>
      <c r="O560" s="12" t="e">
        <f ca="1">VLOOKUP(D560,Input!B:M,6,0)</f>
        <v>#N/A</v>
      </c>
      <c r="P560" s="6">
        <v>559</v>
      </c>
    </row>
    <row r="561" spans="1:16" ht="14.25">
      <c r="A561" s="13" t="str">
        <f>IFERROR(VLOOKUP($D:$D,scan!$A:$B,2,0),"**")</f>
        <v>**</v>
      </c>
      <c r="B561" s="13" t="str">
        <f>IFERROR(VLOOKUP($D561,scan!A:C,3,0),"**")</f>
        <v>**</v>
      </c>
      <c r="C561" s="14">
        <v>210</v>
      </c>
      <c r="D561" s="28"/>
      <c r="E561" s="16" t="str">
        <f t="shared" si="8"/>
        <v>560.**.</v>
      </c>
      <c r="F561" s="3" t="s">
        <v>4950</v>
      </c>
      <c r="G561" s="3" t="s">
        <v>4951</v>
      </c>
      <c r="H561" s="3">
        <v>6042070338</v>
      </c>
      <c r="I561" s="12" t="e">
        <f ca="1">VLOOKUP(D561,Input!B:M,10,0)</f>
        <v>#N/A</v>
      </c>
      <c r="J561" s="12"/>
      <c r="K561" s="12"/>
      <c r="L561" s="12"/>
      <c r="M561" s="12" t="e">
        <f ca="1">VLOOKUP(D561,Input!B:M,12,0)</f>
        <v>#N/A</v>
      </c>
      <c r="N561" s="12" t="e">
        <f ca="1">VLOOKUP(D561,Input!B:N,11,0)</f>
        <v>#N/A</v>
      </c>
      <c r="O561" s="12" t="e">
        <f ca="1">VLOOKUP(D561,Input!B:M,6,0)</f>
        <v>#N/A</v>
      </c>
      <c r="P561" s="6">
        <v>560</v>
      </c>
    </row>
    <row r="562" spans="1:16" ht="15">
      <c r="A562" s="13" t="str">
        <f>IFERROR(VLOOKUP($D:$D,scan!$A:$B,2,0),"**")</f>
        <v>**</v>
      </c>
      <c r="B562" s="13" t="str">
        <f>IFERROR(VLOOKUP($D562,scan!A:C,3,0),"**")</f>
        <v>**</v>
      </c>
      <c r="C562" s="14">
        <v>229</v>
      </c>
      <c r="D562" s="33"/>
      <c r="E562" s="16" t="str">
        <f t="shared" si="8"/>
        <v>561.**.</v>
      </c>
      <c r="F562" s="3" t="s">
        <v>4950</v>
      </c>
      <c r="G562" s="3" t="s">
        <v>4951</v>
      </c>
      <c r="H562" s="3">
        <v>6042070338</v>
      </c>
      <c r="I562" s="12" t="e">
        <f ca="1">VLOOKUP(D562,Input!B:M,10,0)</f>
        <v>#N/A</v>
      </c>
      <c r="J562" s="12"/>
      <c r="K562" s="12"/>
      <c r="L562" s="12"/>
      <c r="M562" s="12" t="e">
        <f ca="1">VLOOKUP(D562,Input!B:M,12,0)</f>
        <v>#N/A</v>
      </c>
      <c r="N562" s="12" t="e">
        <f ca="1">VLOOKUP(D562,Input!B:N,11,0)</f>
        <v>#N/A</v>
      </c>
      <c r="O562" s="12" t="e">
        <f ca="1">VLOOKUP(D562,Input!B:M,6,0)</f>
        <v>#N/A</v>
      </c>
      <c r="P562" s="6">
        <v>561</v>
      </c>
    </row>
    <row r="563" spans="1:16" ht="14.25">
      <c r="A563" s="13" t="str">
        <f>IFERROR(VLOOKUP($D:$D,scan!$A:$B,2,0),"**")</f>
        <v>**</v>
      </c>
      <c r="B563" s="13" t="str">
        <f>IFERROR(VLOOKUP($D563,scan!A:C,3,0),"**")</f>
        <v>**</v>
      </c>
      <c r="C563" s="14">
        <v>230</v>
      </c>
      <c r="D563" s="15"/>
      <c r="E563" s="16" t="str">
        <f t="shared" si="8"/>
        <v>562.**.</v>
      </c>
      <c r="F563" s="3" t="s">
        <v>4950</v>
      </c>
      <c r="G563" s="3" t="s">
        <v>4951</v>
      </c>
      <c r="H563" s="3">
        <v>6042070338</v>
      </c>
      <c r="I563" s="12" t="e">
        <f ca="1">VLOOKUP(D563,Input!B:M,10,0)</f>
        <v>#N/A</v>
      </c>
      <c r="J563" s="12"/>
      <c r="K563" s="12"/>
      <c r="L563" s="12"/>
      <c r="M563" s="12" t="e">
        <f ca="1">VLOOKUP(D563,Input!B:M,12,0)</f>
        <v>#N/A</v>
      </c>
      <c r="N563" s="12" t="e">
        <f ca="1">VLOOKUP(D563,Input!B:N,11,0)</f>
        <v>#N/A</v>
      </c>
      <c r="O563" s="12" t="e">
        <f ca="1">VLOOKUP(D563,Input!B:M,6,0)</f>
        <v>#N/A</v>
      </c>
      <c r="P563" s="6">
        <v>562</v>
      </c>
    </row>
    <row r="564" spans="1:16" ht="14.25">
      <c r="A564" s="13" t="str">
        <f>IFERROR(VLOOKUP($D:$D,scan!$A:$B,2,0),"**")</f>
        <v>**</v>
      </c>
      <c r="B564" s="13" t="str">
        <f>IFERROR(VLOOKUP($D564,scan!A:C,3,0),"**")</f>
        <v>**</v>
      </c>
      <c r="C564" s="5">
        <v>231</v>
      </c>
      <c r="D564" s="15"/>
      <c r="E564" s="16" t="str">
        <f t="shared" si="8"/>
        <v>563.**.</v>
      </c>
      <c r="F564" s="3" t="s">
        <v>4950</v>
      </c>
      <c r="G564" s="3" t="s">
        <v>4951</v>
      </c>
      <c r="H564" s="3">
        <v>6042070338</v>
      </c>
      <c r="I564" s="12" t="e">
        <f ca="1">VLOOKUP(D564,Input!B:M,10,0)</f>
        <v>#N/A</v>
      </c>
      <c r="J564" s="12"/>
      <c r="K564" s="12"/>
      <c r="L564" s="12"/>
      <c r="M564" s="12" t="e">
        <f ca="1">VLOOKUP(D564,Input!B:M,12,0)</f>
        <v>#N/A</v>
      </c>
      <c r="N564" s="12" t="e">
        <f ca="1">VLOOKUP(D564,Input!B:N,11,0)</f>
        <v>#N/A</v>
      </c>
      <c r="O564" s="12" t="e">
        <f ca="1">VLOOKUP(D564,Input!B:M,6,0)</f>
        <v>#N/A</v>
      </c>
      <c r="P564" s="6">
        <v>563</v>
      </c>
    </row>
    <row r="565" spans="1:16" ht="14.25">
      <c r="A565" s="13" t="str">
        <f>IFERROR(VLOOKUP($D:$D,scan!$A:$B,2,0),"**")</f>
        <v>**</v>
      </c>
      <c r="B565" s="13" t="str">
        <f>IFERROR(VLOOKUP($D565,scan!A:C,3,0),"**")</f>
        <v>**</v>
      </c>
      <c r="C565" s="14">
        <v>232</v>
      </c>
      <c r="D565" s="15"/>
      <c r="E565" s="16" t="str">
        <f t="shared" si="8"/>
        <v>564.**.</v>
      </c>
      <c r="F565" s="3" t="s">
        <v>4950</v>
      </c>
      <c r="G565" s="3" t="s">
        <v>4951</v>
      </c>
      <c r="H565" s="3">
        <v>6042070338</v>
      </c>
      <c r="I565" s="12" t="e">
        <f ca="1">VLOOKUP(D565,Input!B:M,10,0)</f>
        <v>#N/A</v>
      </c>
      <c r="J565" s="12"/>
      <c r="K565" s="12"/>
      <c r="L565" s="12"/>
      <c r="M565" s="12" t="e">
        <f ca="1">VLOOKUP(D565,Input!B:M,12,0)</f>
        <v>#N/A</v>
      </c>
      <c r="N565" s="12" t="e">
        <f ca="1">VLOOKUP(D565,Input!B:N,11,0)</f>
        <v>#N/A</v>
      </c>
      <c r="O565" s="12" t="e">
        <f ca="1">VLOOKUP(D565,Input!B:M,6,0)</f>
        <v>#N/A</v>
      </c>
      <c r="P565" s="6">
        <v>564</v>
      </c>
    </row>
    <row r="566" spans="1:16" ht="14.25">
      <c r="A566" s="13" t="str">
        <f>IFERROR(VLOOKUP($D:$D,scan!$A:$B,2,0),"**")</f>
        <v>**</v>
      </c>
      <c r="B566" s="13" t="str">
        <f>IFERROR(VLOOKUP($D566,scan!A:C,3,0),"**")</f>
        <v>**</v>
      </c>
      <c r="C566" s="14">
        <v>277</v>
      </c>
      <c r="D566" s="26"/>
      <c r="E566" s="16" t="str">
        <f t="shared" si="8"/>
        <v>565.**.</v>
      </c>
      <c r="F566" s="3" t="s">
        <v>4950</v>
      </c>
      <c r="G566" s="3" t="s">
        <v>4951</v>
      </c>
      <c r="H566" s="3">
        <v>6042070338</v>
      </c>
      <c r="I566" s="12" t="e">
        <f ca="1">VLOOKUP(D566,Input!B:M,10,0)</f>
        <v>#N/A</v>
      </c>
      <c r="J566" s="12"/>
      <c r="K566" s="12"/>
      <c r="L566" s="12"/>
      <c r="M566" s="12" t="e">
        <f ca="1">VLOOKUP(D566,Input!B:M,12,0)</f>
        <v>#N/A</v>
      </c>
      <c r="N566" s="12" t="e">
        <f ca="1">VLOOKUP(D566,Input!B:N,11,0)</f>
        <v>#N/A</v>
      </c>
      <c r="O566" s="12" t="e">
        <f ca="1">VLOOKUP(D566,Input!B:M,6,0)</f>
        <v>#N/A</v>
      </c>
      <c r="P566" s="6">
        <v>565</v>
      </c>
    </row>
    <row r="567" spans="1:16" ht="15">
      <c r="A567" s="13" t="str">
        <f>IFERROR(VLOOKUP($D:$D,scan!$A:$B,2,0),"**")</f>
        <v>**</v>
      </c>
      <c r="B567" s="13" t="str">
        <f>IFERROR(VLOOKUP($D567,scan!A:C,3,0),"**")</f>
        <v>**</v>
      </c>
      <c r="C567" s="14">
        <v>288</v>
      </c>
      <c r="D567" s="27"/>
      <c r="E567" s="16" t="str">
        <f t="shared" si="8"/>
        <v>566.**.</v>
      </c>
      <c r="F567" s="3" t="s">
        <v>4950</v>
      </c>
      <c r="G567" s="3" t="s">
        <v>4951</v>
      </c>
      <c r="H567" s="3">
        <v>6042070338</v>
      </c>
      <c r="I567" s="12" t="e">
        <f ca="1">VLOOKUP(D567,Input!B:M,10,0)</f>
        <v>#N/A</v>
      </c>
      <c r="J567" s="12"/>
      <c r="K567" s="12"/>
      <c r="L567" s="12"/>
      <c r="M567" s="12" t="e">
        <f ca="1">VLOOKUP(D567,Input!B:M,12,0)</f>
        <v>#N/A</v>
      </c>
      <c r="N567" s="12" t="e">
        <f ca="1">VLOOKUP(D567,Input!B:N,11,0)</f>
        <v>#N/A</v>
      </c>
      <c r="O567" s="12" t="e">
        <f ca="1">VLOOKUP(D567,Input!B:M,6,0)</f>
        <v>#N/A</v>
      </c>
      <c r="P567" s="6">
        <v>566</v>
      </c>
    </row>
    <row r="568" spans="1:16" ht="14.25">
      <c r="A568" s="13" t="str">
        <f>IFERROR(VLOOKUP($D:$D,scan!$A:$B,2,0),"**")</f>
        <v>**</v>
      </c>
      <c r="B568" s="13" t="str">
        <f>IFERROR(VLOOKUP($D568,scan!A:C,3,0),"**")</f>
        <v>**</v>
      </c>
      <c r="C568" s="14">
        <v>290</v>
      </c>
      <c r="D568" s="22"/>
      <c r="E568" s="16" t="str">
        <f t="shared" si="8"/>
        <v>567.**.</v>
      </c>
      <c r="F568" s="3" t="s">
        <v>4950</v>
      </c>
      <c r="G568" s="3" t="s">
        <v>4951</v>
      </c>
      <c r="H568" s="3">
        <v>6042070338</v>
      </c>
      <c r="I568" s="12" t="e">
        <f ca="1">VLOOKUP(D568,Input!B:M,10,0)</f>
        <v>#N/A</v>
      </c>
      <c r="J568" s="12"/>
      <c r="K568" s="12"/>
      <c r="L568" s="12"/>
      <c r="M568" s="12" t="e">
        <f ca="1">VLOOKUP(D568,Input!B:M,12,0)</f>
        <v>#N/A</v>
      </c>
      <c r="N568" s="12" t="e">
        <f ca="1">VLOOKUP(D568,Input!B:N,11,0)</f>
        <v>#N/A</v>
      </c>
      <c r="O568" s="12" t="e">
        <f ca="1">VLOOKUP(D568,Input!B:M,6,0)</f>
        <v>#N/A</v>
      </c>
      <c r="P568" s="6">
        <v>567</v>
      </c>
    </row>
    <row r="569" spans="1:16" ht="14.25">
      <c r="A569" s="13" t="str">
        <f>IFERROR(VLOOKUP($D:$D,scan!$A:$B,2,0),"**")</f>
        <v>**</v>
      </c>
      <c r="B569" s="13" t="str">
        <f>IFERROR(VLOOKUP($D569,scan!A:C,3,0),"**")</f>
        <v>**</v>
      </c>
      <c r="C569" s="5">
        <v>291</v>
      </c>
      <c r="D569" s="28"/>
      <c r="E569" s="16" t="str">
        <f t="shared" si="8"/>
        <v>568.**.</v>
      </c>
      <c r="F569" s="3" t="s">
        <v>4950</v>
      </c>
      <c r="G569" s="3" t="s">
        <v>4951</v>
      </c>
      <c r="H569" s="3">
        <v>6042070338</v>
      </c>
      <c r="I569" s="12" t="e">
        <f ca="1">VLOOKUP(D569,Input!B:M,10,0)</f>
        <v>#N/A</v>
      </c>
      <c r="J569" s="12"/>
      <c r="K569" s="12"/>
      <c r="L569" s="12"/>
      <c r="M569" s="12" t="e">
        <f ca="1">VLOOKUP(D569,Input!B:M,12,0)</f>
        <v>#N/A</v>
      </c>
      <c r="N569" s="12" t="e">
        <f ca="1">VLOOKUP(D569,Input!B:N,11,0)</f>
        <v>#N/A</v>
      </c>
      <c r="O569" s="12" t="e">
        <f ca="1">VLOOKUP(D569,Input!B:M,6,0)</f>
        <v>#N/A</v>
      </c>
      <c r="P569" s="6">
        <v>568</v>
      </c>
    </row>
    <row r="570" spans="1:16" ht="14.25">
      <c r="A570" s="13" t="str">
        <f>IFERROR(VLOOKUP($D:$D,scan!$A:$B,2,0),"**")</f>
        <v>**</v>
      </c>
      <c r="B570" s="13" t="str">
        <f>IFERROR(VLOOKUP($D570,scan!A:C,3,0),"**")</f>
        <v>**</v>
      </c>
      <c r="C570" s="14">
        <v>292</v>
      </c>
      <c r="D570" s="28"/>
      <c r="E570" s="16" t="str">
        <f t="shared" si="8"/>
        <v>569.**.</v>
      </c>
      <c r="F570" s="3" t="s">
        <v>4950</v>
      </c>
      <c r="G570" s="3" t="s">
        <v>4951</v>
      </c>
      <c r="H570" s="3">
        <v>6042070338</v>
      </c>
      <c r="I570" s="12" t="e">
        <f ca="1">VLOOKUP(D570,Input!B:M,10,0)</f>
        <v>#N/A</v>
      </c>
      <c r="J570" s="12"/>
      <c r="K570" s="12"/>
      <c r="L570" s="12"/>
      <c r="M570" s="12" t="e">
        <f ca="1">VLOOKUP(D570,Input!B:M,12,0)</f>
        <v>#N/A</v>
      </c>
      <c r="N570" s="12" t="e">
        <f ca="1">VLOOKUP(D570,Input!B:N,11,0)</f>
        <v>#N/A</v>
      </c>
      <c r="O570" s="12" t="e">
        <f ca="1">VLOOKUP(D570,Input!B:M,6,0)</f>
        <v>#N/A</v>
      </c>
      <c r="P570" s="6">
        <v>569</v>
      </c>
    </row>
    <row r="571" spans="1:16" ht="14.25">
      <c r="A571" s="13" t="str">
        <f>IFERROR(VLOOKUP($D:$D,scan!$A:$B,2,0),"**")</f>
        <v>**</v>
      </c>
      <c r="B571" s="13" t="str">
        <f>IFERROR(VLOOKUP($D571,scan!A:C,3,0),"**")</f>
        <v>**</v>
      </c>
      <c r="C571" s="14">
        <v>293</v>
      </c>
      <c r="D571" s="28"/>
      <c r="E571" s="16" t="str">
        <f t="shared" si="8"/>
        <v>570.**.</v>
      </c>
      <c r="F571" s="3" t="s">
        <v>4950</v>
      </c>
      <c r="G571" s="3" t="s">
        <v>4951</v>
      </c>
      <c r="H571" s="3">
        <v>6042070338</v>
      </c>
      <c r="I571" s="12" t="e">
        <f ca="1">VLOOKUP(D571,Input!B:M,10,0)</f>
        <v>#N/A</v>
      </c>
      <c r="J571" s="12"/>
      <c r="K571" s="12"/>
      <c r="L571" s="12"/>
      <c r="M571" s="12" t="e">
        <f ca="1">VLOOKUP(D571,Input!B:M,12,0)</f>
        <v>#N/A</v>
      </c>
      <c r="N571" s="12" t="e">
        <f ca="1">VLOOKUP(D571,Input!B:N,11,0)</f>
        <v>#N/A</v>
      </c>
      <c r="O571" s="12" t="e">
        <f ca="1">VLOOKUP(D571,Input!B:M,6,0)</f>
        <v>#N/A</v>
      </c>
      <c r="P571" s="6">
        <v>570</v>
      </c>
    </row>
    <row r="572" spans="1:16" ht="14.25">
      <c r="A572" s="13" t="str">
        <f>IFERROR(VLOOKUP($D:$D,scan!$A:$B,2,0),"**")</f>
        <v>**</v>
      </c>
      <c r="B572" s="13" t="str">
        <f>IFERROR(VLOOKUP($D572,scan!A:C,3,0),"**")</f>
        <v>**</v>
      </c>
      <c r="C572" s="14">
        <v>294</v>
      </c>
      <c r="D572" s="28"/>
      <c r="E572" s="16" t="str">
        <f t="shared" si="8"/>
        <v>571.**.</v>
      </c>
      <c r="F572" s="3" t="s">
        <v>4950</v>
      </c>
      <c r="G572" s="3" t="s">
        <v>4951</v>
      </c>
      <c r="H572" s="3">
        <v>6042070338</v>
      </c>
      <c r="I572" s="12" t="e">
        <f ca="1">VLOOKUP(D572,Input!B:M,10,0)</f>
        <v>#N/A</v>
      </c>
      <c r="J572" s="12"/>
      <c r="K572" s="12"/>
      <c r="L572" s="12"/>
      <c r="M572" s="12" t="e">
        <f ca="1">VLOOKUP(D572,Input!B:M,12,0)</f>
        <v>#N/A</v>
      </c>
      <c r="N572" s="12" t="e">
        <f ca="1">VLOOKUP(D572,Input!B:N,11,0)</f>
        <v>#N/A</v>
      </c>
      <c r="O572" s="12" t="e">
        <f ca="1">VLOOKUP(D572,Input!B:M,6,0)</f>
        <v>#N/A</v>
      </c>
      <c r="P572" s="6">
        <v>571</v>
      </c>
    </row>
    <row r="573" spans="1:16" ht="14.25">
      <c r="A573" s="13" t="str">
        <f>IFERROR(VLOOKUP($D:$D,scan!$A:$B,2,0),"**")</f>
        <v>**</v>
      </c>
      <c r="B573" s="13" t="str">
        <f>IFERROR(VLOOKUP($D573,scan!A:C,3,0),"**")</f>
        <v>**</v>
      </c>
      <c r="C573" s="14">
        <v>295</v>
      </c>
      <c r="D573" s="28"/>
      <c r="E573" s="16" t="str">
        <f t="shared" si="8"/>
        <v>572.**.</v>
      </c>
      <c r="F573" s="3" t="s">
        <v>4950</v>
      </c>
      <c r="G573" s="3" t="s">
        <v>4951</v>
      </c>
      <c r="H573" s="3">
        <v>6042070338</v>
      </c>
      <c r="I573" s="12" t="e">
        <f ca="1">VLOOKUP(D573,Input!B:M,10,0)</f>
        <v>#N/A</v>
      </c>
      <c r="J573" s="12"/>
      <c r="K573" s="12"/>
      <c r="L573" s="12"/>
      <c r="M573" s="12" t="e">
        <f ca="1">VLOOKUP(D573,Input!B:M,12,0)</f>
        <v>#N/A</v>
      </c>
      <c r="N573" s="12" t="e">
        <f ca="1">VLOOKUP(D573,Input!B:N,11,0)</f>
        <v>#N/A</v>
      </c>
      <c r="O573" s="12" t="e">
        <f ca="1">VLOOKUP(D573,Input!B:M,6,0)</f>
        <v>#N/A</v>
      </c>
      <c r="P573" s="6">
        <v>572</v>
      </c>
    </row>
    <row r="574" spans="1:16" ht="14.25">
      <c r="A574" s="13" t="str">
        <f>IFERROR(VLOOKUP($D:$D,scan!$A:$B,2,0),"**")</f>
        <v>**</v>
      </c>
      <c r="B574" s="13" t="str">
        <f>IFERROR(VLOOKUP($D574,scan!A:C,3,0),"**")</f>
        <v>**</v>
      </c>
      <c r="C574" s="14">
        <v>299</v>
      </c>
      <c r="D574" s="15"/>
      <c r="E574" s="16" t="str">
        <f t="shared" si="8"/>
        <v>573.**.</v>
      </c>
      <c r="F574" s="3" t="s">
        <v>4950</v>
      </c>
      <c r="G574" s="3" t="s">
        <v>4951</v>
      </c>
      <c r="H574" s="3">
        <v>6042070338</v>
      </c>
      <c r="I574" s="12" t="e">
        <f ca="1">VLOOKUP(D574,Input!B:M,10,0)</f>
        <v>#N/A</v>
      </c>
      <c r="J574" s="12"/>
      <c r="K574" s="12"/>
      <c r="L574" s="12"/>
      <c r="M574" s="12" t="e">
        <f ca="1">VLOOKUP(D574,Input!B:M,12,0)</f>
        <v>#N/A</v>
      </c>
      <c r="N574" s="12" t="e">
        <f ca="1">VLOOKUP(D574,Input!B:N,11,0)</f>
        <v>#N/A</v>
      </c>
      <c r="O574" s="12" t="e">
        <f ca="1">VLOOKUP(D574,Input!B:M,6,0)</f>
        <v>#N/A</v>
      </c>
      <c r="P574" s="6">
        <v>573</v>
      </c>
    </row>
    <row r="575" spans="1:16" ht="14.25">
      <c r="A575" s="13" t="str">
        <f>IFERROR(VLOOKUP($D:$D,scan!$A:$B,2,0),"**")</f>
        <v>**</v>
      </c>
      <c r="B575" s="13" t="str">
        <f>IFERROR(VLOOKUP($D575,scan!A:C,3,0),"**")</f>
        <v>**</v>
      </c>
      <c r="C575" s="14">
        <v>300</v>
      </c>
      <c r="D575" s="15"/>
      <c r="E575" s="16" t="str">
        <f t="shared" si="8"/>
        <v>574.**.</v>
      </c>
      <c r="F575" s="3" t="s">
        <v>4950</v>
      </c>
      <c r="G575" s="3" t="s">
        <v>4951</v>
      </c>
      <c r="H575" s="3">
        <v>6042070338</v>
      </c>
      <c r="I575" s="12" t="e">
        <f ca="1">VLOOKUP(D575,Input!B:M,10,0)</f>
        <v>#N/A</v>
      </c>
      <c r="J575" s="12"/>
      <c r="K575" s="12"/>
      <c r="L575" s="12"/>
      <c r="M575" s="12" t="e">
        <f ca="1">VLOOKUP(D575,Input!B:M,12,0)</f>
        <v>#N/A</v>
      </c>
      <c r="N575" s="12" t="e">
        <f ca="1">VLOOKUP(D575,Input!B:N,11,0)</f>
        <v>#N/A</v>
      </c>
      <c r="O575" s="12" t="e">
        <f ca="1">VLOOKUP(D575,Input!B:M,6,0)</f>
        <v>#N/A</v>
      </c>
      <c r="P575" s="6">
        <v>574</v>
      </c>
    </row>
    <row r="576" spans="1:16" ht="14.25">
      <c r="A576" s="13" t="str">
        <f>IFERROR(VLOOKUP($D:$D,scan!$A:$B,2,0),"**")</f>
        <v>**</v>
      </c>
      <c r="B576" s="13" t="str">
        <f>IFERROR(VLOOKUP($D576,scan!A:C,3,0),"**")</f>
        <v>**</v>
      </c>
      <c r="C576" s="14">
        <v>312</v>
      </c>
      <c r="D576" s="30"/>
      <c r="E576" s="16" t="str">
        <f t="shared" si="8"/>
        <v>575.**.</v>
      </c>
      <c r="F576" s="3" t="s">
        <v>4950</v>
      </c>
      <c r="G576" s="3" t="s">
        <v>4951</v>
      </c>
      <c r="H576" s="3">
        <v>6042070338</v>
      </c>
      <c r="I576" s="12" t="e">
        <f ca="1">VLOOKUP(D576,Input!B:M,10,0)</f>
        <v>#N/A</v>
      </c>
      <c r="J576" s="12"/>
      <c r="K576" s="12"/>
      <c r="L576" s="12"/>
      <c r="M576" s="12" t="e">
        <f ca="1">VLOOKUP(D576,Input!B:M,12,0)</f>
        <v>#N/A</v>
      </c>
      <c r="N576" s="12" t="e">
        <f ca="1">VLOOKUP(D576,Input!B:N,11,0)</f>
        <v>#N/A</v>
      </c>
      <c r="O576" s="12" t="e">
        <f ca="1">VLOOKUP(D576,Input!B:M,6,0)</f>
        <v>#N/A</v>
      </c>
      <c r="P576" s="6">
        <v>575</v>
      </c>
    </row>
    <row r="577" spans="1:16" ht="14.25">
      <c r="A577" s="13" t="str">
        <f>IFERROR(VLOOKUP($D:$D,scan!$A:$B,2,0),"**")</f>
        <v>**</v>
      </c>
      <c r="B577" s="13" t="str">
        <f>IFERROR(VLOOKUP($D577,scan!A:C,3,0),"**")</f>
        <v>**</v>
      </c>
      <c r="C577" s="14">
        <v>313</v>
      </c>
      <c r="D577" s="22"/>
      <c r="E577" s="16" t="str">
        <f t="shared" si="8"/>
        <v>576.**.</v>
      </c>
      <c r="F577" s="3" t="s">
        <v>4950</v>
      </c>
      <c r="G577" s="3" t="s">
        <v>4951</v>
      </c>
      <c r="H577" s="3">
        <v>6042070338</v>
      </c>
      <c r="I577" s="12" t="e">
        <f ca="1">VLOOKUP(D577,Input!B:M,10,0)</f>
        <v>#N/A</v>
      </c>
      <c r="J577" s="12"/>
      <c r="K577" s="12"/>
      <c r="L577" s="12"/>
      <c r="M577" s="12" t="e">
        <f ca="1">VLOOKUP(D577,Input!B:M,12,0)</f>
        <v>#N/A</v>
      </c>
      <c r="N577" s="12" t="e">
        <f ca="1">VLOOKUP(D577,Input!B:N,11,0)</f>
        <v>#N/A</v>
      </c>
      <c r="O577" s="12" t="e">
        <f ca="1">VLOOKUP(D577,Input!B:M,6,0)</f>
        <v>#N/A</v>
      </c>
      <c r="P577" s="6">
        <v>576</v>
      </c>
    </row>
    <row r="578" spans="1:16" ht="14.25">
      <c r="A578" s="13" t="str">
        <f>IFERROR(VLOOKUP($D:$D,scan!$A:$B,2,0),"**")</f>
        <v>**</v>
      </c>
      <c r="B578" s="13" t="str">
        <f>IFERROR(VLOOKUP($D578,scan!A:C,3,0),"**")</f>
        <v>**</v>
      </c>
      <c r="C578" s="14">
        <v>314</v>
      </c>
      <c r="D578" s="22"/>
      <c r="E578" s="16" t="str">
        <f t="shared" ref="E578:E639" si="9">P578&amp;"."&amp;B578&amp;"."&amp;D578</f>
        <v>577.**.</v>
      </c>
      <c r="F578" s="3" t="s">
        <v>4950</v>
      </c>
      <c r="G578" s="3" t="s">
        <v>4951</v>
      </c>
      <c r="H578" s="3">
        <v>6042070338</v>
      </c>
      <c r="I578" s="12" t="e">
        <f ca="1">VLOOKUP(D578,Input!B:M,10,0)</f>
        <v>#N/A</v>
      </c>
      <c r="J578" s="12"/>
      <c r="K578" s="12"/>
      <c r="L578" s="12"/>
      <c r="M578" s="12" t="e">
        <f ca="1">VLOOKUP(D578,Input!B:M,12,0)</f>
        <v>#N/A</v>
      </c>
      <c r="N578" s="12" t="e">
        <f ca="1">VLOOKUP(D578,Input!B:N,11,0)</f>
        <v>#N/A</v>
      </c>
      <c r="O578" s="12" t="e">
        <f ca="1">VLOOKUP(D578,Input!B:M,6,0)</f>
        <v>#N/A</v>
      </c>
      <c r="P578" s="6">
        <v>577</v>
      </c>
    </row>
    <row r="579" spans="1:16" ht="15.75">
      <c r="A579" s="13" t="str">
        <f>IFERROR(VLOOKUP($D:$D,scan!$A:$B,2,0),"**")</f>
        <v>**</v>
      </c>
      <c r="B579" s="13" t="str">
        <f>IFERROR(VLOOKUP($D579,scan!A:C,3,0),"**")</f>
        <v>**</v>
      </c>
      <c r="C579" s="14">
        <v>315</v>
      </c>
      <c r="D579" s="29"/>
      <c r="E579" s="16" t="str">
        <f t="shared" si="9"/>
        <v>578.**.</v>
      </c>
      <c r="F579" s="3" t="s">
        <v>4950</v>
      </c>
      <c r="G579" s="3" t="s">
        <v>4951</v>
      </c>
      <c r="H579" s="3">
        <v>6042070338</v>
      </c>
      <c r="I579" s="12" t="e">
        <f ca="1">VLOOKUP(D579,Input!B:M,10,0)</f>
        <v>#N/A</v>
      </c>
      <c r="J579" s="12"/>
      <c r="K579" s="12"/>
      <c r="L579" s="12"/>
      <c r="M579" s="12" t="e">
        <f ca="1">VLOOKUP(D579,Input!B:M,12,0)</f>
        <v>#N/A</v>
      </c>
      <c r="N579" s="12" t="e">
        <f ca="1">VLOOKUP(D579,Input!B:N,11,0)</f>
        <v>#N/A</v>
      </c>
      <c r="O579" s="12" t="e">
        <f ca="1">VLOOKUP(D579,Input!B:M,6,0)</f>
        <v>#N/A</v>
      </c>
      <c r="P579" s="6">
        <v>578</v>
      </c>
    </row>
    <row r="580" spans="1:16" ht="14.25">
      <c r="A580" s="13" t="str">
        <f>IFERROR(VLOOKUP($D:$D,scan!$A:$B,2,0),"**")</f>
        <v>**</v>
      </c>
      <c r="B580" s="13" t="str">
        <f>IFERROR(VLOOKUP($D580,scan!A:C,3,0),"**")</f>
        <v>**</v>
      </c>
      <c r="C580" s="5">
        <v>316</v>
      </c>
      <c r="D580" s="22"/>
      <c r="E580" s="16" t="str">
        <f t="shared" si="9"/>
        <v>579.**.</v>
      </c>
      <c r="F580" s="3" t="s">
        <v>4950</v>
      </c>
      <c r="G580" s="3" t="s">
        <v>4951</v>
      </c>
      <c r="H580" s="3">
        <v>6042070338</v>
      </c>
      <c r="I580" s="12" t="e">
        <f ca="1">VLOOKUP(D580,Input!B:M,10,0)</f>
        <v>#N/A</v>
      </c>
      <c r="J580" s="12"/>
      <c r="K580" s="12"/>
      <c r="L580" s="12"/>
      <c r="M580" s="12" t="e">
        <f ca="1">VLOOKUP(D580,Input!B:M,12,0)</f>
        <v>#N/A</v>
      </c>
      <c r="N580" s="12" t="e">
        <f ca="1">VLOOKUP(D580,Input!B:N,11,0)</f>
        <v>#N/A</v>
      </c>
      <c r="O580" s="12" t="e">
        <f ca="1">VLOOKUP(D580,Input!B:M,6,0)</f>
        <v>#N/A</v>
      </c>
      <c r="P580" s="6">
        <v>579</v>
      </c>
    </row>
    <row r="581" spans="1:16" ht="15.75">
      <c r="A581" s="13" t="str">
        <f>IFERROR(VLOOKUP($D:$D,scan!$A:$B,2,0),"**")</f>
        <v>**</v>
      </c>
      <c r="B581" s="13" t="str">
        <f>IFERROR(VLOOKUP($D581,scan!A:C,3,0),"**")</f>
        <v>**</v>
      </c>
      <c r="C581" s="14">
        <v>317</v>
      </c>
      <c r="D581" s="23"/>
      <c r="E581" s="16" t="str">
        <f t="shared" si="9"/>
        <v>580.**.</v>
      </c>
      <c r="F581" s="3" t="s">
        <v>4950</v>
      </c>
      <c r="G581" s="3" t="s">
        <v>4951</v>
      </c>
      <c r="H581" s="3">
        <v>6042070338</v>
      </c>
      <c r="I581" s="12" t="e">
        <f ca="1">VLOOKUP(D581,Input!B:M,10,0)</f>
        <v>#N/A</v>
      </c>
      <c r="J581" s="12"/>
      <c r="K581" s="12"/>
      <c r="L581" s="12"/>
      <c r="M581" s="12" t="e">
        <f ca="1">VLOOKUP(D581,Input!B:M,12,0)</f>
        <v>#N/A</v>
      </c>
      <c r="N581" s="12" t="e">
        <f ca="1">VLOOKUP(D581,Input!B:N,11,0)</f>
        <v>#N/A</v>
      </c>
      <c r="O581" s="12" t="e">
        <f ca="1">VLOOKUP(D581,Input!B:M,6,0)</f>
        <v>#N/A</v>
      </c>
      <c r="P581" s="6">
        <v>580</v>
      </c>
    </row>
    <row r="582" spans="1:16" ht="14.25">
      <c r="A582" s="13" t="str">
        <f>IFERROR(VLOOKUP($D:$D,scan!$A:$B,2,0),"**")</f>
        <v>**</v>
      </c>
      <c r="B582" s="13" t="str">
        <f>IFERROR(VLOOKUP($D582,scan!A:C,3,0),"**")</f>
        <v>**</v>
      </c>
      <c r="C582" s="14">
        <v>318</v>
      </c>
      <c r="D582" s="31"/>
      <c r="E582" s="16" t="str">
        <f t="shared" si="9"/>
        <v>581.**.</v>
      </c>
      <c r="F582" s="3" t="s">
        <v>4950</v>
      </c>
      <c r="G582" s="3" t="s">
        <v>4951</v>
      </c>
      <c r="H582" s="3">
        <v>6042070338</v>
      </c>
      <c r="I582" s="12" t="e">
        <f ca="1">VLOOKUP(D582,Input!B:M,10,0)</f>
        <v>#N/A</v>
      </c>
      <c r="J582" s="12"/>
      <c r="K582" s="12"/>
      <c r="L582" s="12"/>
      <c r="M582" s="12" t="e">
        <f ca="1">VLOOKUP(D582,Input!B:M,12,0)</f>
        <v>#N/A</v>
      </c>
      <c r="N582" s="12" t="e">
        <f ca="1">VLOOKUP(D582,Input!B:N,11,0)</f>
        <v>#N/A</v>
      </c>
      <c r="O582" s="12" t="e">
        <f ca="1">VLOOKUP(D582,Input!B:M,6,0)</f>
        <v>#N/A</v>
      </c>
      <c r="P582" s="6">
        <v>581</v>
      </c>
    </row>
    <row r="583" spans="1:16" ht="14.25">
      <c r="A583" s="13" t="str">
        <f>IFERROR(VLOOKUP($D:$D,scan!$A:$B,2,0),"**")</f>
        <v>**</v>
      </c>
      <c r="B583" s="13" t="str">
        <f>IFERROR(VLOOKUP($D583,scan!A:C,3,0),"**")</f>
        <v>**</v>
      </c>
      <c r="C583" s="14">
        <v>330</v>
      </c>
      <c r="D583" s="17"/>
      <c r="E583" s="16" t="str">
        <f t="shared" si="9"/>
        <v>582.**.</v>
      </c>
      <c r="F583" s="3" t="s">
        <v>4950</v>
      </c>
      <c r="G583" s="3" t="s">
        <v>4951</v>
      </c>
      <c r="H583" s="3">
        <v>6042070338</v>
      </c>
      <c r="I583" s="12" t="e">
        <f ca="1">VLOOKUP(D583,Input!B:M,10,0)</f>
        <v>#N/A</v>
      </c>
      <c r="J583" s="12"/>
      <c r="K583" s="12"/>
      <c r="L583" s="12"/>
      <c r="M583" s="12" t="e">
        <f ca="1">VLOOKUP(D583,Input!B:M,12,0)</f>
        <v>#N/A</v>
      </c>
      <c r="N583" s="12" t="e">
        <f ca="1">VLOOKUP(D583,Input!B:N,11,0)</f>
        <v>#N/A</v>
      </c>
      <c r="O583" s="12" t="e">
        <f ca="1">VLOOKUP(D583,Input!B:M,6,0)</f>
        <v>#N/A</v>
      </c>
      <c r="P583" s="6">
        <v>582</v>
      </c>
    </row>
    <row r="584" spans="1:16" ht="15">
      <c r="A584" s="13" t="str">
        <f>IFERROR(VLOOKUP($D:$D,scan!$A:$B,2,0),"**")</f>
        <v>**</v>
      </c>
      <c r="B584" s="13" t="str">
        <f>IFERROR(VLOOKUP($D584,scan!A:C,3,0),"**")</f>
        <v>**</v>
      </c>
      <c r="C584" s="14">
        <v>334</v>
      </c>
      <c r="D584" s="25"/>
      <c r="E584" s="16" t="str">
        <f t="shared" si="9"/>
        <v>583.**.</v>
      </c>
      <c r="F584" s="3" t="s">
        <v>4950</v>
      </c>
      <c r="G584" s="3" t="s">
        <v>4951</v>
      </c>
      <c r="H584" s="3">
        <v>6042070338</v>
      </c>
      <c r="I584" s="12" t="e">
        <f ca="1">VLOOKUP(D584,Input!B:M,10,0)</f>
        <v>#N/A</v>
      </c>
      <c r="J584" s="12"/>
      <c r="K584" s="12"/>
      <c r="L584" s="12"/>
      <c r="M584" s="12" t="e">
        <f ca="1">VLOOKUP(D584,Input!B:M,12,0)</f>
        <v>#N/A</v>
      </c>
      <c r="N584" s="12" t="e">
        <f ca="1">VLOOKUP(D584,Input!B:N,11,0)</f>
        <v>#N/A</v>
      </c>
      <c r="O584" s="12" t="e">
        <f ca="1">VLOOKUP(D584,Input!B:M,6,0)</f>
        <v>#N/A</v>
      </c>
      <c r="P584" s="6">
        <v>583</v>
      </c>
    </row>
    <row r="585" spans="1:16" ht="14.25">
      <c r="A585" s="13" t="str">
        <f>IFERROR(VLOOKUP($D:$D,scan!$A:$B,2,0),"**")</f>
        <v>**</v>
      </c>
      <c r="B585" s="13" t="str">
        <f>IFERROR(VLOOKUP($D585,scan!A:C,3,0),"**")</f>
        <v>**</v>
      </c>
      <c r="C585" s="14">
        <v>335</v>
      </c>
      <c r="D585" s="15"/>
      <c r="E585" s="16" t="str">
        <f t="shared" si="9"/>
        <v>584.**.</v>
      </c>
      <c r="F585" s="3" t="s">
        <v>4950</v>
      </c>
      <c r="G585" s="3" t="s">
        <v>4951</v>
      </c>
      <c r="H585" s="3">
        <v>6042070338</v>
      </c>
      <c r="I585" s="12" t="e">
        <f ca="1">VLOOKUP(D585,Input!B:M,10,0)</f>
        <v>#N/A</v>
      </c>
      <c r="J585" s="12"/>
      <c r="K585" s="12"/>
      <c r="L585" s="12"/>
      <c r="M585" s="12" t="e">
        <f ca="1">VLOOKUP(D585,Input!B:M,12,0)</f>
        <v>#N/A</v>
      </c>
      <c r="N585" s="12" t="e">
        <f ca="1">VLOOKUP(D585,Input!B:N,11,0)</f>
        <v>#N/A</v>
      </c>
      <c r="O585" s="12" t="e">
        <f ca="1">VLOOKUP(D585,Input!B:M,6,0)</f>
        <v>#N/A</v>
      </c>
      <c r="P585" s="6">
        <v>584</v>
      </c>
    </row>
    <row r="586" spans="1:16" ht="14.25">
      <c r="A586" s="13" t="str">
        <f>IFERROR(VLOOKUP($D:$D,scan!$A:$B,2,0),"**")</f>
        <v>**</v>
      </c>
      <c r="B586" s="13" t="str">
        <f>IFERROR(VLOOKUP($D586,scan!A:C,3,0),"**")</f>
        <v>**</v>
      </c>
      <c r="C586" s="5">
        <v>336</v>
      </c>
      <c r="D586" s="15"/>
      <c r="E586" s="16" t="str">
        <f t="shared" si="9"/>
        <v>585.**.</v>
      </c>
      <c r="F586" s="3" t="s">
        <v>4950</v>
      </c>
      <c r="G586" s="3" t="s">
        <v>4951</v>
      </c>
      <c r="H586" s="3">
        <v>6042070338</v>
      </c>
      <c r="I586" s="12" t="e">
        <f ca="1">VLOOKUP(D586,Input!B:M,10,0)</f>
        <v>#N/A</v>
      </c>
      <c r="J586" s="12"/>
      <c r="K586" s="12"/>
      <c r="L586" s="12"/>
      <c r="M586" s="12" t="e">
        <f ca="1">VLOOKUP(D586,Input!B:M,12,0)</f>
        <v>#N/A</v>
      </c>
      <c r="N586" s="12" t="e">
        <f ca="1">VLOOKUP(D586,Input!B:N,11,0)</f>
        <v>#N/A</v>
      </c>
      <c r="O586" s="12" t="e">
        <f ca="1">VLOOKUP(D586,Input!B:M,6,0)</f>
        <v>#N/A</v>
      </c>
      <c r="P586" s="6">
        <v>585</v>
      </c>
    </row>
    <row r="587" spans="1:16" ht="14.25">
      <c r="A587" s="13" t="str">
        <f>IFERROR(VLOOKUP($D:$D,scan!$A:$B,2,0),"**")</f>
        <v>**</v>
      </c>
      <c r="B587" s="13" t="str">
        <f>IFERROR(VLOOKUP($D587,scan!A:C,3,0),"**")</f>
        <v>**</v>
      </c>
      <c r="C587" s="5">
        <v>361</v>
      </c>
      <c r="D587" s="31"/>
      <c r="E587" s="16" t="str">
        <f t="shared" si="9"/>
        <v>586.**.</v>
      </c>
      <c r="F587" s="3" t="s">
        <v>4950</v>
      </c>
      <c r="G587" s="3" t="s">
        <v>4951</v>
      </c>
      <c r="H587" s="3">
        <v>6042070338</v>
      </c>
      <c r="I587" s="12" t="e">
        <f ca="1">VLOOKUP(D587,Input!B:M,10,0)</f>
        <v>#N/A</v>
      </c>
      <c r="J587" s="12"/>
      <c r="K587" s="12"/>
      <c r="L587" s="12"/>
      <c r="M587" s="12" t="e">
        <f ca="1">VLOOKUP(D587,Input!B:M,12,0)</f>
        <v>#N/A</v>
      </c>
      <c r="N587" s="12" t="e">
        <f ca="1">VLOOKUP(D587,Input!B:N,11,0)</f>
        <v>#N/A</v>
      </c>
      <c r="O587" s="12" t="e">
        <f ca="1">VLOOKUP(D587,Input!B:M,6,0)</f>
        <v>#N/A</v>
      </c>
      <c r="P587" s="6">
        <v>586</v>
      </c>
    </row>
    <row r="588" spans="1:16" ht="14.25">
      <c r="A588" s="13" t="str">
        <f>IFERROR(VLOOKUP($D:$D,scan!$A:$B,2,0),"**")</f>
        <v>**</v>
      </c>
      <c r="B588" s="13" t="str">
        <f>IFERROR(VLOOKUP($D588,scan!A:C,3,0),"**")</f>
        <v>**</v>
      </c>
      <c r="C588" s="14">
        <v>362</v>
      </c>
      <c r="D588" s="32"/>
      <c r="E588" s="16" t="str">
        <f t="shared" si="9"/>
        <v>587.**.</v>
      </c>
      <c r="F588" s="3" t="s">
        <v>4950</v>
      </c>
      <c r="G588" s="3" t="s">
        <v>4951</v>
      </c>
      <c r="H588" s="3">
        <v>6042070338</v>
      </c>
      <c r="I588" s="12" t="e">
        <f ca="1">VLOOKUP(D588,Input!B:M,10,0)</f>
        <v>#N/A</v>
      </c>
      <c r="J588" s="12"/>
      <c r="K588" s="12"/>
      <c r="L588" s="12"/>
      <c r="M588" s="12" t="e">
        <f ca="1">VLOOKUP(D588,Input!B:M,12,0)</f>
        <v>#N/A</v>
      </c>
      <c r="N588" s="12" t="e">
        <f ca="1">VLOOKUP(D588,Input!B:N,11,0)</f>
        <v>#N/A</v>
      </c>
      <c r="O588" s="12" t="e">
        <f ca="1">VLOOKUP(D588,Input!B:M,6,0)</f>
        <v>#N/A</v>
      </c>
      <c r="P588" s="6">
        <v>587</v>
      </c>
    </row>
    <row r="589" spans="1:16" ht="14.25">
      <c r="A589" s="13" t="str">
        <f>IFERROR(VLOOKUP($D:$D,scan!$A:$B,2,0),"**")</f>
        <v>**</v>
      </c>
      <c r="B589" s="13" t="str">
        <f>IFERROR(VLOOKUP($D589,scan!A:C,3,0),"**")</f>
        <v>**</v>
      </c>
      <c r="C589" s="14">
        <v>378</v>
      </c>
      <c r="D589" s="15"/>
      <c r="E589" s="16" t="str">
        <f t="shared" si="9"/>
        <v>588.**.</v>
      </c>
      <c r="F589" s="3" t="s">
        <v>4950</v>
      </c>
      <c r="G589" s="3" t="s">
        <v>4951</v>
      </c>
      <c r="H589" s="3">
        <v>6042070338</v>
      </c>
      <c r="I589" s="12" t="e">
        <f ca="1">VLOOKUP(D589,Input!B:M,10,0)</f>
        <v>#N/A</v>
      </c>
      <c r="J589" s="12"/>
      <c r="K589" s="12"/>
      <c r="L589" s="12"/>
      <c r="M589" s="12" t="e">
        <f ca="1">VLOOKUP(D589,Input!B:M,12,0)</f>
        <v>#N/A</v>
      </c>
      <c r="N589" s="12" t="e">
        <f ca="1">VLOOKUP(D589,Input!B:N,11,0)</f>
        <v>#N/A</v>
      </c>
      <c r="O589" s="12" t="e">
        <f ca="1">VLOOKUP(D589,Input!B:M,6,0)</f>
        <v>#N/A</v>
      </c>
      <c r="P589" s="6">
        <v>588</v>
      </c>
    </row>
    <row r="590" spans="1:16" ht="14.25">
      <c r="A590" s="13" t="str">
        <f>IFERROR(VLOOKUP($D:$D,scan!$A:$B,2,0),"**")</f>
        <v>**</v>
      </c>
      <c r="B590" s="13" t="str">
        <f>IFERROR(VLOOKUP($D590,scan!A:C,3,0),"**")</f>
        <v>**</v>
      </c>
      <c r="C590" s="5">
        <v>391</v>
      </c>
      <c r="D590" s="17"/>
      <c r="E590" s="16" t="str">
        <f t="shared" si="9"/>
        <v>589.**.</v>
      </c>
      <c r="F590" s="3" t="s">
        <v>4950</v>
      </c>
      <c r="G590" s="3" t="s">
        <v>4951</v>
      </c>
      <c r="H590" s="3">
        <v>6042070338</v>
      </c>
      <c r="I590" s="12" t="e">
        <f ca="1">VLOOKUP(D590,Input!B:M,10,0)</f>
        <v>#N/A</v>
      </c>
      <c r="J590" s="12"/>
      <c r="K590" s="12"/>
      <c r="L590" s="12"/>
      <c r="M590" s="12" t="e">
        <f ca="1">VLOOKUP(D590,Input!B:M,12,0)</f>
        <v>#N/A</v>
      </c>
      <c r="N590" s="12" t="e">
        <f ca="1">VLOOKUP(D590,Input!B:N,11,0)</f>
        <v>#N/A</v>
      </c>
      <c r="O590" s="12" t="e">
        <f ca="1">VLOOKUP(D590,Input!B:M,6,0)</f>
        <v>#N/A</v>
      </c>
      <c r="P590" s="6">
        <v>589</v>
      </c>
    </row>
    <row r="591" spans="1:16" ht="14.25">
      <c r="A591" s="13" t="str">
        <f>IFERROR(VLOOKUP($D:$D,scan!$A:$B,2,0),"**")</f>
        <v>**</v>
      </c>
      <c r="B591" s="13" t="str">
        <f>IFERROR(VLOOKUP($D591,scan!A:C,3,0),"**")</f>
        <v>**</v>
      </c>
      <c r="C591" s="5">
        <v>431</v>
      </c>
      <c r="D591" s="30"/>
      <c r="E591" s="16" t="str">
        <f t="shared" si="9"/>
        <v>590.**.</v>
      </c>
      <c r="F591" s="3" t="s">
        <v>4950</v>
      </c>
      <c r="G591" s="3" t="s">
        <v>4951</v>
      </c>
      <c r="H591" s="3">
        <v>6042070338</v>
      </c>
      <c r="I591" s="12" t="e">
        <f ca="1">VLOOKUP(D591,Input!B:M,10,0)</f>
        <v>#N/A</v>
      </c>
      <c r="J591" s="12"/>
      <c r="K591" s="12"/>
      <c r="L591" s="12"/>
      <c r="M591" s="12" t="e">
        <f ca="1">VLOOKUP(D591,Input!B:M,12,0)</f>
        <v>#N/A</v>
      </c>
      <c r="N591" s="12" t="e">
        <f ca="1">VLOOKUP(D591,Input!B:N,11,0)</f>
        <v>#N/A</v>
      </c>
      <c r="O591" s="12" t="e">
        <f ca="1">VLOOKUP(D591,Input!B:M,6,0)</f>
        <v>#N/A</v>
      </c>
      <c r="P591" s="6">
        <v>590</v>
      </c>
    </row>
    <row r="592" spans="1:16" ht="15">
      <c r="A592" s="13" t="str">
        <f>IFERROR(VLOOKUP($D:$D,scan!$A:$B,2,0),"**")</f>
        <v>**</v>
      </c>
      <c r="B592" s="13" t="str">
        <f>IFERROR(VLOOKUP($D592,scan!A:C,3,0),"**")</f>
        <v>**</v>
      </c>
      <c r="C592" s="14">
        <v>443</v>
      </c>
      <c r="D592" s="27"/>
      <c r="E592" s="16" t="str">
        <f t="shared" si="9"/>
        <v>591.**.</v>
      </c>
      <c r="F592" s="3" t="s">
        <v>4950</v>
      </c>
      <c r="G592" s="3" t="s">
        <v>4951</v>
      </c>
      <c r="H592" s="3">
        <v>6042070338</v>
      </c>
      <c r="I592" s="12" t="e">
        <f ca="1">VLOOKUP(D592,Input!B:M,10,0)</f>
        <v>#N/A</v>
      </c>
      <c r="J592" s="12"/>
      <c r="K592" s="12"/>
      <c r="L592" s="12"/>
      <c r="M592" s="12" t="e">
        <f ca="1">VLOOKUP(D592,Input!B:M,12,0)</f>
        <v>#N/A</v>
      </c>
      <c r="N592" s="12" t="e">
        <f ca="1">VLOOKUP(D592,Input!B:N,11,0)</f>
        <v>#N/A</v>
      </c>
      <c r="O592" s="12" t="e">
        <f ca="1">VLOOKUP(D592,Input!B:M,6,0)</f>
        <v>#N/A</v>
      </c>
      <c r="P592" s="6">
        <v>591</v>
      </c>
    </row>
    <row r="593" spans="1:16" ht="14.25">
      <c r="A593" s="13" t="str">
        <f>IFERROR(VLOOKUP($D:$D,scan!$A:$B,2,0),"**")</f>
        <v>**</v>
      </c>
      <c r="B593" s="13" t="str">
        <f>IFERROR(VLOOKUP($D593,scan!A:C,3,0),"**")</f>
        <v>**</v>
      </c>
      <c r="C593" s="14">
        <v>445</v>
      </c>
      <c r="D593" s="22"/>
      <c r="E593" s="16" t="str">
        <f t="shared" si="9"/>
        <v>592.**.</v>
      </c>
      <c r="F593" s="3" t="s">
        <v>4950</v>
      </c>
      <c r="G593" s="3" t="s">
        <v>4951</v>
      </c>
      <c r="H593" s="3">
        <v>6042070338</v>
      </c>
      <c r="I593" s="12" t="e">
        <f ca="1">VLOOKUP(D593,Input!B:M,10,0)</f>
        <v>#N/A</v>
      </c>
      <c r="J593" s="12"/>
      <c r="K593" s="12"/>
      <c r="L593" s="12"/>
      <c r="M593" s="12" t="e">
        <f ca="1">VLOOKUP(D593,Input!B:M,12,0)</f>
        <v>#N/A</v>
      </c>
      <c r="N593" s="12" t="e">
        <f ca="1">VLOOKUP(D593,Input!B:N,11,0)</f>
        <v>#N/A</v>
      </c>
      <c r="O593" s="12" t="e">
        <f ca="1">VLOOKUP(D593,Input!B:M,6,0)</f>
        <v>#N/A</v>
      </c>
      <c r="P593" s="6">
        <v>592</v>
      </c>
    </row>
    <row r="594" spans="1:16" ht="14.25">
      <c r="A594" s="13" t="str">
        <f>IFERROR(VLOOKUP($D:$D,scan!$A:$B,2,0),"**")</f>
        <v>**</v>
      </c>
      <c r="B594" s="13" t="str">
        <f>IFERROR(VLOOKUP($D594,scan!A:C,3,0),"**")</f>
        <v>**</v>
      </c>
      <c r="C594" s="5">
        <v>446</v>
      </c>
      <c r="D594" s="28"/>
      <c r="E594" s="16" t="str">
        <f t="shared" si="9"/>
        <v>593.**.</v>
      </c>
      <c r="F594" s="3" t="s">
        <v>4950</v>
      </c>
      <c r="G594" s="3" t="s">
        <v>4951</v>
      </c>
      <c r="H594" s="3">
        <v>6042070338</v>
      </c>
      <c r="I594" s="12" t="e">
        <f ca="1">VLOOKUP(D594,Input!B:M,10,0)</f>
        <v>#N/A</v>
      </c>
      <c r="J594" s="12"/>
      <c r="K594" s="12"/>
      <c r="L594" s="12"/>
      <c r="M594" s="12" t="e">
        <f ca="1">VLOOKUP(D594,Input!B:M,12,0)</f>
        <v>#N/A</v>
      </c>
      <c r="N594" s="12" t="e">
        <f ca="1">VLOOKUP(D594,Input!B:N,11,0)</f>
        <v>#N/A</v>
      </c>
      <c r="O594" s="12" t="e">
        <f ca="1">VLOOKUP(D594,Input!B:M,6,0)</f>
        <v>#N/A</v>
      </c>
      <c r="P594" s="6">
        <v>593</v>
      </c>
    </row>
    <row r="595" spans="1:16" ht="14.25">
      <c r="A595" s="13" t="str">
        <f>IFERROR(VLOOKUP($D:$D,scan!$A:$B,2,0),"**")</f>
        <v>**</v>
      </c>
      <c r="B595" s="13" t="str">
        <f>IFERROR(VLOOKUP($D595,scan!A:C,3,0),"**")</f>
        <v>**</v>
      </c>
      <c r="C595" s="14">
        <v>447</v>
      </c>
      <c r="D595" s="28"/>
      <c r="E595" s="16" t="str">
        <f t="shared" si="9"/>
        <v>594.**.</v>
      </c>
      <c r="F595" s="3" t="s">
        <v>4950</v>
      </c>
      <c r="G595" s="3" t="s">
        <v>4951</v>
      </c>
      <c r="H595" s="3">
        <v>6042070338</v>
      </c>
      <c r="I595" s="12" t="e">
        <f ca="1">VLOOKUP(D595,Input!B:M,10,0)</f>
        <v>#N/A</v>
      </c>
      <c r="J595" s="12"/>
      <c r="K595" s="12"/>
      <c r="L595" s="12"/>
      <c r="M595" s="12" t="e">
        <f ca="1">VLOOKUP(D595,Input!B:M,12,0)</f>
        <v>#N/A</v>
      </c>
      <c r="N595" s="12" t="e">
        <f ca="1">VLOOKUP(D595,Input!B:N,11,0)</f>
        <v>#N/A</v>
      </c>
      <c r="O595" s="12" t="e">
        <f ca="1">VLOOKUP(D595,Input!B:M,6,0)</f>
        <v>#N/A</v>
      </c>
      <c r="P595" s="6">
        <v>594</v>
      </c>
    </row>
    <row r="596" spans="1:16" ht="14.25">
      <c r="A596" s="13" t="str">
        <f>IFERROR(VLOOKUP($D:$D,scan!$A:$B,2,0),"**")</f>
        <v>**</v>
      </c>
      <c r="B596" s="13" t="str">
        <f>IFERROR(VLOOKUP($D596,scan!A:C,3,0),"**")</f>
        <v>**</v>
      </c>
      <c r="C596" s="5">
        <v>451</v>
      </c>
      <c r="D596" s="34"/>
      <c r="E596" s="16" t="str">
        <f t="shared" si="9"/>
        <v>595.**.</v>
      </c>
      <c r="F596" s="3" t="s">
        <v>4950</v>
      </c>
      <c r="G596" s="3" t="s">
        <v>4951</v>
      </c>
      <c r="H596" s="3">
        <v>6042070338</v>
      </c>
      <c r="I596" s="12" t="e">
        <f ca="1">VLOOKUP(D596,Input!B:M,10,0)</f>
        <v>#N/A</v>
      </c>
      <c r="J596" s="12"/>
      <c r="K596" s="12"/>
      <c r="L596" s="12"/>
      <c r="M596" s="12" t="e">
        <f ca="1">VLOOKUP(D596,Input!B:M,12,0)</f>
        <v>#N/A</v>
      </c>
      <c r="N596" s="12" t="e">
        <f ca="1">VLOOKUP(D596,Input!B:N,11,0)</f>
        <v>#N/A</v>
      </c>
      <c r="O596" s="12" t="e">
        <f ca="1">VLOOKUP(D596,Input!B:M,6,0)</f>
        <v>#N/A</v>
      </c>
      <c r="P596" s="6">
        <v>595</v>
      </c>
    </row>
    <row r="597" spans="1:16" ht="14.25">
      <c r="A597" s="13" t="str">
        <f>IFERROR(VLOOKUP($D:$D,scan!$A:$B,2,0),"**")</f>
        <v>**</v>
      </c>
      <c r="B597" s="13" t="str">
        <f>IFERROR(VLOOKUP($D597,scan!A:C,3,0),"**")</f>
        <v>**</v>
      </c>
      <c r="C597" s="14">
        <v>452</v>
      </c>
      <c r="D597" s="28"/>
      <c r="E597" s="16" t="str">
        <f t="shared" si="9"/>
        <v>596.**.</v>
      </c>
      <c r="F597" s="3" t="s">
        <v>4950</v>
      </c>
      <c r="G597" s="3" t="s">
        <v>4951</v>
      </c>
      <c r="H597" s="3">
        <v>6042070338</v>
      </c>
      <c r="I597" s="12" t="e">
        <f ca="1">VLOOKUP(D597,Input!B:M,10,0)</f>
        <v>#N/A</v>
      </c>
      <c r="J597" s="12"/>
      <c r="K597" s="12"/>
      <c r="L597" s="12"/>
      <c r="M597" s="12" t="e">
        <f ca="1">VLOOKUP(D597,Input!B:M,12,0)</f>
        <v>#N/A</v>
      </c>
      <c r="N597" s="12" t="e">
        <f ca="1">VLOOKUP(D597,Input!B:N,11,0)</f>
        <v>#N/A</v>
      </c>
      <c r="O597" s="12" t="e">
        <f ca="1">VLOOKUP(D597,Input!B:M,6,0)</f>
        <v>#N/A</v>
      </c>
      <c r="P597" s="6">
        <v>596</v>
      </c>
    </row>
    <row r="598" spans="1:16" ht="14.25">
      <c r="A598" s="13" t="str">
        <f>IFERROR(VLOOKUP($D:$D,scan!$A:$B,2,0),"**")</f>
        <v>**</v>
      </c>
      <c r="B598" s="13" t="str">
        <f>IFERROR(VLOOKUP($D598,scan!A:C,3,0),"**")</f>
        <v>**</v>
      </c>
      <c r="C598" s="14">
        <v>453</v>
      </c>
      <c r="D598" s="28"/>
      <c r="E598" s="16" t="str">
        <f t="shared" si="9"/>
        <v>597.**.</v>
      </c>
      <c r="F598" s="3" t="s">
        <v>4950</v>
      </c>
      <c r="G598" s="3" t="s">
        <v>4951</v>
      </c>
      <c r="H598" s="3">
        <v>6042070338</v>
      </c>
      <c r="I598" s="12" t="e">
        <f ca="1">VLOOKUP(D598,Input!B:M,10,0)</f>
        <v>#N/A</v>
      </c>
      <c r="J598" s="12"/>
      <c r="K598" s="12"/>
      <c r="L598" s="12"/>
      <c r="M598" s="12" t="e">
        <f ca="1">VLOOKUP(D598,Input!B:M,12,0)</f>
        <v>#N/A</v>
      </c>
      <c r="N598" s="12" t="e">
        <f ca="1">VLOOKUP(D598,Input!B:N,11,0)</f>
        <v>#N/A</v>
      </c>
      <c r="O598" s="12" t="e">
        <f ca="1">VLOOKUP(D598,Input!B:M,6,0)</f>
        <v>#N/A</v>
      </c>
      <c r="P598" s="6">
        <v>597</v>
      </c>
    </row>
    <row r="599" spans="1:16" ht="14.25">
      <c r="A599" s="13" t="str">
        <f>IFERROR(VLOOKUP($D:$D,scan!$A:$B,2,0),"**")</f>
        <v>**</v>
      </c>
      <c r="B599" s="13" t="str">
        <f>IFERROR(VLOOKUP($D599,scan!A:C,3,0),"**")</f>
        <v>**</v>
      </c>
      <c r="C599" s="14">
        <v>454</v>
      </c>
      <c r="D599" s="28"/>
      <c r="E599" s="16" t="str">
        <f t="shared" si="9"/>
        <v>598.**.</v>
      </c>
      <c r="F599" s="3" t="s">
        <v>4950</v>
      </c>
      <c r="G599" s="3" t="s">
        <v>4951</v>
      </c>
      <c r="H599" s="3">
        <v>6042070338</v>
      </c>
      <c r="I599" s="12" t="e">
        <f ca="1">VLOOKUP(D599,Input!B:M,10,0)</f>
        <v>#N/A</v>
      </c>
      <c r="J599" s="12"/>
      <c r="K599" s="12"/>
      <c r="L599" s="12"/>
      <c r="M599" s="12" t="e">
        <f ca="1">VLOOKUP(D599,Input!B:M,12,0)</f>
        <v>#N/A</v>
      </c>
      <c r="N599" s="12" t="e">
        <f ca="1">VLOOKUP(D599,Input!B:N,11,0)</f>
        <v>#N/A</v>
      </c>
      <c r="O599" s="12" t="e">
        <f ca="1">VLOOKUP(D599,Input!B:M,6,0)</f>
        <v>#N/A</v>
      </c>
      <c r="P599" s="6">
        <v>598</v>
      </c>
    </row>
    <row r="600" spans="1:16" ht="14.25">
      <c r="A600" s="13" t="str">
        <f>IFERROR(VLOOKUP($D:$D,scan!$A:$B,2,0),"**")</f>
        <v>**</v>
      </c>
      <c r="B600" s="13" t="str">
        <f>IFERROR(VLOOKUP($D600,scan!A:C,3,0),"**")</f>
        <v>**</v>
      </c>
      <c r="C600" s="14">
        <v>455</v>
      </c>
      <c r="D600" s="28"/>
      <c r="E600" s="16" t="str">
        <f t="shared" si="9"/>
        <v>599.**.</v>
      </c>
      <c r="F600" s="3" t="s">
        <v>4950</v>
      </c>
      <c r="G600" s="3" t="s">
        <v>4951</v>
      </c>
      <c r="H600" s="3">
        <v>6042070338</v>
      </c>
      <c r="I600" s="12" t="e">
        <f ca="1">VLOOKUP(D600,Input!B:M,10,0)</f>
        <v>#N/A</v>
      </c>
      <c r="J600" s="12"/>
      <c r="K600" s="12"/>
      <c r="L600" s="12"/>
      <c r="M600" s="12" t="e">
        <f ca="1">VLOOKUP(D600,Input!B:M,12,0)</f>
        <v>#N/A</v>
      </c>
      <c r="N600" s="12" t="e">
        <f ca="1">VLOOKUP(D600,Input!B:N,11,0)</f>
        <v>#N/A</v>
      </c>
      <c r="O600" s="12" t="e">
        <f ca="1">VLOOKUP(D600,Input!B:M,6,0)</f>
        <v>#N/A</v>
      </c>
      <c r="P600" s="6">
        <v>599</v>
      </c>
    </row>
    <row r="601" spans="1:16" ht="14.25">
      <c r="A601" s="13" t="str">
        <f>IFERROR(VLOOKUP($D:$D,scan!$A:$B,2,0),"**")</f>
        <v>**</v>
      </c>
      <c r="B601" s="13" t="str">
        <f>IFERROR(VLOOKUP($D601,scan!A:C,3,0),"**")</f>
        <v>**</v>
      </c>
      <c r="C601" s="5">
        <v>456</v>
      </c>
      <c r="D601" s="28"/>
      <c r="E601" s="16" t="str">
        <f t="shared" si="9"/>
        <v>600.**.</v>
      </c>
      <c r="F601" s="3" t="s">
        <v>4950</v>
      </c>
      <c r="G601" s="3" t="s">
        <v>4951</v>
      </c>
      <c r="H601" s="3">
        <v>6042070338</v>
      </c>
      <c r="I601" s="12" t="e">
        <f ca="1">VLOOKUP(D601,Input!B:M,10,0)</f>
        <v>#N/A</v>
      </c>
      <c r="J601" s="12"/>
      <c r="K601" s="12"/>
      <c r="L601" s="12"/>
      <c r="M601" s="12" t="e">
        <f ca="1">VLOOKUP(D601,Input!B:M,12,0)</f>
        <v>#N/A</v>
      </c>
      <c r="N601" s="12" t="e">
        <f ca="1">VLOOKUP(D601,Input!B:N,11,0)</f>
        <v>#N/A</v>
      </c>
      <c r="O601" s="12" t="e">
        <f ca="1">VLOOKUP(D601,Input!B:M,6,0)</f>
        <v>#N/A</v>
      </c>
      <c r="P601" s="6">
        <v>600</v>
      </c>
    </row>
    <row r="602" spans="1:16" ht="14.25">
      <c r="A602" s="13" t="str">
        <f>IFERROR(VLOOKUP($D:$D,scan!$A:$B,2,0),"**")</f>
        <v>**</v>
      </c>
      <c r="B602" s="13" t="str">
        <f>IFERROR(VLOOKUP($D602,scan!A:C,3,0),"**")</f>
        <v>**</v>
      </c>
      <c r="C602" s="14">
        <v>460</v>
      </c>
      <c r="D602" s="15"/>
      <c r="E602" s="16" t="str">
        <f t="shared" si="9"/>
        <v>601.**.</v>
      </c>
      <c r="F602" s="3" t="s">
        <v>4950</v>
      </c>
      <c r="G602" s="3" t="s">
        <v>4951</v>
      </c>
      <c r="H602" s="3">
        <v>6042070338</v>
      </c>
      <c r="I602" s="12" t="e">
        <f ca="1">VLOOKUP(D602,Input!B:M,10,0)</f>
        <v>#N/A</v>
      </c>
      <c r="J602" s="12"/>
      <c r="K602" s="12"/>
      <c r="L602" s="12"/>
      <c r="M602" s="12" t="e">
        <f ca="1">VLOOKUP(D602,Input!B:M,12,0)</f>
        <v>#N/A</v>
      </c>
      <c r="N602" s="12" t="e">
        <f ca="1">VLOOKUP(D602,Input!B:N,11,0)</f>
        <v>#N/A</v>
      </c>
      <c r="O602" s="12" t="e">
        <f ca="1">VLOOKUP(D602,Input!B:M,6,0)</f>
        <v>#N/A</v>
      </c>
      <c r="P602" s="6">
        <v>601</v>
      </c>
    </row>
    <row r="603" spans="1:16" ht="14.25">
      <c r="A603" s="13" t="str">
        <f>IFERROR(VLOOKUP($D:$D,scan!$A:$B,2,0),"**")</f>
        <v>**</v>
      </c>
      <c r="B603" s="13" t="str">
        <f>IFERROR(VLOOKUP($D603,scan!A:C,3,0),"**")</f>
        <v>**</v>
      </c>
      <c r="C603" s="5">
        <v>461</v>
      </c>
      <c r="D603" s="15"/>
      <c r="E603" s="16" t="str">
        <f t="shared" si="9"/>
        <v>602.**.</v>
      </c>
      <c r="F603" s="3" t="s">
        <v>4950</v>
      </c>
      <c r="G603" s="3" t="s">
        <v>4951</v>
      </c>
      <c r="H603" s="3">
        <v>6042070338</v>
      </c>
      <c r="I603" s="12" t="e">
        <f ca="1">VLOOKUP(D603,Input!B:M,10,0)</f>
        <v>#N/A</v>
      </c>
      <c r="J603" s="12"/>
      <c r="K603" s="12"/>
      <c r="L603" s="12"/>
      <c r="M603" s="12" t="e">
        <f ca="1">VLOOKUP(D603,Input!B:M,12,0)</f>
        <v>#N/A</v>
      </c>
      <c r="N603" s="12" t="e">
        <f ca="1">VLOOKUP(D603,Input!B:N,11,0)</f>
        <v>#N/A</v>
      </c>
      <c r="O603" s="12" t="e">
        <f ca="1">VLOOKUP(D603,Input!B:M,6,0)</f>
        <v>#N/A</v>
      </c>
      <c r="P603" s="6">
        <v>602</v>
      </c>
    </row>
    <row r="604" spans="1:16" ht="14.25">
      <c r="A604" s="13" t="str">
        <f>IFERROR(VLOOKUP($D:$D,scan!$A:$B,2,0),"**")</f>
        <v>**</v>
      </c>
      <c r="B604" s="13" t="str">
        <f>IFERROR(VLOOKUP($D604,scan!A:C,3,0),"**")</f>
        <v>**</v>
      </c>
      <c r="C604" s="14">
        <v>462</v>
      </c>
      <c r="D604" s="15"/>
      <c r="E604" s="16" t="str">
        <f t="shared" si="9"/>
        <v>603.**.</v>
      </c>
      <c r="F604" s="3" t="s">
        <v>4950</v>
      </c>
      <c r="G604" s="3" t="s">
        <v>4951</v>
      </c>
      <c r="H604" s="3">
        <v>6042070338</v>
      </c>
      <c r="I604" s="12" t="e">
        <f ca="1">VLOOKUP(D604,Input!B:M,10,0)</f>
        <v>#N/A</v>
      </c>
      <c r="J604" s="12"/>
      <c r="K604" s="12"/>
      <c r="L604" s="12"/>
      <c r="M604" s="12" t="e">
        <f ca="1">VLOOKUP(D604,Input!B:M,12,0)</f>
        <v>#N/A</v>
      </c>
      <c r="N604" s="12" t="e">
        <f ca="1">VLOOKUP(D604,Input!B:N,11,0)</f>
        <v>#N/A</v>
      </c>
      <c r="O604" s="12" t="e">
        <f ca="1">VLOOKUP(D604,Input!B:M,6,0)</f>
        <v>#N/A</v>
      </c>
      <c r="P604" s="6">
        <v>603</v>
      </c>
    </row>
    <row r="605" spans="1:16" ht="14.25">
      <c r="A605" s="13" t="str">
        <f>IFERROR(VLOOKUP($D:$D,scan!$A:$B,2,0),"**")</f>
        <v>**</v>
      </c>
      <c r="B605" s="13" t="str">
        <f>IFERROR(VLOOKUP($D605,scan!A:C,3,0),"**")</f>
        <v>**</v>
      </c>
      <c r="C605" s="14">
        <v>463</v>
      </c>
      <c r="D605" s="15"/>
      <c r="E605" s="16" t="str">
        <f t="shared" si="9"/>
        <v>604.**.</v>
      </c>
      <c r="F605" s="3" t="s">
        <v>4950</v>
      </c>
      <c r="G605" s="3" t="s">
        <v>4951</v>
      </c>
      <c r="H605" s="3">
        <v>6042070338</v>
      </c>
      <c r="I605" s="12" t="e">
        <f ca="1">VLOOKUP(D605,Input!B:M,10,0)</f>
        <v>#N/A</v>
      </c>
      <c r="J605" s="12"/>
      <c r="K605" s="12"/>
      <c r="L605" s="12"/>
      <c r="M605" s="12" t="e">
        <f ca="1">VLOOKUP(D605,Input!B:M,12,0)</f>
        <v>#N/A</v>
      </c>
      <c r="N605" s="12" t="e">
        <f ca="1">VLOOKUP(D605,Input!B:N,11,0)</f>
        <v>#N/A</v>
      </c>
      <c r="O605" s="12" t="e">
        <f ca="1">VLOOKUP(D605,Input!B:M,6,0)</f>
        <v>#N/A</v>
      </c>
      <c r="P605" s="6">
        <v>604</v>
      </c>
    </row>
    <row r="606" spans="1:16" ht="14.25">
      <c r="A606" s="13" t="str">
        <f>IFERROR(VLOOKUP($D:$D,scan!$A:$B,2,0),"**")</f>
        <v>**</v>
      </c>
      <c r="B606" s="13" t="str">
        <f>IFERROR(VLOOKUP($D606,scan!A:C,3,0),"**")</f>
        <v>**</v>
      </c>
      <c r="C606" s="14">
        <v>464</v>
      </c>
      <c r="D606" s="22"/>
      <c r="E606" s="16" t="str">
        <f t="shared" si="9"/>
        <v>605.**.</v>
      </c>
      <c r="F606" s="3" t="s">
        <v>4950</v>
      </c>
      <c r="G606" s="3" t="s">
        <v>4951</v>
      </c>
      <c r="H606" s="3">
        <v>6042070338</v>
      </c>
      <c r="I606" s="12" t="e">
        <f ca="1">VLOOKUP(D606,Input!B:M,10,0)</f>
        <v>#N/A</v>
      </c>
      <c r="J606" s="12"/>
      <c r="K606" s="12"/>
      <c r="L606" s="12"/>
      <c r="M606" s="12" t="e">
        <f ca="1">VLOOKUP(D606,Input!B:M,12,0)</f>
        <v>#N/A</v>
      </c>
      <c r="N606" s="12" t="e">
        <f ca="1">VLOOKUP(D606,Input!B:N,11,0)</f>
        <v>#N/A</v>
      </c>
      <c r="O606" s="12" t="e">
        <f ca="1">VLOOKUP(D606,Input!B:M,6,0)</f>
        <v>#N/A</v>
      </c>
      <c r="P606" s="6">
        <v>605</v>
      </c>
    </row>
    <row r="607" spans="1:16" ht="15.75">
      <c r="A607" s="13" t="str">
        <f>IFERROR(VLOOKUP($D:$D,scan!$A:$B,2,0),"**")</f>
        <v>**</v>
      </c>
      <c r="B607" s="13" t="str">
        <f>IFERROR(VLOOKUP($D607,scan!A:C,3,0),"**")</f>
        <v>**</v>
      </c>
      <c r="C607" s="14">
        <v>467</v>
      </c>
      <c r="D607" s="19"/>
      <c r="E607" s="16" t="str">
        <f t="shared" si="9"/>
        <v>606.**.</v>
      </c>
      <c r="F607" s="3" t="s">
        <v>4950</v>
      </c>
      <c r="G607" s="3" t="s">
        <v>4951</v>
      </c>
      <c r="H607" s="3">
        <v>6042070338</v>
      </c>
      <c r="I607" s="12" t="e">
        <f ca="1">VLOOKUP(D607,Input!B:M,10,0)</f>
        <v>#N/A</v>
      </c>
      <c r="J607" s="12"/>
      <c r="K607" s="12"/>
      <c r="L607" s="12"/>
      <c r="M607" s="12" t="e">
        <f ca="1">VLOOKUP(D607,Input!B:M,12,0)</f>
        <v>#N/A</v>
      </c>
      <c r="N607" s="12" t="e">
        <f ca="1">VLOOKUP(D607,Input!B:N,11,0)</f>
        <v>#N/A</v>
      </c>
      <c r="O607" s="12" t="e">
        <f ca="1">VLOOKUP(D607,Input!B:M,6,0)</f>
        <v>#N/A</v>
      </c>
      <c r="P607" s="6">
        <v>606</v>
      </c>
    </row>
    <row r="608" spans="1:16" ht="14.25">
      <c r="A608" s="13" t="str">
        <f>IFERROR(VLOOKUP($D:$D,scan!$A:$B,2,0),"**")</f>
        <v>**</v>
      </c>
      <c r="B608" s="13" t="str">
        <f>IFERROR(VLOOKUP($D608,scan!A:C,3,0),"**")</f>
        <v>**</v>
      </c>
      <c r="C608" s="5">
        <v>473</v>
      </c>
      <c r="D608" s="35"/>
      <c r="E608" s="16" t="str">
        <f t="shared" si="9"/>
        <v>607.**.</v>
      </c>
      <c r="F608" s="3" t="s">
        <v>4950</v>
      </c>
      <c r="G608" s="3" t="s">
        <v>4951</v>
      </c>
      <c r="H608" s="3">
        <v>6042070338</v>
      </c>
      <c r="I608" s="12" t="e">
        <f ca="1">VLOOKUP(D608,Input!B:M,10,0)</f>
        <v>#N/A</v>
      </c>
      <c r="J608" s="12"/>
      <c r="K608" s="12"/>
      <c r="L608" s="12"/>
      <c r="M608" s="12" t="e">
        <f ca="1">VLOOKUP(D608,Input!B:M,12,0)</f>
        <v>#N/A</v>
      </c>
      <c r="N608" s="12" t="e">
        <f ca="1">VLOOKUP(D608,Input!B:N,11,0)</f>
        <v>#N/A</v>
      </c>
      <c r="O608" s="12" t="e">
        <f ca="1">VLOOKUP(D608,Input!B:M,6,0)</f>
        <v>#N/A</v>
      </c>
      <c r="P608" s="6">
        <v>607</v>
      </c>
    </row>
    <row r="609" spans="1:16" ht="15.75">
      <c r="A609" s="13" t="str">
        <f>IFERROR(VLOOKUP($D:$D,scan!$A:$B,2,0),"**")</f>
        <v>**</v>
      </c>
      <c r="B609" s="13" t="str">
        <f>IFERROR(VLOOKUP($D609,scan!A:C,3,0),"**")</f>
        <v>**</v>
      </c>
      <c r="C609" s="14">
        <v>474</v>
      </c>
      <c r="D609" s="29"/>
      <c r="E609" s="16" t="str">
        <f t="shared" si="9"/>
        <v>608.**.</v>
      </c>
      <c r="F609" s="3" t="s">
        <v>4950</v>
      </c>
      <c r="G609" s="3" t="s">
        <v>4951</v>
      </c>
      <c r="H609" s="3">
        <v>6042070338</v>
      </c>
      <c r="I609" s="12" t="e">
        <f ca="1">VLOOKUP(D609,Input!B:M,10,0)</f>
        <v>#N/A</v>
      </c>
      <c r="J609" s="12"/>
      <c r="K609" s="12"/>
      <c r="L609" s="12"/>
      <c r="M609" s="12" t="e">
        <f ca="1">VLOOKUP(D609,Input!B:M,12,0)</f>
        <v>#N/A</v>
      </c>
      <c r="N609" s="12" t="e">
        <f ca="1">VLOOKUP(D609,Input!B:N,11,0)</f>
        <v>#N/A</v>
      </c>
      <c r="O609" s="12" t="e">
        <f ca="1">VLOOKUP(D609,Input!B:M,6,0)</f>
        <v>#N/A</v>
      </c>
      <c r="P609" s="6">
        <v>608</v>
      </c>
    </row>
    <row r="610" spans="1:16" ht="15.75">
      <c r="A610" s="13" t="str">
        <f>IFERROR(VLOOKUP($D:$D,scan!$A:$B,2,0),"**")</f>
        <v>**</v>
      </c>
      <c r="B610" s="13" t="str">
        <f>IFERROR(VLOOKUP($D610,scan!A:C,3,0),"**")</f>
        <v>**</v>
      </c>
      <c r="C610" s="14">
        <v>475</v>
      </c>
      <c r="D610" s="29"/>
      <c r="E610" s="16" t="str">
        <f t="shared" si="9"/>
        <v>609.**.</v>
      </c>
      <c r="F610" s="3" t="s">
        <v>4950</v>
      </c>
      <c r="G610" s="3" t="s">
        <v>4951</v>
      </c>
      <c r="H610" s="3">
        <v>6042070338</v>
      </c>
      <c r="I610" s="12" t="e">
        <f ca="1">VLOOKUP(D610,Input!B:M,10,0)</f>
        <v>#N/A</v>
      </c>
      <c r="J610" s="12"/>
      <c r="K610" s="12"/>
      <c r="L610" s="12"/>
      <c r="M610" s="12" t="e">
        <f ca="1">VLOOKUP(D610,Input!B:M,12,0)</f>
        <v>#N/A</v>
      </c>
      <c r="N610" s="12" t="e">
        <f ca="1">VLOOKUP(D610,Input!B:N,11,0)</f>
        <v>#N/A</v>
      </c>
      <c r="O610" s="12" t="e">
        <f ca="1">VLOOKUP(D610,Input!B:M,6,0)</f>
        <v>#N/A</v>
      </c>
      <c r="P610" s="6">
        <v>609</v>
      </c>
    </row>
    <row r="611" spans="1:16" ht="14.25">
      <c r="A611" s="13" t="str">
        <f>IFERROR(VLOOKUP($D:$D,scan!$A:$B,2,0),"**")</f>
        <v>**</v>
      </c>
      <c r="B611" s="13" t="str">
        <f>IFERROR(VLOOKUP($D611,scan!A:C,3,0),"**")</f>
        <v>**</v>
      </c>
      <c r="C611" s="14">
        <v>476</v>
      </c>
      <c r="D611" s="22"/>
      <c r="E611" s="16" t="str">
        <f t="shared" si="9"/>
        <v>610.**.</v>
      </c>
      <c r="F611" s="3" t="s">
        <v>4950</v>
      </c>
      <c r="G611" s="3" t="s">
        <v>4951</v>
      </c>
      <c r="H611" s="3">
        <v>6042070338</v>
      </c>
      <c r="I611" s="12" t="e">
        <f ca="1">VLOOKUP(D611,Input!B:M,10,0)</f>
        <v>#N/A</v>
      </c>
      <c r="J611" s="12"/>
      <c r="K611" s="12"/>
      <c r="L611" s="12"/>
      <c r="M611" s="12" t="e">
        <f ca="1">VLOOKUP(D611,Input!B:M,12,0)</f>
        <v>#N/A</v>
      </c>
      <c r="N611" s="12" t="e">
        <f ca="1">VLOOKUP(D611,Input!B:N,11,0)</f>
        <v>#N/A</v>
      </c>
      <c r="O611" s="12" t="e">
        <f ca="1">VLOOKUP(D611,Input!B:M,6,0)</f>
        <v>#N/A</v>
      </c>
      <c r="P611" s="6">
        <v>610</v>
      </c>
    </row>
    <row r="612" spans="1:16" ht="14.25">
      <c r="A612" s="13" t="str">
        <f>IFERROR(VLOOKUP($D:$D,scan!$A:$B,2,0),"**")</f>
        <v>**</v>
      </c>
      <c r="B612" s="13" t="str">
        <f>IFERROR(VLOOKUP($D612,scan!A:C,3,0),"**")</f>
        <v>**</v>
      </c>
      <c r="C612" s="5">
        <v>477</v>
      </c>
      <c r="D612" s="36"/>
      <c r="E612" s="16" t="str">
        <f t="shared" si="9"/>
        <v>611.**.</v>
      </c>
      <c r="F612" s="3" t="s">
        <v>4950</v>
      </c>
      <c r="G612" s="3" t="s">
        <v>4951</v>
      </c>
      <c r="H612" s="3">
        <v>6042070338</v>
      </c>
      <c r="I612" s="12" t="e">
        <f ca="1">VLOOKUP(D612,Input!B:M,10,0)</f>
        <v>#N/A</v>
      </c>
      <c r="J612" s="12"/>
      <c r="K612" s="12"/>
      <c r="L612" s="12"/>
      <c r="M612" s="12" t="e">
        <f ca="1">VLOOKUP(D612,Input!B:M,12,0)</f>
        <v>#N/A</v>
      </c>
      <c r="N612" s="12" t="e">
        <f ca="1">VLOOKUP(D612,Input!B:N,11,0)</f>
        <v>#N/A</v>
      </c>
      <c r="O612" s="12" t="e">
        <f ca="1">VLOOKUP(D612,Input!B:M,6,0)</f>
        <v>#N/A</v>
      </c>
      <c r="P612" s="6">
        <v>611</v>
      </c>
    </row>
    <row r="613" spans="1:16" ht="14.25">
      <c r="A613" s="13" t="str">
        <f>IFERROR(VLOOKUP($D:$D,scan!$A:$B,2,0),"**")</f>
        <v>**</v>
      </c>
      <c r="B613" s="13" t="str">
        <f>IFERROR(VLOOKUP($D613,scan!A:C,3,0),"**")</f>
        <v>**</v>
      </c>
      <c r="C613" s="14">
        <v>478</v>
      </c>
      <c r="D613" s="31"/>
      <c r="E613" s="16" t="str">
        <f t="shared" si="9"/>
        <v>612.**.</v>
      </c>
      <c r="F613" s="3" t="s">
        <v>4950</v>
      </c>
      <c r="G613" s="3" t="s">
        <v>4951</v>
      </c>
      <c r="H613" s="3">
        <v>6042070338</v>
      </c>
      <c r="I613" s="12" t="e">
        <f ca="1">VLOOKUP(D613,Input!B:M,10,0)</f>
        <v>#N/A</v>
      </c>
      <c r="J613" s="12"/>
      <c r="K613" s="12"/>
      <c r="L613" s="12"/>
      <c r="M613" s="12" t="e">
        <f ca="1">VLOOKUP(D613,Input!B:M,12,0)</f>
        <v>#N/A</v>
      </c>
      <c r="N613" s="12" t="e">
        <f ca="1">VLOOKUP(D613,Input!B:N,11,0)</f>
        <v>#N/A</v>
      </c>
      <c r="O613" s="12" t="e">
        <f ca="1">VLOOKUP(D613,Input!B:M,6,0)</f>
        <v>#N/A</v>
      </c>
      <c r="P613" s="6">
        <v>612</v>
      </c>
    </row>
    <row r="614" spans="1:16" ht="15.75">
      <c r="A614" s="13" t="str">
        <f>IFERROR(VLOOKUP($D:$D,scan!$A:$B,2,0),"**")</f>
        <v>**</v>
      </c>
      <c r="B614" s="13" t="str">
        <f>IFERROR(VLOOKUP($D614,scan!A:C,3,0),"**")</f>
        <v>**</v>
      </c>
      <c r="C614" s="14">
        <v>479</v>
      </c>
      <c r="D614" s="37"/>
      <c r="E614" s="16" t="str">
        <f t="shared" si="9"/>
        <v>613.**.</v>
      </c>
      <c r="F614" s="3" t="s">
        <v>4950</v>
      </c>
      <c r="G614" s="3" t="s">
        <v>4951</v>
      </c>
      <c r="H614" s="3">
        <v>6042070338</v>
      </c>
      <c r="I614" s="12" t="e">
        <f ca="1">VLOOKUP(D614,Input!B:M,10,0)</f>
        <v>#N/A</v>
      </c>
      <c r="J614" s="12"/>
      <c r="K614" s="12"/>
      <c r="L614" s="12"/>
      <c r="M614" s="12" t="e">
        <f ca="1">VLOOKUP(D614,Input!B:M,12,0)</f>
        <v>#N/A</v>
      </c>
      <c r="N614" s="12" t="e">
        <f ca="1">VLOOKUP(D614,Input!B:N,11,0)</f>
        <v>#N/A</v>
      </c>
      <c r="O614" s="12" t="e">
        <f ca="1">VLOOKUP(D614,Input!B:M,6,0)</f>
        <v>#N/A</v>
      </c>
      <c r="P614" s="6">
        <v>613</v>
      </c>
    </row>
    <row r="615" spans="1:16" ht="14.25">
      <c r="A615" s="13" t="str">
        <f>IFERROR(VLOOKUP($D:$D,scan!$A:$B,2,0),"**")</f>
        <v>**</v>
      </c>
      <c r="B615" s="13" t="str">
        <f>IFERROR(VLOOKUP($D615,scan!A:C,3,0),"**")</f>
        <v>**</v>
      </c>
      <c r="C615" s="14">
        <v>480</v>
      </c>
      <c r="D615" s="31"/>
      <c r="E615" s="16" t="str">
        <f t="shared" si="9"/>
        <v>614.**.</v>
      </c>
      <c r="F615" s="3" t="s">
        <v>4950</v>
      </c>
      <c r="G615" s="3" t="s">
        <v>4951</v>
      </c>
      <c r="H615" s="3">
        <v>6042070338</v>
      </c>
      <c r="I615" s="12" t="e">
        <f ca="1">VLOOKUP(D615,Input!B:M,10,0)</f>
        <v>#N/A</v>
      </c>
      <c r="J615" s="12"/>
      <c r="K615" s="12"/>
      <c r="L615" s="12"/>
      <c r="M615" s="12" t="e">
        <f ca="1">VLOOKUP(D615,Input!B:M,12,0)</f>
        <v>#N/A</v>
      </c>
      <c r="N615" s="12" t="e">
        <f ca="1">VLOOKUP(D615,Input!B:N,11,0)</f>
        <v>#N/A</v>
      </c>
      <c r="O615" s="12" t="e">
        <f ca="1">VLOOKUP(D615,Input!B:M,6,0)</f>
        <v>#N/A</v>
      </c>
      <c r="P615" s="6">
        <v>614</v>
      </c>
    </row>
    <row r="616" spans="1:16" ht="14.25">
      <c r="A616" s="13" t="str">
        <f>IFERROR(VLOOKUP($D:$D,scan!$A:$B,2,0),"**")</f>
        <v>**</v>
      </c>
      <c r="B616" s="13" t="str">
        <f>IFERROR(VLOOKUP($D616,scan!A:C,3,0),"**")</f>
        <v>**</v>
      </c>
      <c r="C616" s="5">
        <v>481</v>
      </c>
      <c r="D616" s="32"/>
      <c r="E616" s="16" t="str">
        <f t="shared" si="9"/>
        <v>615.**.</v>
      </c>
      <c r="F616" s="3" t="s">
        <v>4950</v>
      </c>
      <c r="G616" s="3" t="s">
        <v>4951</v>
      </c>
      <c r="H616" s="3">
        <v>6042070338</v>
      </c>
      <c r="I616" s="12" t="e">
        <f ca="1">VLOOKUP(D616,Input!B:M,10,0)</f>
        <v>#N/A</v>
      </c>
      <c r="J616" s="12"/>
      <c r="K616" s="12"/>
      <c r="L616" s="12"/>
      <c r="M616" s="12" t="e">
        <f ca="1">VLOOKUP(D616,Input!B:M,12,0)</f>
        <v>#N/A</v>
      </c>
      <c r="N616" s="12" t="e">
        <f ca="1">VLOOKUP(D616,Input!B:N,11,0)</f>
        <v>#N/A</v>
      </c>
      <c r="O616" s="12" t="e">
        <f ca="1">VLOOKUP(D616,Input!B:M,6,0)</f>
        <v>#N/A</v>
      </c>
      <c r="P616" s="6">
        <v>615</v>
      </c>
    </row>
    <row r="617" spans="1:16" ht="14.25">
      <c r="A617" s="13" t="str">
        <f>IFERROR(VLOOKUP($D:$D,scan!$A:$B,2,0),"**")</f>
        <v>**</v>
      </c>
      <c r="B617" s="13" t="str">
        <f>IFERROR(VLOOKUP($D617,scan!A:C,3,0),"**")</f>
        <v>**</v>
      </c>
      <c r="C617" s="14">
        <v>510</v>
      </c>
      <c r="D617" s="15"/>
      <c r="E617" s="16" t="str">
        <f t="shared" si="9"/>
        <v>616.**.</v>
      </c>
      <c r="F617" s="3" t="s">
        <v>4950</v>
      </c>
      <c r="G617" s="3" t="s">
        <v>4951</v>
      </c>
      <c r="H617" s="3">
        <v>6042070338</v>
      </c>
      <c r="I617" s="12" t="e">
        <f ca="1">VLOOKUP(D617,Input!B:M,10,0)</f>
        <v>#N/A</v>
      </c>
      <c r="J617" s="12"/>
      <c r="K617" s="12"/>
      <c r="L617" s="12"/>
      <c r="M617" s="12" t="e">
        <f ca="1">VLOOKUP(D617,Input!B:M,12,0)</f>
        <v>#N/A</v>
      </c>
      <c r="N617" s="12" t="e">
        <f ca="1">VLOOKUP(D617,Input!B:N,11,0)</f>
        <v>#N/A</v>
      </c>
      <c r="O617" s="12" t="e">
        <f ca="1">VLOOKUP(D617,Input!B:M,6,0)</f>
        <v>#N/A</v>
      </c>
      <c r="P617" s="6">
        <v>616</v>
      </c>
    </row>
    <row r="618" spans="1:16" ht="14.25">
      <c r="A618" s="13" t="str">
        <f>IFERROR(VLOOKUP($D:$D,scan!$A:$B,2,0),"**")</f>
        <v>**</v>
      </c>
      <c r="B618" s="13" t="str">
        <f>IFERROR(VLOOKUP($D618,scan!A:C,3,0),"**")</f>
        <v>**</v>
      </c>
      <c r="C618" s="14">
        <v>530</v>
      </c>
      <c r="D618" s="15"/>
      <c r="E618" s="16" t="str">
        <f t="shared" si="9"/>
        <v>617.**.</v>
      </c>
      <c r="F618" s="3" t="s">
        <v>4950</v>
      </c>
      <c r="G618" s="3" t="s">
        <v>4951</v>
      </c>
      <c r="H618" s="3">
        <v>6042070338</v>
      </c>
      <c r="I618" s="12" t="e">
        <f ca="1">VLOOKUP(D618,Input!B:M,10,0)</f>
        <v>#N/A</v>
      </c>
      <c r="J618" s="12"/>
      <c r="K618" s="12"/>
      <c r="L618" s="12"/>
      <c r="M618" s="12" t="e">
        <f ca="1">VLOOKUP(D618,Input!B:M,12,0)</f>
        <v>#N/A</v>
      </c>
      <c r="N618" s="12" t="e">
        <f ca="1">VLOOKUP(D618,Input!B:N,11,0)</f>
        <v>#N/A</v>
      </c>
      <c r="O618" s="12" t="e">
        <f ca="1">VLOOKUP(D618,Input!B:M,6,0)</f>
        <v>#N/A</v>
      </c>
      <c r="P618" s="6">
        <v>617</v>
      </c>
    </row>
    <row r="619" spans="1:16" ht="15">
      <c r="A619" s="13" t="str">
        <f>IFERROR(VLOOKUP($D:$D,scan!$A:$B,2,0),"**")</f>
        <v>**</v>
      </c>
      <c r="B619" s="13" t="str">
        <f>IFERROR(VLOOKUP($D619,scan!A:C,3,0),"**")</f>
        <v>**</v>
      </c>
      <c r="C619" s="14">
        <v>579</v>
      </c>
      <c r="D619" s="27"/>
      <c r="E619" s="16" t="str">
        <f t="shared" si="9"/>
        <v>618.**.</v>
      </c>
      <c r="F619" s="3" t="s">
        <v>4950</v>
      </c>
      <c r="G619" s="3" t="s">
        <v>4951</v>
      </c>
      <c r="H619" s="3">
        <v>6042070338</v>
      </c>
      <c r="I619" s="12" t="e">
        <f ca="1">VLOOKUP(D619,Input!B:M,10,0)</f>
        <v>#N/A</v>
      </c>
      <c r="J619" s="12"/>
      <c r="K619" s="12"/>
      <c r="L619" s="12"/>
      <c r="M619" s="12" t="e">
        <f ca="1">VLOOKUP(D619,Input!B:M,12,0)</f>
        <v>#N/A</v>
      </c>
      <c r="N619" s="12" t="e">
        <f ca="1">VLOOKUP(D619,Input!B:N,11,0)</f>
        <v>#N/A</v>
      </c>
      <c r="O619" s="12" t="e">
        <f ca="1">VLOOKUP(D619,Input!B:M,6,0)</f>
        <v>#N/A</v>
      </c>
      <c r="P619" s="6">
        <v>618</v>
      </c>
    </row>
    <row r="620" spans="1:16" ht="14.25">
      <c r="A620" s="13" t="str">
        <f>IFERROR(VLOOKUP($D:$D,scan!$A:$B,2,0),"**")</f>
        <v>**</v>
      </c>
      <c r="B620" s="13" t="str">
        <f>IFERROR(VLOOKUP($D620,scan!A:C,3,0),"**")</f>
        <v>**</v>
      </c>
      <c r="C620" s="14">
        <v>580</v>
      </c>
      <c r="D620" s="22"/>
      <c r="E620" s="16" t="str">
        <f t="shared" si="9"/>
        <v>619.**.</v>
      </c>
      <c r="F620" s="3" t="s">
        <v>4950</v>
      </c>
      <c r="G620" s="3" t="s">
        <v>4951</v>
      </c>
      <c r="H620" s="3">
        <v>6042070338</v>
      </c>
      <c r="I620" s="12" t="e">
        <f ca="1">VLOOKUP(D620,Input!B:M,10,0)</f>
        <v>#N/A</v>
      </c>
      <c r="J620" s="12"/>
      <c r="K620" s="12"/>
      <c r="L620" s="12"/>
      <c r="M620" s="12" t="e">
        <f ca="1">VLOOKUP(D620,Input!B:M,12,0)</f>
        <v>#N/A</v>
      </c>
      <c r="N620" s="12" t="e">
        <f ca="1">VLOOKUP(D620,Input!B:N,11,0)</f>
        <v>#N/A</v>
      </c>
      <c r="O620" s="12" t="e">
        <f ca="1">VLOOKUP(D620,Input!B:M,6,0)</f>
        <v>#N/A</v>
      </c>
      <c r="P620" s="6">
        <v>619</v>
      </c>
    </row>
    <row r="621" spans="1:16" ht="15.75">
      <c r="A621" s="13" t="str">
        <f>IFERROR(VLOOKUP($D:$D,scan!$A:$B,2,0),"**")</f>
        <v>**</v>
      </c>
      <c r="B621" s="13" t="str">
        <f>IFERROR(VLOOKUP($D621,scan!A:C,3,0),"**")</f>
        <v>**</v>
      </c>
      <c r="C621" s="5">
        <v>581</v>
      </c>
      <c r="D621" s="24"/>
      <c r="E621" s="16" t="str">
        <f t="shared" si="9"/>
        <v>620.**.</v>
      </c>
      <c r="F621" s="3" t="s">
        <v>4950</v>
      </c>
      <c r="G621" s="3" t="s">
        <v>4951</v>
      </c>
      <c r="H621" s="3">
        <v>6042070338</v>
      </c>
      <c r="I621" s="12" t="e">
        <f ca="1">VLOOKUP(D621,Input!B:M,10,0)</f>
        <v>#N/A</v>
      </c>
      <c r="J621" s="12"/>
      <c r="K621" s="12"/>
      <c r="L621" s="12"/>
      <c r="M621" s="12" t="e">
        <f ca="1">VLOOKUP(D621,Input!B:M,12,0)</f>
        <v>#N/A</v>
      </c>
      <c r="N621" s="12" t="e">
        <f ca="1">VLOOKUP(D621,Input!B:N,11,0)</f>
        <v>#N/A</v>
      </c>
      <c r="O621" s="12" t="e">
        <f ca="1">VLOOKUP(D621,Input!B:M,6,0)</f>
        <v>#N/A</v>
      </c>
      <c r="P621" s="6">
        <v>620</v>
      </c>
    </row>
    <row r="622" spans="1:16" ht="14.25">
      <c r="A622" s="13" t="str">
        <f>IFERROR(VLOOKUP($D:$D,scan!$A:$B,2,0),"**")</f>
        <v>**</v>
      </c>
      <c r="B622" s="13" t="str">
        <f>IFERROR(VLOOKUP($D622,scan!A:C,3,0),"**")</f>
        <v>**</v>
      </c>
      <c r="C622" s="14">
        <v>582</v>
      </c>
      <c r="D622" s="28"/>
      <c r="E622" s="16" t="str">
        <f t="shared" si="9"/>
        <v>621.**.</v>
      </c>
      <c r="F622" s="3" t="s">
        <v>4950</v>
      </c>
      <c r="G622" s="3" t="s">
        <v>4951</v>
      </c>
      <c r="H622" s="3">
        <v>6042070338</v>
      </c>
      <c r="I622" s="12" t="e">
        <f ca="1">VLOOKUP(D622,Input!B:M,10,0)</f>
        <v>#N/A</v>
      </c>
      <c r="J622" s="12"/>
      <c r="K622" s="12"/>
      <c r="L622" s="12"/>
      <c r="M622" s="12" t="e">
        <f ca="1">VLOOKUP(D622,Input!B:M,12,0)</f>
        <v>#N/A</v>
      </c>
      <c r="N622" s="12" t="e">
        <f ca="1">VLOOKUP(D622,Input!B:N,11,0)</f>
        <v>#N/A</v>
      </c>
      <c r="O622" s="12" t="e">
        <f ca="1">VLOOKUP(D622,Input!B:M,6,0)</f>
        <v>#N/A</v>
      </c>
      <c r="P622" s="6">
        <v>621</v>
      </c>
    </row>
    <row r="623" spans="1:16" ht="14.25">
      <c r="A623" s="13" t="str">
        <f>IFERROR(VLOOKUP($D:$D,scan!$A:$B,2,0),"**")</f>
        <v>**</v>
      </c>
      <c r="B623" s="13" t="str">
        <f>IFERROR(VLOOKUP($D623,scan!A:C,3,0),"**")</f>
        <v>**</v>
      </c>
      <c r="C623" s="14">
        <v>583</v>
      </c>
      <c r="D623" s="28"/>
      <c r="E623" s="16" t="str">
        <f t="shared" si="9"/>
        <v>622.**.</v>
      </c>
      <c r="F623" s="3" t="s">
        <v>4950</v>
      </c>
      <c r="G623" s="3" t="s">
        <v>4951</v>
      </c>
      <c r="H623" s="3">
        <v>6042070338</v>
      </c>
      <c r="I623" s="12" t="e">
        <f ca="1">VLOOKUP(D623,Input!B:M,10,0)</f>
        <v>#N/A</v>
      </c>
      <c r="J623" s="12"/>
      <c r="K623" s="12"/>
      <c r="L623" s="12"/>
      <c r="M623" s="12" t="e">
        <f ca="1">VLOOKUP(D623,Input!B:M,12,0)</f>
        <v>#N/A</v>
      </c>
      <c r="N623" s="12" t="e">
        <f ca="1">VLOOKUP(D623,Input!B:N,11,0)</f>
        <v>#N/A</v>
      </c>
      <c r="O623" s="12" t="e">
        <f ca="1">VLOOKUP(D623,Input!B:M,6,0)</f>
        <v>#N/A</v>
      </c>
      <c r="P623" s="6">
        <v>622</v>
      </c>
    </row>
    <row r="624" spans="1:16" ht="14.25">
      <c r="A624" s="13" t="str">
        <f>IFERROR(VLOOKUP($D:$D,scan!$A:$B,2,0),"**")</f>
        <v>**</v>
      </c>
      <c r="B624" s="13" t="str">
        <f>IFERROR(VLOOKUP($D624,scan!A:C,3,0),"**")</f>
        <v>**</v>
      </c>
      <c r="C624" s="5">
        <v>585</v>
      </c>
      <c r="D624" s="30"/>
      <c r="E624" s="16" t="str">
        <f t="shared" si="9"/>
        <v>623.**.</v>
      </c>
      <c r="F624" s="3" t="s">
        <v>4950</v>
      </c>
      <c r="G624" s="3" t="s">
        <v>4951</v>
      </c>
      <c r="H624" s="3">
        <v>6042070338</v>
      </c>
      <c r="I624" s="12" t="e">
        <f ca="1">VLOOKUP(D624,Input!B:M,10,0)</f>
        <v>#N/A</v>
      </c>
      <c r="J624" s="12"/>
      <c r="K624" s="12"/>
      <c r="L624" s="12"/>
      <c r="M624" s="12" t="e">
        <f ca="1">VLOOKUP(D624,Input!B:M,12,0)</f>
        <v>#N/A</v>
      </c>
      <c r="N624" s="12" t="e">
        <f ca="1">VLOOKUP(D624,Input!B:N,11,0)</f>
        <v>#N/A</v>
      </c>
      <c r="O624" s="12" t="e">
        <f ca="1">VLOOKUP(D624,Input!B:M,6,0)</f>
        <v>#N/A</v>
      </c>
      <c r="P624" s="6">
        <v>623</v>
      </c>
    </row>
    <row r="625" spans="1:16" ht="14.25">
      <c r="A625" s="13" t="str">
        <f>IFERROR(VLOOKUP($D:$D,scan!$A:$B,2,0),"**")</f>
        <v>**</v>
      </c>
      <c r="B625" s="13" t="str">
        <f>IFERROR(VLOOKUP($D625,scan!A:C,3,0),"**")</f>
        <v>**</v>
      </c>
      <c r="C625" s="14">
        <v>587</v>
      </c>
      <c r="D625" s="31"/>
      <c r="E625" s="16" t="str">
        <f t="shared" si="9"/>
        <v>624.**.</v>
      </c>
      <c r="F625" s="3" t="s">
        <v>4950</v>
      </c>
      <c r="G625" s="3" t="s">
        <v>4951</v>
      </c>
      <c r="H625" s="3">
        <v>6042070338</v>
      </c>
      <c r="I625" s="12" t="e">
        <f ca="1">VLOOKUP(D625,Input!B:M,10,0)</f>
        <v>#N/A</v>
      </c>
      <c r="J625" s="12"/>
      <c r="K625" s="12"/>
      <c r="L625" s="12"/>
      <c r="M625" s="12" t="e">
        <f ca="1">VLOOKUP(D625,Input!B:M,12,0)</f>
        <v>#N/A</v>
      </c>
      <c r="N625" s="12" t="e">
        <f ca="1">VLOOKUP(D625,Input!B:N,11,0)</f>
        <v>#N/A</v>
      </c>
      <c r="O625" s="12" t="e">
        <f ca="1">VLOOKUP(D625,Input!B:M,6,0)</f>
        <v>#N/A</v>
      </c>
      <c r="P625" s="6">
        <v>624</v>
      </c>
    </row>
    <row r="626" spans="1:16" ht="14.25">
      <c r="A626" s="13" t="str">
        <f>IFERROR(VLOOKUP($D:$D,scan!$A:$B,2,0),"**")</f>
        <v>**</v>
      </c>
      <c r="B626" s="13" t="str">
        <f>IFERROR(VLOOKUP($D626,scan!A:C,3,0),"**")</f>
        <v>**</v>
      </c>
      <c r="C626" s="14">
        <v>588</v>
      </c>
      <c r="D626" s="31"/>
      <c r="E626" s="16" t="str">
        <f t="shared" si="9"/>
        <v>625.**.</v>
      </c>
      <c r="F626" s="3" t="s">
        <v>4950</v>
      </c>
      <c r="G626" s="3" t="s">
        <v>4951</v>
      </c>
      <c r="H626" s="3">
        <v>6042070338</v>
      </c>
      <c r="I626" s="12" t="e">
        <f ca="1">VLOOKUP(D626,Input!B:M,10,0)</f>
        <v>#N/A</v>
      </c>
      <c r="J626" s="12"/>
      <c r="K626" s="12"/>
      <c r="L626" s="12"/>
      <c r="M626" s="12" t="e">
        <f ca="1">VLOOKUP(D626,Input!B:M,12,0)</f>
        <v>#N/A</v>
      </c>
      <c r="N626" s="12" t="e">
        <f ca="1">VLOOKUP(D626,Input!B:N,11,0)</f>
        <v>#N/A</v>
      </c>
      <c r="O626" s="12" t="e">
        <f ca="1">VLOOKUP(D626,Input!B:M,6,0)</f>
        <v>#N/A</v>
      </c>
      <c r="P626" s="6">
        <v>625</v>
      </c>
    </row>
    <row r="627" spans="1:16" ht="15.75">
      <c r="A627" s="13" t="str">
        <f>IFERROR(VLOOKUP($D:$D,scan!$A:$B,2,0),"**")</f>
        <v>**</v>
      </c>
      <c r="B627" s="13" t="str">
        <f>IFERROR(VLOOKUP($D627,scan!A:C,3,0),"**")</f>
        <v>**</v>
      </c>
      <c r="C627" s="5">
        <v>589</v>
      </c>
      <c r="D627" s="23"/>
      <c r="E627" s="16" t="str">
        <f t="shared" si="9"/>
        <v>626.**.</v>
      </c>
      <c r="F627" s="3" t="s">
        <v>4950</v>
      </c>
      <c r="G627" s="3" t="s">
        <v>4951</v>
      </c>
      <c r="H627" s="3">
        <v>6042070338</v>
      </c>
      <c r="I627" s="12" t="e">
        <f ca="1">VLOOKUP(D627,Input!B:M,10,0)</f>
        <v>#N/A</v>
      </c>
      <c r="J627" s="12"/>
      <c r="K627" s="12"/>
      <c r="L627" s="12"/>
      <c r="M627" s="12" t="e">
        <f ca="1">VLOOKUP(D627,Input!B:M,12,0)</f>
        <v>#N/A</v>
      </c>
      <c r="N627" s="12" t="e">
        <f ca="1">VLOOKUP(D627,Input!B:N,11,0)</f>
        <v>#N/A</v>
      </c>
      <c r="O627" s="12" t="e">
        <f ca="1">VLOOKUP(D627,Input!B:M,6,0)</f>
        <v>#N/A</v>
      </c>
      <c r="P627" s="6">
        <v>626</v>
      </c>
    </row>
    <row r="628" spans="1:16" ht="14.25">
      <c r="A628" s="13" t="str">
        <f>IFERROR(VLOOKUP($D:$D,scan!$A:$B,2,0),"**")</f>
        <v>**</v>
      </c>
      <c r="B628" s="13" t="str">
        <f>IFERROR(VLOOKUP($D628,scan!A:C,3,0),"**")</f>
        <v>**</v>
      </c>
      <c r="C628" s="14">
        <v>594</v>
      </c>
      <c r="D628" s="34"/>
      <c r="E628" s="16" t="str">
        <f t="shared" si="9"/>
        <v>627.**.</v>
      </c>
      <c r="F628" s="3" t="s">
        <v>4950</v>
      </c>
      <c r="G628" s="3" t="s">
        <v>4951</v>
      </c>
      <c r="H628" s="3">
        <v>6042070338</v>
      </c>
      <c r="I628" s="12" t="e">
        <f ca="1">VLOOKUP(D628,Input!B:M,10,0)</f>
        <v>#N/A</v>
      </c>
      <c r="J628" s="12"/>
      <c r="K628" s="12"/>
      <c r="L628" s="12"/>
      <c r="M628" s="12" t="e">
        <f ca="1">VLOOKUP(D628,Input!B:M,12,0)</f>
        <v>#N/A</v>
      </c>
      <c r="N628" s="12" t="e">
        <f ca="1">VLOOKUP(D628,Input!B:N,11,0)</f>
        <v>#N/A</v>
      </c>
      <c r="O628" s="12" t="e">
        <f ca="1">VLOOKUP(D628,Input!B:M,6,0)</f>
        <v>#N/A</v>
      </c>
      <c r="P628" s="6">
        <v>627</v>
      </c>
    </row>
    <row r="629" spans="1:16" ht="14.25">
      <c r="A629" s="13" t="str">
        <f>IFERROR(VLOOKUP($D:$D,scan!$A:$B,2,0),"**")</f>
        <v>**</v>
      </c>
      <c r="B629" s="13" t="str">
        <f>IFERROR(VLOOKUP($D629,scan!A:C,3,0),"**")</f>
        <v>**</v>
      </c>
      <c r="C629" s="14">
        <v>595</v>
      </c>
      <c r="D629" s="28"/>
      <c r="E629" s="16" t="str">
        <f t="shared" si="9"/>
        <v>628.**.</v>
      </c>
      <c r="F629" s="3" t="s">
        <v>4950</v>
      </c>
      <c r="G629" s="3" t="s">
        <v>4951</v>
      </c>
      <c r="H629" s="3">
        <v>6042070338</v>
      </c>
      <c r="I629" s="12" t="e">
        <f ca="1">VLOOKUP(D629,Input!B:M,10,0)</f>
        <v>#N/A</v>
      </c>
      <c r="J629" s="12"/>
      <c r="K629" s="12"/>
      <c r="L629" s="12"/>
      <c r="M629" s="12" t="e">
        <f ca="1">VLOOKUP(D629,Input!B:M,12,0)</f>
        <v>#N/A</v>
      </c>
      <c r="N629" s="12" t="e">
        <f ca="1">VLOOKUP(D629,Input!B:N,11,0)</f>
        <v>#N/A</v>
      </c>
      <c r="O629" s="12" t="e">
        <f ca="1">VLOOKUP(D629,Input!B:M,6,0)</f>
        <v>#N/A</v>
      </c>
      <c r="P629" s="6">
        <v>628</v>
      </c>
    </row>
    <row r="630" spans="1:16" ht="14.25">
      <c r="A630" s="13" t="str">
        <f>IFERROR(VLOOKUP($D:$D,scan!$A:$B,2,0),"**")</f>
        <v>**</v>
      </c>
      <c r="B630" s="13" t="str">
        <f>IFERROR(VLOOKUP($D630,scan!A:C,3,0),"**")</f>
        <v>**</v>
      </c>
      <c r="C630" s="14">
        <v>596</v>
      </c>
      <c r="D630" s="28"/>
      <c r="E630" s="16" t="str">
        <f t="shared" si="9"/>
        <v>629.**.</v>
      </c>
      <c r="F630" s="3" t="s">
        <v>4950</v>
      </c>
      <c r="G630" s="3" t="s">
        <v>4951</v>
      </c>
      <c r="H630" s="3">
        <v>6042070338</v>
      </c>
      <c r="I630" s="12" t="e">
        <f ca="1">VLOOKUP(D630,Input!B:M,10,0)</f>
        <v>#N/A</v>
      </c>
      <c r="J630" s="12"/>
      <c r="K630" s="12"/>
      <c r="L630" s="12"/>
      <c r="M630" s="12" t="e">
        <f ca="1">VLOOKUP(D630,Input!B:M,12,0)</f>
        <v>#N/A</v>
      </c>
      <c r="N630" s="12" t="e">
        <f ca="1">VLOOKUP(D630,Input!B:N,11,0)</f>
        <v>#N/A</v>
      </c>
      <c r="O630" s="12" t="e">
        <f ca="1">VLOOKUP(D630,Input!B:M,6,0)</f>
        <v>#N/A</v>
      </c>
      <c r="P630" s="6">
        <v>629</v>
      </c>
    </row>
    <row r="631" spans="1:16" ht="14.25">
      <c r="A631" s="13" t="str">
        <f>IFERROR(VLOOKUP($D:$D,scan!$A:$B,2,0),"**")</f>
        <v>**</v>
      </c>
      <c r="B631" s="13" t="str">
        <f>IFERROR(VLOOKUP($D631,scan!A:C,3,0),"**")</f>
        <v>**</v>
      </c>
      <c r="C631" s="5">
        <v>597</v>
      </c>
      <c r="D631" s="34"/>
      <c r="E631" s="16" t="str">
        <f t="shared" si="9"/>
        <v>630.**.</v>
      </c>
      <c r="F631" s="3" t="s">
        <v>4950</v>
      </c>
      <c r="G631" s="3" t="s">
        <v>4951</v>
      </c>
      <c r="H631" s="3">
        <v>6042070338</v>
      </c>
      <c r="I631" s="12" t="e">
        <f ca="1">VLOOKUP(D631,Input!B:M,10,0)</f>
        <v>#N/A</v>
      </c>
      <c r="J631" s="12"/>
      <c r="K631" s="12"/>
      <c r="L631" s="12"/>
      <c r="M631" s="12" t="e">
        <f ca="1">VLOOKUP(D631,Input!B:M,12,0)</f>
        <v>#N/A</v>
      </c>
      <c r="N631" s="12" t="e">
        <f ca="1">VLOOKUP(D631,Input!B:N,11,0)</f>
        <v>#N/A</v>
      </c>
      <c r="O631" s="12" t="e">
        <f ca="1">VLOOKUP(D631,Input!B:M,6,0)</f>
        <v>#N/A</v>
      </c>
      <c r="P631" s="6">
        <v>630</v>
      </c>
    </row>
    <row r="632" spans="1:16" ht="14.25">
      <c r="A632" s="13" t="str">
        <f>IFERROR(VLOOKUP($D:$D,scan!$A:$B,2,0),"**")</f>
        <v>**</v>
      </c>
      <c r="B632" s="13" t="str">
        <f>IFERROR(VLOOKUP($D632,scan!A:C,3,0),"**")</f>
        <v>**</v>
      </c>
      <c r="C632" s="14">
        <v>607</v>
      </c>
      <c r="D632" s="34"/>
      <c r="E632" s="16" t="str">
        <f t="shared" si="9"/>
        <v>631.**.</v>
      </c>
      <c r="F632" s="3" t="s">
        <v>4950</v>
      </c>
      <c r="G632" s="3" t="s">
        <v>4951</v>
      </c>
      <c r="H632" s="3">
        <v>6042070338</v>
      </c>
      <c r="I632" s="12" t="e">
        <f ca="1">VLOOKUP(D632,Input!B:M,10,0)</f>
        <v>#N/A</v>
      </c>
      <c r="J632" s="12"/>
      <c r="K632" s="12"/>
      <c r="L632" s="12"/>
      <c r="M632" s="12" t="e">
        <f ca="1">VLOOKUP(D632,Input!B:M,12,0)</f>
        <v>#N/A</v>
      </c>
      <c r="N632" s="12" t="e">
        <f ca="1">VLOOKUP(D632,Input!B:N,11,0)</f>
        <v>#N/A</v>
      </c>
      <c r="O632" s="12" t="e">
        <f ca="1">VLOOKUP(D632,Input!B:M,6,0)</f>
        <v>#N/A</v>
      </c>
      <c r="P632" s="6">
        <v>631</v>
      </c>
    </row>
    <row r="633" spans="1:16" ht="14.25">
      <c r="A633" s="13" t="str">
        <f>IFERROR(VLOOKUP($D:$D,scan!$A:$B,2,0),"**")</f>
        <v>**</v>
      </c>
      <c r="B633" s="13" t="str">
        <f>IFERROR(VLOOKUP($D633,scan!A:C,3,0),"**")</f>
        <v>**</v>
      </c>
      <c r="C633" s="14">
        <v>608</v>
      </c>
      <c r="D633" s="34"/>
      <c r="E633" s="16" t="str">
        <f t="shared" si="9"/>
        <v>632.**.</v>
      </c>
      <c r="F633" s="3" t="s">
        <v>4950</v>
      </c>
      <c r="G633" s="3" t="s">
        <v>4951</v>
      </c>
      <c r="H633" s="3">
        <v>6042070338</v>
      </c>
      <c r="I633" s="12" t="e">
        <f ca="1">VLOOKUP(D633,Input!B:M,10,0)</f>
        <v>#N/A</v>
      </c>
      <c r="J633" s="12"/>
      <c r="K633" s="12"/>
      <c r="L633" s="12"/>
      <c r="M633" s="12" t="e">
        <f ca="1">VLOOKUP(D633,Input!B:M,12,0)</f>
        <v>#N/A</v>
      </c>
      <c r="N633" s="12" t="e">
        <f ca="1">VLOOKUP(D633,Input!B:N,11,0)</f>
        <v>#N/A</v>
      </c>
      <c r="O633" s="12" t="e">
        <f ca="1">VLOOKUP(D633,Input!B:M,6,0)</f>
        <v>#N/A</v>
      </c>
      <c r="P633" s="6">
        <v>632</v>
      </c>
    </row>
    <row r="634" spans="1:16" ht="15.75">
      <c r="A634" s="13" t="str">
        <f>IFERROR(VLOOKUP($D:$D,scan!$A:$B,2,0),"**")</f>
        <v>**</v>
      </c>
      <c r="B634" s="13" t="str">
        <f>IFERROR(VLOOKUP($D634,scan!A:C,3,0),"**")</f>
        <v>**</v>
      </c>
      <c r="C634" s="5">
        <v>625</v>
      </c>
      <c r="D634" s="38"/>
      <c r="E634" s="16" t="str">
        <f t="shared" si="9"/>
        <v>633.**.</v>
      </c>
      <c r="F634" s="3" t="s">
        <v>4950</v>
      </c>
      <c r="G634" s="3" t="s">
        <v>4951</v>
      </c>
      <c r="H634" s="3">
        <v>6042070338</v>
      </c>
      <c r="I634" s="12" t="e">
        <f ca="1">VLOOKUP(D634,Input!B:M,10,0)</f>
        <v>#N/A</v>
      </c>
      <c r="J634" s="12"/>
      <c r="K634" s="12"/>
      <c r="L634" s="12"/>
      <c r="M634" s="12" t="e">
        <f ca="1">VLOOKUP(D634,Input!B:M,12,0)</f>
        <v>#N/A</v>
      </c>
      <c r="N634" s="12" t="e">
        <f ca="1">VLOOKUP(D634,Input!B:N,11,0)</f>
        <v>#N/A</v>
      </c>
      <c r="O634" s="12" t="e">
        <f ca="1">VLOOKUP(D634,Input!B:M,6,0)</f>
        <v>#N/A</v>
      </c>
      <c r="P634" s="6">
        <v>633</v>
      </c>
    </row>
    <row r="635" spans="1:16" ht="14.25">
      <c r="A635" s="13" t="str">
        <f>IFERROR(VLOOKUP($D:$D,scan!$A:$B,2,0),"**")</f>
        <v>**</v>
      </c>
      <c r="B635" s="13" t="str">
        <f>IFERROR(VLOOKUP($D635,scan!A:C,3,0),"**")</f>
        <v>**</v>
      </c>
      <c r="C635" s="14">
        <v>626</v>
      </c>
      <c r="D635" s="35"/>
      <c r="E635" s="16" t="str">
        <f t="shared" si="9"/>
        <v>634.**.</v>
      </c>
      <c r="F635" s="3" t="s">
        <v>4950</v>
      </c>
      <c r="G635" s="3" t="s">
        <v>4951</v>
      </c>
      <c r="H635" s="3">
        <v>6042070338</v>
      </c>
      <c r="I635" s="12" t="e">
        <f ca="1">VLOOKUP(D635,Input!B:M,10,0)</f>
        <v>#N/A</v>
      </c>
      <c r="J635" s="12"/>
      <c r="K635" s="12"/>
      <c r="L635" s="12"/>
      <c r="M635" s="12" t="e">
        <f ca="1">VLOOKUP(D635,Input!B:M,12,0)</f>
        <v>#N/A</v>
      </c>
      <c r="N635" s="12" t="e">
        <f ca="1">VLOOKUP(D635,Input!B:N,11,0)</f>
        <v>#N/A</v>
      </c>
      <c r="O635" s="12" t="e">
        <f ca="1">VLOOKUP(D635,Input!B:M,6,0)</f>
        <v>#N/A</v>
      </c>
      <c r="P635" s="6">
        <v>634</v>
      </c>
    </row>
    <row r="636" spans="1:16" ht="14.25">
      <c r="A636" s="13" t="str">
        <f>IFERROR(VLOOKUP($D:$D,scan!$A:$B,2,0),"**")</f>
        <v>**</v>
      </c>
      <c r="B636" s="13" t="str">
        <f>IFERROR(VLOOKUP($D636,scan!A:C,3,0),"**")</f>
        <v>**</v>
      </c>
      <c r="C636" s="14">
        <v>627</v>
      </c>
      <c r="D636" s="36"/>
      <c r="E636" s="16" t="str">
        <f t="shared" si="9"/>
        <v>635.**.</v>
      </c>
      <c r="F636" s="3" t="s">
        <v>4950</v>
      </c>
      <c r="G636" s="3" t="s">
        <v>4951</v>
      </c>
      <c r="H636" s="3">
        <v>6042070338</v>
      </c>
      <c r="I636" s="12" t="e">
        <f ca="1">VLOOKUP(D636,Input!B:M,10,0)</f>
        <v>#N/A</v>
      </c>
      <c r="J636" s="12"/>
      <c r="K636" s="12"/>
      <c r="L636" s="12"/>
      <c r="M636" s="12" t="e">
        <f ca="1">VLOOKUP(D636,Input!B:M,12,0)</f>
        <v>#N/A</v>
      </c>
      <c r="N636" s="12" t="e">
        <f ca="1">VLOOKUP(D636,Input!B:N,11,0)</f>
        <v>#N/A</v>
      </c>
      <c r="O636" s="12" t="e">
        <f ca="1">VLOOKUP(D636,Input!B:M,6,0)</f>
        <v>#N/A</v>
      </c>
      <c r="P636" s="6">
        <v>635</v>
      </c>
    </row>
    <row r="637" spans="1:16" ht="14.25">
      <c r="A637" s="13" t="str">
        <f>IFERROR(VLOOKUP($D:$D,scan!$A:$B,2,0),"**")</f>
        <v>**</v>
      </c>
      <c r="B637" s="13" t="str">
        <f>IFERROR(VLOOKUP($D637,scan!A:C,3,0),"**")</f>
        <v>**</v>
      </c>
      <c r="C637" s="14">
        <v>628</v>
      </c>
      <c r="D637" s="36"/>
      <c r="E637" s="16" t="str">
        <f t="shared" si="9"/>
        <v>636.**.</v>
      </c>
      <c r="F637" s="3" t="s">
        <v>4950</v>
      </c>
      <c r="G637" s="3" t="s">
        <v>4951</v>
      </c>
      <c r="H637" s="3">
        <v>6042070338</v>
      </c>
      <c r="I637" s="12" t="e">
        <f ca="1">VLOOKUP(D637,Input!B:M,10,0)</f>
        <v>#N/A</v>
      </c>
      <c r="J637" s="12"/>
      <c r="K637" s="12"/>
      <c r="L637" s="12"/>
      <c r="M637" s="12" t="e">
        <f ca="1">VLOOKUP(D637,Input!B:M,12,0)</f>
        <v>#N/A</v>
      </c>
      <c r="N637" s="12" t="e">
        <f ca="1">VLOOKUP(D637,Input!B:N,11,0)</f>
        <v>#N/A</v>
      </c>
      <c r="O637" s="12" t="e">
        <f ca="1">VLOOKUP(D637,Input!B:M,6,0)</f>
        <v>#N/A</v>
      </c>
      <c r="P637" s="6">
        <v>636</v>
      </c>
    </row>
    <row r="638" spans="1:16" ht="14.25">
      <c r="A638" s="13" t="str">
        <f>IFERROR(VLOOKUP($D:$D,scan!$A:$B,2,0),"**")</f>
        <v>**</v>
      </c>
      <c r="B638" s="13" t="str">
        <f>IFERROR(VLOOKUP($D638,scan!A:C,3,0),"**")</f>
        <v>**</v>
      </c>
      <c r="C638" s="5">
        <v>629</v>
      </c>
      <c r="D638" s="36"/>
      <c r="E638" s="16" t="str">
        <f t="shared" si="9"/>
        <v>637.**.</v>
      </c>
      <c r="F638" s="3" t="s">
        <v>4950</v>
      </c>
      <c r="G638" s="3" t="s">
        <v>4951</v>
      </c>
      <c r="H638" s="3">
        <v>6042070338</v>
      </c>
      <c r="I638" s="12" t="e">
        <f ca="1">VLOOKUP(D638,Input!B:M,10,0)</f>
        <v>#N/A</v>
      </c>
      <c r="J638" s="12"/>
      <c r="K638" s="12"/>
      <c r="L638" s="12"/>
      <c r="M638" s="12" t="e">
        <f ca="1">VLOOKUP(D638,Input!B:M,12,0)</f>
        <v>#N/A</v>
      </c>
      <c r="N638" s="12" t="e">
        <f ca="1">VLOOKUP(D638,Input!B:N,11,0)</f>
        <v>#N/A</v>
      </c>
      <c r="O638" s="12" t="e">
        <f ca="1">VLOOKUP(D638,Input!B:M,6,0)</f>
        <v>#N/A</v>
      </c>
      <c r="P638" s="6">
        <v>637</v>
      </c>
    </row>
    <row r="639" spans="1:16" ht="14.25">
      <c r="A639" s="13" t="str">
        <f>IFERROR(VLOOKUP($D:$D,scan!$A:$B,2,0),"**")</f>
        <v>**</v>
      </c>
      <c r="B639" s="13" t="str">
        <f>IFERROR(VLOOKUP($D639,scan!A:C,3,0),"**")</f>
        <v>**</v>
      </c>
      <c r="C639" s="14">
        <v>630</v>
      </c>
      <c r="D639" s="39"/>
      <c r="E639" s="16" t="str">
        <f t="shared" si="9"/>
        <v>638.**.</v>
      </c>
      <c r="F639" s="3" t="s">
        <v>4950</v>
      </c>
      <c r="G639" s="3" t="s">
        <v>4951</v>
      </c>
      <c r="H639" s="3">
        <v>6042070338</v>
      </c>
      <c r="I639" s="12" t="e">
        <f ca="1">VLOOKUP(D639,Input!B:M,10,0)</f>
        <v>#N/A</v>
      </c>
      <c r="J639" s="12"/>
      <c r="K639" s="12"/>
      <c r="L639" s="12"/>
      <c r="M639" s="12" t="e">
        <f ca="1">VLOOKUP(D639,Input!B:M,12,0)</f>
        <v>#N/A</v>
      </c>
      <c r="N639" s="12" t="e">
        <f ca="1">VLOOKUP(D639,Input!B:N,11,0)</f>
        <v>#N/A</v>
      </c>
      <c r="O639" s="12" t="e">
        <f ca="1">VLOOKUP(D639,Input!B:M,6,0)</f>
        <v>#N/A</v>
      </c>
      <c r="P639" s="6">
        <v>638</v>
      </c>
    </row>
  </sheetData>
  <sortState ref="A2:P639">
    <sortCondition ref="A2:A639"/>
  </sortState>
  <phoneticPr fontId="47" type="noConversion"/>
  <conditionalFormatting sqref="D475">
    <cfRule type="duplicateValues" dxfId="201" priority="38"/>
  </conditionalFormatting>
  <conditionalFormatting sqref="D476">
    <cfRule type="duplicateValues" dxfId="200" priority="36"/>
    <cfRule type="duplicateValues" dxfId="199" priority="37"/>
  </conditionalFormatting>
  <conditionalFormatting sqref="D597">
    <cfRule type="duplicateValues" dxfId="198" priority="25"/>
    <cfRule type="duplicateValues" dxfId="197" priority="26"/>
  </conditionalFormatting>
  <conditionalFormatting sqref="D598">
    <cfRule type="duplicateValues" dxfId="196" priority="23"/>
    <cfRule type="duplicateValues" dxfId="195" priority="24"/>
  </conditionalFormatting>
  <conditionalFormatting sqref="D632">
    <cfRule type="duplicateValues" dxfId="194" priority="15"/>
    <cfRule type="duplicateValues" dxfId="193" priority="16"/>
  </conditionalFormatting>
  <conditionalFormatting sqref="D633">
    <cfRule type="duplicateValues" dxfId="192" priority="13"/>
    <cfRule type="duplicateValues" dxfId="191" priority="14"/>
  </conditionalFormatting>
  <conditionalFormatting sqref="D634">
    <cfRule type="duplicateValues" dxfId="190" priority="11"/>
    <cfRule type="duplicateValues" dxfId="189" priority="12"/>
  </conditionalFormatting>
  <conditionalFormatting sqref="D635">
    <cfRule type="duplicateValues" dxfId="188" priority="7"/>
    <cfRule type="duplicateValues" dxfId="187" priority="8"/>
  </conditionalFormatting>
  <conditionalFormatting sqref="D636">
    <cfRule type="duplicateValues" dxfId="186" priority="5"/>
    <cfRule type="duplicateValues" dxfId="185" priority="6"/>
  </conditionalFormatting>
  <conditionalFormatting sqref="D637">
    <cfRule type="duplicateValues" dxfId="184" priority="4"/>
  </conditionalFormatting>
  <conditionalFormatting sqref="D638">
    <cfRule type="duplicateValues" dxfId="183" priority="3"/>
  </conditionalFormatting>
  <conditionalFormatting sqref="D639">
    <cfRule type="duplicateValues" dxfId="182" priority="1"/>
    <cfRule type="duplicateValues" dxfId="181" priority="2"/>
  </conditionalFormatting>
  <conditionalFormatting sqref="D228:D229">
    <cfRule type="duplicateValues" dxfId="180" priority="19"/>
    <cfRule type="duplicateValues" dxfId="179" priority="20"/>
  </conditionalFormatting>
  <conditionalFormatting sqref="D501:D504">
    <cfRule type="duplicateValues" dxfId="178" priority="33"/>
  </conditionalFormatting>
  <conditionalFormatting sqref="D505:D515">
    <cfRule type="duplicateValues" dxfId="177" priority="34"/>
  </conditionalFormatting>
  <conditionalFormatting sqref="D553:D556">
    <cfRule type="duplicateValues" dxfId="176" priority="29"/>
    <cfRule type="duplicateValues" dxfId="175" priority="30"/>
  </conditionalFormatting>
  <conditionalFormatting sqref="D609:D611">
    <cfRule type="duplicateValues" dxfId="174" priority="21"/>
    <cfRule type="duplicateValues" dxfId="173" priority="22"/>
  </conditionalFormatting>
  <conditionalFormatting sqref="D635:D639">
    <cfRule type="duplicateValues" dxfId="172" priority="9"/>
    <cfRule type="duplicateValues" dxfId="171" priority="10"/>
  </conditionalFormatting>
  <conditionalFormatting sqref="E2:E639">
    <cfRule type="duplicateValues" dxfId="170" priority="44"/>
    <cfRule type="duplicateValues" dxfId="169" priority="45"/>
  </conditionalFormatting>
  <conditionalFormatting sqref="D557:D567 D479:D480 D516:D534 D145:D227 D434:D474 D2:D11 D17:D140 D233:D398 D599:D607 D402:D429">
    <cfRule type="duplicateValues" dxfId="168" priority="39"/>
  </conditionalFormatting>
  <conditionalFormatting sqref="D231:D232 D12 D141:D144">
    <cfRule type="duplicateValues" dxfId="167" priority="17"/>
    <cfRule type="duplicateValues" dxfId="166" priority="18"/>
  </conditionalFormatting>
  <conditionalFormatting sqref="D486:D500 D399:D401">
    <cfRule type="duplicateValues" dxfId="165" priority="35"/>
  </conditionalFormatting>
  <conditionalFormatting sqref="D617:D625 D539:D552">
    <cfRule type="duplicateValues" dxfId="164" priority="31"/>
    <cfRule type="duplicateValues" dxfId="163" priority="32"/>
  </conditionalFormatting>
  <conditionalFormatting sqref="D584 D595">
    <cfRule type="duplicateValues" dxfId="162" priority="27"/>
    <cfRule type="duplicateValues" dxfId="161" priority="28"/>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dimension ref="A1:Q1875"/>
  <sheetViews>
    <sheetView workbookViewId="0"/>
  </sheetViews>
  <sheetFormatPr defaultColWidth="9" defaultRowHeight="13.5"/>
  <cols>
    <col min="2" max="2" width="14.75" customWidth="1"/>
    <col min="3" max="3" width="19.125" customWidth="1"/>
    <col min="4" max="4" width="16.625" customWidth="1"/>
    <col min="9" max="9" width="35.375" style="1" customWidth="1"/>
  </cols>
  <sheetData>
    <row r="1" spans="1:17">
      <c r="A1" s="2"/>
      <c r="B1" s="2" t="s">
        <v>24</v>
      </c>
      <c r="C1" s="2" t="s">
        <v>25</v>
      </c>
      <c r="D1" s="2" t="s">
        <v>4952</v>
      </c>
      <c r="E1" s="2" t="s">
        <v>1210</v>
      </c>
      <c r="F1" s="2">
        <v>1</v>
      </c>
      <c r="G1" s="2">
        <v>1.72</v>
      </c>
      <c r="H1" s="2">
        <v>4</v>
      </c>
      <c r="I1" s="2" t="s">
        <v>4953</v>
      </c>
      <c r="J1" s="2" t="s">
        <v>29</v>
      </c>
      <c r="K1" s="2" t="s">
        <v>30</v>
      </c>
      <c r="L1" s="2">
        <v>13880859619</v>
      </c>
      <c r="M1" s="2" t="s">
        <v>31</v>
      </c>
      <c r="N1" s="2" t="s">
        <v>32</v>
      </c>
      <c r="O1" s="2" t="s">
        <v>31</v>
      </c>
      <c r="P1" s="2">
        <v>13880859619</v>
      </c>
      <c r="Q1" s="2" t="s">
        <v>33</v>
      </c>
    </row>
    <row r="2" spans="1:17">
      <c r="A2" s="2"/>
      <c r="B2" s="2"/>
      <c r="C2" s="2"/>
      <c r="D2" s="2" t="s">
        <v>4954</v>
      </c>
      <c r="E2" s="2" t="s">
        <v>4955</v>
      </c>
      <c r="F2" s="2"/>
      <c r="G2" s="2"/>
      <c r="H2" s="2"/>
      <c r="I2" s="2" t="s">
        <v>4956</v>
      </c>
      <c r="J2" s="2"/>
      <c r="K2" s="2"/>
      <c r="L2" s="2"/>
      <c r="M2" s="2"/>
      <c r="N2" s="2"/>
      <c r="O2" s="2"/>
      <c r="P2" s="2"/>
      <c r="Q2" s="2"/>
    </row>
    <row r="3" spans="1:17">
      <c r="A3" s="2"/>
      <c r="B3" s="2"/>
      <c r="C3" s="2"/>
      <c r="D3" s="2" t="s">
        <v>4957</v>
      </c>
      <c r="E3" s="2" t="s">
        <v>4955</v>
      </c>
      <c r="F3" s="2"/>
      <c r="G3" s="2"/>
      <c r="H3" s="2"/>
      <c r="I3" s="2" t="s">
        <v>450</v>
      </c>
      <c r="J3" s="2"/>
      <c r="K3" s="2"/>
      <c r="L3" s="2"/>
      <c r="M3" s="2"/>
      <c r="N3" s="2"/>
      <c r="O3" s="2"/>
      <c r="P3" s="2"/>
      <c r="Q3" s="2"/>
    </row>
    <row r="4" spans="1:17">
      <c r="A4" s="2"/>
      <c r="B4" s="2" t="s">
        <v>35</v>
      </c>
      <c r="C4" s="2" t="s">
        <v>36</v>
      </c>
      <c r="D4" s="2" t="s">
        <v>4958</v>
      </c>
      <c r="E4" s="2" t="s">
        <v>4959</v>
      </c>
      <c r="F4" s="2">
        <v>1</v>
      </c>
      <c r="G4" s="2">
        <v>1.95</v>
      </c>
      <c r="H4" s="2">
        <v>8</v>
      </c>
      <c r="I4" s="2" t="s">
        <v>164</v>
      </c>
      <c r="J4" s="2" t="s">
        <v>40</v>
      </c>
      <c r="K4" s="2" t="s">
        <v>41</v>
      </c>
      <c r="L4" s="2">
        <v>13963658628</v>
      </c>
      <c r="M4" s="2" t="s">
        <v>42</v>
      </c>
      <c r="N4" s="2" t="s">
        <v>43</v>
      </c>
      <c r="O4" s="2" t="s">
        <v>44</v>
      </c>
      <c r="P4" s="2">
        <v>18906639519</v>
      </c>
      <c r="Q4" s="2" t="s">
        <v>45</v>
      </c>
    </row>
    <row r="5" spans="1:17">
      <c r="A5" s="2"/>
      <c r="B5" s="2"/>
      <c r="C5" s="2"/>
      <c r="D5" s="2" t="s">
        <v>4960</v>
      </c>
      <c r="E5" s="2" t="s">
        <v>4961</v>
      </c>
      <c r="F5" s="2"/>
      <c r="G5" s="2"/>
      <c r="H5" s="2"/>
      <c r="I5" s="2"/>
      <c r="J5" s="2"/>
      <c r="K5" s="2"/>
      <c r="L5" s="2"/>
      <c r="M5" s="2"/>
      <c r="N5" s="2"/>
      <c r="O5" s="2"/>
      <c r="P5" s="2"/>
      <c r="Q5" s="2"/>
    </row>
    <row r="6" spans="1:17">
      <c r="A6" s="2"/>
      <c r="B6" s="2" t="s">
        <v>47</v>
      </c>
      <c r="C6" s="2" t="s">
        <v>48</v>
      </c>
      <c r="D6" s="2" t="s">
        <v>4962</v>
      </c>
      <c r="E6" s="2" t="s">
        <v>50</v>
      </c>
      <c r="F6" s="2">
        <v>1</v>
      </c>
      <c r="G6" s="2">
        <v>0.81</v>
      </c>
      <c r="H6" s="2">
        <v>15</v>
      </c>
      <c r="I6" s="2" t="s">
        <v>4963</v>
      </c>
      <c r="J6" s="2" t="s">
        <v>40</v>
      </c>
      <c r="K6" s="2" t="s">
        <v>52</v>
      </c>
      <c r="L6" s="2">
        <v>15862363551</v>
      </c>
      <c r="M6" s="2" t="s">
        <v>53</v>
      </c>
      <c r="N6" s="2" t="s">
        <v>54</v>
      </c>
      <c r="O6" s="2" t="s">
        <v>55</v>
      </c>
      <c r="P6" s="2">
        <v>13914086649</v>
      </c>
      <c r="Q6" s="2" t="s">
        <v>56</v>
      </c>
    </row>
    <row r="7" spans="1:17">
      <c r="A7" s="2"/>
      <c r="B7" s="2" t="s">
        <v>58</v>
      </c>
      <c r="C7" s="2" t="s">
        <v>59</v>
      </c>
      <c r="D7" s="2" t="s">
        <v>4964</v>
      </c>
      <c r="E7" s="2" t="s">
        <v>61</v>
      </c>
      <c r="F7" s="2">
        <v>1</v>
      </c>
      <c r="G7" s="2">
        <v>1.49</v>
      </c>
      <c r="H7" s="2">
        <v>12</v>
      </c>
      <c r="I7" s="2"/>
      <c r="J7" s="2" t="s">
        <v>40</v>
      </c>
      <c r="K7" s="2" t="s">
        <v>62</v>
      </c>
      <c r="L7" s="2">
        <v>13665825563</v>
      </c>
      <c r="M7" s="2" t="s">
        <v>63</v>
      </c>
      <c r="N7" s="2" t="s">
        <v>62</v>
      </c>
      <c r="O7" s="2" t="s">
        <v>63</v>
      </c>
      <c r="P7" s="2">
        <v>13665825563</v>
      </c>
      <c r="Q7" s="2" t="s">
        <v>64</v>
      </c>
    </row>
    <row r="8" spans="1:17">
      <c r="A8" s="2"/>
      <c r="B8" s="2" t="s">
        <v>66</v>
      </c>
      <c r="C8" s="2" t="s">
        <v>67</v>
      </c>
      <c r="D8" s="2" t="s">
        <v>4965</v>
      </c>
      <c r="E8" s="2" t="s">
        <v>625</v>
      </c>
      <c r="F8" s="2">
        <v>1</v>
      </c>
      <c r="G8" s="2">
        <v>1.26</v>
      </c>
      <c r="H8" s="2">
        <v>14</v>
      </c>
      <c r="I8" s="2"/>
      <c r="J8" s="2" t="s">
        <v>40</v>
      </c>
      <c r="K8" s="2" t="s">
        <v>71</v>
      </c>
      <c r="L8" s="2">
        <v>13539989686</v>
      </c>
      <c r="M8" s="2" t="s">
        <v>72</v>
      </c>
      <c r="N8" s="2" t="s">
        <v>73</v>
      </c>
      <c r="O8" s="2" t="s">
        <v>74</v>
      </c>
      <c r="P8" s="2">
        <v>13533083588</v>
      </c>
      <c r="Q8" s="2" t="s">
        <v>75</v>
      </c>
    </row>
    <row r="9" spans="1:17">
      <c r="A9" s="2"/>
      <c r="B9" s="1"/>
      <c r="C9" s="1"/>
      <c r="D9" s="1" t="s">
        <v>4966</v>
      </c>
      <c r="E9" s="1" t="s">
        <v>625</v>
      </c>
      <c r="F9" s="1"/>
      <c r="G9" s="1"/>
      <c r="H9" s="1"/>
      <c r="J9" s="1"/>
      <c r="K9" s="1"/>
      <c r="L9" s="1"/>
      <c r="M9" s="2"/>
      <c r="N9" s="1"/>
      <c r="O9" s="1"/>
      <c r="P9" s="1"/>
      <c r="Q9" s="1"/>
    </row>
    <row r="10" spans="1:17">
      <c r="A10" s="2"/>
      <c r="B10" s="1" t="s">
        <v>77</v>
      </c>
      <c r="C10" s="1" t="s">
        <v>78</v>
      </c>
      <c r="D10" s="1" t="s">
        <v>4967</v>
      </c>
      <c r="E10" s="1" t="s">
        <v>2413</v>
      </c>
      <c r="F10" s="1">
        <v>1</v>
      </c>
      <c r="G10" s="1">
        <v>0.81</v>
      </c>
      <c r="H10" s="1">
        <v>8</v>
      </c>
      <c r="I10" s="1" t="s">
        <v>4968</v>
      </c>
      <c r="J10" s="1" t="s">
        <v>29</v>
      </c>
      <c r="K10" s="1" t="s">
        <v>82</v>
      </c>
      <c r="L10" s="1">
        <v>15210622672</v>
      </c>
      <c r="M10" s="2" t="s">
        <v>83</v>
      </c>
      <c r="N10" s="1" t="s">
        <v>84</v>
      </c>
      <c r="O10" s="1" t="s">
        <v>85</v>
      </c>
      <c r="P10" s="1">
        <v>13803321678</v>
      </c>
      <c r="Q10" s="1" t="s">
        <v>86</v>
      </c>
    </row>
    <row r="11" spans="1:17">
      <c r="A11" s="2"/>
      <c r="B11" s="1"/>
      <c r="C11" s="1"/>
      <c r="D11" s="1" t="s">
        <v>4969</v>
      </c>
      <c r="E11" s="1" t="s">
        <v>2413</v>
      </c>
      <c r="F11" s="1"/>
      <c r="G11" s="1"/>
      <c r="H11" s="1"/>
      <c r="I11" s="1" t="s">
        <v>4970</v>
      </c>
      <c r="J11" s="1"/>
      <c r="K11" s="1"/>
      <c r="L11" s="1"/>
      <c r="M11" s="2"/>
      <c r="N11" s="1"/>
      <c r="O11" s="1"/>
      <c r="P11" s="1"/>
      <c r="Q11" s="1"/>
    </row>
    <row r="12" spans="1:17">
      <c r="A12" s="2"/>
      <c r="B12" s="1" t="s">
        <v>88</v>
      </c>
      <c r="C12" s="1" t="s">
        <v>89</v>
      </c>
      <c r="D12" s="1" t="s">
        <v>4971</v>
      </c>
      <c r="E12" s="1" t="s">
        <v>449</v>
      </c>
      <c r="F12" s="1">
        <v>1</v>
      </c>
      <c r="G12" s="1">
        <v>3.76</v>
      </c>
      <c r="H12" s="1">
        <v>7</v>
      </c>
      <c r="I12" s="1" t="s">
        <v>4972</v>
      </c>
      <c r="J12" s="1" t="s">
        <v>29</v>
      </c>
      <c r="K12" s="1" t="s">
        <v>93</v>
      </c>
      <c r="L12" s="1">
        <v>13390771635</v>
      </c>
      <c r="M12" s="2" t="s">
        <v>94</v>
      </c>
      <c r="N12" s="1" t="s">
        <v>95</v>
      </c>
      <c r="O12" s="1" t="s">
        <v>94</v>
      </c>
      <c r="P12" s="1">
        <v>13390771635</v>
      </c>
      <c r="Q12" s="1" t="s">
        <v>96</v>
      </c>
    </row>
    <row r="13" spans="1:17">
      <c r="A13" s="2"/>
      <c r="B13" s="1"/>
      <c r="C13" s="1"/>
      <c r="D13" s="1" t="s">
        <v>4952</v>
      </c>
      <c r="E13" s="1" t="s">
        <v>1210</v>
      </c>
      <c r="F13" s="1"/>
      <c r="G13" s="1"/>
      <c r="H13" s="1"/>
      <c r="I13" s="1" t="s">
        <v>4973</v>
      </c>
      <c r="J13" s="1"/>
      <c r="K13" s="1"/>
      <c r="L13" s="1"/>
      <c r="M13" s="2"/>
      <c r="N13" s="1"/>
      <c r="O13" s="1"/>
      <c r="P13" s="1"/>
      <c r="Q13" s="1"/>
    </row>
    <row r="14" spans="1:17">
      <c r="A14" s="2"/>
      <c r="B14" s="1" t="s">
        <v>98</v>
      </c>
      <c r="C14" s="1" t="s">
        <v>99</v>
      </c>
      <c r="D14" s="1" t="s">
        <v>4974</v>
      </c>
      <c r="E14" s="1" t="s">
        <v>4975</v>
      </c>
      <c r="F14" s="1">
        <v>1</v>
      </c>
      <c r="G14" s="1">
        <v>1.95</v>
      </c>
      <c r="H14" s="1">
        <v>4</v>
      </c>
      <c r="J14" s="1" t="s">
        <v>103</v>
      </c>
      <c r="K14" s="1" t="s">
        <v>104</v>
      </c>
      <c r="L14" s="1">
        <v>13642449522</v>
      </c>
      <c r="M14" s="2" t="s">
        <v>105</v>
      </c>
      <c r="N14" s="1" t="s">
        <v>104</v>
      </c>
      <c r="O14" s="1" t="s">
        <v>105</v>
      </c>
      <c r="P14" s="1">
        <v>13642449522</v>
      </c>
      <c r="Q14" s="1" t="s">
        <v>106</v>
      </c>
    </row>
    <row r="15" spans="1:17">
      <c r="A15" s="2"/>
      <c r="B15" s="1"/>
      <c r="C15" s="1"/>
      <c r="D15" s="1" t="s">
        <v>4974</v>
      </c>
      <c r="E15" s="1" t="s">
        <v>4976</v>
      </c>
      <c r="F15" s="1"/>
      <c r="G15" s="1"/>
      <c r="H15" s="1"/>
      <c r="J15" s="1"/>
      <c r="K15" s="1"/>
      <c r="L15" s="1"/>
      <c r="M15" s="2"/>
      <c r="N15" s="1"/>
      <c r="O15" s="1"/>
      <c r="P15" s="1"/>
      <c r="Q15" s="1"/>
    </row>
    <row r="16" spans="1:17">
      <c r="A16" s="2"/>
      <c r="B16" s="1"/>
      <c r="C16" s="1"/>
      <c r="D16" s="1" t="s">
        <v>4977</v>
      </c>
      <c r="E16" s="1" t="s">
        <v>4978</v>
      </c>
      <c r="F16" s="1"/>
      <c r="G16" s="1"/>
      <c r="H16" s="1"/>
      <c r="J16" s="1"/>
      <c r="K16" s="1"/>
      <c r="L16" s="1"/>
      <c r="M16" s="2"/>
      <c r="N16" s="1"/>
      <c r="O16" s="1"/>
      <c r="P16" s="1"/>
      <c r="Q16" s="1"/>
    </row>
    <row r="17" spans="1:17">
      <c r="A17" s="2"/>
      <c r="B17" s="1"/>
      <c r="C17" s="1"/>
      <c r="D17" s="1" t="s">
        <v>4979</v>
      </c>
      <c r="E17" s="1" t="s">
        <v>4980</v>
      </c>
      <c r="F17" s="1"/>
      <c r="G17" s="1"/>
      <c r="H17" s="1"/>
      <c r="I17" s="1" t="s">
        <v>4981</v>
      </c>
      <c r="J17" s="1"/>
      <c r="K17" s="1"/>
      <c r="L17" s="1"/>
      <c r="M17" s="2"/>
      <c r="N17" s="1"/>
      <c r="O17" s="1"/>
      <c r="P17" s="1"/>
      <c r="Q17" s="1"/>
    </row>
    <row r="18" spans="1:17">
      <c r="A18" s="2"/>
      <c r="B18" s="1" t="s">
        <v>108</v>
      </c>
      <c r="C18" s="1" t="s">
        <v>109</v>
      </c>
      <c r="D18" s="1" t="s">
        <v>4982</v>
      </c>
      <c r="E18" s="1" t="s">
        <v>625</v>
      </c>
      <c r="F18" s="1">
        <v>1</v>
      </c>
      <c r="G18" s="1">
        <v>1.95</v>
      </c>
      <c r="H18" s="1">
        <v>15</v>
      </c>
      <c r="I18" s="1" t="s">
        <v>4983</v>
      </c>
      <c r="J18" s="1" t="s">
        <v>40</v>
      </c>
      <c r="K18" s="1" t="s">
        <v>113</v>
      </c>
      <c r="L18" s="1">
        <v>15837581275</v>
      </c>
      <c r="M18" s="2" t="s">
        <v>114</v>
      </c>
      <c r="N18" s="1" t="s">
        <v>115</v>
      </c>
      <c r="O18" s="1" t="s">
        <v>116</v>
      </c>
      <c r="P18" s="1">
        <v>13838011920</v>
      </c>
      <c r="Q18" s="1" t="s">
        <v>117</v>
      </c>
    </row>
    <row r="19" spans="1:17">
      <c r="A19" s="2"/>
      <c r="B19" s="1"/>
      <c r="C19" s="1"/>
      <c r="D19" s="1" t="s">
        <v>4984</v>
      </c>
      <c r="E19" s="1" t="s">
        <v>625</v>
      </c>
      <c r="F19" s="1"/>
      <c r="G19" s="1"/>
      <c r="H19" s="1"/>
      <c r="I19" s="1" t="s">
        <v>4985</v>
      </c>
      <c r="J19" s="1"/>
      <c r="K19" s="1"/>
      <c r="L19" s="1"/>
      <c r="M19" s="2"/>
      <c r="N19" s="1"/>
      <c r="O19" s="1"/>
      <c r="P19" s="1"/>
      <c r="Q19" s="1"/>
    </row>
    <row r="20" spans="1:17">
      <c r="A20" s="2"/>
      <c r="B20" s="1"/>
      <c r="C20" s="1"/>
      <c r="D20" s="1" t="s">
        <v>4986</v>
      </c>
      <c r="E20" s="1" t="s">
        <v>625</v>
      </c>
      <c r="F20" s="1"/>
      <c r="G20" s="1"/>
      <c r="H20" s="1"/>
      <c r="I20" s="1" t="s">
        <v>4987</v>
      </c>
      <c r="J20" s="1"/>
      <c r="K20" s="1"/>
      <c r="L20" s="1"/>
      <c r="M20" s="2"/>
      <c r="N20" s="1"/>
      <c r="O20" s="1"/>
      <c r="P20" s="1"/>
      <c r="Q20" s="1"/>
    </row>
    <row r="21" spans="1:17">
      <c r="A21" s="2"/>
      <c r="B21" s="1"/>
      <c r="C21" s="1"/>
      <c r="D21" s="1" t="s">
        <v>4988</v>
      </c>
      <c r="E21" s="1" t="s">
        <v>625</v>
      </c>
      <c r="F21" s="1"/>
      <c r="G21" s="1"/>
      <c r="H21" s="1"/>
      <c r="I21" s="1" t="s">
        <v>4987</v>
      </c>
      <c r="J21" s="1"/>
      <c r="K21" s="1"/>
      <c r="L21" s="1"/>
      <c r="M21" s="2"/>
      <c r="N21" s="1"/>
      <c r="O21" s="1"/>
      <c r="P21" s="1"/>
      <c r="Q21" s="1"/>
    </row>
    <row r="22" spans="1:17">
      <c r="A22" s="2"/>
      <c r="B22" s="1" t="s">
        <v>119</v>
      </c>
      <c r="C22" s="1" t="s">
        <v>120</v>
      </c>
      <c r="D22" s="2" t="s">
        <v>4989</v>
      </c>
      <c r="E22" s="1" t="s">
        <v>1633</v>
      </c>
      <c r="F22" s="1">
        <v>1</v>
      </c>
      <c r="G22" s="1">
        <v>0.81</v>
      </c>
      <c r="H22" s="1">
        <v>4</v>
      </c>
      <c r="I22" s="1" t="s">
        <v>1634</v>
      </c>
      <c r="J22" s="1" t="s">
        <v>29</v>
      </c>
      <c r="K22" s="1" t="s">
        <v>124</v>
      </c>
      <c r="L22" s="1">
        <v>15720962388</v>
      </c>
      <c r="M22" s="2" t="s">
        <v>125</v>
      </c>
      <c r="N22" s="1" t="s">
        <v>126</v>
      </c>
      <c r="O22" s="1" t="s">
        <v>127</v>
      </c>
      <c r="P22" s="1">
        <v>15870885267</v>
      </c>
      <c r="Q22" s="1" t="s">
        <v>128</v>
      </c>
    </row>
    <row r="23" spans="1:17">
      <c r="A23" s="2"/>
      <c r="B23" s="1"/>
      <c r="C23" s="1"/>
      <c r="D23" s="2" t="s">
        <v>4990</v>
      </c>
      <c r="E23" s="1" t="s">
        <v>1633</v>
      </c>
      <c r="F23" s="1"/>
      <c r="G23" s="1"/>
      <c r="H23" s="1"/>
      <c r="I23" s="1" t="s">
        <v>450</v>
      </c>
      <c r="J23" s="1"/>
      <c r="K23" s="1"/>
      <c r="L23" s="1"/>
      <c r="M23" s="2"/>
      <c r="N23" s="1"/>
      <c r="O23" s="1"/>
      <c r="P23" s="1"/>
      <c r="Q23" s="1"/>
    </row>
    <row r="24" spans="1:17">
      <c r="A24" s="2"/>
      <c r="B24" s="1" t="s">
        <v>130</v>
      </c>
      <c r="C24" s="1" t="s">
        <v>131</v>
      </c>
      <c r="D24" s="1" t="s">
        <v>4991</v>
      </c>
      <c r="E24" s="1" t="s">
        <v>4992</v>
      </c>
      <c r="F24" s="1">
        <v>1</v>
      </c>
      <c r="G24" s="1">
        <v>1.72</v>
      </c>
      <c r="H24" s="1">
        <v>15</v>
      </c>
      <c r="I24" s="1" t="s">
        <v>164</v>
      </c>
      <c r="J24" s="1" t="s">
        <v>40</v>
      </c>
      <c r="K24" s="1" t="s">
        <v>135</v>
      </c>
      <c r="L24" s="1">
        <v>13610961783</v>
      </c>
      <c r="M24" s="2" t="s">
        <v>136</v>
      </c>
      <c r="N24" s="1" t="s">
        <v>137</v>
      </c>
      <c r="O24" s="1" t="s">
        <v>138</v>
      </c>
      <c r="P24" s="1">
        <v>13804230442</v>
      </c>
      <c r="Q24" s="1" t="s">
        <v>139</v>
      </c>
    </row>
    <row r="25" spans="1:17">
      <c r="A25" s="2"/>
      <c r="B25" s="1"/>
      <c r="C25" s="1"/>
      <c r="D25" s="1" t="s">
        <v>4993</v>
      </c>
      <c r="E25" s="1" t="s">
        <v>4994</v>
      </c>
      <c r="F25" s="1"/>
      <c r="G25" s="1"/>
      <c r="H25" s="1"/>
      <c r="I25" s="1" t="s">
        <v>4995</v>
      </c>
      <c r="J25" s="1"/>
      <c r="K25" s="1"/>
      <c r="L25" s="1"/>
      <c r="M25" s="2"/>
      <c r="N25" s="1"/>
      <c r="O25" s="1"/>
      <c r="P25" s="1"/>
      <c r="Q25" s="1"/>
    </row>
    <row r="26" spans="1:17">
      <c r="A26" s="2"/>
      <c r="B26" s="1" t="s">
        <v>141</v>
      </c>
      <c r="C26" s="1" t="s">
        <v>142</v>
      </c>
      <c r="D26" s="1" t="s">
        <v>4996</v>
      </c>
      <c r="E26" s="1" t="s">
        <v>420</v>
      </c>
      <c r="F26" s="1">
        <v>1</v>
      </c>
      <c r="G26" s="1">
        <v>1.49</v>
      </c>
      <c r="H26" s="1">
        <v>11</v>
      </c>
      <c r="J26" s="1" t="s">
        <v>29</v>
      </c>
      <c r="K26" s="1" t="s">
        <v>146</v>
      </c>
      <c r="L26" s="1">
        <v>15253420938</v>
      </c>
      <c r="M26" s="2" t="s">
        <v>147</v>
      </c>
      <c r="N26" s="1" t="s">
        <v>148</v>
      </c>
      <c r="O26" s="1" t="s">
        <v>149</v>
      </c>
      <c r="P26" s="1">
        <v>15963388072</v>
      </c>
      <c r="Q26" s="1" t="s">
        <v>150</v>
      </c>
    </row>
    <row r="27" spans="1:17">
      <c r="A27" s="2"/>
      <c r="B27" s="1"/>
      <c r="C27" s="1"/>
      <c r="D27" s="1" t="s">
        <v>4997</v>
      </c>
      <c r="E27" s="1" t="s">
        <v>420</v>
      </c>
      <c r="F27" s="1"/>
      <c r="G27" s="1"/>
      <c r="H27" s="1"/>
      <c r="J27" s="1"/>
      <c r="K27" s="1"/>
      <c r="L27" s="1"/>
      <c r="M27" s="2"/>
      <c r="N27" s="1"/>
      <c r="O27" s="1"/>
      <c r="P27" s="1"/>
      <c r="Q27" s="1"/>
    </row>
    <row r="28" spans="1:17">
      <c r="A28" s="2"/>
      <c r="B28" s="1"/>
      <c r="C28" s="1"/>
      <c r="D28" s="1" t="s">
        <v>4998</v>
      </c>
      <c r="E28" s="1" t="s">
        <v>420</v>
      </c>
      <c r="F28" s="1"/>
      <c r="G28" s="1"/>
      <c r="H28" s="1"/>
      <c r="J28" s="1"/>
      <c r="K28" s="1"/>
      <c r="L28" s="1"/>
      <c r="M28" s="2"/>
      <c r="N28" s="1"/>
      <c r="O28" s="1"/>
      <c r="P28" s="1"/>
      <c r="Q28" s="1"/>
    </row>
    <row r="29" spans="1:17">
      <c r="A29" s="2"/>
      <c r="B29" s="1"/>
      <c r="C29" s="1"/>
      <c r="D29" s="1" t="s">
        <v>4999</v>
      </c>
      <c r="E29" s="1" t="s">
        <v>420</v>
      </c>
      <c r="F29" s="1"/>
      <c r="G29" s="1"/>
      <c r="H29" s="1"/>
      <c r="J29" s="1"/>
      <c r="K29" s="1"/>
      <c r="L29" s="1"/>
      <c r="M29" s="2"/>
      <c r="N29" s="1"/>
      <c r="O29" s="1"/>
      <c r="P29" s="1"/>
      <c r="Q29" s="1"/>
    </row>
    <row r="30" spans="1:17">
      <c r="A30" s="2"/>
      <c r="B30" s="1"/>
      <c r="C30" s="1"/>
      <c r="D30" s="1" t="s">
        <v>5000</v>
      </c>
      <c r="E30" s="1" t="s">
        <v>420</v>
      </c>
      <c r="F30" s="1"/>
      <c r="G30" s="1"/>
      <c r="H30" s="1"/>
      <c r="J30" s="1"/>
      <c r="K30" s="1"/>
      <c r="L30" s="1"/>
      <c r="M30" s="2"/>
      <c r="N30" s="1"/>
      <c r="O30" s="1"/>
      <c r="P30" s="1"/>
      <c r="Q30" s="1"/>
    </row>
    <row r="31" spans="1:17">
      <c r="A31" s="2"/>
      <c r="B31" s="1"/>
      <c r="C31" s="1"/>
      <c r="D31" s="1" t="s">
        <v>5001</v>
      </c>
      <c r="E31" s="1" t="s">
        <v>420</v>
      </c>
      <c r="F31" s="1"/>
      <c r="G31" s="1"/>
      <c r="H31" s="1"/>
      <c r="J31" s="1"/>
      <c r="K31" s="1"/>
      <c r="L31" s="1"/>
      <c r="M31" s="2"/>
      <c r="N31" s="1"/>
      <c r="O31" s="1"/>
      <c r="P31" s="1"/>
      <c r="Q31" s="1"/>
    </row>
    <row r="32" spans="1:17">
      <c r="A32" s="2"/>
      <c r="B32" s="1"/>
      <c r="C32" s="1"/>
      <c r="D32" s="1" t="s">
        <v>5002</v>
      </c>
      <c r="E32" s="1" t="s">
        <v>420</v>
      </c>
      <c r="F32" s="1"/>
      <c r="G32" s="1"/>
      <c r="H32" s="1"/>
      <c r="J32" s="1"/>
      <c r="K32" s="1"/>
      <c r="L32" s="1"/>
      <c r="M32" s="2"/>
      <c r="N32" s="1"/>
      <c r="O32" s="1"/>
      <c r="P32" s="1"/>
      <c r="Q32" s="1"/>
    </row>
    <row r="33" spans="1:17">
      <c r="A33" s="2"/>
      <c r="B33" s="1" t="s">
        <v>152</v>
      </c>
      <c r="C33" s="1" t="s">
        <v>153</v>
      </c>
      <c r="D33" s="1" t="s">
        <v>4996</v>
      </c>
      <c r="E33" s="1" t="s">
        <v>420</v>
      </c>
      <c r="F33" s="1">
        <v>1</v>
      </c>
      <c r="G33" s="1">
        <v>1.49</v>
      </c>
      <c r="H33" s="1">
        <v>11</v>
      </c>
      <c r="J33" s="1" t="s">
        <v>29</v>
      </c>
      <c r="K33" s="1" t="s">
        <v>154</v>
      </c>
      <c r="L33" s="1">
        <v>17091002252</v>
      </c>
      <c r="M33" s="2" t="s">
        <v>155</v>
      </c>
      <c r="N33" s="1" t="s">
        <v>156</v>
      </c>
      <c r="O33" s="1" t="s">
        <v>157</v>
      </c>
      <c r="P33" s="1">
        <v>18353753766</v>
      </c>
      <c r="Q33" s="1" t="s">
        <v>158</v>
      </c>
    </row>
    <row r="34" spans="1:17">
      <c r="A34" s="2"/>
      <c r="B34" s="1"/>
      <c r="C34" s="1"/>
      <c r="D34" s="1" t="s">
        <v>4997</v>
      </c>
      <c r="E34" s="1" t="s">
        <v>420</v>
      </c>
      <c r="F34" s="1"/>
      <c r="G34" s="1"/>
      <c r="H34" s="1"/>
      <c r="J34" s="1"/>
      <c r="K34" s="1"/>
      <c r="L34" s="1"/>
      <c r="M34" s="2"/>
      <c r="N34" s="1"/>
      <c r="O34" s="1"/>
      <c r="P34" s="1"/>
      <c r="Q34" s="1"/>
    </row>
    <row r="35" spans="1:17">
      <c r="A35" s="2"/>
      <c r="B35" s="1"/>
      <c r="C35" s="1"/>
      <c r="D35" s="1" t="s">
        <v>4998</v>
      </c>
      <c r="E35" s="1" t="s">
        <v>420</v>
      </c>
      <c r="F35" s="1"/>
      <c r="G35" s="1"/>
      <c r="H35" s="1"/>
      <c r="J35" s="1"/>
      <c r="K35" s="1"/>
      <c r="L35" s="1"/>
      <c r="M35" s="2"/>
      <c r="N35" s="1"/>
      <c r="O35" s="1"/>
      <c r="P35" s="1"/>
      <c r="Q35" s="1"/>
    </row>
    <row r="36" spans="1:17">
      <c r="A36" s="2"/>
      <c r="B36" s="1"/>
      <c r="C36" s="1"/>
      <c r="D36" s="1" t="s">
        <v>4999</v>
      </c>
      <c r="E36" s="1" t="s">
        <v>420</v>
      </c>
      <c r="F36" s="1"/>
      <c r="G36" s="1"/>
      <c r="H36" s="1"/>
      <c r="J36" s="1"/>
      <c r="K36" s="1"/>
      <c r="L36" s="1"/>
      <c r="M36" s="2"/>
      <c r="N36" s="1"/>
      <c r="O36" s="1"/>
      <c r="P36" s="1"/>
      <c r="Q36" s="1"/>
    </row>
    <row r="37" spans="1:17">
      <c r="A37" s="2"/>
      <c r="B37" s="1"/>
      <c r="C37" s="1"/>
      <c r="D37" s="1" t="s">
        <v>5000</v>
      </c>
      <c r="E37" s="1" t="s">
        <v>420</v>
      </c>
      <c r="F37" s="1"/>
      <c r="G37" s="1"/>
      <c r="H37" s="1"/>
      <c r="J37" s="1"/>
      <c r="K37" s="1"/>
      <c r="L37" s="1"/>
      <c r="M37" s="2"/>
      <c r="N37" s="1"/>
      <c r="O37" s="1"/>
      <c r="P37" s="1"/>
      <c r="Q37" s="1"/>
    </row>
    <row r="38" spans="1:17">
      <c r="A38" s="2"/>
      <c r="B38" s="1"/>
      <c r="C38" s="1"/>
      <c r="D38" s="1" t="s">
        <v>5001</v>
      </c>
      <c r="E38" s="1" t="s">
        <v>420</v>
      </c>
      <c r="F38" s="1"/>
      <c r="G38" s="1"/>
      <c r="H38" s="1"/>
      <c r="J38" s="1"/>
      <c r="K38" s="1"/>
      <c r="L38" s="1"/>
      <c r="M38" s="2"/>
      <c r="N38" s="1"/>
      <c r="O38" s="1"/>
      <c r="P38" s="1"/>
      <c r="Q38" s="1"/>
    </row>
    <row r="39" spans="1:17">
      <c r="A39" s="2"/>
      <c r="B39" s="1"/>
      <c r="C39" s="1"/>
      <c r="D39" s="1" t="s">
        <v>5002</v>
      </c>
      <c r="E39" s="1" t="s">
        <v>420</v>
      </c>
      <c r="F39" s="1"/>
      <c r="G39" s="1"/>
      <c r="H39" s="1"/>
      <c r="J39" s="1"/>
      <c r="K39" s="1"/>
      <c r="L39" s="1"/>
      <c r="M39" s="2"/>
      <c r="N39" s="1"/>
      <c r="O39" s="1"/>
      <c r="P39" s="1"/>
      <c r="Q39" s="1"/>
    </row>
    <row r="40" spans="1:17">
      <c r="A40" s="2"/>
      <c r="B40" s="1" t="s">
        <v>160</v>
      </c>
      <c r="C40" s="1" t="s">
        <v>161</v>
      </c>
      <c r="D40" s="1" t="s">
        <v>5003</v>
      </c>
      <c r="E40" s="1" t="s">
        <v>163</v>
      </c>
      <c r="F40" s="1">
        <v>1</v>
      </c>
      <c r="G40" s="1">
        <v>2.1727272727272702</v>
      </c>
      <c r="H40" s="1">
        <v>5</v>
      </c>
      <c r="I40" s="1" t="s">
        <v>164</v>
      </c>
      <c r="J40" s="1" t="s">
        <v>29</v>
      </c>
      <c r="K40" s="1" t="s">
        <v>165</v>
      </c>
      <c r="L40" s="1">
        <v>15140531165</v>
      </c>
      <c r="M40" s="2" t="s">
        <v>166</v>
      </c>
      <c r="N40" s="1" t="s">
        <v>167</v>
      </c>
      <c r="O40" s="1" t="s">
        <v>168</v>
      </c>
      <c r="P40" s="1">
        <v>13840950332</v>
      </c>
      <c r="Q40" s="1" t="s">
        <v>169</v>
      </c>
    </row>
    <row r="41" spans="1:17">
      <c r="A41" s="2"/>
      <c r="B41" s="1" t="s">
        <v>171</v>
      </c>
      <c r="C41" s="1" t="s">
        <v>172</v>
      </c>
      <c r="D41" s="1" t="s">
        <v>5004</v>
      </c>
      <c r="E41" s="1" t="s">
        <v>163</v>
      </c>
      <c r="F41" s="1">
        <v>1</v>
      </c>
      <c r="G41" s="1">
        <v>1.2636363636363599</v>
      </c>
      <c r="H41" s="1">
        <v>3</v>
      </c>
      <c r="J41" s="1" t="s">
        <v>29</v>
      </c>
      <c r="K41" s="1" t="s">
        <v>174</v>
      </c>
      <c r="L41" s="1">
        <v>13509603170</v>
      </c>
      <c r="M41" s="2" t="s">
        <v>175</v>
      </c>
      <c r="N41" s="1" t="s">
        <v>176</v>
      </c>
      <c r="O41" s="1" t="s">
        <v>177</v>
      </c>
      <c r="P41" s="1">
        <v>19875858842</v>
      </c>
      <c r="Q41" s="1" t="s">
        <v>178</v>
      </c>
    </row>
    <row r="42" spans="1:17">
      <c r="A42" s="2"/>
      <c r="B42" s="1" t="s">
        <v>180</v>
      </c>
      <c r="C42" s="1" t="s">
        <v>181</v>
      </c>
      <c r="D42" s="1" t="s">
        <v>5005</v>
      </c>
      <c r="E42" s="1" t="s">
        <v>1633</v>
      </c>
      <c r="F42" s="1">
        <v>1</v>
      </c>
      <c r="G42" s="1">
        <v>0.81</v>
      </c>
      <c r="H42" s="1">
        <v>4</v>
      </c>
      <c r="I42" s="1" t="s">
        <v>1634</v>
      </c>
      <c r="J42" s="1" t="s">
        <v>29</v>
      </c>
      <c r="K42" s="1" t="s">
        <v>185</v>
      </c>
      <c r="L42" s="1">
        <v>13620185771</v>
      </c>
      <c r="M42" s="2" t="s">
        <v>186</v>
      </c>
      <c r="N42" s="1" t="s">
        <v>187</v>
      </c>
      <c r="O42" s="1" t="s">
        <v>188</v>
      </c>
      <c r="P42" s="1">
        <v>13822481912</v>
      </c>
      <c r="Q42" s="1" t="s">
        <v>189</v>
      </c>
    </row>
    <row r="43" spans="1:17">
      <c r="A43" s="2"/>
      <c r="B43" s="1"/>
      <c r="C43" s="1"/>
      <c r="D43" s="1" t="s">
        <v>5006</v>
      </c>
      <c r="E43" s="1" t="s">
        <v>1633</v>
      </c>
      <c r="F43" s="1"/>
      <c r="G43" s="1"/>
      <c r="H43" s="1"/>
      <c r="I43" s="1" t="s">
        <v>4968</v>
      </c>
      <c r="J43" s="1"/>
      <c r="K43" s="1"/>
      <c r="L43" s="1"/>
      <c r="M43" s="2"/>
      <c r="N43" s="1"/>
      <c r="O43" s="1"/>
      <c r="P43" s="1"/>
      <c r="Q43" s="1"/>
    </row>
    <row r="44" spans="1:17">
      <c r="A44" s="2"/>
      <c r="B44" s="1"/>
      <c r="C44" s="1"/>
      <c r="D44" s="1" t="s">
        <v>5007</v>
      </c>
      <c r="E44" s="1" t="s">
        <v>1633</v>
      </c>
      <c r="F44" s="1"/>
      <c r="G44" s="1"/>
      <c r="H44" s="1"/>
      <c r="I44" s="1" t="s">
        <v>5008</v>
      </c>
      <c r="J44" s="1"/>
      <c r="K44" s="1"/>
      <c r="L44" s="1"/>
      <c r="M44" s="2"/>
      <c r="N44" s="1"/>
      <c r="O44" s="1"/>
      <c r="P44" s="1"/>
      <c r="Q44" s="1"/>
    </row>
    <row r="45" spans="1:17">
      <c r="A45" s="2"/>
      <c r="B45" s="1"/>
      <c r="C45" s="1"/>
      <c r="D45" s="1" t="s">
        <v>5009</v>
      </c>
      <c r="E45" s="1" t="s">
        <v>1633</v>
      </c>
      <c r="F45" s="1"/>
      <c r="G45" s="1"/>
      <c r="H45" s="1"/>
      <c r="I45" s="1" t="s">
        <v>5010</v>
      </c>
      <c r="J45" s="1"/>
      <c r="K45" s="1"/>
      <c r="L45" s="1"/>
      <c r="M45" s="2"/>
      <c r="N45" s="1"/>
      <c r="O45" s="1"/>
      <c r="P45" s="1"/>
      <c r="Q45" s="1"/>
    </row>
    <row r="46" spans="1:17">
      <c r="A46" s="2"/>
      <c r="B46" s="1" t="s">
        <v>191</v>
      </c>
      <c r="C46" s="1" t="s">
        <v>192</v>
      </c>
      <c r="D46" s="1" t="s">
        <v>5005</v>
      </c>
      <c r="E46" s="1" t="s">
        <v>1633</v>
      </c>
      <c r="F46" s="1">
        <v>1</v>
      </c>
      <c r="G46" s="1">
        <v>0.81</v>
      </c>
      <c r="H46" s="1">
        <v>4</v>
      </c>
      <c r="I46" s="1" t="s">
        <v>1634</v>
      </c>
      <c r="J46" s="1" t="s">
        <v>29</v>
      </c>
      <c r="K46" s="1" t="s">
        <v>185</v>
      </c>
      <c r="L46" s="1">
        <v>13620185771</v>
      </c>
      <c r="M46" s="2" t="s">
        <v>186</v>
      </c>
      <c r="N46" s="1" t="s">
        <v>195</v>
      </c>
      <c r="O46" s="1" t="s">
        <v>186</v>
      </c>
      <c r="P46" s="1">
        <v>13620185771</v>
      </c>
      <c r="Q46" s="1" t="s">
        <v>196</v>
      </c>
    </row>
    <row r="47" spans="1:17">
      <c r="A47" s="2"/>
      <c r="B47" s="1"/>
      <c r="C47" s="1"/>
      <c r="D47" s="1" t="s">
        <v>4990</v>
      </c>
      <c r="E47" s="1" t="s">
        <v>1633</v>
      </c>
      <c r="F47" s="1"/>
      <c r="G47" s="1"/>
      <c r="H47" s="1"/>
      <c r="I47" s="1" t="s">
        <v>450</v>
      </c>
      <c r="J47" s="1"/>
      <c r="K47" s="1"/>
      <c r="L47" s="1"/>
      <c r="M47" s="2"/>
      <c r="N47" s="1"/>
      <c r="O47" s="1"/>
      <c r="P47" s="1"/>
      <c r="Q47" s="1"/>
    </row>
    <row r="48" spans="1:17">
      <c r="A48" s="2"/>
      <c r="B48" s="1"/>
      <c r="C48" s="1"/>
      <c r="D48" s="1" t="s">
        <v>5011</v>
      </c>
      <c r="E48" s="1" t="s">
        <v>1633</v>
      </c>
      <c r="F48" s="1"/>
      <c r="G48" s="1"/>
      <c r="H48" s="1"/>
      <c r="I48" s="1" t="s">
        <v>4968</v>
      </c>
      <c r="J48" s="1"/>
      <c r="K48" s="1"/>
      <c r="L48" s="1"/>
      <c r="M48" s="2"/>
      <c r="N48" s="1"/>
      <c r="O48" s="1"/>
      <c r="P48" s="1"/>
      <c r="Q48" s="1"/>
    </row>
    <row r="49" spans="1:17">
      <c r="A49" s="2"/>
      <c r="B49" s="1"/>
      <c r="C49" s="1"/>
      <c r="D49" s="1" t="s">
        <v>5012</v>
      </c>
      <c r="E49" s="1" t="s">
        <v>1633</v>
      </c>
      <c r="F49" s="1"/>
      <c r="G49" s="1"/>
      <c r="H49" s="1"/>
      <c r="I49" s="1" t="s">
        <v>5013</v>
      </c>
      <c r="J49" s="1"/>
      <c r="K49" s="1"/>
      <c r="L49" s="1"/>
      <c r="M49" s="2"/>
      <c r="N49" s="1"/>
      <c r="O49" s="1"/>
      <c r="P49" s="1"/>
      <c r="Q49" s="1"/>
    </row>
    <row r="50" spans="1:17">
      <c r="A50" s="2"/>
      <c r="B50" s="1" t="s">
        <v>198</v>
      </c>
      <c r="C50" s="1" t="s">
        <v>199</v>
      </c>
      <c r="D50" s="1" t="s">
        <v>5014</v>
      </c>
      <c r="E50" s="1" t="s">
        <v>625</v>
      </c>
      <c r="F50" s="1">
        <v>1</v>
      </c>
      <c r="G50" s="1">
        <v>1.72</v>
      </c>
      <c r="H50" s="1">
        <v>10</v>
      </c>
      <c r="J50" s="1" t="s">
        <v>40</v>
      </c>
      <c r="K50" s="1" t="s">
        <v>203</v>
      </c>
      <c r="L50" s="1">
        <v>13672440172</v>
      </c>
      <c r="M50" s="2" t="s">
        <v>204</v>
      </c>
      <c r="N50" s="1" t="s">
        <v>205</v>
      </c>
      <c r="O50" s="1" t="s">
        <v>206</v>
      </c>
      <c r="P50" s="1">
        <v>18926238005</v>
      </c>
      <c r="Q50" s="1" t="s">
        <v>207</v>
      </c>
    </row>
    <row r="51" spans="1:17">
      <c r="A51" s="2"/>
      <c r="B51" s="1"/>
      <c r="C51" s="1"/>
      <c r="D51" s="1" t="s">
        <v>5015</v>
      </c>
      <c r="E51" s="1" t="s">
        <v>625</v>
      </c>
      <c r="F51" s="1"/>
      <c r="G51" s="1"/>
      <c r="H51" s="1"/>
      <c r="J51" s="1"/>
      <c r="K51" s="1"/>
      <c r="L51" s="1"/>
      <c r="M51" s="2"/>
      <c r="N51" s="1"/>
      <c r="O51" s="1"/>
      <c r="P51" s="1"/>
      <c r="Q51" s="1"/>
    </row>
    <row r="52" spans="1:17">
      <c r="A52" s="2"/>
      <c r="B52" s="1"/>
      <c r="C52" s="1"/>
      <c r="D52" s="1" t="s">
        <v>5016</v>
      </c>
      <c r="E52" s="1" t="s">
        <v>625</v>
      </c>
      <c r="F52" s="1"/>
      <c r="G52" s="1"/>
      <c r="H52" s="1"/>
      <c r="J52" s="1"/>
      <c r="K52" s="1"/>
      <c r="L52" s="1"/>
      <c r="M52" s="2"/>
      <c r="N52" s="1"/>
      <c r="O52" s="1"/>
      <c r="P52" s="1"/>
      <c r="Q52" s="1"/>
    </row>
    <row r="53" spans="1:17">
      <c r="A53" s="2"/>
      <c r="B53" s="1"/>
      <c r="C53" s="1"/>
      <c r="D53" s="1" t="s">
        <v>5017</v>
      </c>
      <c r="E53" s="1" t="s">
        <v>625</v>
      </c>
      <c r="F53" s="1"/>
      <c r="G53" s="1"/>
      <c r="H53" s="1"/>
      <c r="J53" s="1"/>
      <c r="K53" s="1"/>
      <c r="L53" s="1"/>
      <c r="M53" s="2"/>
      <c r="N53" s="1"/>
      <c r="O53" s="1"/>
      <c r="P53" s="1"/>
      <c r="Q53" s="1"/>
    </row>
    <row r="54" spans="1:17">
      <c r="A54" s="2"/>
      <c r="B54" s="1"/>
      <c r="C54" s="1"/>
      <c r="D54" s="1" t="s">
        <v>5018</v>
      </c>
      <c r="E54" s="1" t="s">
        <v>625</v>
      </c>
      <c r="F54" s="1"/>
      <c r="G54" s="1"/>
      <c r="H54" s="1"/>
      <c r="J54" s="1"/>
      <c r="K54" s="1"/>
      <c r="L54" s="1"/>
      <c r="M54" s="2"/>
      <c r="N54" s="1"/>
      <c r="O54" s="1"/>
      <c r="P54" s="1"/>
      <c r="Q54" s="1"/>
    </row>
    <row r="55" spans="1:17">
      <c r="A55" s="2"/>
      <c r="B55" s="1"/>
      <c r="C55" s="1"/>
      <c r="D55" s="1" t="s">
        <v>5019</v>
      </c>
      <c r="E55" s="1" t="s">
        <v>625</v>
      </c>
      <c r="F55" s="1"/>
      <c r="G55" s="1"/>
      <c r="H55" s="1"/>
      <c r="J55" s="1"/>
      <c r="K55" s="1"/>
      <c r="L55" s="1"/>
      <c r="M55" s="2"/>
      <c r="N55" s="1"/>
      <c r="O55" s="1"/>
      <c r="P55" s="1"/>
      <c r="Q55" s="1"/>
    </row>
    <row r="56" spans="1:17">
      <c r="A56" s="2"/>
      <c r="B56" s="1" t="s">
        <v>209</v>
      </c>
      <c r="C56" s="1" t="s">
        <v>210</v>
      </c>
      <c r="D56" s="1" t="s">
        <v>5020</v>
      </c>
      <c r="E56" s="1" t="s">
        <v>625</v>
      </c>
      <c r="F56" s="1">
        <v>1</v>
      </c>
      <c r="G56" s="1">
        <v>1.49</v>
      </c>
      <c r="H56" s="1">
        <v>15</v>
      </c>
      <c r="J56" s="1" t="s">
        <v>40</v>
      </c>
      <c r="K56" s="1" t="s">
        <v>214</v>
      </c>
      <c r="L56" s="1">
        <v>13928934034</v>
      </c>
      <c r="M56" s="2" t="s">
        <v>215</v>
      </c>
      <c r="N56" s="1" t="s">
        <v>216</v>
      </c>
      <c r="O56" s="1" t="s">
        <v>215</v>
      </c>
      <c r="P56" s="1">
        <v>13928934034</v>
      </c>
      <c r="Q56" s="1" t="s">
        <v>217</v>
      </c>
    </row>
    <row r="57" spans="1:17">
      <c r="A57" s="2"/>
      <c r="B57" s="1"/>
      <c r="C57" s="1"/>
      <c r="D57" s="1" t="s">
        <v>5021</v>
      </c>
      <c r="E57" s="1" t="s">
        <v>625</v>
      </c>
      <c r="F57" s="1"/>
      <c r="G57" s="1"/>
      <c r="H57" s="1"/>
      <c r="J57" s="1"/>
      <c r="K57" s="1"/>
      <c r="L57" s="1"/>
      <c r="M57" s="2"/>
      <c r="N57" s="1"/>
      <c r="O57" s="1"/>
      <c r="P57" s="1"/>
      <c r="Q57" s="1"/>
    </row>
    <row r="58" spans="1:17">
      <c r="A58" s="2"/>
      <c r="B58" s="1"/>
      <c r="C58" s="1"/>
      <c r="D58" s="1" t="s">
        <v>5022</v>
      </c>
      <c r="E58" s="1" t="s">
        <v>625</v>
      </c>
      <c r="F58" s="1"/>
      <c r="G58" s="1"/>
      <c r="H58" s="1"/>
      <c r="J58" s="1"/>
      <c r="K58" s="1"/>
      <c r="L58" s="1"/>
      <c r="M58" s="2"/>
      <c r="N58" s="1"/>
      <c r="O58" s="1"/>
      <c r="P58" s="1"/>
      <c r="Q58" s="1"/>
    </row>
    <row r="59" spans="1:17">
      <c r="A59" s="2"/>
      <c r="B59" s="1"/>
      <c r="C59" s="1"/>
      <c r="D59" s="1" t="s">
        <v>5023</v>
      </c>
      <c r="E59" s="1" t="s">
        <v>625</v>
      </c>
      <c r="F59" s="1"/>
      <c r="G59" s="1"/>
      <c r="H59" s="1"/>
      <c r="J59" s="1"/>
      <c r="K59" s="1"/>
      <c r="L59" s="1"/>
      <c r="M59" s="2"/>
      <c r="N59" s="1"/>
      <c r="O59" s="1"/>
      <c r="P59" s="1"/>
      <c r="Q59" s="1"/>
    </row>
    <row r="60" spans="1:17">
      <c r="A60" s="2"/>
      <c r="B60" s="1"/>
      <c r="C60" s="1"/>
      <c r="D60" s="1" t="s">
        <v>5024</v>
      </c>
      <c r="E60" s="1" t="s">
        <v>625</v>
      </c>
      <c r="F60" s="1"/>
      <c r="G60" s="1"/>
      <c r="H60" s="1"/>
      <c r="J60" s="1"/>
      <c r="K60" s="1"/>
      <c r="L60" s="1"/>
      <c r="M60" s="2"/>
      <c r="N60" s="1"/>
      <c r="O60" s="1"/>
      <c r="P60" s="1"/>
      <c r="Q60" s="1"/>
    </row>
    <row r="61" spans="1:17">
      <c r="A61" s="2"/>
      <c r="B61" s="1"/>
      <c r="C61" s="1"/>
      <c r="D61" s="1" t="s">
        <v>5015</v>
      </c>
      <c r="E61" s="1" t="s">
        <v>625</v>
      </c>
      <c r="F61" s="1"/>
      <c r="G61" s="1"/>
      <c r="H61" s="1"/>
      <c r="J61" s="1"/>
      <c r="K61" s="1"/>
      <c r="L61" s="1"/>
      <c r="M61" s="2"/>
      <c r="N61" s="1"/>
      <c r="O61" s="1"/>
      <c r="P61" s="1"/>
      <c r="Q61" s="1"/>
    </row>
    <row r="62" spans="1:17">
      <c r="A62" s="2"/>
      <c r="B62" s="1"/>
      <c r="C62" s="1"/>
      <c r="D62" s="1" t="s">
        <v>5025</v>
      </c>
      <c r="E62" s="1" t="s">
        <v>625</v>
      </c>
      <c r="F62" s="1"/>
      <c r="G62" s="1"/>
      <c r="H62" s="1"/>
      <c r="J62" s="1"/>
      <c r="K62" s="1"/>
      <c r="L62" s="1"/>
      <c r="M62" s="2"/>
      <c r="N62" s="1"/>
      <c r="O62" s="1"/>
      <c r="P62" s="1"/>
      <c r="Q62" s="1"/>
    </row>
    <row r="63" spans="1:17">
      <c r="A63" s="2"/>
      <c r="B63" s="1"/>
      <c r="C63" s="1"/>
      <c r="D63" s="1" t="s">
        <v>5026</v>
      </c>
      <c r="E63" s="1" t="s">
        <v>625</v>
      </c>
      <c r="F63" s="1"/>
      <c r="G63" s="1"/>
      <c r="H63" s="1"/>
      <c r="J63" s="1"/>
      <c r="K63" s="1"/>
      <c r="L63" s="1"/>
      <c r="M63" s="2"/>
      <c r="N63" s="1"/>
      <c r="O63" s="1"/>
      <c r="P63" s="1"/>
      <c r="Q63" s="1"/>
    </row>
    <row r="64" spans="1:17">
      <c r="A64" s="2"/>
      <c r="B64" s="1" t="s">
        <v>219</v>
      </c>
      <c r="C64" s="1" t="s">
        <v>220</v>
      </c>
      <c r="D64" s="1" t="s">
        <v>5027</v>
      </c>
      <c r="E64" s="1" t="s">
        <v>625</v>
      </c>
      <c r="F64" s="1">
        <v>1</v>
      </c>
      <c r="G64" s="1">
        <v>1.49</v>
      </c>
      <c r="H64" s="1">
        <v>12</v>
      </c>
      <c r="J64" s="1" t="s">
        <v>40</v>
      </c>
      <c r="K64" s="1" t="s">
        <v>222</v>
      </c>
      <c r="L64" s="1">
        <v>13527705551</v>
      </c>
      <c r="M64" s="2" t="s">
        <v>223</v>
      </c>
      <c r="N64" s="1" t="s">
        <v>224</v>
      </c>
      <c r="O64" s="1" t="s">
        <v>223</v>
      </c>
      <c r="P64" s="1">
        <v>13527705551</v>
      </c>
      <c r="Q64" s="1" t="s">
        <v>225</v>
      </c>
    </row>
    <row r="65" spans="1:17">
      <c r="A65" s="2"/>
      <c r="B65" s="1"/>
      <c r="C65" s="1"/>
      <c r="D65" s="1" t="s">
        <v>5028</v>
      </c>
      <c r="E65" s="1" t="s">
        <v>625</v>
      </c>
      <c r="F65" s="1"/>
      <c r="G65" s="1"/>
      <c r="H65" s="1"/>
      <c r="J65" s="1"/>
      <c r="K65" s="1"/>
      <c r="L65" s="1"/>
      <c r="M65" s="2"/>
      <c r="N65" s="1"/>
      <c r="O65" s="1"/>
      <c r="P65" s="1"/>
      <c r="Q65" s="1"/>
    </row>
    <row r="66" spans="1:17">
      <c r="A66" s="2"/>
      <c r="B66" s="1"/>
      <c r="C66" s="1"/>
      <c r="D66" s="1" t="s">
        <v>5015</v>
      </c>
      <c r="E66" s="1" t="s">
        <v>625</v>
      </c>
      <c r="F66" s="1"/>
      <c r="G66" s="1"/>
      <c r="H66" s="1"/>
      <c r="J66" s="1"/>
      <c r="K66" s="1"/>
      <c r="L66" s="1"/>
      <c r="M66" s="2"/>
      <c r="N66" s="1"/>
      <c r="O66" s="1"/>
      <c r="P66" s="1"/>
      <c r="Q66" s="1"/>
    </row>
    <row r="67" spans="1:17">
      <c r="A67" s="2"/>
      <c r="B67" s="1"/>
      <c r="C67" s="1"/>
      <c r="D67" s="1" t="s">
        <v>5029</v>
      </c>
      <c r="E67" s="1" t="s">
        <v>625</v>
      </c>
      <c r="F67" s="1"/>
      <c r="G67" s="1"/>
      <c r="H67" s="1"/>
      <c r="J67" s="1"/>
      <c r="K67" s="1"/>
      <c r="L67" s="1"/>
      <c r="M67" s="2"/>
      <c r="N67" s="1"/>
      <c r="O67" s="1"/>
      <c r="P67" s="1"/>
      <c r="Q67" s="1"/>
    </row>
    <row r="68" spans="1:17">
      <c r="A68" s="2"/>
      <c r="B68" s="1"/>
      <c r="C68" s="1"/>
      <c r="D68" s="1" t="s">
        <v>5030</v>
      </c>
      <c r="E68" s="1" t="s">
        <v>625</v>
      </c>
      <c r="F68" s="1"/>
      <c r="G68" s="1"/>
      <c r="H68" s="1"/>
      <c r="J68" s="1"/>
      <c r="K68" s="1"/>
      <c r="L68" s="1"/>
      <c r="M68" s="2"/>
      <c r="N68" s="1"/>
      <c r="O68" s="1"/>
      <c r="P68" s="1"/>
      <c r="Q68" s="1"/>
    </row>
    <row r="69" spans="1:17">
      <c r="A69" s="2"/>
      <c r="B69" s="1"/>
      <c r="C69" s="1"/>
      <c r="D69" s="1" t="s">
        <v>5026</v>
      </c>
      <c r="E69" s="1" t="s">
        <v>625</v>
      </c>
      <c r="F69" s="1"/>
      <c r="G69" s="1"/>
      <c r="H69" s="1"/>
      <c r="J69" s="1"/>
      <c r="K69" s="1"/>
      <c r="L69" s="1"/>
      <c r="M69" s="2"/>
      <c r="N69" s="1"/>
      <c r="O69" s="1"/>
      <c r="P69" s="1"/>
      <c r="Q69" s="1"/>
    </row>
    <row r="70" spans="1:17">
      <c r="A70" s="2"/>
      <c r="B70" s="1" t="s">
        <v>227</v>
      </c>
      <c r="C70" s="1" t="s">
        <v>228</v>
      </c>
      <c r="D70" s="1" t="s">
        <v>4991</v>
      </c>
      <c r="E70" s="1" t="s">
        <v>4992</v>
      </c>
      <c r="F70" s="1">
        <v>1</v>
      </c>
      <c r="G70" s="1">
        <v>1.72</v>
      </c>
      <c r="H70" s="1">
        <v>15</v>
      </c>
      <c r="I70" s="1" t="s">
        <v>164</v>
      </c>
      <c r="J70" s="1" t="s">
        <v>40</v>
      </c>
      <c r="K70" s="1" t="s">
        <v>229</v>
      </c>
      <c r="L70" s="1">
        <v>13840761783</v>
      </c>
      <c r="M70" s="2" t="s">
        <v>230</v>
      </c>
      <c r="N70" s="1" t="s">
        <v>231</v>
      </c>
      <c r="O70" s="1" t="s">
        <v>232</v>
      </c>
      <c r="P70" s="1">
        <v>15502635188</v>
      </c>
      <c r="Q70" s="1" t="s">
        <v>233</v>
      </c>
    </row>
    <row r="71" spans="1:17">
      <c r="A71" s="2"/>
      <c r="B71" s="1"/>
      <c r="C71" s="1"/>
      <c r="D71" s="1" t="s">
        <v>4993</v>
      </c>
      <c r="E71" s="1" t="s">
        <v>4994</v>
      </c>
      <c r="F71" s="1"/>
      <c r="G71" s="1"/>
      <c r="H71" s="1"/>
      <c r="I71" s="1" t="s">
        <v>4995</v>
      </c>
      <c r="J71" s="1"/>
      <c r="K71" s="1"/>
      <c r="L71" s="1"/>
      <c r="M71" s="2"/>
      <c r="N71" s="1"/>
      <c r="O71" s="1"/>
      <c r="P71" s="1"/>
      <c r="Q71" s="1"/>
    </row>
    <row r="72" spans="1:17">
      <c r="A72" s="2"/>
      <c r="B72" s="1" t="s">
        <v>235</v>
      </c>
      <c r="C72" s="1" t="s">
        <v>236</v>
      </c>
      <c r="D72" s="1" t="s">
        <v>4991</v>
      </c>
      <c r="E72" s="1" t="s">
        <v>4992</v>
      </c>
      <c r="F72" s="1">
        <v>1</v>
      </c>
      <c r="G72" s="1">
        <v>1.72</v>
      </c>
      <c r="H72" s="1">
        <v>15</v>
      </c>
      <c r="I72" s="1" t="s">
        <v>164</v>
      </c>
      <c r="J72" s="1" t="s">
        <v>40</v>
      </c>
      <c r="K72" s="1" t="s">
        <v>237</v>
      </c>
      <c r="L72" s="1">
        <v>18341785826</v>
      </c>
      <c r="M72" s="2" t="s">
        <v>238</v>
      </c>
      <c r="N72" s="1" t="s">
        <v>239</v>
      </c>
      <c r="O72" s="1" t="s">
        <v>238</v>
      </c>
      <c r="P72" s="1">
        <v>18341785826</v>
      </c>
      <c r="Q72" s="1" t="s">
        <v>240</v>
      </c>
    </row>
    <row r="73" spans="1:17">
      <c r="A73" s="2"/>
      <c r="B73" s="1"/>
      <c r="C73" s="1"/>
      <c r="D73" s="1" t="s">
        <v>4993</v>
      </c>
      <c r="E73" s="1" t="s">
        <v>4994</v>
      </c>
      <c r="F73" s="1"/>
      <c r="G73" s="1"/>
      <c r="H73" s="1"/>
      <c r="I73" s="1" t="s">
        <v>4995</v>
      </c>
      <c r="J73" s="1"/>
      <c r="K73" s="1"/>
      <c r="L73" s="1"/>
      <c r="M73" s="2"/>
      <c r="N73" s="1"/>
      <c r="O73" s="1"/>
      <c r="P73" s="1"/>
      <c r="Q73" s="1"/>
    </row>
    <row r="74" spans="1:17">
      <c r="A74" s="2"/>
      <c r="B74" s="1" t="s">
        <v>242</v>
      </c>
      <c r="C74" s="1" t="s">
        <v>243</v>
      </c>
      <c r="D74" s="1" t="s">
        <v>4991</v>
      </c>
      <c r="E74" s="1" t="s">
        <v>4992</v>
      </c>
      <c r="F74" s="1">
        <v>1</v>
      </c>
      <c r="G74" s="1">
        <v>1.72</v>
      </c>
      <c r="H74" s="1">
        <v>15</v>
      </c>
      <c r="I74" s="1" t="s">
        <v>164</v>
      </c>
      <c r="J74" s="1" t="s">
        <v>40</v>
      </c>
      <c r="K74" s="1" t="s">
        <v>244</v>
      </c>
      <c r="L74" s="1">
        <v>13940778352</v>
      </c>
      <c r="M74" s="2" t="s">
        <v>245</v>
      </c>
      <c r="N74" s="1" t="s">
        <v>246</v>
      </c>
      <c r="O74" s="1" t="s">
        <v>247</v>
      </c>
      <c r="P74" s="1">
        <v>15642740440</v>
      </c>
      <c r="Q74" s="1" t="s">
        <v>248</v>
      </c>
    </row>
    <row r="75" spans="1:17">
      <c r="A75" s="2"/>
      <c r="B75" s="1"/>
      <c r="C75" s="1"/>
      <c r="D75" s="1" t="s">
        <v>4993</v>
      </c>
      <c r="E75" s="1" t="s">
        <v>4994</v>
      </c>
      <c r="F75" s="1"/>
      <c r="G75" s="1"/>
      <c r="H75" s="1"/>
      <c r="I75" s="1" t="s">
        <v>4995</v>
      </c>
      <c r="J75" s="1"/>
      <c r="K75" s="1"/>
      <c r="L75" s="1"/>
      <c r="M75" s="2"/>
      <c r="N75" s="1"/>
      <c r="O75" s="1"/>
      <c r="P75" s="1"/>
      <c r="Q75" s="1"/>
    </row>
    <row r="76" spans="1:17">
      <c r="A76" s="2"/>
      <c r="B76" s="1" t="s">
        <v>250</v>
      </c>
      <c r="C76" s="1" t="s">
        <v>251</v>
      </c>
      <c r="D76" s="1" t="s">
        <v>5027</v>
      </c>
      <c r="E76" s="1" t="s">
        <v>625</v>
      </c>
      <c r="F76" s="1">
        <v>1</v>
      </c>
      <c r="G76" s="1">
        <v>1.49</v>
      </c>
      <c r="H76" s="1">
        <v>12</v>
      </c>
      <c r="J76" s="1" t="s">
        <v>40</v>
      </c>
      <c r="K76" s="1" t="s">
        <v>252</v>
      </c>
      <c r="L76" s="1">
        <v>13662476777</v>
      </c>
      <c r="M76" s="2" t="s">
        <v>253</v>
      </c>
      <c r="N76" s="1" t="s">
        <v>254</v>
      </c>
      <c r="O76" s="1" t="s">
        <v>255</v>
      </c>
      <c r="P76" s="1">
        <v>17502026055</v>
      </c>
      <c r="Q76" s="1" t="s">
        <v>256</v>
      </c>
    </row>
    <row r="77" spans="1:17">
      <c r="A77" s="2"/>
      <c r="B77" s="1"/>
      <c r="C77" s="1"/>
      <c r="D77" s="1" t="s">
        <v>5028</v>
      </c>
      <c r="E77" s="1" t="s">
        <v>625</v>
      </c>
      <c r="F77" s="1"/>
      <c r="G77" s="1"/>
      <c r="H77" s="1"/>
      <c r="J77" s="1"/>
      <c r="K77" s="1"/>
      <c r="L77" s="1"/>
      <c r="M77" s="2"/>
      <c r="N77" s="1"/>
      <c r="O77" s="1"/>
      <c r="P77" s="1"/>
      <c r="Q77" s="1"/>
    </row>
    <row r="78" spans="1:17">
      <c r="A78" s="2"/>
      <c r="B78" s="1"/>
      <c r="C78" s="1"/>
      <c r="D78" s="1" t="s">
        <v>5015</v>
      </c>
      <c r="E78" s="1" t="s">
        <v>625</v>
      </c>
      <c r="F78" s="1"/>
      <c r="G78" s="1"/>
      <c r="H78" s="1"/>
      <c r="J78" s="1"/>
      <c r="K78" s="1"/>
      <c r="L78" s="1"/>
      <c r="M78" s="2"/>
      <c r="N78" s="1"/>
      <c r="O78" s="1"/>
      <c r="P78" s="1"/>
      <c r="Q78" s="1"/>
    </row>
    <row r="79" spans="1:17">
      <c r="A79" s="2"/>
      <c r="B79" s="1"/>
      <c r="C79" s="1"/>
      <c r="D79" s="1" t="s">
        <v>5029</v>
      </c>
      <c r="E79" s="1" t="s">
        <v>625</v>
      </c>
      <c r="F79" s="1"/>
      <c r="G79" s="1"/>
      <c r="H79" s="1"/>
      <c r="J79" s="1"/>
      <c r="K79" s="1"/>
      <c r="L79" s="1"/>
      <c r="M79" s="2"/>
      <c r="N79" s="1"/>
      <c r="O79" s="1"/>
      <c r="P79" s="1"/>
      <c r="Q79" s="1"/>
    </row>
    <row r="80" spans="1:17">
      <c r="A80" s="2"/>
      <c r="B80" s="1"/>
      <c r="C80" s="1"/>
      <c r="D80" s="1" t="s">
        <v>5030</v>
      </c>
      <c r="E80" s="1" t="s">
        <v>625</v>
      </c>
      <c r="F80" s="1"/>
      <c r="G80" s="1"/>
      <c r="H80" s="1"/>
      <c r="J80" s="1"/>
      <c r="K80" s="1"/>
      <c r="L80" s="1"/>
      <c r="M80" s="2"/>
      <c r="N80" s="1"/>
      <c r="O80" s="1"/>
      <c r="P80" s="1"/>
      <c r="Q80" s="1"/>
    </row>
    <row r="81" spans="1:17">
      <c r="A81" s="2"/>
      <c r="B81" s="1"/>
      <c r="C81" s="1"/>
      <c r="D81" s="1" t="s">
        <v>5026</v>
      </c>
      <c r="E81" s="1" t="s">
        <v>625</v>
      </c>
      <c r="F81" s="1"/>
      <c r="G81" s="1"/>
      <c r="H81" s="1"/>
      <c r="J81" s="1"/>
      <c r="K81" s="1"/>
      <c r="L81" s="1"/>
      <c r="M81" s="2"/>
      <c r="N81" s="1"/>
      <c r="O81" s="1"/>
      <c r="P81" s="1"/>
      <c r="Q81" s="1"/>
    </row>
    <row r="82" spans="1:17">
      <c r="A82" s="2"/>
      <c r="B82" s="1" t="s">
        <v>258</v>
      </c>
      <c r="C82" s="1" t="s">
        <v>259</v>
      </c>
      <c r="D82" s="1" t="s">
        <v>5020</v>
      </c>
      <c r="E82" s="1" t="s">
        <v>625</v>
      </c>
      <c r="F82" s="1">
        <v>1</v>
      </c>
      <c r="G82" s="1">
        <v>1.49</v>
      </c>
      <c r="H82" s="1">
        <v>13</v>
      </c>
      <c r="J82" s="1" t="s">
        <v>40</v>
      </c>
      <c r="K82" s="1" t="s">
        <v>263</v>
      </c>
      <c r="L82" s="1">
        <v>13710770402</v>
      </c>
      <c r="M82" s="2" t="s">
        <v>264</v>
      </c>
      <c r="N82" s="1" t="s">
        <v>265</v>
      </c>
      <c r="O82" s="1" t="s">
        <v>266</v>
      </c>
      <c r="P82" s="1">
        <v>13428837406</v>
      </c>
      <c r="Q82" s="1" t="s">
        <v>267</v>
      </c>
    </row>
    <row r="83" spans="1:17">
      <c r="A83" s="2"/>
      <c r="B83" s="1"/>
      <c r="C83" s="1"/>
      <c r="D83" s="1" t="s">
        <v>5031</v>
      </c>
      <c r="E83" s="1" t="s">
        <v>625</v>
      </c>
      <c r="F83" s="1"/>
      <c r="G83" s="1"/>
      <c r="H83" s="1"/>
      <c r="J83" s="1"/>
      <c r="K83" s="1"/>
      <c r="L83" s="1"/>
      <c r="M83" s="2"/>
      <c r="N83" s="1"/>
      <c r="O83" s="1"/>
      <c r="P83" s="1"/>
      <c r="Q83" s="1"/>
    </row>
    <row r="84" spans="1:17">
      <c r="A84" s="2"/>
      <c r="B84" s="1"/>
      <c r="C84" s="1"/>
      <c r="D84" s="1" t="s">
        <v>5032</v>
      </c>
      <c r="E84" s="1" t="s">
        <v>625</v>
      </c>
      <c r="F84" s="1"/>
      <c r="G84" s="1"/>
      <c r="H84" s="1"/>
      <c r="J84" s="1"/>
      <c r="K84" s="1"/>
      <c r="L84" s="1"/>
      <c r="M84" s="2"/>
      <c r="N84" s="1"/>
      <c r="O84" s="1"/>
      <c r="P84" s="1"/>
      <c r="Q84" s="1"/>
    </row>
    <row r="85" spans="1:17">
      <c r="A85" s="2"/>
      <c r="B85" s="1"/>
      <c r="C85" s="1"/>
      <c r="D85" s="1" t="s">
        <v>5033</v>
      </c>
      <c r="E85" s="1" t="s">
        <v>625</v>
      </c>
      <c r="F85" s="1"/>
      <c r="G85" s="1"/>
      <c r="H85" s="1"/>
      <c r="J85" s="1"/>
      <c r="K85" s="1"/>
      <c r="L85" s="1"/>
      <c r="M85" s="2"/>
      <c r="N85" s="1"/>
      <c r="O85" s="1"/>
      <c r="P85" s="1"/>
      <c r="Q85" s="1"/>
    </row>
    <row r="86" spans="1:17">
      <c r="A86" s="2"/>
      <c r="B86" s="1"/>
      <c r="C86" s="1"/>
      <c r="D86" s="1" t="s">
        <v>5034</v>
      </c>
      <c r="E86" s="1" t="s">
        <v>625</v>
      </c>
      <c r="F86" s="1"/>
      <c r="G86" s="1"/>
      <c r="H86" s="1"/>
      <c r="J86" s="1"/>
      <c r="K86" s="1"/>
      <c r="L86" s="1"/>
      <c r="M86" s="2"/>
      <c r="N86" s="1"/>
      <c r="O86" s="1"/>
      <c r="P86" s="1"/>
      <c r="Q86" s="1"/>
    </row>
    <row r="87" spans="1:17">
      <c r="A87" s="2"/>
      <c r="B87" s="1" t="s">
        <v>269</v>
      </c>
      <c r="C87" s="1" t="s">
        <v>270</v>
      </c>
      <c r="D87" s="1" t="s">
        <v>5035</v>
      </c>
      <c r="E87" s="1" t="s">
        <v>625</v>
      </c>
      <c r="F87" s="1">
        <v>1</v>
      </c>
      <c r="G87" s="1">
        <v>1.95</v>
      </c>
      <c r="H87" s="1">
        <v>15</v>
      </c>
      <c r="J87" s="1" t="s">
        <v>40</v>
      </c>
      <c r="K87" s="1" t="s">
        <v>272</v>
      </c>
      <c r="L87" s="1">
        <v>13928780807</v>
      </c>
      <c r="M87" s="2" t="s">
        <v>273</v>
      </c>
      <c r="N87" s="1" t="s">
        <v>274</v>
      </c>
      <c r="O87" s="1" t="s">
        <v>275</v>
      </c>
      <c r="P87" s="1">
        <v>13247686961</v>
      </c>
      <c r="Q87" s="1" t="s">
        <v>276</v>
      </c>
    </row>
    <row r="88" spans="1:17">
      <c r="A88" s="2"/>
      <c r="B88" s="1"/>
      <c r="C88" s="1"/>
      <c r="D88" s="1" t="s">
        <v>4988</v>
      </c>
      <c r="E88" s="1" t="s">
        <v>625</v>
      </c>
      <c r="F88" s="1"/>
      <c r="G88" s="1"/>
      <c r="H88" s="1"/>
      <c r="J88" s="1"/>
      <c r="K88" s="1"/>
      <c r="L88" s="1"/>
      <c r="M88" s="2"/>
      <c r="N88" s="1"/>
      <c r="O88" s="1"/>
      <c r="P88" s="1"/>
      <c r="Q88" s="1"/>
    </row>
    <row r="89" spans="1:17">
      <c r="A89" s="2"/>
      <c r="B89" s="1"/>
      <c r="C89" s="1"/>
      <c r="D89" s="1" t="s">
        <v>5036</v>
      </c>
      <c r="E89" s="1" t="s">
        <v>625</v>
      </c>
      <c r="F89" s="1"/>
      <c r="G89" s="1"/>
      <c r="H89" s="1"/>
      <c r="J89" s="1"/>
      <c r="K89" s="1"/>
      <c r="L89" s="1"/>
      <c r="M89" s="2"/>
      <c r="N89" s="1"/>
      <c r="O89" s="1"/>
      <c r="P89" s="1"/>
      <c r="Q89" s="1"/>
    </row>
    <row r="90" spans="1:17">
      <c r="A90" s="2"/>
      <c r="B90" s="1"/>
      <c r="C90" s="1"/>
      <c r="D90" s="1" t="s">
        <v>5037</v>
      </c>
      <c r="E90" s="1" t="s">
        <v>625</v>
      </c>
      <c r="F90" s="1"/>
      <c r="G90" s="1"/>
      <c r="H90" s="1"/>
      <c r="J90" s="1"/>
      <c r="K90" s="1"/>
      <c r="L90" s="1"/>
      <c r="M90" s="2"/>
      <c r="N90" s="1"/>
      <c r="O90" s="1"/>
      <c r="P90" s="1"/>
      <c r="Q90" s="1"/>
    </row>
    <row r="91" spans="1:17">
      <c r="A91" s="2"/>
      <c r="B91" s="1"/>
      <c r="C91" s="1"/>
      <c r="D91" s="1" t="s">
        <v>5026</v>
      </c>
      <c r="E91" s="1" t="s">
        <v>625</v>
      </c>
      <c r="F91" s="1"/>
      <c r="G91" s="1"/>
      <c r="H91" s="1"/>
      <c r="J91" s="1"/>
      <c r="K91" s="1"/>
      <c r="L91" s="1"/>
      <c r="M91" s="2"/>
      <c r="N91" s="1"/>
      <c r="O91" s="1"/>
      <c r="P91" s="1"/>
      <c r="Q91" s="1"/>
    </row>
    <row r="92" spans="1:17">
      <c r="A92" s="2"/>
      <c r="B92" s="1" t="s">
        <v>278</v>
      </c>
      <c r="C92" s="1" t="s">
        <v>279</v>
      </c>
      <c r="D92" s="1" t="s">
        <v>5038</v>
      </c>
      <c r="E92" s="1" t="s">
        <v>625</v>
      </c>
      <c r="F92" s="1">
        <v>1</v>
      </c>
      <c r="G92" s="1">
        <v>1.49</v>
      </c>
      <c r="H92" s="1">
        <v>9</v>
      </c>
      <c r="J92" s="1" t="s">
        <v>40</v>
      </c>
      <c r="K92" s="1" t="s">
        <v>283</v>
      </c>
      <c r="L92" s="1">
        <v>15821041519</v>
      </c>
      <c r="M92" s="2" t="s">
        <v>284</v>
      </c>
      <c r="N92" s="1" t="s">
        <v>285</v>
      </c>
      <c r="O92" s="1" t="s">
        <v>286</v>
      </c>
      <c r="P92" s="1">
        <v>13916846362</v>
      </c>
      <c r="Q92" s="1" t="s">
        <v>287</v>
      </c>
    </row>
    <row r="93" spans="1:17">
      <c r="A93" s="2"/>
      <c r="B93" s="1"/>
      <c r="C93" s="1"/>
      <c r="D93" s="1" t="s">
        <v>5039</v>
      </c>
      <c r="E93" s="1" t="s">
        <v>625</v>
      </c>
      <c r="F93" s="1"/>
      <c r="G93" s="1"/>
      <c r="H93" s="1"/>
      <c r="J93" s="1"/>
      <c r="K93" s="1"/>
      <c r="L93" s="1"/>
      <c r="M93" s="2"/>
      <c r="N93" s="1"/>
      <c r="O93" s="1"/>
      <c r="P93" s="1"/>
      <c r="Q93" s="1"/>
    </row>
    <row r="94" spans="1:17">
      <c r="A94" s="2"/>
      <c r="B94" s="1"/>
      <c r="C94" s="1"/>
      <c r="D94" s="1" t="s">
        <v>5040</v>
      </c>
      <c r="E94" s="1" t="s">
        <v>625</v>
      </c>
      <c r="F94" s="1"/>
      <c r="G94" s="1"/>
      <c r="H94" s="1"/>
      <c r="J94" s="1"/>
      <c r="K94" s="1"/>
      <c r="L94" s="1"/>
      <c r="M94" s="2"/>
      <c r="N94" s="1"/>
      <c r="O94" s="1"/>
      <c r="P94" s="1"/>
      <c r="Q94" s="1"/>
    </row>
    <row r="95" spans="1:17">
      <c r="A95" s="2"/>
      <c r="B95" s="1" t="s">
        <v>289</v>
      </c>
      <c r="C95" s="1" t="s">
        <v>290</v>
      </c>
      <c r="D95" s="1" t="s">
        <v>5041</v>
      </c>
      <c r="E95" s="1" t="s">
        <v>292</v>
      </c>
      <c r="F95" s="1">
        <v>1</v>
      </c>
      <c r="G95" s="1">
        <v>1.04</v>
      </c>
      <c r="H95" s="1">
        <v>1</v>
      </c>
      <c r="J95" s="1" t="s">
        <v>293</v>
      </c>
      <c r="K95" s="1" t="s">
        <v>294</v>
      </c>
      <c r="L95" s="1">
        <v>13664174071</v>
      </c>
      <c r="M95" s="2" t="s">
        <v>295</v>
      </c>
      <c r="N95" s="1" t="s">
        <v>296</v>
      </c>
      <c r="O95" s="1" t="s">
        <v>295</v>
      </c>
      <c r="P95" s="1">
        <v>13664174071</v>
      </c>
      <c r="Q95" s="1" t="s">
        <v>297</v>
      </c>
    </row>
    <row r="96" spans="1:17">
      <c r="A96" s="2"/>
      <c r="B96" s="1" t="s">
        <v>299</v>
      </c>
      <c r="C96" s="1" t="s">
        <v>300</v>
      </c>
      <c r="D96" s="1" t="s">
        <v>5042</v>
      </c>
      <c r="E96" s="1" t="s">
        <v>302</v>
      </c>
      <c r="F96" s="1">
        <v>1</v>
      </c>
      <c r="G96" s="1">
        <v>1.26</v>
      </c>
      <c r="H96" s="1">
        <v>1</v>
      </c>
      <c r="I96" s="1" t="s">
        <v>303</v>
      </c>
      <c r="J96" s="1" t="s">
        <v>304</v>
      </c>
      <c r="K96" s="1" t="s">
        <v>305</v>
      </c>
      <c r="L96" s="1">
        <v>18995138805</v>
      </c>
      <c r="M96" s="2" t="s">
        <v>306</v>
      </c>
      <c r="N96" s="1" t="s">
        <v>307</v>
      </c>
      <c r="O96" s="1" t="s">
        <v>306</v>
      </c>
      <c r="P96" s="1">
        <v>18995138805</v>
      </c>
      <c r="Q96" s="1" t="s">
        <v>308</v>
      </c>
    </row>
    <row r="97" spans="1:17">
      <c r="A97" s="2"/>
      <c r="B97" s="1" t="s">
        <v>310</v>
      </c>
      <c r="C97" s="1" t="s">
        <v>311</v>
      </c>
      <c r="D97" s="1" t="s">
        <v>5043</v>
      </c>
      <c r="E97" s="1" t="s">
        <v>302</v>
      </c>
      <c r="F97" s="1">
        <v>1</v>
      </c>
      <c r="G97" s="1">
        <v>0.81</v>
      </c>
      <c r="H97" s="1">
        <v>1</v>
      </c>
      <c r="J97" s="1" t="s">
        <v>304</v>
      </c>
      <c r="K97" s="1" t="s">
        <v>313</v>
      </c>
      <c r="L97" s="1">
        <v>18910981290</v>
      </c>
      <c r="M97" s="2" t="s">
        <v>314</v>
      </c>
      <c r="N97" s="1" t="s">
        <v>315</v>
      </c>
      <c r="O97" s="1" t="s">
        <v>314</v>
      </c>
      <c r="P97" s="1">
        <v>18910981290</v>
      </c>
      <c r="Q97" s="1" t="s">
        <v>316</v>
      </c>
    </row>
    <row r="98" spans="1:17">
      <c r="A98" s="2"/>
      <c r="B98" s="1" t="s">
        <v>318</v>
      </c>
      <c r="C98" s="1" t="s">
        <v>319</v>
      </c>
      <c r="D98" s="1" t="s">
        <v>5044</v>
      </c>
      <c r="E98" s="1" t="s">
        <v>625</v>
      </c>
      <c r="F98" s="1">
        <v>1</v>
      </c>
      <c r="G98" s="1">
        <v>2.17</v>
      </c>
      <c r="H98" s="1">
        <v>11</v>
      </c>
      <c r="J98" s="1" t="s">
        <v>40</v>
      </c>
      <c r="K98" s="1" t="s">
        <v>321</v>
      </c>
      <c r="L98" s="1">
        <v>13701078667</v>
      </c>
      <c r="M98" s="2" t="s">
        <v>322</v>
      </c>
      <c r="N98" s="1" t="s">
        <v>323</v>
      </c>
      <c r="O98" s="1" t="s">
        <v>324</v>
      </c>
      <c r="P98" s="1">
        <v>13466332447</v>
      </c>
      <c r="Q98" s="1" t="s">
        <v>325</v>
      </c>
    </row>
    <row r="99" spans="1:17">
      <c r="A99" s="2"/>
      <c r="B99" s="1"/>
      <c r="C99" s="1"/>
      <c r="D99" s="1" t="s">
        <v>5045</v>
      </c>
      <c r="E99" s="1" t="s">
        <v>625</v>
      </c>
      <c r="F99" s="1"/>
      <c r="G99" s="1"/>
      <c r="H99" s="1"/>
      <c r="J99" s="1"/>
      <c r="K99" s="1"/>
      <c r="L99" s="1"/>
      <c r="M99" s="2"/>
      <c r="N99" s="1"/>
      <c r="O99" s="1"/>
      <c r="P99" s="1"/>
      <c r="Q99" s="1"/>
    </row>
    <row r="100" spans="1:17">
      <c r="A100" s="2"/>
      <c r="B100" s="1"/>
      <c r="C100" s="1"/>
      <c r="D100" s="1" t="s">
        <v>5046</v>
      </c>
      <c r="E100" s="1" t="s">
        <v>625</v>
      </c>
      <c r="F100" s="1"/>
      <c r="G100" s="1"/>
      <c r="H100" s="1"/>
      <c r="J100" s="1"/>
      <c r="K100" s="1"/>
      <c r="L100" s="1"/>
      <c r="M100" s="2"/>
      <c r="N100" s="1"/>
      <c r="O100" s="1"/>
      <c r="P100" s="1"/>
      <c r="Q100" s="1"/>
    </row>
    <row r="101" spans="1:17">
      <c r="A101" s="2"/>
      <c r="B101" s="1" t="s">
        <v>327</v>
      </c>
      <c r="C101" s="1" t="s">
        <v>328</v>
      </c>
      <c r="D101" s="1" t="s">
        <v>5047</v>
      </c>
      <c r="E101" s="1" t="s">
        <v>625</v>
      </c>
      <c r="F101" s="1">
        <v>1</v>
      </c>
      <c r="G101" s="1">
        <v>1.26</v>
      </c>
      <c r="H101" s="1">
        <v>10</v>
      </c>
      <c r="I101" s="1" t="s">
        <v>5048</v>
      </c>
      <c r="J101" s="1" t="s">
        <v>40</v>
      </c>
      <c r="K101" s="1" t="s">
        <v>331</v>
      </c>
      <c r="L101" s="1">
        <v>13906685749</v>
      </c>
      <c r="M101" s="2" t="s">
        <v>332</v>
      </c>
      <c r="N101" s="1" t="s">
        <v>333</v>
      </c>
      <c r="O101" s="1" t="s">
        <v>334</v>
      </c>
      <c r="P101" s="1">
        <v>13957852236</v>
      </c>
      <c r="Q101" s="1" t="s">
        <v>335</v>
      </c>
    </row>
    <row r="102" spans="1:17">
      <c r="A102" s="2"/>
      <c r="B102" s="1"/>
      <c r="C102" s="1"/>
      <c r="D102" s="1" t="s">
        <v>5049</v>
      </c>
      <c r="E102" s="1" t="s">
        <v>625</v>
      </c>
      <c r="F102" s="1"/>
      <c r="G102" s="1"/>
      <c r="H102" s="1"/>
      <c r="I102" s="1" t="s">
        <v>5050</v>
      </c>
      <c r="J102" s="1"/>
      <c r="K102" s="1"/>
      <c r="L102" s="1"/>
      <c r="M102" s="2"/>
      <c r="N102" s="1"/>
      <c r="O102" s="1"/>
      <c r="P102" s="1"/>
      <c r="Q102" s="1"/>
    </row>
    <row r="103" spans="1:17">
      <c r="A103" s="2"/>
      <c r="B103" s="1"/>
      <c r="C103" s="1"/>
      <c r="D103" s="1" t="s">
        <v>5051</v>
      </c>
      <c r="E103" s="1" t="s">
        <v>625</v>
      </c>
      <c r="F103" s="1"/>
      <c r="G103" s="1"/>
      <c r="H103" s="1"/>
      <c r="I103" s="1" t="s">
        <v>5052</v>
      </c>
      <c r="J103" s="1"/>
      <c r="K103" s="1"/>
      <c r="L103" s="1"/>
      <c r="M103" s="2"/>
      <c r="N103" s="1"/>
      <c r="O103" s="1"/>
      <c r="P103" s="1"/>
      <c r="Q103" s="1"/>
    </row>
    <row r="104" spans="1:17">
      <c r="A104" s="2"/>
      <c r="B104" s="1" t="s">
        <v>337</v>
      </c>
      <c r="C104" s="1" t="s">
        <v>338</v>
      </c>
      <c r="D104" s="1" t="s">
        <v>4991</v>
      </c>
      <c r="E104" s="1" t="s">
        <v>4992</v>
      </c>
      <c r="F104" s="1">
        <v>1</v>
      </c>
      <c r="G104" s="1">
        <v>1.72</v>
      </c>
      <c r="H104" s="1">
        <v>15</v>
      </c>
      <c r="I104" s="1" t="s">
        <v>164</v>
      </c>
      <c r="J104" s="1" t="s">
        <v>40</v>
      </c>
      <c r="K104" s="1" t="s">
        <v>135</v>
      </c>
      <c r="L104" s="1">
        <v>13610961783</v>
      </c>
      <c r="M104" s="2" t="s">
        <v>136</v>
      </c>
      <c r="N104" s="1" t="s">
        <v>339</v>
      </c>
      <c r="O104" s="1" t="s">
        <v>340</v>
      </c>
      <c r="P104" s="1">
        <v>13942091299</v>
      </c>
      <c r="Q104" s="1" t="s">
        <v>341</v>
      </c>
    </row>
    <row r="105" spans="1:17">
      <c r="A105" s="2"/>
      <c r="B105" s="1"/>
      <c r="C105" s="1"/>
      <c r="D105" s="1" t="s">
        <v>4993</v>
      </c>
      <c r="E105" s="1" t="s">
        <v>4994</v>
      </c>
      <c r="F105" s="1"/>
      <c r="G105" s="1"/>
      <c r="H105" s="1"/>
      <c r="I105" s="1" t="s">
        <v>4995</v>
      </c>
      <c r="J105" s="1"/>
      <c r="K105" s="1"/>
      <c r="L105" s="1"/>
      <c r="M105" s="2"/>
      <c r="N105" s="1"/>
      <c r="O105" s="1"/>
      <c r="P105" s="1"/>
      <c r="Q105" s="1"/>
    </row>
    <row r="106" spans="1:17">
      <c r="A106" s="2"/>
      <c r="B106" s="1" t="s">
        <v>343</v>
      </c>
      <c r="C106" s="1" t="s">
        <v>344</v>
      </c>
      <c r="D106" s="1" t="s">
        <v>4991</v>
      </c>
      <c r="E106" s="1" t="s">
        <v>4992</v>
      </c>
      <c r="F106" s="1">
        <v>1</v>
      </c>
      <c r="G106" s="1">
        <v>1.72</v>
      </c>
      <c r="H106" s="1">
        <v>15</v>
      </c>
      <c r="I106" s="1" t="s">
        <v>164</v>
      </c>
      <c r="J106" s="1" t="s">
        <v>40</v>
      </c>
      <c r="K106" s="1" t="s">
        <v>345</v>
      </c>
      <c r="L106" s="1">
        <v>13840761783</v>
      </c>
      <c r="M106" s="2" t="s">
        <v>346</v>
      </c>
      <c r="N106" s="1" t="s">
        <v>347</v>
      </c>
      <c r="O106" s="1" t="s">
        <v>348</v>
      </c>
      <c r="P106" s="1">
        <v>15942737772</v>
      </c>
      <c r="Q106" s="1" t="s">
        <v>349</v>
      </c>
    </row>
    <row r="107" spans="1:17">
      <c r="A107" s="2"/>
      <c r="B107" s="1"/>
      <c r="C107" s="1"/>
      <c r="D107" s="1" t="s">
        <v>4993</v>
      </c>
      <c r="E107" s="1" t="s">
        <v>4994</v>
      </c>
      <c r="F107" s="1"/>
      <c r="G107" s="1"/>
      <c r="H107" s="1"/>
      <c r="I107" s="1" t="s">
        <v>4995</v>
      </c>
      <c r="J107" s="1"/>
      <c r="K107" s="1"/>
      <c r="L107" s="1"/>
      <c r="M107" s="2"/>
      <c r="N107" s="1"/>
      <c r="O107" s="1"/>
      <c r="P107" s="1"/>
      <c r="Q107" s="1"/>
    </row>
    <row r="108" spans="1:17">
      <c r="A108" s="2"/>
      <c r="B108" s="1" t="s">
        <v>351</v>
      </c>
      <c r="C108" s="1" t="s">
        <v>352</v>
      </c>
      <c r="D108" s="1" t="s">
        <v>5053</v>
      </c>
      <c r="E108" s="1" t="s">
        <v>4992</v>
      </c>
      <c r="F108" s="1">
        <v>1</v>
      </c>
      <c r="G108" s="1">
        <v>1.72</v>
      </c>
      <c r="H108" s="1">
        <v>14</v>
      </c>
      <c r="I108" s="1" t="s">
        <v>164</v>
      </c>
      <c r="J108" s="1" t="s">
        <v>40</v>
      </c>
      <c r="K108" s="1" t="s">
        <v>355</v>
      </c>
      <c r="L108" s="1">
        <v>13911116697</v>
      </c>
      <c r="M108" s="2" t="s">
        <v>356</v>
      </c>
      <c r="N108" s="1" t="s">
        <v>357</v>
      </c>
      <c r="O108" s="1" t="s">
        <v>358</v>
      </c>
      <c r="P108" s="1">
        <v>18268853990</v>
      </c>
      <c r="Q108" s="1" t="s">
        <v>359</v>
      </c>
    </row>
    <row r="109" spans="1:17">
      <c r="A109" s="2"/>
      <c r="B109" s="1"/>
      <c r="C109" s="1"/>
      <c r="D109" s="1" t="s">
        <v>5054</v>
      </c>
      <c r="E109" s="1" t="s">
        <v>4994</v>
      </c>
      <c r="F109" s="1"/>
      <c r="G109" s="1"/>
      <c r="H109" s="1"/>
      <c r="I109" s="1" t="s">
        <v>5055</v>
      </c>
      <c r="J109" s="1"/>
      <c r="K109" s="1"/>
      <c r="L109" s="1"/>
      <c r="M109" s="2"/>
      <c r="N109" s="1"/>
      <c r="O109" s="1"/>
      <c r="P109" s="1"/>
      <c r="Q109" s="1"/>
    </row>
    <row r="110" spans="1:17">
      <c r="A110" s="2"/>
      <c r="B110" s="1" t="s">
        <v>361</v>
      </c>
      <c r="C110" s="1" t="s">
        <v>362</v>
      </c>
      <c r="D110" s="1" t="s">
        <v>4996</v>
      </c>
      <c r="E110" s="1" t="s">
        <v>420</v>
      </c>
      <c r="F110" s="1">
        <v>1</v>
      </c>
      <c r="G110" s="1">
        <v>1.49</v>
      </c>
      <c r="H110" s="1">
        <v>11</v>
      </c>
      <c r="J110" s="1" t="s">
        <v>29</v>
      </c>
      <c r="K110" s="1" t="s">
        <v>363</v>
      </c>
      <c r="L110" s="1">
        <v>18105042053</v>
      </c>
      <c r="M110" s="2" t="s">
        <v>364</v>
      </c>
      <c r="N110" s="1" t="s">
        <v>365</v>
      </c>
      <c r="O110" s="1" t="s">
        <v>366</v>
      </c>
      <c r="P110" s="1">
        <v>15963380837</v>
      </c>
      <c r="Q110" s="1" t="s">
        <v>367</v>
      </c>
    </row>
    <row r="111" spans="1:17">
      <c r="A111" s="2"/>
      <c r="B111" s="1"/>
      <c r="C111" s="1"/>
      <c r="D111" s="1" t="s">
        <v>4997</v>
      </c>
      <c r="E111" s="1" t="s">
        <v>420</v>
      </c>
      <c r="F111" s="1"/>
      <c r="G111" s="1"/>
      <c r="H111" s="1"/>
      <c r="J111" s="1"/>
      <c r="K111" s="1"/>
      <c r="L111" s="1"/>
      <c r="M111" s="2"/>
      <c r="N111" s="1"/>
      <c r="O111" s="1"/>
      <c r="P111" s="1"/>
      <c r="Q111" s="1"/>
    </row>
    <row r="112" spans="1:17">
      <c r="A112" s="2"/>
      <c r="B112" s="1"/>
      <c r="C112" s="1"/>
      <c r="D112" s="1" t="s">
        <v>4998</v>
      </c>
      <c r="E112" s="1" t="s">
        <v>420</v>
      </c>
      <c r="F112" s="1"/>
      <c r="G112" s="1"/>
      <c r="H112" s="1"/>
      <c r="J112" s="1"/>
      <c r="K112" s="1"/>
      <c r="L112" s="1"/>
      <c r="M112" s="2"/>
      <c r="N112" s="1"/>
      <c r="O112" s="1"/>
      <c r="P112" s="1"/>
      <c r="Q112" s="1"/>
    </row>
    <row r="113" spans="1:17">
      <c r="A113" s="2"/>
      <c r="B113" s="1"/>
      <c r="C113" s="1"/>
      <c r="D113" s="1" t="s">
        <v>4999</v>
      </c>
      <c r="E113" s="1" t="s">
        <v>420</v>
      </c>
      <c r="F113" s="1"/>
      <c r="G113" s="1"/>
      <c r="H113" s="1"/>
      <c r="J113" s="1"/>
      <c r="K113" s="1"/>
      <c r="L113" s="1"/>
      <c r="M113" s="2"/>
      <c r="N113" s="1"/>
      <c r="O113" s="1"/>
      <c r="P113" s="1"/>
      <c r="Q113" s="1"/>
    </row>
    <row r="114" spans="1:17">
      <c r="A114" s="2"/>
      <c r="B114" s="1"/>
      <c r="C114" s="1"/>
      <c r="D114" s="1" t="s">
        <v>5000</v>
      </c>
      <c r="E114" s="1" t="s">
        <v>420</v>
      </c>
      <c r="F114" s="1"/>
      <c r="G114" s="1"/>
      <c r="H114" s="1"/>
      <c r="J114" s="1"/>
      <c r="K114" s="1"/>
      <c r="L114" s="1"/>
      <c r="M114" s="2"/>
      <c r="N114" s="1"/>
      <c r="O114" s="1"/>
      <c r="P114" s="1"/>
      <c r="Q114" s="1"/>
    </row>
    <row r="115" spans="1:17">
      <c r="A115" s="2"/>
      <c r="B115" s="1"/>
      <c r="C115" s="1"/>
      <c r="D115" s="1" t="s">
        <v>5001</v>
      </c>
      <c r="E115" s="1" t="s">
        <v>420</v>
      </c>
      <c r="F115" s="1"/>
      <c r="G115" s="1"/>
      <c r="H115" s="1"/>
      <c r="J115" s="1"/>
      <c r="K115" s="1"/>
      <c r="L115" s="1"/>
      <c r="M115" s="2"/>
      <c r="N115" s="1"/>
      <c r="O115" s="1"/>
      <c r="P115" s="1"/>
      <c r="Q115" s="1"/>
    </row>
    <row r="116" spans="1:17">
      <c r="A116" s="2"/>
      <c r="B116" s="1"/>
      <c r="C116" s="1"/>
      <c r="D116" s="1" t="s">
        <v>5002</v>
      </c>
      <c r="E116" s="1" t="s">
        <v>420</v>
      </c>
      <c r="F116" s="1"/>
      <c r="G116" s="1"/>
      <c r="H116" s="1"/>
      <c r="J116" s="1"/>
      <c r="K116" s="1"/>
      <c r="L116" s="1"/>
      <c r="M116" s="2"/>
      <c r="N116" s="1"/>
      <c r="O116" s="1"/>
      <c r="P116" s="1"/>
      <c r="Q116" s="1"/>
    </row>
    <row r="117" spans="1:17">
      <c r="A117" s="2"/>
      <c r="B117" s="1" t="s">
        <v>369</v>
      </c>
      <c r="C117" s="1" t="s">
        <v>370</v>
      </c>
      <c r="D117" s="1" t="s">
        <v>5056</v>
      </c>
      <c r="E117" s="1" t="s">
        <v>5057</v>
      </c>
      <c r="F117" s="1">
        <v>1</v>
      </c>
      <c r="G117" s="1">
        <v>0.81</v>
      </c>
      <c r="H117" s="1">
        <v>7</v>
      </c>
      <c r="I117" s="1" t="s">
        <v>450</v>
      </c>
      <c r="J117" s="1" t="s">
        <v>29</v>
      </c>
      <c r="K117" s="1" t="s">
        <v>374</v>
      </c>
      <c r="L117" s="1">
        <v>15842480156</v>
      </c>
      <c r="M117" s="2" t="s">
        <v>375</v>
      </c>
      <c r="N117" s="1" t="s">
        <v>376</v>
      </c>
      <c r="O117" s="1" t="s">
        <v>375</v>
      </c>
      <c r="P117" s="1">
        <v>15842480156</v>
      </c>
      <c r="Q117" s="1" t="s">
        <v>377</v>
      </c>
    </row>
    <row r="118" spans="1:17">
      <c r="A118" s="2"/>
      <c r="B118" s="1"/>
      <c r="C118" s="1"/>
      <c r="D118" s="1" t="s">
        <v>5058</v>
      </c>
      <c r="E118" s="1" t="s">
        <v>420</v>
      </c>
      <c r="F118" s="1"/>
      <c r="G118" s="1"/>
      <c r="H118" s="1"/>
      <c r="I118" s="1" t="s">
        <v>5059</v>
      </c>
      <c r="J118" s="1"/>
      <c r="K118" s="1"/>
      <c r="L118" s="1"/>
      <c r="M118" s="2"/>
      <c r="N118" s="1"/>
      <c r="O118" s="1"/>
      <c r="P118" s="1"/>
      <c r="Q118" s="1"/>
    </row>
    <row r="119" spans="1:17">
      <c r="A119" s="2"/>
      <c r="B119" s="1"/>
      <c r="C119" s="1"/>
      <c r="D119" s="1" t="s">
        <v>5060</v>
      </c>
      <c r="E119" s="1" t="s">
        <v>420</v>
      </c>
      <c r="F119" s="1"/>
      <c r="G119" s="1"/>
      <c r="H119" s="1"/>
      <c r="I119" s="1" t="s">
        <v>5061</v>
      </c>
      <c r="J119" s="1"/>
      <c r="K119" s="1"/>
      <c r="L119" s="1"/>
      <c r="M119" s="2"/>
      <c r="N119" s="1"/>
      <c r="O119" s="1"/>
      <c r="P119" s="1"/>
      <c r="Q119" s="1"/>
    </row>
    <row r="120" spans="1:17">
      <c r="A120" s="2"/>
      <c r="B120" s="1" t="s">
        <v>379</v>
      </c>
      <c r="C120" s="1" t="s">
        <v>380</v>
      </c>
      <c r="D120" s="1" t="s">
        <v>5062</v>
      </c>
      <c r="E120" s="1" t="s">
        <v>5063</v>
      </c>
      <c r="F120" s="1">
        <v>1</v>
      </c>
      <c r="G120" s="1">
        <v>1.72</v>
      </c>
      <c r="H120" s="1">
        <v>6</v>
      </c>
      <c r="J120" s="1" t="s">
        <v>103</v>
      </c>
      <c r="K120" s="1" t="s">
        <v>384</v>
      </c>
      <c r="L120" s="1">
        <v>13928624134</v>
      </c>
      <c r="M120" s="2" t="s">
        <v>385</v>
      </c>
      <c r="N120" s="1" t="s">
        <v>384</v>
      </c>
      <c r="O120" s="1" t="s">
        <v>385</v>
      </c>
      <c r="P120" s="1">
        <v>13928624134</v>
      </c>
      <c r="Q120" s="1" t="s">
        <v>386</v>
      </c>
    </row>
    <row r="121" spans="1:17">
      <c r="A121" s="2"/>
      <c r="B121" s="1"/>
      <c r="C121" s="1"/>
      <c r="D121" s="1" t="s">
        <v>5064</v>
      </c>
      <c r="E121" s="1" t="s">
        <v>5065</v>
      </c>
      <c r="F121" s="1"/>
      <c r="G121" s="1"/>
      <c r="H121" s="1"/>
      <c r="J121" s="1"/>
      <c r="K121" s="1"/>
      <c r="L121" s="1"/>
      <c r="M121" s="2"/>
      <c r="N121" s="1"/>
      <c r="O121" s="1"/>
      <c r="P121" s="1"/>
      <c r="Q121" s="1"/>
    </row>
    <row r="122" spans="1:17">
      <c r="A122" s="2"/>
      <c r="B122" s="1"/>
      <c r="C122" s="1"/>
      <c r="D122" s="1" t="s">
        <v>5066</v>
      </c>
      <c r="E122" s="1" t="s">
        <v>5067</v>
      </c>
      <c r="F122" s="1"/>
      <c r="G122" s="1"/>
      <c r="H122" s="1"/>
      <c r="I122" s="1" t="s">
        <v>5068</v>
      </c>
      <c r="J122" s="1"/>
      <c r="K122" s="1"/>
      <c r="L122" s="1"/>
      <c r="M122" s="2"/>
      <c r="N122" s="1"/>
      <c r="O122" s="1"/>
      <c r="P122" s="1"/>
      <c r="Q122" s="1"/>
    </row>
    <row r="123" spans="1:17">
      <c r="A123" s="2"/>
      <c r="B123" s="1" t="s">
        <v>388</v>
      </c>
      <c r="C123" s="1" t="s">
        <v>389</v>
      </c>
      <c r="D123" s="1" t="s">
        <v>5069</v>
      </c>
      <c r="E123" s="1" t="s">
        <v>625</v>
      </c>
      <c r="F123" s="1">
        <v>1</v>
      </c>
      <c r="G123" s="1">
        <v>1.72</v>
      </c>
      <c r="H123" s="1">
        <v>12</v>
      </c>
      <c r="J123" s="1" t="s">
        <v>40</v>
      </c>
      <c r="K123" s="1" t="s">
        <v>392</v>
      </c>
      <c r="L123" s="1">
        <v>18918016978</v>
      </c>
      <c r="M123" s="2" t="s">
        <v>393</v>
      </c>
      <c r="N123" s="1" t="s">
        <v>394</v>
      </c>
      <c r="O123" s="1" t="s">
        <v>395</v>
      </c>
      <c r="P123" s="1">
        <v>13917730987</v>
      </c>
      <c r="Q123" s="1" t="s">
        <v>396</v>
      </c>
    </row>
    <row r="124" spans="1:17">
      <c r="A124" s="2"/>
      <c r="B124" s="1"/>
      <c r="C124" s="1"/>
      <c r="D124" s="1" t="s">
        <v>5070</v>
      </c>
      <c r="E124" s="1" t="s">
        <v>625</v>
      </c>
      <c r="F124" s="1"/>
      <c r="G124" s="1"/>
      <c r="H124" s="1"/>
      <c r="J124" s="1"/>
      <c r="K124" s="1"/>
      <c r="L124" s="1"/>
      <c r="M124" s="2"/>
      <c r="N124" s="1"/>
      <c r="O124" s="1"/>
      <c r="P124" s="1"/>
      <c r="Q124" s="1"/>
    </row>
    <row r="125" spans="1:17">
      <c r="A125" s="2"/>
      <c r="B125" s="1"/>
      <c r="C125" s="1"/>
      <c r="D125" s="1" t="s">
        <v>5071</v>
      </c>
      <c r="E125" s="1" t="s">
        <v>625</v>
      </c>
      <c r="F125" s="1"/>
      <c r="G125" s="1"/>
      <c r="H125" s="1"/>
      <c r="J125" s="1"/>
      <c r="K125" s="1"/>
      <c r="L125" s="1"/>
      <c r="M125" s="2"/>
      <c r="N125" s="1"/>
      <c r="O125" s="1"/>
      <c r="P125" s="1"/>
      <c r="Q125" s="1"/>
    </row>
    <row r="126" spans="1:17">
      <c r="A126" s="2"/>
      <c r="B126" s="1"/>
      <c r="C126" s="1"/>
      <c r="D126" s="1" t="s">
        <v>5032</v>
      </c>
      <c r="E126" s="1" t="s">
        <v>625</v>
      </c>
      <c r="F126" s="1"/>
      <c r="G126" s="1"/>
      <c r="H126" s="1"/>
      <c r="J126" s="1"/>
      <c r="K126" s="1"/>
      <c r="L126" s="1"/>
      <c r="M126" s="2"/>
      <c r="N126" s="1"/>
      <c r="O126" s="1"/>
      <c r="P126" s="1"/>
      <c r="Q126" s="1"/>
    </row>
    <row r="127" spans="1:17">
      <c r="A127" s="2"/>
      <c r="B127" s="1"/>
      <c r="C127" s="1"/>
      <c r="D127" s="1" t="s">
        <v>5072</v>
      </c>
      <c r="E127" s="1" t="s">
        <v>625</v>
      </c>
      <c r="F127" s="1"/>
      <c r="G127" s="1"/>
      <c r="H127" s="1"/>
      <c r="J127" s="1"/>
      <c r="K127" s="1"/>
      <c r="L127" s="1"/>
      <c r="M127" s="2"/>
      <c r="N127" s="1"/>
      <c r="O127" s="1"/>
      <c r="P127" s="1"/>
      <c r="Q127" s="1"/>
    </row>
    <row r="128" spans="1:17">
      <c r="A128" s="2"/>
      <c r="B128" s="1" t="s">
        <v>398</v>
      </c>
      <c r="C128" s="1" t="s">
        <v>399</v>
      </c>
      <c r="D128" s="1" t="s">
        <v>5073</v>
      </c>
      <c r="E128" s="1" t="s">
        <v>5074</v>
      </c>
      <c r="F128" s="1">
        <v>1</v>
      </c>
      <c r="G128" s="1">
        <v>1.04</v>
      </c>
      <c r="H128" s="1">
        <v>3</v>
      </c>
      <c r="J128" s="1" t="s">
        <v>103</v>
      </c>
      <c r="K128" s="1" t="s">
        <v>403</v>
      </c>
      <c r="L128" s="1">
        <v>18022023303</v>
      </c>
      <c r="M128" s="2" t="s">
        <v>404</v>
      </c>
      <c r="N128" s="1" t="s">
        <v>403</v>
      </c>
      <c r="O128" s="1" t="s">
        <v>404</v>
      </c>
      <c r="P128" s="1">
        <v>18022023303</v>
      </c>
      <c r="Q128" s="1" t="s">
        <v>405</v>
      </c>
    </row>
    <row r="129" spans="1:17">
      <c r="A129" s="2"/>
      <c r="B129" s="1"/>
      <c r="C129" s="1"/>
      <c r="D129" s="1" t="s">
        <v>5075</v>
      </c>
      <c r="E129" s="1" t="s">
        <v>2069</v>
      </c>
      <c r="F129" s="1"/>
      <c r="G129" s="1"/>
      <c r="H129" s="1"/>
      <c r="J129" s="1"/>
      <c r="K129" s="1"/>
      <c r="L129" s="1"/>
      <c r="M129" s="2"/>
      <c r="N129" s="1"/>
      <c r="O129" s="1"/>
      <c r="P129" s="1"/>
      <c r="Q129" s="1"/>
    </row>
    <row r="130" spans="1:17">
      <c r="A130" s="2"/>
      <c r="B130" s="1" t="s">
        <v>407</v>
      </c>
      <c r="C130" s="1" t="s">
        <v>408</v>
      </c>
      <c r="D130" s="1" t="s">
        <v>5076</v>
      </c>
      <c r="E130" s="1" t="s">
        <v>5077</v>
      </c>
      <c r="F130" s="1">
        <v>1</v>
      </c>
      <c r="G130" s="1">
        <v>0.81</v>
      </c>
      <c r="H130" s="1">
        <v>2</v>
      </c>
      <c r="I130" s="1" t="s">
        <v>450</v>
      </c>
      <c r="J130" s="1" t="s">
        <v>29</v>
      </c>
      <c r="K130" s="1" t="s">
        <v>412</v>
      </c>
      <c r="L130" s="1">
        <v>13759876636</v>
      </c>
      <c r="M130" s="2" t="s">
        <v>413</v>
      </c>
      <c r="N130" s="1" t="s">
        <v>414</v>
      </c>
      <c r="O130" s="1" t="s">
        <v>413</v>
      </c>
      <c r="P130" s="1">
        <v>13759876636</v>
      </c>
      <c r="Q130" s="1" t="s">
        <v>415</v>
      </c>
    </row>
    <row r="131" spans="1:17">
      <c r="A131" s="2"/>
      <c r="B131" s="1"/>
      <c r="C131" s="1"/>
      <c r="D131" s="1" t="s">
        <v>5078</v>
      </c>
      <c r="E131" s="1" t="s">
        <v>449</v>
      </c>
      <c r="F131" s="1"/>
      <c r="G131" s="1"/>
      <c r="H131" s="1"/>
      <c r="I131" s="1" t="s">
        <v>4972</v>
      </c>
      <c r="J131" s="1"/>
      <c r="K131" s="1"/>
      <c r="L131" s="1"/>
      <c r="M131" s="2"/>
      <c r="N131" s="1"/>
      <c r="O131" s="1"/>
      <c r="P131" s="1"/>
      <c r="Q131" s="1"/>
    </row>
    <row r="132" spans="1:17">
      <c r="A132" s="2"/>
      <c r="B132" s="1" t="s">
        <v>417</v>
      </c>
      <c r="C132" s="1" t="s">
        <v>418</v>
      </c>
      <c r="D132" s="1" t="s">
        <v>5079</v>
      </c>
      <c r="E132" s="1" t="s">
        <v>420</v>
      </c>
      <c r="F132" s="1">
        <v>1</v>
      </c>
      <c r="G132" s="1">
        <v>1.26</v>
      </c>
      <c r="H132" s="1">
        <v>8</v>
      </c>
      <c r="J132" s="1" t="s">
        <v>29</v>
      </c>
      <c r="K132" s="1" t="s">
        <v>421</v>
      </c>
      <c r="L132" s="1">
        <v>13524155250</v>
      </c>
      <c r="M132" s="2" t="s">
        <v>422</v>
      </c>
      <c r="N132" s="1" t="s">
        <v>423</v>
      </c>
      <c r="O132" s="1" t="s">
        <v>422</v>
      </c>
      <c r="P132" s="1">
        <v>13524155250</v>
      </c>
      <c r="Q132" s="1" t="s">
        <v>424</v>
      </c>
    </row>
    <row r="133" spans="1:17">
      <c r="A133" s="2"/>
      <c r="B133" s="1" t="s">
        <v>426</v>
      </c>
      <c r="C133" s="1" t="s">
        <v>427</v>
      </c>
      <c r="D133" s="1" t="s">
        <v>5080</v>
      </c>
      <c r="E133" s="1" t="s">
        <v>420</v>
      </c>
      <c r="F133" s="1">
        <v>1</v>
      </c>
      <c r="G133" s="1">
        <v>0.81</v>
      </c>
      <c r="H133" s="1">
        <v>8</v>
      </c>
      <c r="J133" s="1" t="s">
        <v>29</v>
      </c>
      <c r="K133" s="1" t="s">
        <v>431</v>
      </c>
      <c r="L133" s="1">
        <v>18616197150</v>
      </c>
      <c r="M133" s="2" t="s">
        <v>432</v>
      </c>
      <c r="N133" s="1" t="s">
        <v>433</v>
      </c>
      <c r="O133" s="1" t="s">
        <v>432</v>
      </c>
      <c r="P133" s="1">
        <v>18616197150</v>
      </c>
      <c r="Q133" s="1" t="s">
        <v>434</v>
      </c>
    </row>
    <row r="134" spans="1:17">
      <c r="A134" s="2"/>
      <c r="B134" s="1"/>
      <c r="C134" s="1"/>
      <c r="D134" s="1" t="s">
        <v>5081</v>
      </c>
      <c r="E134" s="1" t="s">
        <v>420</v>
      </c>
      <c r="F134" s="1"/>
      <c r="G134" s="1"/>
      <c r="H134" s="1"/>
      <c r="J134" s="1"/>
      <c r="K134" s="1"/>
      <c r="L134" s="1"/>
      <c r="M134" s="2"/>
      <c r="N134" s="1"/>
      <c r="O134" s="1"/>
      <c r="P134" s="1"/>
      <c r="Q134" s="1"/>
    </row>
    <row r="135" spans="1:17">
      <c r="A135" s="2"/>
      <c r="B135" s="1"/>
      <c r="C135" s="1"/>
      <c r="D135" s="1" t="s">
        <v>5082</v>
      </c>
      <c r="E135" s="1" t="s">
        <v>420</v>
      </c>
      <c r="F135" s="1"/>
      <c r="G135" s="1"/>
      <c r="H135" s="1"/>
      <c r="J135" s="1"/>
      <c r="K135" s="1"/>
      <c r="L135" s="1"/>
      <c r="M135" s="2"/>
      <c r="N135" s="1"/>
      <c r="O135" s="1"/>
      <c r="P135" s="1"/>
      <c r="Q135" s="1"/>
    </row>
    <row r="136" spans="1:17">
      <c r="A136" s="2"/>
      <c r="B136" s="1"/>
      <c r="C136" s="1"/>
      <c r="D136" s="1" t="s">
        <v>5083</v>
      </c>
      <c r="E136" s="1" t="s">
        <v>420</v>
      </c>
      <c r="F136" s="1"/>
      <c r="G136" s="1"/>
      <c r="H136" s="1"/>
      <c r="J136" s="1"/>
      <c r="K136" s="1"/>
      <c r="L136" s="1"/>
      <c r="M136" s="2"/>
      <c r="N136" s="1"/>
      <c r="O136" s="1"/>
      <c r="P136" s="1"/>
      <c r="Q136" s="1"/>
    </row>
    <row r="137" spans="1:17">
      <c r="A137" s="2"/>
      <c r="B137" s="1" t="s">
        <v>436</v>
      </c>
      <c r="C137" s="1" t="s">
        <v>437</v>
      </c>
      <c r="D137" s="1" t="s">
        <v>5084</v>
      </c>
      <c r="E137" s="1" t="s">
        <v>625</v>
      </c>
      <c r="F137" s="1">
        <v>1</v>
      </c>
      <c r="G137" s="1">
        <v>1.26</v>
      </c>
      <c r="H137" s="1">
        <v>12</v>
      </c>
      <c r="I137" s="1" t="s">
        <v>4241</v>
      </c>
      <c r="J137" s="1" t="s">
        <v>40</v>
      </c>
      <c r="K137" s="1" t="s">
        <v>440</v>
      </c>
      <c r="L137" s="1">
        <v>15912146261</v>
      </c>
      <c r="M137" s="2" t="s">
        <v>441</v>
      </c>
      <c r="N137" s="1" t="s">
        <v>442</v>
      </c>
      <c r="O137" s="1" t="s">
        <v>443</v>
      </c>
      <c r="P137" s="1">
        <v>15287199133</v>
      </c>
      <c r="Q137" s="1" t="s">
        <v>444</v>
      </c>
    </row>
    <row r="138" spans="1:17">
      <c r="A138" s="2"/>
      <c r="B138" s="1"/>
      <c r="C138" s="1"/>
      <c r="D138" s="1" t="s">
        <v>5021</v>
      </c>
      <c r="E138" s="1" t="s">
        <v>625</v>
      </c>
      <c r="F138" s="1"/>
      <c r="G138" s="1"/>
      <c r="H138" s="1"/>
      <c r="I138" s="1" t="s">
        <v>4987</v>
      </c>
      <c r="J138" s="1"/>
      <c r="K138" s="1"/>
      <c r="L138" s="1"/>
      <c r="M138" s="2"/>
      <c r="N138" s="1"/>
      <c r="O138" s="1"/>
      <c r="P138" s="1"/>
      <c r="Q138" s="1"/>
    </row>
    <row r="139" spans="1:17">
      <c r="A139" s="2"/>
      <c r="B139" s="1"/>
      <c r="C139" s="1"/>
      <c r="D139" s="1" t="s">
        <v>5049</v>
      </c>
      <c r="E139" s="1" t="s">
        <v>625</v>
      </c>
      <c r="F139" s="1"/>
      <c r="G139" s="1"/>
      <c r="H139" s="1"/>
      <c r="I139" s="1" t="s">
        <v>5050</v>
      </c>
      <c r="J139" s="1"/>
      <c r="K139" s="1"/>
      <c r="L139" s="1"/>
      <c r="M139" s="2"/>
      <c r="N139" s="1"/>
      <c r="O139" s="1"/>
      <c r="P139" s="1"/>
      <c r="Q139" s="1"/>
    </row>
    <row r="140" spans="1:17">
      <c r="A140" s="2"/>
      <c r="B140" s="1"/>
      <c r="C140" s="1"/>
      <c r="D140" s="1" t="s">
        <v>5017</v>
      </c>
      <c r="E140" s="1" t="s">
        <v>625</v>
      </c>
      <c r="F140" s="1"/>
      <c r="G140" s="1"/>
      <c r="H140" s="1"/>
      <c r="I140" s="1" t="s">
        <v>4987</v>
      </c>
      <c r="J140" s="1"/>
      <c r="K140" s="1"/>
      <c r="L140" s="1"/>
      <c r="M140" s="2"/>
      <c r="N140" s="1"/>
      <c r="O140" s="1"/>
      <c r="P140" s="1"/>
      <c r="Q140" s="1"/>
    </row>
    <row r="141" spans="1:17">
      <c r="A141" s="2"/>
      <c r="B141" s="1" t="s">
        <v>446</v>
      </c>
      <c r="C141" s="1" t="s">
        <v>447</v>
      </c>
      <c r="D141" s="1" t="s">
        <v>5085</v>
      </c>
      <c r="E141" s="1" t="s">
        <v>449</v>
      </c>
      <c r="F141" s="1">
        <v>1</v>
      </c>
      <c r="G141" s="1">
        <v>0.35</v>
      </c>
      <c r="H141" s="1">
        <v>2</v>
      </c>
      <c r="I141" s="1" t="s">
        <v>450</v>
      </c>
      <c r="J141" s="1" t="s">
        <v>29</v>
      </c>
      <c r="K141" s="1" t="s">
        <v>451</v>
      </c>
      <c r="L141" s="1">
        <v>15503402393</v>
      </c>
      <c r="M141" s="2" t="s">
        <v>452</v>
      </c>
      <c r="N141" s="1" t="s">
        <v>451</v>
      </c>
      <c r="O141" s="1" t="s">
        <v>452</v>
      </c>
      <c r="P141" s="1">
        <v>15503402393</v>
      </c>
      <c r="Q141" s="1" t="s">
        <v>453</v>
      </c>
    </row>
    <row r="142" spans="1:17">
      <c r="A142" s="2"/>
      <c r="B142" s="1" t="s">
        <v>455</v>
      </c>
      <c r="C142" s="1" t="s">
        <v>456</v>
      </c>
      <c r="D142" s="1" t="s">
        <v>5041</v>
      </c>
      <c r="E142" s="1" t="s">
        <v>292</v>
      </c>
      <c r="F142" s="1">
        <v>1</v>
      </c>
      <c r="G142" s="1">
        <v>0.81</v>
      </c>
      <c r="H142" s="1">
        <v>1</v>
      </c>
      <c r="J142" s="1" t="s">
        <v>293</v>
      </c>
      <c r="K142" s="1" t="s">
        <v>457</v>
      </c>
      <c r="L142" s="1">
        <v>13580345567</v>
      </c>
      <c r="M142" s="2" t="s">
        <v>458</v>
      </c>
      <c r="N142" s="1" t="s">
        <v>459</v>
      </c>
      <c r="O142" s="1" t="s">
        <v>458</v>
      </c>
      <c r="P142" s="1">
        <v>13580345567</v>
      </c>
      <c r="Q142" s="1" t="s">
        <v>460</v>
      </c>
    </row>
    <row r="143" spans="1:17">
      <c r="A143" s="2"/>
      <c r="B143" s="1" t="s">
        <v>462</v>
      </c>
      <c r="C143" s="1" t="s">
        <v>463</v>
      </c>
      <c r="D143" s="1" t="s">
        <v>5086</v>
      </c>
      <c r="E143" s="1" t="s">
        <v>465</v>
      </c>
      <c r="F143" s="1">
        <v>1</v>
      </c>
      <c r="G143" s="1">
        <v>1.04</v>
      </c>
      <c r="H143" s="1">
        <v>1</v>
      </c>
      <c r="J143" s="1" t="s">
        <v>304</v>
      </c>
      <c r="K143" s="1" t="s">
        <v>466</v>
      </c>
      <c r="L143" s="1">
        <v>13981983850</v>
      </c>
      <c r="M143" s="2" t="s">
        <v>467</v>
      </c>
      <c r="N143" s="1" t="s">
        <v>468</v>
      </c>
      <c r="O143" s="1" t="s">
        <v>467</v>
      </c>
      <c r="P143" s="1">
        <v>13981983850</v>
      </c>
      <c r="Q143" s="1" t="s">
        <v>469</v>
      </c>
    </row>
    <row r="144" spans="1:17">
      <c r="A144" s="2"/>
      <c r="B144" s="1" t="s">
        <v>471</v>
      </c>
      <c r="C144" s="1" t="s">
        <v>472</v>
      </c>
      <c r="D144" s="1" t="s">
        <v>5087</v>
      </c>
      <c r="E144" s="1" t="s">
        <v>2069</v>
      </c>
      <c r="F144" s="1">
        <v>1</v>
      </c>
      <c r="G144" s="1">
        <v>0.35</v>
      </c>
      <c r="H144" s="1">
        <v>3</v>
      </c>
      <c r="J144" s="1" t="s">
        <v>103</v>
      </c>
      <c r="K144" s="1" t="s">
        <v>475</v>
      </c>
      <c r="L144" s="1">
        <v>13922733066</v>
      </c>
      <c r="M144" s="2" t="s">
        <v>476</v>
      </c>
      <c r="N144" s="1" t="s">
        <v>475</v>
      </c>
      <c r="O144" s="1" t="s">
        <v>476</v>
      </c>
      <c r="P144" s="1">
        <v>13922733066</v>
      </c>
      <c r="Q144" s="1" t="s">
        <v>477</v>
      </c>
    </row>
    <row r="145" spans="1:17">
      <c r="A145" s="2"/>
      <c r="B145" s="1"/>
      <c r="C145" s="1"/>
      <c r="D145" s="1" t="s">
        <v>5060</v>
      </c>
      <c r="E145" s="1" t="s">
        <v>5088</v>
      </c>
      <c r="F145" s="1"/>
      <c r="G145" s="1"/>
      <c r="H145" s="1"/>
      <c r="J145" s="1"/>
      <c r="K145" s="1"/>
      <c r="L145" s="1"/>
      <c r="M145" s="2"/>
      <c r="N145" s="1"/>
      <c r="O145" s="1"/>
      <c r="P145" s="1"/>
      <c r="Q145" s="1"/>
    </row>
    <row r="146" spans="1:17">
      <c r="A146" s="2"/>
      <c r="B146" s="1" t="s">
        <v>479</v>
      </c>
      <c r="C146" s="1" t="s">
        <v>480</v>
      </c>
      <c r="D146" s="1" t="s">
        <v>5089</v>
      </c>
      <c r="E146" s="1" t="s">
        <v>2920</v>
      </c>
      <c r="F146" s="1">
        <v>1</v>
      </c>
      <c r="G146" s="1">
        <v>0.35</v>
      </c>
      <c r="H146" s="1">
        <v>2</v>
      </c>
      <c r="J146" s="1" t="s">
        <v>103</v>
      </c>
      <c r="K146" s="1" t="s">
        <v>483</v>
      </c>
      <c r="L146" s="1">
        <v>18696745567</v>
      </c>
      <c r="M146" s="2" t="s">
        <v>484</v>
      </c>
      <c r="N146" s="1" t="s">
        <v>483</v>
      </c>
      <c r="O146" s="1" t="s">
        <v>484</v>
      </c>
      <c r="P146" s="1">
        <v>18696745567</v>
      </c>
      <c r="Q146" s="1" t="s">
        <v>485</v>
      </c>
    </row>
    <row r="147" spans="1:17">
      <c r="A147" s="2"/>
      <c r="B147" s="1"/>
      <c r="C147" s="1"/>
      <c r="D147" s="1" t="s">
        <v>4977</v>
      </c>
      <c r="E147" s="1" t="s">
        <v>2920</v>
      </c>
      <c r="F147" s="1"/>
      <c r="G147" s="1"/>
      <c r="H147" s="1"/>
      <c r="J147" s="1"/>
      <c r="K147" s="1"/>
      <c r="L147" s="1"/>
      <c r="M147" s="2"/>
      <c r="N147" s="1"/>
      <c r="O147" s="1"/>
      <c r="P147" s="1"/>
      <c r="Q147" s="1"/>
    </row>
    <row r="148" spans="1:17">
      <c r="A148" s="2"/>
      <c r="B148" s="1" t="s">
        <v>487</v>
      </c>
      <c r="C148" s="1" t="s">
        <v>488</v>
      </c>
      <c r="D148" s="1" t="s">
        <v>5090</v>
      </c>
      <c r="E148" s="1" t="s">
        <v>2920</v>
      </c>
      <c r="F148" s="1">
        <v>1</v>
      </c>
      <c r="G148" s="1">
        <v>1.26</v>
      </c>
      <c r="H148" s="1">
        <v>2</v>
      </c>
      <c r="J148" s="1" t="s">
        <v>293</v>
      </c>
      <c r="K148" s="1" t="s">
        <v>490</v>
      </c>
      <c r="L148" s="1">
        <v>15923288889</v>
      </c>
      <c r="M148" s="2" t="s">
        <v>491</v>
      </c>
      <c r="N148" s="1" t="s">
        <v>490</v>
      </c>
      <c r="O148" s="1" t="s">
        <v>491</v>
      </c>
      <c r="P148" s="1">
        <v>15923288889</v>
      </c>
      <c r="Q148" s="1" t="s">
        <v>492</v>
      </c>
    </row>
    <row r="149" spans="1:17">
      <c r="A149" s="2"/>
      <c r="B149" s="1"/>
      <c r="C149" s="1"/>
      <c r="D149" s="1" t="s">
        <v>5091</v>
      </c>
      <c r="E149" s="1" t="s">
        <v>2920</v>
      </c>
      <c r="F149" s="1"/>
      <c r="G149" s="1"/>
      <c r="H149" s="1"/>
      <c r="J149" s="1"/>
      <c r="K149" s="1"/>
      <c r="L149" s="1"/>
      <c r="M149" s="2"/>
      <c r="N149" s="1"/>
      <c r="O149" s="1"/>
      <c r="P149" s="1"/>
      <c r="Q149" s="1"/>
    </row>
    <row r="150" spans="1:17">
      <c r="A150" s="2"/>
      <c r="B150" s="1" t="s">
        <v>494</v>
      </c>
      <c r="C150" s="1" t="s">
        <v>495</v>
      </c>
      <c r="D150" s="1" t="s">
        <v>5075</v>
      </c>
      <c r="E150" s="1" t="s">
        <v>2920</v>
      </c>
      <c r="F150" s="1">
        <v>1</v>
      </c>
      <c r="G150" s="1">
        <v>1.04</v>
      </c>
      <c r="H150" s="1">
        <v>5</v>
      </c>
      <c r="J150" s="1" t="s">
        <v>103</v>
      </c>
      <c r="K150" s="1" t="s">
        <v>497</v>
      </c>
      <c r="L150" s="1">
        <v>13787106733</v>
      </c>
      <c r="M150" s="2" t="s">
        <v>498</v>
      </c>
      <c r="N150" s="1" t="s">
        <v>499</v>
      </c>
      <c r="O150" s="1" t="s">
        <v>500</v>
      </c>
      <c r="P150" s="1">
        <v>15116220816</v>
      </c>
      <c r="Q150" s="1" t="s">
        <v>501</v>
      </c>
    </row>
    <row r="151" spans="1:17">
      <c r="A151" s="2"/>
      <c r="B151" s="1"/>
      <c r="C151" s="1"/>
      <c r="D151" s="1" t="s">
        <v>5092</v>
      </c>
      <c r="E151" s="1" t="s">
        <v>2920</v>
      </c>
      <c r="F151" s="1"/>
      <c r="G151" s="1"/>
      <c r="H151" s="1"/>
      <c r="J151" s="1"/>
      <c r="K151" s="1"/>
      <c r="L151" s="1"/>
      <c r="M151" s="2"/>
      <c r="N151" s="1"/>
      <c r="O151" s="1"/>
      <c r="P151" s="1"/>
      <c r="Q151" s="1"/>
    </row>
    <row r="152" spans="1:17">
      <c r="A152" s="2"/>
      <c r="B152" s="1" t="s">
        <v>503</v>
      </c>
      <c r="C152" s="1" t="s">
        <v>504</v>
      </c>
      <c r="D152" s="1" t="s">
        <v>5041</v>
      </c>
      <c r="E152" s="1" t="s">
        <v>292</v>
      </c>
      <c r="F152" s="1">
        <v>1</v>
      </c>
      <c r="G152" s="1">
        <v>0.81</v>
      </c>
      <c r="H152" s="1">
        <v>1</v>
      </c>
      <c r="J152" s="1" t="s">
        <v>293</v>
      </c>
      <c r="K152" s="1" t="s">
        <v>505</v>
      </c>
      <c r="L152" s="1">
        <v>13898859089</v>
      </c>
      <c r="M152" s="2" t="s">
        <v>506</v>
      </c>
      <c r="N152" s="1" t="s">
        <v>505</v>
      </c>
      <c r="O152" s="1" t="s">
        <v>506</v>
      </c>
      <c r="P152" s="1">
        <v>13898859000</v>
      </c>
      <c r="Q152" s="1" t="s">
        <v>507</v>
      </c>
    </row>
    <row r="153" spans="1:17">
      <c r="A153" s="2"/>
      <c r="B153" s="1" t="s">
        <v>509</v>
      </c>
      <c r="C153" s="1" t="s">
        <v>510</v>
      </c>
      <c r="D153" s="1" t="s">
        <v>5041</v>
      </c>
      <c r="E153" s="1" t="s">
        <v>292</v>
      </c>
      <c r="F153" s="1">
        <v>1</v>
      </c>
      <c r="G153" s="1">
        <v>0.81</v>
      </c>
      <c r="H153" s="1">
        <v>1</v>
      </c>
      <c r="J153" s="1" t="s">
        <v>293</v>
      </c>
      <c r="K153" s="1" t="s">
        <v>511</v>
      </c>
      <c r="L153" s="1">
        <v>13980354424</v>
      </c>
      <c r="M153" s="2" t="s">
        <v>512</v>
      </c>
      <c r="N153" s="1" t="s">
        <v>513</v>
      </c>
      <c r="O153" s="1" t="s">
        <v>512</v>
      </c>
      <c r="P153" s="1">
        <v>13980354424</v>
      </c>
      <c r="Q153" s="1" t="s">
        <v>514</v>
      </c>
    </row>
    <row r="154" spans="1:17">
      <c r="A154" s="2"/>
      <c r="B154" s="1" t="s">
        <v>516</v>
      </c>
      <c r="C154" s="1" t="s">
        <v>517</v>
      </c>
      <c r="D154" s="1" t="s">
        <v>5041</v>
      </c>
      <c r="E154" s="1" t="s">
        <v>292</v>
      </c>
      <c r="F154" s="1">
        <v>1</v>
      </c>
      <c r="G154" s="1">
        <v>1.04</v>
      </c>
      <c r="H154" s="1">
        <v>1</v>
      </c>
      <c r="J154" s="1" t="s">
        <v>293</v>
      </c>
      <c r="K154" s="1" t="s">
        <v>505</v>
      </c>
      <c r="L154" s="1">
        <v>13898859089</v>
      </c>
      <c r="M154" s="2" t="s">
        <v>518</v>
      </c>
      <c r="N154" s="1" t="s">
        <v>519</v>
      </c>
      <c r="O154" s="1" t="s">
        <v>518</v>
      </c>
      <c r="P154" s="1">
        <v>13898859089</v>
      </c>
      <c r="Q154" s="1" t="s">
        <v>520</v>
      </c>
    </row>
    <row r="155" spans="1:17">
      <c r="A155" s="2"/>
      <c r="B155" s="1" t="s">
        <v>522</v>
      </c>
      <c r="C155" s="1" t="s">
        <v>523</v>
      </c>
      <c r="D155" s="1" t="s">
        <v>5093</v>
      </c>
      <c r="E155" s="1" t="s">
        <v>5094</v>
      </c>
      <c r="F155" s="1">
        <v>1</v>
      </c>
      <c r="G155" s="1">
        <v>0.81</v>
      </c>
      <c r="H155" s="1">
        <v>2</v>
      </c>
      <c r="J155" s="1" t="s">
        <v>293</v>
      </c>
      <c r="K155" s="1" t="s">
        <v>526</v>
      </c>
      <c r="L155" s="1">
        <v>18398540231</v>
      </c>
      <c r="M155" s="2" t="s">
        <v>527</v>
      </c>
      <c r="N155" s="1" t="s">
        <v>528</v>
      </c>
      <c r="O155" s="1" t="s">
        <v>527</v>
      </c>
      <c r="P155" s="1">
        <v>18398540231</v>
      </c>
      <c r="Q155" s="1" t="s">
        <v>529</v>
      </c>
    </row>
    <row r="156" spans="1:17">
      <c r="A156" s="2"/>
      <c r="B156" s="1"/>
      <c r="C156" s="1"/>
      <c r="D156" s="1" t="s">
        <v>5095</v>
      </c>
      <c r="E156" s="1" t="s">
        <v>5077</v>
      </c>
      <c r="F156" s="1"/>
      <c r="G156" s="1"/>
      <c r="H156" s="1"/>
      <c r="J156" s="1"/>
      <c r="K156" s="1"/>
      <c r="L156" s="1"/>
      <c r="M156" s="2"/>
      <c r="N156" s="1"/>
      <c r="O156" s="1"/>
      <c r="P156" s="1"/>
      <c r="Q156" s="1"/>
    </row>
    <row r="157" spans="1:17">
      <c r="A157" s="2"/>
      <c r="B157" s="1" t="s">
        <v>531</v>
      </c>
      <c r="C157" s="1" t="s">
        <v>532</v>
      </c>
      <c r="D157" s="1" t="s">
        <v>5096</v>
      </c>
      <c r="E157" s="1" t="s">
        <v>625</v>
      </c>
      <c r="F157" s="1">
        <v>1</v>
      </c>
      <c r="G157" s="1">
        <v>1.49</v>
      </c>
      <c r="H157" s="1">
        <v>15</v>
      </c>
      <c r="J157" s="1" t="s">
        <v>40</v>
      </c>
      <c r="K157" s="1" t="s">
        <v>535</v>
      </c>
      <c r="L157" s="1">
        <v>18735571147</v>
      </c>
      <c r="M157" s="2" t="s">
        <v>536</v>
      </c>
      <c r="N157" s="1" t="s">
        <v>535</v>
      </c>
      <c r="O157" s="1" t="s">
        <v>536</v>
      </c>
      <c r="P157" s="1">
        <v>18735571147</v>
      </c>
      <c r="Q157" s="1" t="s">
        <v>537</v>
      </c>
    </row>
    <row r="158" spans="1:17">
      <c r="A158" s="2"/>
      <c r="B158" s="1"/>
      <c r="C158" s="1"/>
      <c r="D158" s="1" t="s">
        <v>5097</v>
      </c>
      <c r="E158" s="1" t="s">
        <v>625</v>
      </c>
      <c r="F158" s="1"/>
      <c r="G158" s="1"/>
      <c r="H158" s="1"/>
      <c r="I158" s="1" t="s">
        <v>5055</v>
      </c>
      <c r="J158" s="1"/>
      <c r="K158" s="1"/>
      <c r="L158" s="1"/>
      <c r="M158" s="2"/>
      <c r="N158" s="1"/>
      <c r="O158" s="1"/>
      <c r="P158" s="1"/>
      <c r="Q158" s="1"/>
    </row>
    <row r="159" spans="1:17">
      <c r="A159" s="2"/>
      <c r="B159" s="1" t="s">
        <v>539</v>
      </c>
      <c r="C159" s="1" t="s">
        <v>540</v>
      </c>
      <c r="D159" s="1" t="s">
        <v>5029</v>
      </c>
      <c r="E159" s="1" t="s">
        <v>625</v>
      </c>
      <c r="F159" s="1">
        <v>1</v>
      </c>
      <c r="G159" s="1">
        <v>1.26</v>
      </c>
      <c r="H159" s="1">
        <v>12</v>
      </c>
      <c r="I159" s="1" t="s">
        <v>4987</v>
      </c>
      <c r="J159" s="1" t="s">
        <v>40</v>
      </c>
      <c r="K159" s="1" t="s">
        <v>543</v>
      </c>
      <c r="L159" s="1">
        <v>13736950166</v>
      </c>
      <c r="M159" s="2" t="s">
        <v>544</v>
      </c>
      <c r="N159" s="1" t="s">
        <v>543</v>
      </c>
      <c r="O159" s="1" t="s">
        <v>544</v>
      </c>
      <c r="P159" s="1">
        <v>13736950166</v>
      </c>
      <c r="Q159" s="1" t="s">
        <v>545</v>
      </c>
    </row>
    <row r="160" spans="1:17">
      <c r="A160" s="2"/>
      <c r="B160" s="1"/>
      <c r="C160" s="1"/>
      <c r="D160" s="1" t="s">
        <v>5098</v>
      </c>
      <c r="E160" s="1" t="s">
        <v>625</v>
      </c>
      <c r="F160" s="1"/>
      <c r="G160" s="1"/>
      <c r="H160" s="1"/>
      <c r="I160" s="1" t="s">
        <v>4983</v>
      </c>
      <c r="J160" s="1"/>
      <c r="K160" s="1"/>
      <c r="L160" s="1"/>
      <c r="M160" s="2"/>
      <c r="N160" s="1"/>
      <c r="O160" s="1"/>
      <c r="P160" s="1"/>
      <c r="Q160" s="1"/>
    </row>
    <row r="161" spans="1:17">
      <c r="A161" s="2"/>
      <c r="B161" s="1"/>
      <c r="C161" s="1"/>
      <c r="D161" s="1" t="s">
        <v>5099</v>
      </c>
      <c r="E161" s="1" t="s">
        <v>625</v>
      </c>
      <c r="F161" s="1"/>
      <c r="G161" s="1"/>
      <c r="H161" s="1"/>
      <c r="I161" s="1" t="s">
        <v>4987</v>
      </c>
      <c r="J161" s="1"/>
      <c r="K161" s="1"/>
      <c r="L161" s="1"/>
      <c r="M161" s="2"/>
      <c r="N161" s="1"/>
      <c r="O161" s="1"/>
      <c r="P161" s="1"/>
      <c r="Q161" s="1"/>
    </row>
    <row r="162" spans="1:17">
      <c r="A162" s="2"/>
      <c r="B162" s="1"/>
      <c r="C162" s="1"/>
      <c r="D162" s="1" t="s">
        <v>5084</v>
      </c>
      <c r="E162" s="1" t="s">
        <v>625</v>
      </c>
      <c r="F162" s="1"/>
      <c r="G162" s="1"/>
      <c r="H162" s="1"/>
      <c r="I162" s="1" t="s">
        <v>4241</v>
      </c>
      <c r="J162" s="1"/>
      <c r="K162" s="1"/>
      <c r="L162" s="1"/>
      <c r="M162" s="2"/>
      <c r="N162" s="1"/>
      <c r="O162" s="1"/>
      <c r="P162" s="1"/>
      <c r="Q162" s="1"/>
    </row>
    <row r="163" spans="1:17">
      <c r="A163" s="2"/>
      <c r="B163" s="1"/>
      <c r="C163" s="1"/>
      <c r="D163" s="1" t="s">
        <v>5100</v>
      </c>
      <c r="E163" s="1" t="s">
        <v>625</v>
      </c>
      <c r="F163" s="1"/>
      <c r="G163" s="1"/>
      <c r="H163" s="1"/>
      <c r="I163" s="1" t="s">
        <v>5101</v>
      </c>
      <c r="J163" s="1"/>
      <c r="K163" s="1"/>
      <c r="L163" s="1"/>
      <c r="M163" s="2"/>
      <c r="N163" s="1"/>
      <c r="O163" s="1"/>
      <c r="P163" s="1"/>
      <c r="Q163" s="1"/>
    </row>
    <row r="164" spans="1:17">
      <c r="A164" s="2"/>
      <c r="B164" s="1" t="s">
        <v>547</v>
      </c>
      <c r="C164" s="1" t="s">
        <v>548</v>
      </c>
      <c r="D164" s="1" t="s">
        <v>5102</v>
      </c>
      <c r="E164" s="1" t="s">
        <v>625</v>
      </c>
      <c r="F164" s="1">
        <v>1</v>
      </c>
      <c r="G164" s="1">
        <v>1.26</v>
      </c>
      <c r="H164" s="1">
        <v>8</v>
      </c>
      <c r="I164" s="1" t="s">
        <v>4985</v>
      </c>
      <c r="J164" s="1" t="s">
        <v>40</v>
      </c>
      <c r="K164" s="1" t="s">
        <v>551</v>
      </c>
      <c r="L164" s="1">
        <v>15932748608</v>
      </c>
      <c r="M164" s="2" t="s">
        <v>552</v>
      </c>
      <c r="N164" s="1" t="s">
        <v>553</v>
      </c>
      <c r="O164" s="1" t="s">
        <v>554</v>
      </c>
      <c r="P164" s="1">
        <v>13932714630</v>
      </c>
      <c r="Q164" s="1" t="s">
        <v>555</v>
      </c>
    </row>
    <row r="165" spans="1:17">
      <c r="A165" s="2"/>
      <c r="B165" s="1"/>
      <c r="C165" s="1"/>
      <c r="D165" s="1" t="s">
        <v>5020</v>
      </c>
      <c r="E165" s="1" t="s">
        <v>625</v>
      </c>
      <c r="F165" s="1"/>
      <c r="G165" s="1"/>
      <c r="H165" s="1"/>
      <c r="I165" s="1" t="s">
        <v>4985</v>
      </c>
      <c r="J165" s="1"/>
      <c r="K165" s="1"/>
      <c r="L165" s="1"/>
      <c r="M165" s="2"/>
      <c r="N165" s="1"/>
      <c r="O165" s="1"/>
      <c r="P165" s="1"/>
      <c r="Q165" s="1"/>
    </row>
    <row r="166" spans="1:17">
      <c r="A166" s="2"/>
      <c r="B166" s="1"/>
      <c r="C166" s="1"/>
      <c r="D166" s="1" t="s">
        <v>5103</v>
      </c>
      <c r="E166" s="1" t="s">
        <v>625</v>
      </c>
      <c r="F166" s="1"/>
      <c r="G166" s="1"/>
      <c r="H166" s="1"/>
      <c r="I166" s="1" t="s">
        <v>4987</v>
      </c>
      <c r="J166" s="1"/>
      <c r="K166" s="1"/>
      <c r="L166" s="1"/>
      <c r="M166" s="2"/>
      <c r="N166" s="1"/>
      <c r="O166" s="1"/>
      <c r="P166" s="1"/>
      <c r="Q166" s="1"/>
    </row>
    <row r="167" spans="1:17">
      <c r="A167" s="2"/>
      <c r="B167" s="1" t="s">
        <v>557</v>
      </c>
      <c r="C167" s="1" t="s">
        <v>558</v>
      </c>
      <c r="D167" s="1" t="s">
        <v>5104</v>
      </c>
      <c r="E167" s="1" t="s">
        <v>420</v>
      </c>
      <c r="F167" s="1">
        <v>1</v>
      </c>
      <c r="G167" s="1">
        <v>1.49</v>
      </c>
      <c r="H167" s="1">
        <v>6</v>
      </c>
      <c r="I167" s="1" t="s">
        <v>5105</v>
      </c>
      <c r="J167" s="1" t="s">
        <v>40</v>
      </c>
      <c r="K167" s="1" t="s">
        <v>562</v>
      </c>
      <c r="L167" s="1">
        <v>13760676033</v>
      </c>
      <c r="M167" s="2" t="s">
        <v>563</v>
      </c>
      <c r="N167" s="1" t="s">
        <v>564</v>
      </c>
      <c r="O167" s="1" t="s">
        <v>565</v>
      </c>
      <c r="P167" s="1">
        <v>13450889944</v>
      </c>
      <c r="Q167" s="1" t="s">
        <v>566</v>
      </c>
    </row>
    <row r="168" spans="1:17">
      <c r="A168" s="2"/>
      <c r="B168" s="1"/>
      <c r="C168" s="1"/>
      <c r="D168" s="1" t="s">
        <v>5106</v>
      </c>
      <c r="E168" s="1" t="s">
        <v>420</v>
      </c>
      <c r="F168" s="1"/>
      <c r="G168" s="1"/>
      <c r="H168" s="1"/>
      <c r="I168" s="1" t="s">
        <v>5107</v>
      </c>
      <c r="J168" s="1"/>
      <c r="K168" s="1"/>
      <c r="L168" s="1"/>
      <c r="M168" s="2"/>
      <c r="N168" s="1"/>
      <c r="O168" s="1"/>
      <c r="P168" s="1"/>
      <c r="Q168" s="1"/>
    </row>
    <row r="169" spans="1:17">
      <c r="A169" s="2"/>
      <c r="B169" s="1"/>
      <c r="C169" s="1"/>
      <c r="D169" s="1" t="s">
        <v>5108</v>
      </c>
      <c r="E169" s="1" t="s">
        <v>420</v>
      </c>
      <c r="F169" s="1"/>
      <c r="G169" s="1"/>
      <c r="H169" s="1"/>
      <c r="I169" s="1" t="s">
        <v>164</v>
      </c>
      <c r="J169" s="1"/>
      <c r="K169" s="1"/>
      <c r="L169" s="1"/>
      <c r="M169" s="2"/>
      <c r="N169" s="1"/>
      <c r="O169" s="1"/>
      <c r="P169" s="1"/>
      <c r="Q169" s="1"/>
    </row>
    <row r="170" spans="1:17">
      <c r="A170" s="2"/>
      <c r="B170" s="1"/>
      <c r="C170" s="1"/>
      <c r="D170" s="1" t="s">
        <v>5109</v>
      </c>
      <c r="E170" s="1" t="s">
        <v>420</v>
      </c>
      <c r="F170" s="1"/>
      <c r="G170" s="1"/>
      <c r="H170" s="1"/>
      <c r="I170" s="1" t="s">
        <v>4995</v>
      </c>
      <c r="J170" s="1"/>
      <c r="K170" s="1"/>
      <c r="L170" s="1"/>
      <c r="M170" s="2"/>
      <c r="N170" s="1"/>
      <c r="O170" s="1"/>
      <c r="P170" s="1"/>
      <c r="Q170" s="1"/>
    </row>
    <row r="171" spans="1:17">
      <c r="A171" s="2"/>
      <c r="B171" s="1"/>
      <c r="C171" s="1"/>
      <c r="D171" s="1" t="s">
        <v>5109</v>
      </c>
      <c r="E171" s="1" t="s">
        <v>420</v>
      </c>
      <c r="F171" s="1"/>
      <c r="G171" s="1"/>
      <c r="H171" s="1"/>
      <c r="I171" s="1" t="s">
        <v>164</v>
      </c>
      <c r="J171" s="1"/>
      <c r="K171" s="1"/>
      <c r="L171" s="1"/>
      <c r="M171" s="2"/>
      <c r="N171" s="1"/>
      <c r="O171" s="1"/>
      <c r="P171" s="1"/>
      <c r="Q171" s="1"/>
    </row>
    <row r="172" spans="1:17">
      <c r="A172" s="2"/>
      <c r="B172" s="1"/>
      <c r="C172" s="1"/>
      <c r="D172" s="1" t="s">
        <v>5110</v>
      </c>
      <c r="E172" s="1" t="s">
        <v>420</v>
      </c>
      <c r="F172" s="1"/>
      <c r="G172" s="1"/>
      <c r="H172" s="1"/>
      <c r="I172" s="1" t="s">
        <v>164</v>
      </c>
      <c r="J172" s="1"/>
      <c r="K172" s="1"/>
      <c r="L172" s="1"/>
      <c r="M172" s="2"/>
      <c r="N172" s="1"/>
      <c r="O172" s="1"/>
      <c r="P172" s="1"/>
      <c r="Q172" s="1"/>
    </row>
    <row r="173" spans="1:17">
      <c r="A173" s="2"/>
      <c r="B173" s="1" t="s">
        <v>568</v>
      </c>
      <c r="C173" s="1" t="s">
        <v>569</v>
      </c>
      <c r="D173" s="1" t="s">
        <v>5085</v>
      </c>
      <c r="E173" s="1" t="s">
        <v>1210</v>
      </c>
      <c r="F173" s="1">
        <v>1</v>
      </c>
      <c r="G173" s="1">
        <v>1.04</v>
      </c>
      <c r="H173" s="1">
        <v>3</v>
      </c>
      <c r="I173" s="1" t="s">
        <v>5111</v>
      </c>
      <c r="J173" s="1" t="s">
        <v>29</v>
      </c>
      <c r="K173" s="1" t="s">
        <v>573</v>
      </c>
      <c r="L173" s="1">
        <v>15026709535</v>
      </c>
      <c r="M173" s="2" t="s">
        <v>574</v>
      </c>
      <c r="N173" s="1" t="s">
        <v>575</v>
      </c>
      <c r="O173" s="1" t="s">
        <v>574</v>
      </c>
      <c r="P173" s="1">
        <v>15026709535</v>
      </c>
      <c r="Q173" s="1" t="s">
        <v>576</v>
      </c>
    </row>
    <row r="174" spans="1:17">
      <c r="A174" s="2"/>
      <c r="B174" s="1"/>
      <c r="C174" s="1"/>
      <c r="D174" s="1" t="s">
        <v>5112</v>
      </c>
      <c r="E174" s="1" t="s">
        <v>449</v>
      </c>
      <c r="F174" s="1"/>
      <c r="G174" s="1"/>
      <c r="H174" s="1"/>
      <c r="I174" s="1" t="s">
        <v>1132</v>
      </c>
      <c r="J174" s="1"/>
      <c r="K174" s="1"/>
      <c r="L174" s="1"/>
      <c r="M174" s="2"/>
      <c r="N174" s="1"/>
      <c r="O174" s="1"/>
      <c r="P174" s="1"/>
      <c r="Q174" s="1"/>
    </row>
    <row r="175" spans="1:17">
      <c r="A175" s="1"/>
      <c r="B175" s="1" t="s">
        <v>578</v>
      </c>
      <c r="C175" s="1" t="s">
        <v>579</v>
      </c>
      <c r="D175" s="1" t="s">
        <v>5039</v>
      </c>
      <c r="E175" s="1" t="s">
        <v>625</v>
      </c>
      <c r="F175" s="1">
        <v>1</v>
      </c>
      <c r="G175" s="1">
        <v>1.95</v>
      </c>
      <c r="H175" s="1">
        <v>12</v>
      </c>
      <c r="I175" s="1" t="s">
        <v>4987</v>
      </c>
      <c r="J175" s="1" t="s">
        <v>40</v>
      </c>
      <c r="K175" s="1" t="s">
        <v>582</v>
      </c>
      <c r="L175" s="1">
        <v>18123574965</v>
      </c>
      <c r="M175" s="2" t="s">
        <v>583</v>
      </c>
      <c r="N175" s="1" t="s">
        <v>582</v>
      </c>
      <c r="O175" s="1" t="s">
        <v>583</v>
      </c>
      <c r="P175" s="1">
        <v>18123574965</v>
      </c>
      <c r="Q175" s="1" t="s">
        <v>584</v>
      </c>
    </row>
    <row r="176" spans="1:17">
      <c r="A176" s="1"/>
      <c r="B176" s="1"/>
      <c r="C176" s="1"/>
      <c r="D176" s="1" t="s">
        <v>5113</v>
      </c>
      <c r="E176" s="1" t="s">
        <v>625</v>
      </c>
      <c r="F176" s="1"/>
      <c r="G176" s="1"/>
      <c r="H176" s="1"/>
      <c r="I176" s="1" t="s">
        <v>4985</v>
      </c>
      <c r="J176" s="1"/>
      <c r="K176" s="1"/>
      <c r="L176" s="1"/>
      <c r="M176" s="2"/>
      <c r="N176" s="1"/>
      <c r="O176" s="1"/>
      <c r="P176" s="1"/>
      <c r="Q176" s="1"/>
    </row>
    <row r="177" spans="1:17">
      <c r="A177" s="1"/>
      <c r="B177" s="1"/>
      <c r="C177" s="1"/>
      <c r="D177" s="1" t="s">
        <v>5114</v>
      </c>
      <c r="E177" s="1" t="s">
        <v>625</v>
      </c>
      <c r="F177" s="1"/>
      <c r="G177" s="1"/>
      <c r="H177" s="1"/>
      <c r="I177" s="1" t="s">
        <v>4985</v>
      </c>
      <c r="J177" s="1"/>
      <c r="K177" s="1"/>
      <c r="L177" s="1"/>
      <c r="M177" s="1"/>
      <c r="N177" s="1"/>
      <c r="O177" s="1"/>
      <c r="P177" s="1"/>
      <c r="Q177" s="1"/>
    </row>
    <row r="178" spans="1:17">
      <c r="A178" s="1"/>
      <c r="B178" s="1"/>
      <c r="C178" s="1"/>
      <c r="D178" s="1" t="s">
        <v>5036</v>
      </c>
      <c r="E178" s="1" t="s">
        <v>625</v>
      </c>
      <c r="F178" s="1"/>
      <c r="G178" s="1"/>
      <c r="H178" s="1"/>
      <c r="I178" s="1" t="s">
        <v>4983</v>
      </c>
      <c r="J178" s="1"/>
      <c r="K178" s="1"/>
      <c r="L178" s="1"/>
      <c r="M178" s="1"/>
      <c r="N178" s="1"/>
      <c r="O178" s="1"/>
      <c r="P178" s="1"/>
      <c r="Q178" s="1"/>
    </row>
    <row r="179" spans="1:17">
      <c r="A179" s="1"/>
      <c r="B179" s="1" t="s">
        <v>586</v>
      </c>
      <c r="C179" s="1" t="s">
        <v>587</v>
      </c>
      <c r="D179" s="1" t="s">
        <v>5115</v>
      </c>
      <c r="E179" s="1" t="s">
        <v>420</v>
      </c>
      <c r="F179" s="1">
        <v>1</v>
      </c>
      <c r="G179" s="1">
        <v>1.04</v>
      </c>
      <c r="H179" s="1">
        <v>10</v>
      </c>
      <c r="J179" s="1" t="s">
        <v>40</v>
      </c>
      <c r="K179" s="1" t="s">
        <v>589</v>
      </c>
      <c r="L179" s="1">
        <v>13817217129</v>
      </c>
      <c r="M179" s="1" t="s">
        <v>590</v>
      </c>
      <c r="N179" s="1" t="s">
        <v>591</v>
      </c>
      <c r="O179" s="1" t="s">
        <v>590</v>
      </c>
      <c r="P179" s="1">
        <v>13817217129</v>
      </c>
      <c r="Q179" s="1" t="s">
        <v>592</v>
      </c>
    </row>
    <row r="180" spans="1:17">
      <c r="A180" s="1"/>
      <c r="B180" s="1"/>
      <c r="C180" s="1"/>
      <c r="D180" s="1" t="s">
        <v>5116</v>
      </c>
      <c r="E180" s="1" t="s">
        <v>420</v>
      </c>
      <c r="F180" s="1"/>
      <c r="G180" s="1"/>
      <c r="H180" s="1"/>
      <c r="J180" s="1"/>
      <c r="K180" s="1"/>
      <c r="L180" s="1"/>
      <c r="M180" s="1"/>
      <c r="N180" s="1"/>
      <c r="O180" s="1"/>
      <c r="P180" s="1"/>
      <c r="Q180" s="1"/>
    </row>
    <row r="181" spans="1:17">
      <c r="A181" s="1"/>
      <c r="B181" s="1"/>
      <c r="C181" s="1"/>
      <c r="D181" s="1" t="s">
        <v>5072</v>
      </c>
      <c r="E181" s="1" t="s">
        <v>420</v>
      </c>
      <c r="F181" s="1"/>
      <c r="G181" s="1"/>
      <c r="H181" s="1"/>
      <c r="J181" s="1"/>
      <c r="K181" s="1"/>
      <c r="L181" s="1"/>
      <c r="M181" s="1"/>
      <c r="N181" s="1"/>
      <c r="O181" s="1"/>
      <c r="P181" s="1"/>
      <c r="Q181" s="1"/>
    </row>
    <row r="182" spans="1:17">
      <c r="A182" s="1"/>
      <c r="B182" s="1"/>
      <c r="C182" s="1"/>
      <c r="D182" s="1" t="s">
        <v>5117</v>
      </c>
      <c r="E182" s="1" t="s">
        <v>420</v>
      </c>
      <c r="F182" s="1"/>
      <c r="G182" s="1"/>
      <c r="H182" s="1"/>
      <c r="J182" s="1"/>
      <c r="K182" s="1"/>
      <c r="L182" s="1"/>
      <c r="M182" s="1"/>
      <c r="N182" s="1"/>
      <c r="O182" s="1"/>
      <c r="P182" s="1"/>
      <c r="Q182" s="1"/>
    </row>
    <row r="183" spans="1:17">
      <c r="A183" s="1"/>
      <c r="B183" s="1" t="s">
        <v>594</v>
      </c>
      <c r="C183" s="1" t="s">
        <v>595</v>
      </c>
      <c r="D183" s="1" t="s">
        <v>5118</v>
      </c>
      <c r="E183" s="1" t="s">
        <v>1210</v>
      </c>
      <c r="F183" s="1">
        <v>1</v>
      </c>
      <c r="G183" s="1">
        <v>1.04</v>
      </c>
      <c r="H183" s="1">
        <v>3</v>
      </c>
      <c r="J183" s="1" t="s">
        <v>29</v>
      </c>
      <c r="K183" s="1" t="s">
        <v>599</v>
      </c>
      <c r="L183" s="1">
        <v>13752405507</v>
      </c>
      <c r="M183" s="1" t="s">
        <v>600</v>
      </c>
      <c r="N183" s="1" t="s">
        <v>599</v>
      </c>
      <c r="O183" s="1" t="s">
        <v>600</v>
      </c>
      <c r="P183" s="1">
        <v>13752405507</v>
      </c>
      <c r="Q183" s="1" t="s">
        <v>601</v>
      </c>
    </row>
    <row r="184" spans="1:17">
      <c r="A184" s="1"/>
      <c r="B184" s="1"/>
      <c r="C184" s="1"/>
      <c r="D184" s="1" t="s">
        <v>5119</v>
      </c>
      <c r="E184" s="1" t="s">
        <v>5074</v>
      </c>
      <c r="F184" s="1"/>
      <c r="G184" s="1"/>
      <c r="H184" s="1"/>
      <c r="I184" s="1" t="s">
        <v>5120</v>
      </c>
      <c r="J184" s="1"/>
      <c r="K184" s="1"/>
      <c r="L184" s="1"/>
      <c r="M184" s="1"/>
      <c r="N184" s="1"/>
      <c r="O184" s="1"/>
      <c r="P184" s="1"/>
      <c r="Q184" s="1"/>
    </row>
    <row r="185" spans="1:17">
      <c r="A185" s="1"/>
      <c r="B185" s="1"/>
      <c r="C185" s="1"/>
      <c r="D185" s="1" t="s">
        <v>5121</v>
      </c>
      <c r="E185" s="1" t="s">
        <v>4054</v>
      </c>
      <c r="F185" s="1"/>
      <c r="G185" s="1"/>
      <c r="H185" s="1"/>
      <c r="I185" s="1" t="s">
        <v>5122</v>
      </c>
      <c r="J185" s="1"/>
      <c r="K185" s="1"/>
      <c r="L185" s="1"/>
      <c r="M185" s="1"/>
      <c r="N185" s="1"/>
      <c r="O185" s="1"/>
      <c r="P185" s="1"/>
      <c r="Q185" s="1"/>
    </row>
    <row r="186" spans="1:17">
      <c r="A186" s="1"/>
      <c r="B186" s="1" t="s">
        <v>603</v>
      </c>
      <c r="C186" s="1" t="s">
        <v>604</v>
      </c>
      <c r="D186" s="1" t="s">
        <v>5118</v>
      </c>
      <c r="E186" s="1" t="s">
        <v>1210</v>
      </c>
      <c r="F186" s="1">
        <v>1</v>
      </c>
      <c r="G186" s="1">
        <v>0.81</v>
      </c>
      <c r="H186" s="1">
        <v>2</v>
      </c>
      <c r="J186" s="1" t="s">
        <v>29</v>
      </c>
      <c r="K186" s="1" t="s">
        <v>608</v>
      </c>
      <c r="L186" s="1">
        <v>15522166790</v>
      </c>
      <c r="M186" s="1" t="s">
        <v>609</v>
      </c>
      <c r="N186" s="1" t="s">
        <v>610</v>
      </c>
      <c r="O186" s="1" t="s">
        <v>609</v>
      </c>
      <c r="P186" s="1">
        <v>15522166790</v>
      </c>
      <c r="Q186" s="1" t="s">
        <v>611</v>
      </c>
    </row>
    <row r="187" spans="1:17">
      <c r="A187" s="1"/>
      <c r="B187" s="1"/>
      <c r="C187" s="1"/>
      <c r="D187" s="1" t="s">
        <v>5121</v>
      </c>
      <c r="E187" s="1" t="s">
        <v>4054</v>
      </c>
      <c r="F187" s="1"/>
      <c r="G187" s="1"/>
      <c r="H187" s="1"/>
      <c r="I187" s="1" t="s">
        <v>5123</v>
      </c>
      <c r="J187" s="1"/>
      <c r="K187" s="1"/>
      <c r="L187" s="1"/>
      <c r="M187" s="1"/>
      <c r="N187" s="1"/>
      <c r="O187" s="1"/>
      <c r="P187" s="1"/>
      <c r="Q187" s="1"/>
    </row>
    <row r="188" spans="1:17">
      <c r="A188" s="1"/>
      <c r="B188" s="1" t="s">
        <v>613</v>
      </c>
      <c r="C188" s="1" t="s">
        <v>614</v>
      </c>
      <c r="D188" s="1" t="s">
        <v>5124</v>
      </c>
      <c r="E188" s="1" t="s">
        <v>1210</v>
      </c>
      <c r="F188" s="1">
        <v>1</v>
      </c>
      <c r="G188" s="1">
        <v>1.95</v>
      </c>
      <c r="H188" s="1">
        <v>9</v>
      </c>
      <c r="I188" s="1" t="s">
        <v>5111</v>
      </c>
      <c r="J188" s="1" t="s">
        <v>29</v>
      </c>
      <c r="K188" s="1" t="s">
        <v>618</v>
      </c>
      <c r="L188" s="1">
        <v>13535909214</v>
      </c>
      <c r="M188" s="1" t="s">
        <v>619</v>
      </c>
      <c r="N188" s="1" t="s">
        <v>618</v>
      </c>
      <c r="O188" s="1" t="s">
        <v>619</v>
      </c>
      <c r="P188" s="1">
        <v>13535909214</v>
      </c>
      <c r="Q188" s="1" t="s">
        <v>620</v>
      </c>
    </row>
    <row r="189" spans="1:17">
      <c r="A189" s="1"/>
      <c r="B189" s="1"/>
      <c r="C189" s="1"/>
      <c r="D189" s="1" t="s">
        <v>5125</v>
      </c>
      <c r="E189" s="1" t="s">
        <v>1210</v>
      </c>
      <c r="F189" s="1"/>
      <c r="G189" s="1"/>
      <c r="H189" s="1"/>
      <c r="I189" s="1" t="s">
        <v>450</v>
      </c>
      <c r="J189" s="1"/>
      <c r="K189" s="1"/>
      <c r="L189" s="1"/>
      <c r="M189" s="1"/>
      <c r="N189" s="1"/>
      <c r="O189" s="1"/>
      <c r="P189" s="1"/>
      <c r="Q189" s="1"/>
    </row>
    <row r="190" spans="1:17">
      <c r="A190" s="1"/>
      <c r="B190" s="1"/>
      <c r="C190" s="1"/>
      <c r="D190" s="1" t="s">
        <v>5126</v>
      </c>
      <c r="E190" s="1" t="s">
        <v>1210</v>
      </c>
      <c r="F190" s="1"/>
      <c r="G190" s="1"/>
      <c r="H190" s="1"/>
      <c r="I190" s="1" t="s">
        <v>1634</v>
      </c>
      <c r="J190" s="1"/>
      <c r="K190" s="1"/>
      <c r="L190" s="1"/>
      <c r="M190" s="1"/>
      <c r="N190" s="1"/>
      <c r="O190" s="1"/>
      <c r="P190" s="1"/>
      <c r="Q190" s="1"/>
    </row>
    <row r="191" spans="1:17">
      <c r="A191" s="1"/>
      <c r="B191" s="1" t="s">
        <v>622</v>
      </c>
      <c r="C191" s="1" t="s">
        <v>623</v>
      </c>
      <c r="D191" s="1" t="s">
        <v>5127</v>
      </c>
      <c r="E191" s="1" t="s">
        <v>625</v>
      </c>
      <c r="F191" s="1">
        <v>1</v>
      </c>
      <c r="G191" s="1">
        <v>1.26</v>
      </c>
      <c r="H191" s="1">
        <v>10</v>
      </c>
      <c r="J191" s="1" t="s">
        <v>40</v>
      </c>
      <c r="K191" s="1" t="s">
        <v>626</v>
      </c>
      <c r="L191" s="1">
        <v>18017976061</v>
      </c>
      <c r="M191" s="1" t="s">
        <v>627</v>
      </c>
      <c r="N191" s="1" t="s">
        <v>626</v>
      </c>
      <c r="O191" s="1" t="s">
        <v>628</v>
      </c>
      <c r="P191" s="1">
        <v>13524411670</v>
      </c>
      <c r="Q191" s="1" t="s">
        <v>629</v>
      </c>
    </row>
    <row r="192" spans="1:17">
      <c r="A192" s="1"/>
      <c r="B192" s="1" t="s">
        <v>631</v>
      </c>
      <c r="C192" s="1" t="s">
        <v>632</v>
      </c>
      <c r="D192" s="1" t="s">
        <v>5014</v>
      </c>
      <c r="E192" s="1" t="s">
        <v>625</v>
      </c>
      <c r="F192" s="1">
        <v>1</v>
      </c>
      <c r="G192" s="1">
        <v>1.49</v>
      </c>
      <c r="H192" s="1">
        <v>5</v>
      </c>
      <c r="I192" s="1" t="s">
        <v>5048</v>
      </c>
      <c r="J192" s="1" t="s">
        <v>40</v>
      </c>
      <c r="K192" s="1" t="s">
        <v>635</v>
      </c>
      <c r="L192" s="1">
        <v>13820680917</v>
      </c>
      <c r="M192" s="1" t="s">
        <v>636</v>
      </c>
      <c r="N192" s="1" t="s">
        <v>637</v>
      </c>
      <c r="O192" s="1" t="s">
        <v>638</v>
      </c>
      <c r="P192" s="1">
        <v>18502683184</v>
      </c>
      <c r="Q192" s="1" t="s">
        <v>639</v>
      </c>
    </row>
    <row r="193" spans="1:17">
      <c r="A193" s="1"/>
      <c r="B193" s="1"/>
      <c r="C193" s="1"/>
      <c r="D193" s="1" t="s">
        <v>5128</v>
      </c>
      <c r="E193" s="1" t="s">
        <v>625</v>
      </c>
      <c r="F193" s="1"/>
      <c r="G193" s="1"/>
      <c r="H193" s="1"/>
      <c r="I193" s="1" t="s">
        <v>4987</v>
      </c>
      <c r="J193" s="1"/>
      <c r="K193" s="1"/>
      <c r="L193" s="1"/>
      <c r="M193" s="1"/>
      <c r="N193" s="1"/>
      <c r="O193" s="1"/>
      <c r="P193" s="1"/>
      <c r="Q193" s="1"/>
    </row>
    <row r="194" spans="1:17">
      <c r="A194" s="1"/>
      <c r="B194" s="1"/>
      <c r="C194" s="1"/>
      <c r="D194" s="1" t="s">
        <v>5023</v>
      </c>
      <c r="E194" s="1" t="s">
        <v>625</v>
      </c>
      <c r="F194" s="1"/>
      <c r="G194" s="1"/>
      <c r="H194" s="1"/>
      <c r="I194" s="1" t="s">
        <v>4985</v>
      </c>
      <c r="J194" s="1"/>
      <c r="K194" s="1"/>
      <c r="L194" s="1"/>
      <c r="M194" s="1"/>
      <c r="N194" s="1"/>
      <c r="O194" s="1"/>
      <c r="P194" s="1"/>
      <c r="Q194" s="1"/>
    </row>
    <row r="195" spans="1:17">
      <c r="A195" s="1"/>
      <c r="B195" s="1"/>
      <c r="C195" s="1"/>
      <c r="D195" s="1" t="s">
        <v>5016</v>
      </c>
      <c r="E195" s="1" t="s">
        <v>625</v>
      </c>
      <c r="F195" s="1"/>
      <c r="G195" s="1"/>
      <c r="H195" s="1"/>
      <c r="I195" s="1" t="s">
        <v>4985</v>
      </c>
      <c r="J195" s="1"/>
      <c r="K195" s="1"/>
      <c r="L195" s="1"/>
      <c r="M195" s="1"/>
      <c r="N195" s="1"/>
      <c r="O195" s="1"/>
      <c r="P195" s="1"/>
      <c r="Q195" s="1"/>
    </row>
    <row r="196" spans="1:17">
      <c r="A196" s="1"/>
      <c r="B196" s="1" t="s">
        <v>641</v>
      </c>
      <c r="C196" s="1" t="s">
        <v>642</v>
      </c>
      <c r="D196" s="1" t="s">
        <v>5129</v>
      </c>
      <c r="E196" s="1" t="s">
        <v>625</v>
      </c>
      <c r="F196" s="1">
        <v>1</v>
      </c>
      <c r="G196" s="1">
        <v>0.81</v>
      </c>
      <c r="H196" s="1">
        <v>5</v>
      </c>
      <c r="I196" s="1" t="s">
        <v>4985</v>
      </c>
      <c r="J196" s="1" t="s">
        <v>40</v>
      </c>
      <c r="K196" s="1" t="s">
        <v>645</v>
      </c>
      <c r="L196" s="1">
        <v>18611826456</v>
      </c>
      <c r="M196" s="1" t="s">
        <v>646</v>
      </c>
      <c r="N196" s="1" t="s">
        <v>645</v>
      </c>
      <c r="O196" s="1" t="s">
        <v>646</v>
      </c>
      <c r="P196" s="1">
        <v>18611826456</v>
      </c>
      <c r="Q196" s="1" t="s">
        <v>647</v>
      </c>
    </row>
    <row r="197" spans="1:17">
      <c r="A197" s="1"/>
      <c r="B197" s="1"/>
      <c r="C197" s="1"/>
      <c r="D197" s="1" t="s">
        <v>5017</v>
      </c>
      <c r="E197" s="1" t="s">
        <v>625</v>
      </c>
      <c r="F197" s="1"/>
      <c r="G197" s="1"/>
      <c r="H197" s="1"/>
      <c r="I197" s="1" t="s">
        <v>4987</v>
      </c>
      <c r="J197" s="1"/>
      <c r="K197" s="1"/>
      <c r="L197" s="1"/>
      <c r="M197" s="1"/>
      <c r="N197" s="1"/>
      <c r="O197" s="1"/>
      <c r="P197" s="1"/>
      <c r="Q197" s="1"/>
    </row>
    <row r="198" spans="1:17">
      <c r="A198" s="1"/>
      <c r="B198" s="1"/>
      <c r="C198" s="1"/>
      <c r="D198" s="1" t="s">
        <v>5130</v>
      </c>
      <c r="E198" s="1" t="s">
        <v>625</v>
      </c>
      <c r="F198" s="1"/>
      <c r="G198" s="1"/>
      <c r="H198" s="1"/>
      <c r="I198" s="1" t="s">
        <v>4983</v>
      </c>
      <c r="J198" s="1"/>
      <c r="K198" s="1"/>
      <c r="L198" s="1"/>
      <c r="M198" s="1"/>
      <c r="N198" s="1"/>
      <c r="O198" s="1"/>
      <c r="P198" s="1"/>
      <c r="Q198" s="1"/>
    </row>
    <row r="199" spans="1:17">
      <c r="A199" s="1"/>
      <c r="B199" s="1"/>
      <c r="C199" s="1"/>
      <c r="D199" s="1" t="s">
        <v>5016</v>
      </c>
      <c r="E199" s="1" t="s">
        <v>625</v>
      </c>
      <c r="F199" s="1"/>
      <c r="G199" s="1"/>
      <c r="H199" s="1"/>
      <c r="I199" s="1" t="s">
        <v>4985</v>
      </c>
      <c r="J199" s="1"/>
      <c r="K199" s="1"/>
      <c r="L199" s="1"/>
      <c r="M199" s="1"/>
      <c r="N199" s="1"/>
      <c r="O199" s="1"/>
      <c r="P199" s="1"/>
      <c r="Q199" s="1"/>
    </row>
    <row r="200" spans="1:17">
      <c r="A200" s="1"/>
      <c r="B200" s="1"/>
      <c r="C200" s="1"/>
      <c r="D200" s="1" t="s">
        <v>5026</v>
      </c>
      <c r="E200" s="1" t="s">
        <v>625</v>
      </c>
      <c r="F200" s="1"/>
      <c r="G200" s="1"/>
      <c r="H200" s="1"/>
      <c r="I200" s="1" t="s">
        <v>5101</v>
      </c>
      <c r="J200" s="1"/>
      <c r="K200" s="1"/>
      <c r="L200" s="1"/>
      <c r="M200" s="1"/>
      <c r="N200" s="1"/>
      <c r="O200" s="1"/>
      <c r="P200" s="1"/>
      <c r="Q200" s="1"/>
    </row>
    <row r="201" spans="1:17">
      <c r="A201" s="1"/>
      <c r="B201" s="1" t="s">
        <v>649</v>
      </c>
      <c r="C201" s="1" t="s">
        <v>650</v>
      </c>
      <c r="D201" s="1" t="s">
        <v>4984</v>
      </c>
      <c r="E201" s="1" t="s">
        <v>625</v>
      </c>
      <c r="F201" s="1">
        <v>1</v>
      </c>
      <c r="G201" s="1">
        <v>0.81</v>
      </c>
      <c r="H201" s="1">
        <v>5</v>
      </c>
      <c r="J201" s="1" t="s">
        <v>40</v>
      </c>
      <c r="K201" s="1" t="s">
        <v>652</v>
      </c>
      <c r="L201" s="1">
        <v>18906379519</v>
      </c>
      <c r="M201" s="1" t="s">
        <v>653</v>
      </c>
      <c r="N201" s="1" t="s">
        <v>652</v>
      </c>
      <c r="O201" s="1" t="s">
        <v>653</v>
      </c>
      <c r="P201" s="1">
        <v>18906379519</v>
      </c>
      <c r="Q201" s="1" t="s">
        <v>654</v>
      </c>
    </row>
    <row r="202" spans="1:17">
      <c r="A202" s="1"/>
      <c r="B202" s="1"/>
      <c r="C202" s="1"/>
      <c r="D202" s="1" t="s">
        <v>5017</v>
      </c>
      <c r="E202" s="1" t="s">
        <v>625</v>
      </c>
      <c r="F202" s="1"/>
      <c r="G202" s="1"/>
      <c r="H202" s="1"/>
      <c r="J202" s="1"/>
      <c r="K202" s="1"/>
      <c r="L202" s="1"/>
      <c r="M202" s="1"/>
      <c r="N202" s="1"/>
      <c r="O202" s="1"/>
      <c r="P202" s="1"/>
      <c r="Q202" s="1"/>
    </row>
    <row r="203" spans="1:17">
      <c r="A203" s="1"/>
      <c r="B203" s="1" t="s">
        <v>656</v>
      </c>
      <c r="C203" s="1" t="s">
        <v>657</v>
      </c>
      <c r="D203" s="1" t="s">
        <v>5131</v>
      </c>
      <c r="E203" s="1" t="s">
        <v>625</v>
      </c>
      <c r="F203" s="1">
        <v>1</v>
      </c>
      <c r="G203" s="1">
        <v>2.4</v>
      </c>
      <c r="H203" s="1">
        <v>3</v>
      </c>
      <c r="I203" s="1" t="s">
        <v>5132</v>
      </c>
      <c r="J203" s="1" t="s">
        <v>40</v>
      </c>
      <c r="K203" s="1" t="s">
        <v>660</v>
      </c>
      <c r="L203" s="1">
        <v>13135347968</v>
      </c>
      <c r="M203" s="1" t="s">
        <v>661</v>
      </c>
      <c r="N203" s="1" t="s">
        <v>662</v>
      </c>
      <c r="O203" s="1" t="s">
        <v>663</v>
      </c>
      <c r="P203" s="1">
        <v>18607347358</v>
      </c>
      <c r="Q203" s="1" t="s">
        <v>664</v>
      </c>
    </row>
    <row r="204" spans="1:17">
      <c r="A204" s="1"/>
      <c r="B204" s="1"/>
      <c r="C204" s="1"/>
      <c r="D204" s="1" t="s">
        <v>5020</v>
      </c>
      <c r="E204" s="1" t="s">
        <v>625</v>
      </c>
      <c r="F204" s="1"/>
      <c r="G204" s="1"/>
      <c r="H204" s="1"/>
      <c r="J204" s="1"/>
      <c r="K204" s="1"/>
      <c r="L204" s="1"/>
      <c r="M204" s="1"/>
      <c r="N204" s="1"/>
      <c r="O204" s="1"/>
      <c r="P204" s="1"/>
      <c r="Q204" s="1"/>
    </row>
    <row r="205" spans="1:17">
      <c r="A205" s="1"/>
      <c r="B205" s="1" t="s">
        <v>666</v>
      </c>
      <c r="C205" s="1" t="s">
        <v>667</v>
      </c>
      <c r="D205" s="1" t="s">
        <v>5133</v>
      </c>
      <c r="E205" s="1" t="s">
        <v>2069</v>
      </c>
      <c r="F205" s="1">
        <v>1</v>
      </c>
      <c r="G205" s="1">
        <v>0.81</v>
      </c>
      <c r="H205" s="1">
        <v>4</v>
      </c>
      <c r="J205" s="1" t="s">
        <v>103</v>
      </c>
      <c r="K205" s="1" t="s">
        <v>671</v>
      </c>
      <c r="L205" s="1">
        <v>15816959063</v>
      </c>
      <c r="M205" s="1" t="s">
        <v>672</v>
      </c>
      <c r="N205" s="1" t="s">
        <v>671</v>
      </c>
      <c r="O205" s="1" t="s">
        <v>672</v>
      </c>
      <c r="P205" s="1">
        <v>15816959063</v>
      </c>
      <c r="Q205" s="1" t="s">
        <v>673</v>
      </c>
    </row>
    <row r="206" spans="1:17">
      <c r="A206" s="1"/>
      <c r="B206" s="1"/>
      <c r="C206" s="1"/>
      <c r="D206" s="1" t="s">
        <v>5134</v>
      </c>
      <c r="E206" s="1" t="s">
        <v>5077</v>
      </c>
      <c r="F206" s="1"/>
      <c r="G206" s="1"/>
      <c r="H206" s="1"/>
      <c r="I206" s="1" t="s">
        <v>5135</v>
      </c>
      <c r="J206" s="1"/>
      <c r="K206" s="1"/>
      <c r="L206" s="1"/>
      <c r="M206" s="1"/>
      <c r="N206" s="1"/>
      <c r="O206" s="1"/>
      <c r="P206" s="1"/>
      <c r="Q206" s="1"/>
    </row>
    <row r="207" spans="1:17">
      <c r="A207" s="1"/>
      <c r="B207" s="1" t="s">
        <v>675</v>
      </c>
      <c r="C207" s="1" t="s">
        <v>676</v>
      </c>
      <c r="D207" s="1" t="s">
        <v>5136</v>
      </c>
      <c r="E207" s="1" t="s">
        <v>2920</v>
      </c>
      <c r="F207" s="1">
        <v>1</v>
      </c>
      <c r="G207" s="1">
        <v>1.04</v>
      </c>
      <c r="H207" s="1">
        <v>6</v>
      </c>
      <c r="J207" s="1" t="s">
        <v>103</v>
      </c>
      <c r="K207" s="1" t="s">
        <v>679</v>
      </c>
      <c r="L207" s="1">
        <v>18675506669</v>
      </c>
      <c r="M207" s="1" t="s">
        <v>680</v>
      </c>
      <c r="N207" s="1" t="s">
        <v>681</v>
      </c>
      <c r="O207" s="1" t="s">
        <v>680</v>
      </c>
      <c r="P207" s="1">
        <v>18675506669</v>
      </c>
      <c r="Q207" s="1" t="s">
        <v>682</v>
      </c>
    </row>
    <row r="208" spans="1:17">
      <c r="A208" s="1"/>
      <c r="B208" s="1"/>
      <c r="C208" s="1"/>
      <c r="D208" s="1" t="s">
        <v>5137</v>
      </c>
      <c r="E208" s="1" t="s">
        <v>2920</v>
      </c>
      <c r="F208" s="1"/>
      <c r="G208" s="1"/>
      <c r="H208" s="1"/>
      <c r="J208" s="1"/>
      <c r="K208" s="1"/>
      <c r="L208" s="1"/>
      <c r="M208" s="1"/>
      <c r="N208" s="1"/>
      <c r="O208" s="1"/>
      <c r="P208" s="1"/>
      <c r="Q208" s="1"/>
    </row>
    <row r="209" spans="1:17">
      <c r="A209" s="1"/>
      <c r="B209" s="1"/>
      <c r="C209" s="1"/>
      <c r="D209" s="1" t="s">
        <v>5138</v>
      </c>
      <c r="E209" s="1" t="s">
        <v>2920</v>
      </c>
      <c r="F209" s="1"/>
      <c r="G209" s="1"/>
      <c r="H209" s="1"/>
      <c r="J209" s="1"/>
      <c r="K209" s="1"/>
      <c r="L209" s="1"/>
      <c r="M209" s="1"/>
      <c r="N209" s="1"/>
      <c r="O209" s="1"/>
      <c r="P209" s="1"/>
      <c r="Q209" s="1"/>
    </row>
    <row r="210" spans="1:17">
      <c r="A210" s="1"/>
      <c r="B210" s="1" t="s">
        <v>684</v>
      </c>
      <c r="C210" s="1" t="s">
        <v>685</v>
      </c>
      <c r="D210" s="1" t="s">
        <v>5139</v>
      </c>
      <c r="E210" s="1" t="s">
        <v>687</v>
      </c>
      <c r="F210" s="1">
        <v>1</v>
      </c>
      <c r="G210" s="1">
        <v>0.35</v>
      </c>
      <c r="H210" s="1">
        <v>1</v>
      </c>
      <c r="J210" s="1" t="s">
        <v>293</v>
      </c>
      <c r="K210" s="1" t="s">
        <v>688</v>
      </c>
      <c r="L210" s="1">
        <v>13114873952</v>
      </c>
      <c r="M210" s="1" t="s">
        <v>689</v>
      </c>
      <c r="N210" s="1" t="s">
        <v>690</v>
      </c>
      <c r="O210" s="1" t="s">
        <v>689</v>
      </c>
      <c r="P210" s="1">
        <v>13114873952</v>
      </c>
      <c r="Q210" s="1" t="s">
        <v>691</v>
      </c>
    </row>
    <row r="211" spans="1:17">
      <c r="A211" s="1"/>
      <c r="B211" s="1" t="s">
        <v>693</v>
      </c>
      <c r="C211" s="1" t="s">
        <v>694</v>
      </c>
      <c r="D211" s="1" t="s">
        <v>5140</v>
      </c>
      <c r="E211" s="1" t="s">
        <v>696</v>
      </c>
      <c r="F211" s="1">
        <v>1</v>
      </c>
      <c r="G211" s="1">
        <v>1.49</v>
      </c>
      <c r="H211" s="1">
        <v>15</v>
      </c>
      <c r="J211" s="1" t="s">
        <v>29</v>
      </c>
      <c r="K211" s="1" t="s">
        <v>697</v>
      </c>
      <c r="L211" s="1">
        <v>13635290903</v>
      </c>
      <c r="M211" s="1" t="s">
        <v>698</v>
      </c>
      <c r="N211" s="1" t="s">
        <v>699</v>
      </c>
      <c r="O211" s="1" t="s">
        <v>700</v>
      </c>
      <c r="P211" s="1">
        <v>13799965226</v>
      </c>
      <c r="Q211" s="1" t="s">
        <v>701</v>
      </c>
    </row>
    <row r="212" spans="1:17">
      <c r="A212" s="1"/>
      <c r="B212" s="1" t="s">
        <v>703</v>
      </c>
      <c r="C212" s="1" t="s">
        <v>704</v>
      </c>
      <c r="D212" s="1" t="s">
        <v>5141</v>
      </c>
      <c r="E212" s="1" t="s">
        <v>420</v>
      </c>
      <c r="F212" s="1">
        <v>1</v>
      </c>
      <c r="G212" s="1">
        <v>1.95</v>
      </c>
      <c r="H212" s="1">
        <v>14</v>
      </c>
      <c r="J212" s="1" t="s">
        <v>29</v>
      </c>
      <c r="K212" s="1" t="s">
        <v>146</v>
      </c>
      <c r="L212" s="1">
        <v>15253420938</v>
      </c>
      <c r="M212" s="1" t="s">
        <v>147</v>
      </c>
      <c r="N212" s="1" t="s">
        <v>146</v>
      </c>
      <c r="O212" s="1" t="s">
        <v>707</v>
      </c>
      <c r="P212" s="1">
        <v>15843960569</v>
      </c>
      <c r="Q212" s="1" t="s">
        <v>708</v>
      </c>
    </row>
    <row r="213" spans="1:17">
      <c r="A213" s="1"/>
      <c r="B213" s="1"/>
      <c r="C213" s="1"/>
      <c r="D213" s="1" t="s">
        <v>5142</v>
      </c>
      <c r="E213" s="1" t="s">
        <v>420</v>
      </c>
      <c r="F213" s="1"/>
      <c r="G213" s="1"/>
      <c r="H213" s="1"/>
      <c r="J213" s="1"/>
      <c r="K213" s="1"/>
      <c r="L213" s="1"/>
      <c r="M213" s="1"/>
      <c r="N213" s="1"/>
      <c r="O213" s="1"/>
      <c r="P213" s="1"/>
      <c r="Q213" s="1"/>
    </row>
    <row r="214" spans="1:17">
      <c r="A214" s="1"/>
      <c r="B214" s="1" t="s">
        <v>710</v>
      </c>
      <c r="C214" s="1" t="s">
        <v>711</v>
      </c>
      <c r="D214" s="1" t="s">
        <v>5141</v>
      </c>
      <c r="E214" s="1" t="s">
        <v>420</v>
      </c>
      <c r="F214" s="1">
        <v>1</v>
      </c>
      <c r="G214" s="1">
        <v>1.95</v>
      </c>
      <c r="H214" s="1">
        <v>14</v>
      </c>
      <c r="J214" s="1" t="s">
        <v>29</v>
      </c>
      <c r="K214" s="1" t="s">
        <v>712</v>
      </c>
      <c r="L214" s="1">
        <v>17098714030</v>
      </c>
      <c r="M214" s="1" t="s">
        <v>713</v>
      </c>
      <c r="N214" s="1" t="s">
        <v>714</v>
      </c>
      <c r="O214" s="1" t="s">
        <v>713</v>
      </c>
      <c r="P214" s="1">
        <v>17098714030</v>
      </c>
      <c r="Q214" s="1" t="s">
        <v>715</v>
      </c>
    </row>
    <row r="215" spans="1:17">
      <c r="A215" s="1"/>
      <c r="B215" s="1"/>
      <c r="C215" s="1"/>
      <c r="D215" s="1" t="s">
        <v>5142</v>
      </c>
      <c r="E215" s="1" t="s">
        <v>420</v>
      </c>
      <c r="F215" s="1"/>
      <c r="G215" s="1"/>
      <c r="H215" s="1"/>
      <c r="J215" s="1"/>
      <c r="K215" s="1"/>
      <c r="L215" s="1"/>
      <c r="M215" s="1"/>
      <c r="N215" s="1"/>
      <c r="O215" s="1"/>
      <c r="P215" s="1"/>
      <c r="Q215" s="1"/>
    </row>
    <row r="216" spans="1:17">
      <c r="A216" s="1"/>
      <c r="B216" s="1" t="s">
        <v>717</v>
      </c>
      <c r="C216" s="1" t="s">
        <v>718</v>
      </c>
      <c r="D216" s="1" t="s">
        <v>5143</v>
      </c>
      <c r="E216" s="1" t="s">
        <v>720</v>
      </c>
      <c r="F216" s="1">
        <v>1</v>
      </c>
      <c r="G216" s="1">
        <v>1.49</v>
      </c>
      <c r="H216" s="1">
        <v>12</v>
      </c>
      <c r="I216" s="1" t="s">
        <v>721</v>
      </c>
      <c r="J216" s="1" t="s">
        <v>40</v>
      </c>
      <c r="K216" s="1" t="s">
        <v>722</v>
      </c>
      <c r="L216" s="1">
        <v>18123680919</v>
      </c>
      <c r="M216" s="1" t="s">
        <v>723</v>
      </c>
      <c r="N216" s="1" t="s">
        <v>724</v>
      </c>
      <c r="O216" s="1" t="s">
        <v>725</v>
      </c>
      <c r="P216" s="1">
        <v>13691688982</v>
      </c>
      <c r="Q216" s="1" t="s">
        <v>726</v>
      </c>
    </row>
    <row r="217" spans="1:17">
      <c r="A217" s="1"/>
      <c r="B217" s="1" t="s">
        <v>728</v>
      </c>
      <c r="C217" s="1" t="s">
        <v>729</v>
      </c>
      <c r="D217" s="1" t="s">
        <v>4991</v>
      </c>
      <c r="E217" s="1" t="s">
        <v>4992</v>
      </c>
      <c r="F217" s="1">
        <v>1</v>
      </c>
      <c r="G217" s="1">
        <v>1.72</v>
      </c>
      <c r="H217" s="1">
        <v>15</v>
      </c>
      <c r="I217" s="1" t="s">
        <v>164</v>
      </c>
      <c r="J217" s="1" t="s">
        <v>40</v>
      </c>
      <c r="K217" s="1" t="s">
        <v>244</v>
      </c>
      <c r="L217" s="1">
        <v>13940778352</v>
      </c>
      <c r="M217" s="1" t="s">
        <v>245</v>
      </c>
      <c r="N217" s="1" t="s">
        <v>730</v>
      </c>
      <c r="O217" s="1" t="s">
        <v>731</v>
      </c>
      <c r="P217" s="1">
        <v>18242773111</v>
      </c>
      <c r="Q217" s="1" t="s">
        <v>732</v>
      </c>
    </row>
    <row r="218" spans="1:17">
      <c r="A218" s="1"/>
      <c r="B218" s="1"/>
      <c r="C218" s="1"/>
      <c r="D218" s="1" t="s">
        <v>4993</v>
      </c>
      <c r="E218" s="1" t="s">
        <v>4994</v>
      </c>
      <c r="F218" s="1"/>
      <c r="G218" s="1"/>
      <c r="H218" s="1"/>
      <c r="I218" s="1" t="s">
        <v>4995</v>
      </c>
      <c r="J218" s="1"/>
      <c r="K218" s="1"/>
      <c r="L218" s="1"/>
      <c r="M218" s="1"/>
      <c r="N218" s="1"/>
      <c r="O218" s="1"/>
      <c r="P218" s="1"/>
      <c r="Q218" s="1"/>
    </row>
    <row r="219" spans="1:17">
      <c r="A219" s="1"/>
      <c r="B219" s="1" t="s">
        <v>734</v>
      </c>
      <c r="C219" s="1" t="s">
        <v>735</v>
      </c>
      <c r="D219" s="1" t="s">
        <v>4991</v>
      </c>
      <c r="E219" s="1" t="s">
        <v>4992</v>
      </c>
      <c r="F219" s="1">
        <v>1</v>
      </c>
      <c r="G219" s="1">
        <v>1.72</v>
      </c>
      <c r="H219" s="1">
        <v>15</v>
      </c>
      <c r="I219" s="1" t="s">
        <v>164</v>
      </c>
      <c r="J219" s="1" t="s">
        <v>40</v>
      </c>
      <c r="K219" s="1" t="s">
        <v>229</v>
      </c>
      <c r="L219" s="1">
        <v>13840761783</v>
      </c>
      <c r="M219" s="1" t="s">
        <v>230</v>
      </c>
      <c r="N219" s="1" t="s">
        <v>736</v>
      </c>
      <c r="O219" s="1" t="s">
        <v>737</v>
      </c>
      <c r="P219" s="1">
        <v>13591182787</v>
      </c>
      <c r="Q219" s="1" t="s">
        <v>738</v>
      </c>
    </row>
    <row r="220" spans="1:17">
      <c r="A220" s="1"/>
      <c r="B220" s="1"/>
      <c r="C220" s="1"/>
      <c r="D220" s="1" t="s">
        <v>4993</v>
      </c>
      <c r="E220" s="1" t="s">
        <v>4994</v>
      </c>
      <c r="F220" s="1"/>
      <c r="G220" s="1"/>
      <c r="H220" s="1"/>
      <c r="I220" s="1" t="s">
        <v>4995</v>
      </c>
      <c r="J220" s="1"/>
      <c r="K220" s="1"/>
      <c r="L220" s="1"/>
      <c r="M220" s="1"/>
      <c r="N220" s="1"/>
      <c r="O220" s="1"/>
      <c r="P220" s="1"/>
      <c r="Q220" s="1"/>
    </row>
    <row r="221" spans="1:17">
      <c r="A221" s="1"/>
      <c r="B221" s="1" t="s">
        <v>740</v>
      </c>
      <c r="C221" s="1" t="s">
        <v>741</v>
      </c>
      <c r="D221" s="1" t="s">
        <v>5144</v>
      </c>
      <c r="E221" s="1" t="s">
        <v>743</v>
      </c>
      <c r="F221" s="1">
        <v>1</v>
      </c>
      <c r="G221" s="1">
        <v>1.49</v>
      </c>
      <c r="H221" s="1">
        <v>1</v>
      </c>
      <c r="J221" s="1" t="s">
        <v>293</v>
      </c>
      <c r="K221" s="1" t="s">
        <v>744</v>
      </c>
      <c r="L221" s="1">
        <v>13912600773</v>
      </c>
      <c r="M221" s="1" t="s">
        <v>745</v>
      </c>
      <c r="N221" s="1" t="s">
        <v>744</v>
      </c>
      <c r="O221" s="1" t="s">
        <v>745</v>
      </c>
      <c r="P221" s="1">
        <v>13912600773</v>
      </c>
      <c r="Q221" s="1" t="s">
        <v>746</v>
      </c>
    </row>
    <row r="222" spans="1:17">
      <c r="A222" s="1"/>
      <c r="B222" s="1" t="s">
        <v>748</v>
      </c>
      <c r="C222" s="1" t="s">
        <v>749</v>
      </c>
      <c r="D222" s="1" t="s">
        <v>5145</v>
      </c>
      <c r="E222" s="1" t="s">
        <v>625</v>
      </c>
      <c r="F222" s="1">
        <v>1</v>
      </c>
      <c r="G222" s="1">
        <v>0.81</v>
      </c>
      <c r="H222" s="1">
        <v>10</v>
      </c>
      <c r="I222" s="1" t="s">
        <v>4983</v>
      </c>
      <c r="J222" s="1" t="s">
        <v>40</v>
      </c>
      <c r="K222" s="1" t="s">
        <v>752</v>
      </c>
      <c r="L222" s="1">
        <v>18958811267</v>
      </c>
      <c r="M222" s="1" t="s">
        <v>753</v>
      </c>
      <c r="N222" s="1" t="s">
        <v>754</v>
      </c>
      <c r="O222" s="1" t="s">
        <v>755</v>
      </c>
      <c r="P222" s="1">
        <v>13968868133</v>
      </c>
      <c r="Q222" s="1" t="s">
        <v>756</v>
      </c>
    </row>
    <row r="223" spans="1:17">
      <c r="A223" s="1"/>
      <c r="B223" s="1" t="s">
        <v>758</v>
      </c>
      <c r="C223" s="1" t="s">
        <v>759</v>
      </c>
      <c r="D223" s="1" t="s">
        <v>5146</v>
      </c>
      <c r="E223" s="1" t="s">
        <v>625</v>
      </c>
      <c r="F223" s="1">
        <v>1</v>
      </c>
      <c r="G223" s="1">
        <v>1.04</v>
      </c>
      <c r="H223" s="1">
        <v>10</v>
      </c>
      <c r="I223" s="1" t="s">
        <v>5101</v>
      </c>
      <c r="J223" s="1" t="s">
        <v>40</v>
      </c>
      <c r="K223" s="1" t="s">
        <v>762</v>
      </c>
      <c r="L223" s="1">
        <v>15601686832</v>
      </c>
      <c r="M223" s="1" t="s">
        <v>763</v>
      </c>
      <c r="N223" s="1" t="s">
        <v>764</v>
      </c>
      <c r="O223" s="1" t="s">
        <v>765</v>
      </c>
      <c r="P223" s="1">
        <v>18918906458</v>
      </c>
      <c r="Q223" s="1" t="s">
        <v>766</v>
      </c>
    </row>
    <row r="224" spans="1:17">
      <c r="A224" s="1"/>
      <c r="B224" s="1"/>
      <c r="C224" s="1"/>
      <c r="D224" s="1" t="s">
        <v>5036</v>
      </c>
      <c r="E224" s="1" t="s">
        <v>625</v>
      </c>
      <c r="F224" s="1"/>
      <c r="G224" s="1"/>
      <c r="H224" s="1"/>
      <c r="I224" s="1" t="s">
        <v>4983</v>
      </c>
      <c r="J224" s="1"/>
      <c r="K224" s="1"/>
      <c r="L224" s="1"/>
      <c r="M224" s="1"/>
      <c r="N224" s="1"/>
      <c r="O224" s="1"/>
      <c r="P224" s="1"/>
      <c r="Q224" s="1"/>
    </row>
    <row r="225" spans="1:17">
      <c r="A225" s="1"/>
      <c r="B225" s="1"/>
      <c r="C225" s="1"/>
      <c r="D225" s="1" t="s">
        <v>5031</v>
      </c>
      <c r="E225" s="1" t="s">
        <v>625</v>
      </c>
      <c r="F225" s="1"/>
      <c r="G225" s="1"/>
      <c r="H225" s="1"/>
      <c r="I225" s="1" t="s">
        <v>4985</v>
      </c>
      <c r="J225" s="1"/>
      <c r="K225" s="1"/>
      <c r="L225" s="1"/>
      <c r="M225" s="1"/>
      <c r="N225" s="1"/>
      <c r="O225" s="1"/>
      <c r="P225" s="1"/>
      <c r="Q225" s="1"/>
    </row>
    <row r="226" spans="1:17">
      <c r="A226" s="1"/>
      <c r="B226" s="1"/>
      <c r="C226" s="1"/>
      <c r="D226" s="1" t="s">
        <v>5103</v>
      </c>
      <c r="E226" s="1" t="s">
        <v>625</v>
      </c>
      <c r="F226" s="1"/>
      <c r="G226" s="1"/>
      <c r="H226" s="1"/>
      <c r="I226" s="1" t="s">
        <v>4987</v>
      </c>
      <c r="J226" s="1"/>
      <c r="K226" s="1"/>
      <c r="L226" s="1"/>
      <c r="M226" s="1"/>
      <c r="N226" s="1"/>
      <c r="O226" s="1"/>
      <c r="P226" s="1"/>
      <c r="Q226" s="1"/>
    </row>
    <row r="227" spans="1:17">
      <c r="A227" s="1"/>
      <c r="B227" s="1" t="s">
        <v>768</v>
      </c>
      <c r="C227" s="1" t="s">
        <v>769</v>
      </c>
      <c r="D227" s="1" t="s">
        <v>5147</v>
      </c>
      <c r="E227" s="1" t="s">
        <v>420</v>
      </c>
      <c r="F227" s="1">
        <v>1</v>
      </c>
      <c r="G227" s="1">
        <v>0.81</v>
      </c>
      <c r="H227" s="1">
        <v>6</v>
      </c>
      <c r="I227" s="1" t="s">
        <v>1142</v>
      </c>
      <c r="J227" s="1" t="s">
        <v>29</v>
      </c>
      <c r="K227" s="1" t="s">
        <v>772</v>
      </c>
      <c r="L227" s="1">
        <v>13400581997</v>
      </c>
      <c r="M227" s="1" t="s">
        <v>773</v>
      </c>
      <c r="N227" s="1" t="s">
        <v>772</v>
      </c>
      <c r="O227" s="1" t="s">
        <v>773</v>
      </c>
      <c r="P227" s="1">
        <v>13400581997</v>
      </c>
      <c r="Q227" s="1" t="s">
        <v>774</v>
      </c>
    </row>
    <row r="228" spans="1:17">
      <c r="A228" s="1"/>
      <c r="B228" s="1"/>
      <c r="C228" s="1"/>
      <c r="D228" s="1" t="s">
        <v>5148</v>
      </c>
      <c r="E228" s="1" t="s">
        <v>420</v>
      </c>
      <c r="F228" s="1"/>
      <c r="G228" s="1"/>
      <c r="H228" s="1"/>
      <c r="I228" s="1" t="s">
        <v>1142</v>
      </c>
      <c r="J228" s="1"/>
      <c r="K228" s="1"/>
      <c r="L228" s="1"/>
      <c r="M228" s="1"/>
      <c r="N228" s="1"/>
      <c r="O228" s="1"/>
      <c r="P228" s="1"/>
      <c r="Q228" s="1"/>
    </row>
    <row r="229" spans="1:17">
      <c r="A229" s="1"/>
      <c r="B229" s="1"/>
      <c r="C229" s="1"/>
      <c r="D229" s="1" t="s">
        <v>5149</v>
      </c>
      <c r="E229" s="1" t="s">
        <v>420</v>
      </c>
      <c r="F229" s="1"/>
      <c r="G229" s="1"/>
      <c r="H229" s="1"/>
      <c r="I229" s="1" t="s">
        <v>1142</v>
      </c>
      <c r="J229" s="1"/>
      <c r="K229" s="1"/>
      <c r="L229" s="1"/>
      <c r="M229" s="1"/>
      <c r="N229" s="1"/>
      <c r="O229" s="1"/>
      <c r="P229" s="1"/>
      <c r="Q229" s="1"/>
    </row>
    <row r="230" spans="1:17">
      <c r="A230" s="1"/>
      <c r="B230" s="1"/>
      <c r="C230" s="1"/>
      <c r="D230" s="1" t="s">
        <v>5150</v>
      </c>
      <c r="E230" s="1" t="s">
        <v>420</v>
      </c>
      <c r="F230" s="1"/>
      <c r="G230" s="1"/>
      <c r="H230" s="1"/>
      <c r="I230" s="1" t="s">
        <v>5013</v>
      </c>
      <c r="J230" s="1"/>
      <c r="K230" s="1"/>
      <c r="L230" s="1"/>
      <c r="M230" s="1"/>
      <c r="N230" s="1"/>
      <c r="O230" s="1"/>
      <c r="P230" s="1"/>
      <c r="Q230" s="1"/>
    </row>
    <row r="231" spans="1:17">
      <c r="A231" s="1"/>
      <c r="B231" s="1" t="s">
        <v>776</v>
      </c>
      <c r="C231" s="1" t="s">
        <v>777</v>
      </c>
      <c r="D231" s="1" t="s">
        <v>5146</v>
      </c>
      <c r="E231" s="1" t="s">
        <v>625</v>
      </c>
      <c r="F231" s="1">
        <v>1</v>
      </c>
      <c r="G231" s="1">
        <v>1.04</v>
      </c>
      <c r="H231" s="1">
        <v>10</v>
      </c>
      <c r="I231" s="1" t="s">
        <v>5101</v>
      </c>
      <c r="J231" s="1" t="s">
        <v>40</v>
      </c>
      <c r="K231" s="1" t="s">
        <v>762</v>
      </c>
      <c r="L231" s="1">
        <v>15601686832</v>
      </c>
      <c r="M231" s="1" t="s">
        <v>763</v>
      </c>
      <c r="N231" s="1" t="s">
        <v>780</v>
      </c>
      <c r="O231" s="1" t="s">
        <v>763</v>
      </c>
      <c r="P231" s="1">
        <v>15601686832</v>
      </c>
      <c r="Q231" s="1" t="s">
        <v>781</v>
      </c>
    </row>
    <row r="232" spans="1:17">
      <c r="A232" s="1"/>
      <c r="B232" s="1"/>
      <c r="C232" s="1"/>
      <c r="D232" s="1" t="s">
        <v>5151</v>
      </c>
      <c r="E232" s="1" t="s">
        <v>625</v>
      </c>
      <c r="F232" s="1"/>
      <c r="G232" s="1"/>
      <c r="H232" s="1"/>
      <c r="I232" s="1" t="s">
        <v>4985</v>
      </c>
      <c r="J232" s="1"/>
      <c r="K232" s="1"/>
      <c r="L232" s="1"/>
      <c r="M232" s="1"/>
      <c r="N232" s="1"/>
      <c r="O232" s="1"/>
      <c r="P232" s="1"/>
      <c r="Q232" s="1"/>
    </row>
    <row r="233" spans="1:17">
      <c r="A233" s="1"/>
      <c r="B233" s="1"/>
      <c r="C233" s="1"/>
      <c r="D233" s="1" t="s">
        <v>5152</v>
      </c>
      <c r="E233" s="1" t="s">
        <v>625</v>
      </c>
      <c r="F233" s="1"/>
      <c r="G233" s="1"/>
      <c r="H233" s="1"/>
      <c r="I233" s="1" t="s">
        <v>4987</v>
      </c>
      <c r="J233" s="1"/>
      <c r="K233" s="1"/>
      <c r="L233" s="1"/>
      <c r="M233" s="1"/>
      <c r="N233" s="1"/>
      <c r="O233" s="1"/>
      <c r="P233" s="1"/>
      <c r="Q233" s="1"/>
    </row>
    <row r="234" spans="1:17">
      <c r="A234" s="1"/>
      <c r="B234" s="1"/>
      <c r="C234" s="1"/>
      <c r="D234" s="1" t="s">
        <v>5153</v>
      </c>
      <c r="E234" s="1" t="s">
        <v>625</v>
      </c>
      <c r="F234" s="1"/>
      <c r="G234" s="1"/>
      <c r="H234" s="1"/>
      <c r="I234" s="1" t="s">
        <v>4987</v>
      </c>
      <c r="J234" s="1"/>
      <c r="K234" s="1"/>
      <c r="L234" s="1"/>
      <c r="M234" s="1"/>
      <c r="N234" s="1"/>
      <c r="O234" s="1"/>
      <c r="P234" s="1"/>
      <c r="Q234" s="1"/>
    </row>
    <row r="235" spans="1:17">
      <c r="A235" s="1"/>
      <c r="B235" s="1" t="s">
        <v>783</v>
      </c>
      <c r="C235" s="1" t="s">
        <v>784</v>
      </c>
      <c r="D235" s="1" t="s">
        <v>5081</v>
      </c>
      <c r="E235" s="1" t="s">
        <v>420</v>
      </c>
      <c r="F235" s="1">
        <v>1</v>
      </c>
      <c r="G235" s="1">
        <v>1.04</v>
      </c>
      <c r="H235" s="1">
        <v>6</v>
      </c>
      <c r="J235" s="1" t="s">
        <v>29</v>
      </c>
      <c r="K235" s="1" t="s">
        <v>786</v>
      </c>
      <c r="L235" s="1">
        <v>13931164773</v>
      </c>
      <c r="M235" s="1" t="s">
        <v>787</v>
      </c>
      <c r="N235" s="1" t="s">
        <v>788</v>
      </c>
      <c r="O235" s="1" t="s">
        <v>789</v>
      </c>
      <c r="P235" s="1">
        <v>18633200688</v>
      </c>
      <c r="Q235" s="1" t="s">
        <v>790</v>
      </c>
    </row>
    <row r="236" spans="1:17">
      <c r="A236" s="1"/>
      <c r="B236" s="1"/>
      <c r="C236" s="1"/>
      <c r="D236" s="1" t="s">
        <v>5154</v>
      </c>
      <c r="E236" s="1" t="s">
        <v>420</v>
      </c>
      <c r="F236" s="1"/>
      <c r="G236" s="1"/>
      <c r="H236" s="1"/>
      <c r="J236" s="1"/>
      <c r="K236" s="1"/>
      <c r="L236" s="1"/>
      <c r="M236" s="1"/>
      <c r="N236" s="1"/>
      <c r="O236" s="1"/>
      <c r="P236" s="1"/>
      <c r="Q236" s="1"/>
    </row>
    <row r="237" spans="1:17">
      <c r="A237" s="1"/>
      <c r="B237" s="1"/>
      <c r="C237" s="1"/>
      <c r="D237" s="1" t="s">
        <v>5155</v>
      </c>
      <c r="E237" s="1" t="s">
        <v>420</v>
      </c>
      <c r="F237" s="1"/>
      <c r="G237" s="1"/>
      <c r="H237" s="1"/>
      <c r="J237" s="1"/>
      <c r="K237" s="1"/>
      <c r="L237" s="1"/>
      <c r="M237" s="1"/>
      <c r="N237" s="1"/>
      <c r="O237" s="1"/>
      <c r="P237" s="1"/>
      <c r="Q237" s="1"/>
    </row>
    <row r="238" spans="1:17">
      <c r="A238" s="1"/>
      <c r="B238" s="1"/>
      <c r="C238" s="1"/>
      <c r="D238" s="1" t="s">
        <v>5156</v>
      </c>
      <c r="E238" s="1" t="s">
        <v>420</v>
      </c>
      <c r="F238" s="1"/>
      <c r="G238" s="1"/>
      <c r="H238" s="1"/>
      <c r="J238" s="1"/>
      <c r="K238" s="1"/>
      <c r="L238" s="1"/>
      <c r="M238" s="1"/>
      <c r="N238" s="1"/>
      <c r="O238" s="1"/>
      <c r="P238" s="1"/>
      <c r="Q238" s="1"/>
    </row>
    <row r="239" spans="1:17">
      <c r="A239" s="1"/>
      <c r="B239" s="1" t="s">
        <v>792</v>
      </c>
      <c r="C239" s="1" t="s">
        <v>793</v>
      </c>
      <c r="D239" s="1" t="s">
        <v>5033</v>
      </c>
      <c r="E239" s="1" t="s">
        <v>625</v>
      </c>
      <c r="F239" s="1">
        <v>1</v>
      </c>
      <c r="G239" s="1">
        <v>0.35</v>
      </c>
      <c r="H239" s="1">
        <v>3</v>
      </c>
      <c r="J239" s="1" t="s">
        <v>40</v>
      </c>
      <c r="K239" s="1" t="s">
        <v>795</v>
      </c>
      <c r="L239" s="1">
        <v>13692494568</v>
      </c>
      <c r="M239" s="1" t="s">
        <v>796</v>
      </c>
      <c r="N239" s="1" t="s">
        <v>797</v>
      </c>
      <c r="O239" s="1" t="s">
        <v>796</v>
      </c>
      <c r="P239" s="1">
        <v>13692494568</v>
      </c>
      <c r="Q239" s="1" t="s">
        <v>798</v>
      </c>
    </row>
    <row r="240" spans="1:17">
      <c r="A240" s="1"/>
      <c r="B240" s="1" t="s">
        <v>800</v>
      </c>
      <c r="C240" s="1" t="s">
        <v>801</v>
      </c>
      <c r="D240" s="1" t="s">
        <v>5157</v>
      </c>
      <c r="E240" s="1" t="s">
        <v>625</v>
      </c>
      <c r="F240" s="1">
        <v>1</v>
      </c>
      <c r="G240" s="1">
        <v>1.26</v>
      </c>
      <c r="H240" s="1">
        <v>10</v>
      </c>
      <c r="I240" s="1" t="s">
        <v>4983</v>
      </c>
      <c r="J240" s="1" t="s">
        <v>40</v>
      </c>
      <c r="K240" s="1" t="s">
        <v>803</v>
      </c>
      <c r="L240" s="1">
        <v>13905157909</v>
      </c>
      <c r="M240" s="1" t="s">
        <v>804</v>
      </c>
      <c r="N240" s="1" t="s">
        <v>805</v>
      </c>
      <c r="O240" s="1" t="s">
        <v>804</v>
      </c>
      <c r="P240" s="1">
        <v>13905157909</v>
      </c>
      <c r="Q240" s="1" t="s">
        <v>806</v>
      </c>
    </row>
    <row r="241" spans="1:17">
      <c r="A241" s="1"/>
      <c r="B241" s="1" t="s">
        <v>808</v>
      </c>
      <c r="C241" s="1" t="s">
        <v>809</v>
      </c>
      <c r="D241" s="1" t="s">
        <v>5158</v>
      </c>
      <c r="E241" s="1" t="s">
        <v>625</v>
      </c>
      <c r="F241" s="1">
        <v>1</v>
      </c>
      <c r="G241" s="1">
        <v>1.26</v>
      </c>
      <c r="H241" s="1">
        <v>13</v>
      </c>
      <c r="I241" s="1" t="s">
        <v>5101</v>
      </c>
      <c r="J241" s="1" t="s">
        <v>40</v>
      </c>
      <c r="K241" s="1" t="s">
        <v>812</v>
      </c>
      <c r="L241" s="1">
        <v>13601026293</v>
      </c>
      <c r="M241" s="1" t="s">
        <v>813</v>
      </c>
      <c r="N241" s="1" t="s">
        <v>814</v>
      </c>
      <c r="O241" s="1" t="s">
        <v>815</v>
      </c>
      <c r="P241" s="1">
        <v>13552858821</v>
      </c>
      <c r="Q241" s="1" t="s">
        <v>816</v>
      </c>
    </row>
    <row r="242" spans="1:17">
      <c r="A242" s="1"/>
      <c r="B242" s="1"/>
      <c r="C242" s="1"/>
      <c r="D242" s="1" t="s">
        <v>5159</v>
      </c>
      <c r="E242" s="1" t="s">
        <v>625</v>
      </c>
      <c r="F242" s="1"/>
      <c r="G242" s="1"/>
      <c r="H242" s="1"/>
      <c r="I242" s="1" t="s">
        <v>4985</v>
      </c>
      <c r="J242" s="1"/>
      <c r="K242" s="1"/>
      <c r="L242" s="1"/>
      <c r="M242" s="1"/>
      <c r="N242" s="1"/>
      <c r="O242" s="1"/>
      <c r="P242" s="1"/>
      <c r="Q242" s="1"/>
    </row>
    <row r="243" spans="1:17">
      <c r="A243" s="1"/>
      <c r="B243" s="1"/>
      <c r="C243" s="1"/>
      <c r="D243" s="1" t="s">
        <v>5098</v>
      </c>
      <c r="E243" s="1" t="s">
        <v>625</v>
      </c>
      <c r="F243" s="1"/>
      <c r="G243" s="1"/>
      <c r="H243" s="1"/>
      <c r="I243" s="1" t="s">
        <v>4983</v>
      </c>
      <c r="J243" s="1"/>
      <c r="K243" s="1"/>
      <c r="L243" s="1"/>
      <c r="M243" s="1"/>
      <c r="N243" s="1"/>
      <c r="O243" s="1"/>
      <c r="P243" s="1"/>
      <c r="Q243" s="1"/>
    </row>
    <row r="244" spans="1:17">
      <c r="A244" s="1"/>
      <c r="B244" s="1" t="s">
        <v>818</v>
      </c>
      <c r="C244" s="1" t="s">
        <v>819</v>
      </c>
      <c r="D244" s="1" t="s">
        <v>5160</v>
      </c>
      <c r="E244" s="1" t="s">
        <v>821</v>
      </c>
      <c r="F244" s="1">
        <v>1</v>
      </c>
      <c r="G244" s="1">
        <v>0.81</v>
      </c>
      <c r="H244" s="1">
        <v>1</v>
      </c>
      <c r="J244" s="1" t="s">
        <v>822</v>
      </c>
      <c r="K244" s="1" t="s">
        <v>823</v>
      </c>
      <c r="L244" s="1">
        <v>15851888777</v>
      </c>
      <c r="M244" s="1" t="s">
        <v>824</v>
      </c>
      <c r="N244" s="1" t="s">
        <v>825</v>
      </c>
      <c r="O244" s="1" t="s">
        <v>824</v>
      </c>
      <c r="P244" s="1">
        <v>15851888777</v>
      </c>
      <c r="Q244" s="1" t="s">
        <v>826</v>
      </c>
    </row>
    <row r="245" spans="1:17">
      <c r="A245" s="1"/>
      <c r="B245" s="1" t="s">
        <v>828</v>
      </c>
      <c r="C245" s="1" t="s">
        <v>829</v>
      </c>
      <c r="D245" s="1" t="s">
        <v>5100</v>
      </c>
      <c r="E245" s="1" t="s">
        <v>625</v>
      </c>
      <c r="F245" s="1">
        <v>1</v>
      </c>
      <c r="G245" s="1">
        <v>1.04</v>
      </c>
      <c r="H245" s="1">
        <v>12</v>
      </c>
      <c r="I245" s="1" t="s">
        <v>5101</v>
      </c>
      <c r="J245" s="1" t="s">
        <v>40</v>
      </c>
      <c r="K245" s="1" t="s">
        <v>832</v>
      </c>
      <c r="L245" s="1">
        <v>13957852776</v>
      </c>
      <c r="M245" s="1" t="s">
        <v>833</v>
      </c>
      <c r="N245" s="1" t="s">
        <v>834</v>
      </c>
      <c r="O245" s="1" t="s">
        <v>833</v>
      </c>
      <c r="P245" s="1">
        <v>13957852776</v>
      </c>
      <c r="Q245" s="1" t="s">
        <v>835</v>
      </c>
    </row>
    <row r="246" spans="1:17">
      <c r="A246" s="1"/>
      <c r="B246" s="1"/>
      <c r="C246" s="1"/>
      <c r="D246" s="1" t="s">
        <v>5161</v>
      </c>
      <c r="E246" s="1" t="s">
        <v>625</v>
      </c>
      <c r="F246" s="1"/>
      <c r="G246" s="1"/>
      <c r="H246" s="1"/>
      <c r="I246" s="1" t="s">
        <v>4987</v>
      </c>
      <c r="J246" s="1"/>
      <c r="K246" s="1"/>
      <c r="L246" s="1"/>
      <c r="M246" s="1"/>
      <c r="N246" s="1"/>
      <c r="O246" s="1"/>
      <c r="P246" s="1"/>
      <c r="Q246" s="1"/>
    </row>
    <row r="247" spans="1:17">
      <c r="A247" s="1"/>
      <c r="B247" s="1"/>
      <c r="C247" s="1"/>
      <c r="D247" s="1" t="s">
        <v>5044</v>
      </c>
      <c r="E247" s="1" t="s">
        <v>625</v>
      </c>
      <c r="F247" s="1"/>
      <c r="G247" s="1"/>
      <c r="H247" s="1"/>
      <c r="I247" s="1" t="s">
        <v>5048</v>
      </c>
      <c r="J247" s="1"/>
      <c r="K247" s="1"/>
      <c r="L247" s="1"/>
      <c r="M247" s="1"/>
      <c r="N247" s="1"/>
      <c r="O247" s="1"/>
      <c r="P247" s="1"/>
      <c r="Q247" s="1"/>
    </row>
    <row r="248" spans="1:17">
      <c r="A248" s="1"/>
      <c r="B248" s="1" t="s">
        <v>837</v>
      </c>
      <c r="C248" s="1" t="s">
        <v>838</v>
      </c>
      <c r="D248" s="1" t="s">
        <v>5162</v>
      </c>
      <c r="E248" s="1" t="s">
        <v>625</v>
      </c>
      <c r="F248" s="1">
        <v>1</v>
      </c>
      <c r="G248" s="1">
        <v>1.26</v>
      </c>
      <c r="H248" s="1">
        <v>10</v>
      </c>
      <c r="I248" s="1" t="s">
        <v>4985</v>
      </c>
      <c r="J248" s="1" t="s">
        <v>40</v>
      </c>
      <c r="K248" s="1" t="s">
        <v>841</v>
      </c>
      <c r="L248" s="1">
        <v>13857400062</v>
      </c>
      <c r="M248" s="1" t="s">
        <v>842</v>
      </c>
      <c r="N248" s="1" t="s">
        <v>843</v>
      </c>
      <c r="O248" s="1" t="s">
        <v>844</v>
      </c>
      <c r="P248" s="1">
        <v>15058843665</v>
      </c>
      <c r="Q248" s="1" t="s">
        <v>845</v>
      </c>
    </row>
    <row r="249" spans="1:17">
      <c r="A249" s="1"/>
      <c r="B249" s="1"/>
      <c r="C249" s="1"/>
      <c r="D249" s="1" t="s">
        <v>5071</v>
      </c>
      <c r="E249" s="1" t="s">
        <v>625</v>
      </c>
      <c r="F249" s="1"/>
      <c r="G249" s="1"/>
      <c r="H249" s="1"/>
      <c r="I249" s="1" t="s">
        <v>4983</v>
      </c>
      <c r="J249" s="1"/>
      <c r="K249" s="1"/>
      <c r="L249" s="1"/>
      <c r="M249" s="1"/>
      <c r="N249" s="1"/>
      <c r="O249" s="1"/>
      <c r="P249" s="1"/>
      <c r="Q249" s="1"/>
    </row>
    <row r="250" spans="1:17">
      <c r="A250" s="1"/>
      <c r="B250" s="1"/>
      <c r="C250" s="1"/>
      <c r="D250" s="1" t="s">
        <v>5072</v>
      </c>
      <c r="E250" s="1" t="s">
        <v>625</v>
      </c>
      <c r="F250" s="1"/>
      <c r="G250" s="1"/>
      <c r="H250" s="1"/>
      <c r="I250" s="1" t="s">
        <v>4987</v>
      </c>
      <c r="J250" s="1"/>
      <c r="K250" s="1"/>
      <c r="L250" s="1"/>
      <c r="M250" s="1"/>
      <c r="N250" s="1"/>
      <c r="O250" s="1"/>
      <c r="P250" s="1"/>
      <c r="Q250" s="1"/>
    </row>
    <row r="251" spans="1:17">
      <c r="A251" s="1"/>
      <c r="B251" s="1"/>
      <c r="C251" s="1"/>
      <c r="D251" s="1" t="s">
        <v>5019</v>
      </c>
      <c r="E251" s="1" t="s">
        <v>625</v>
      </c>
      <c r="F251" s="1"/>
      <c r="G251" s="1"/>
      <c r="H251" s="1"/>
      <c r="I251" s="1" t="s">
        <v>4983</v>
      </c>
      <c r="J251" s="1"/>
      <c r="K251" s="1"/>
      <c r="L251" s="1"/>
      <c r="M251" s="1"/>
      <c r="N251" s="1"/>
      <c r="O251" s="1"/>
      <c r="P251" s="1"/>
      <c r="Q251" s="1"/>
    </row>
    <row r="252" spans="1:17">
      <c r="A252" s="1"/>
      <c r="B252" s="1"/>
      <c r="C252" s="1"/>
      <c r="D252" s="1" t="s">
        <v>5163</v>
      </c>
      <c r="E252" s="1" t="s">
        <v>625</v>
      </c>
      <c r="F252" s="1"/>
      <c r="G252" s="1"/>
      <c r="H252" s="1"/>
      <c r="I252" s="1" t="s">
        <v>4987</v>
      </c>
      <c r="J252" s="1"/>
      <c r="K252" s="1"/>
      <c r="L252" s="1"/>
      <c r="M252" s="1"/>
      <c r="N252" s="1"/>
      <c r="O252" s="1"/>
      <c r="P252" s="1"/>
      <c r="Q252" s="1"/>
    </row>
    <row r="253" spans="1:17">
      <c r="A253" s="1"/>
      <c r="B253" s="1" t="s">
        <v>847</v>
      </c>
      <c r="C253" s="1" t="s">
        <v>848</v>
      </c>
      <c r="D253" s="1" t="s">
        <v>5164</v>
      </c>
      <c r="E253" s="1" t="s">
        <v>5165</v>
      </c>
      <c r="F253" s="1">
        <v>1</v>
      </c>
      <c r="G253" s="1">
        <v>2.63</v>
      </c>
      <c r="H253" s="1">
        <v>7</v>
      </c>
      <c r="J253" s="1" t="s">
        <v>40</v>
      </c>
      <c r="K253" s="1" t="s">
        <v>852</v>
      </c>
      <c r="L253" s="1">
        <v>13117728655</v>
      </c>
      <c r="M253" s="1" t="s">
        <v>853</v>
      </c>
      <c r="N253" s="1" t="s">
        <v>854</v>
      </c>
      <c r="O253" s="1" t="s">
        <v>853</v>
      </c>
      <c r="P253" s="1">
        <v>13117728655</v>
      </c>
      <c r="Q253" s="1" t="s">
        <v>855</v>
      </c>
    </row>
    <row r="254" spans="1:17">
      <c r="A254" s="1"/>
      <c r="B254" s="1"/>
      <c r="C254" s="1"/>
      <c r="D254" s="1" t="s">
        <v>5166</v>
      </c>
      <c r="E254" s="1" t="s">
        <v>5165</v>
      </c>
      <c r="F254" s="1"/>
      <c r="G254" s="1"/>
      <c r="H254" s="1"/>
      <c r="J254" s="1"/>
      <c r="K254" s="1"/>
      <c r="L254" s="1"/>
      <c r="M254" s="1"/>
      <c r="N254" s="1"/>
      <c r="O254" s="1"/>
      <c r="P254" s="1"/>
      <c r="Q254" s="1"/>
    </row>
    <row r="255" spans="1:17">
      <c r="A255" s="1"/>
      <c r="B255" s="1"/>
      <c r="C255" s="1"/>
      <c r="D255" s="1" t="s">
        <v>5167</v>
      </c>
      <c r="E255" s="1" t="s">
        <v>5165</v>
      </c>
      <c r="F255" s="1"/>
      <c r="G255" s="1"/>
      <c r="H255" s="1"/>
      <c r="J255" s="1"/>
      <c r="K255" s="1"/>
      <c r="L255" s="1"/>
      <c r="M255" s="1"/>
      <c r="N255" s="1"/>
      <c r="O255" s="1"/>
      <c r="P255" s="1"/>
      <c r="Q255" s="1"/>
    </row>
    <row r="256" spans="1:17">
      <c r="A256" s="1"/>
      <c r="B256" s="1"/>
      <c r="C256" s="1"/>
      <c r="D256" s="1" t="s">
        <v>5023</v>
      </c>
      <c r="E256" s="1" t="s">
        <v>5165</v>
      </c>
      <c r="F256" s="1"/>
      <c r="G256" s="1"/>
      <c r="H256" s="1"/>
      <c r="J256" s="1"/>
      <c r="K256" s="1"/>
      <c r="L256" s="1"/>
      <c r="M256" s="1"/>
      <c r="N256" s="1"/>
      <c r="O256" s="1"/>
      <c r="P256" s="1"/>
      <c r="Q256" s="1"/>
    </row>
    <row r="257" spans="1:17">
      <c r="A257" s="1"/>
      <c r="B257" s="1"/>
      <c r="C257" s="1"/>
      <c r="D257" s="1" t="s">
        <v>5128</v>
      </c>
      <c r="E257" s="1" t="s">
        <v>5165</v>
      </c>
      <c r="F257" s="1"/>
      <c r="G257" s="1"/>
      <c r="H257" s="1"/>
      <c r="J257" s="1"/>
      <c r="K257" s="1"/>
      <c r="L257" s="1"/>
      <c r="M257" s="1"/>
      <c r="N257" s="1"/>
      <c r="O257" s="1"/>
      <c r="P257" s="1"/>
      <c r="Q257" s="1"/>
    </row>
    <row r="258" spans="1:17">
      <c r="A258" s="1"/>
      <c r="B258" s="1"/>
      <c r="C258" s="1"/>
      <c r="D258" s="1" t="s">
        <v>5168</v>
      </c>
      <c r="E258" s="1" t="s">
        <v>5165</v>
      </c>
      <c r="F258" s="1"/>
      <c r="G258" s="1"/>
      <c r="H258" s="1"/>
      <c r="J258" s="1"/>
      <c r="K258" s="1"/>
      <c r="L258" s="1"/>
      <c r="M258" s="1"/>
      <c r="N258" s="1"/>
      <c r="O258" s="1"/>
      <c r="P258" s="1"/>
      <c r="Q258" s="1"/>
    </row>
    <row r="259" spans="1:17">
      <c r="A259" s="1"/>
      <c r="B259" s="1"/>
      <c r="C259" s="1"/>
      <c r="D259" s="1" t="s">
        <v>5169</v>
      </c>
      <c r="E259" s="1" t="s">
        <v>5165</v>
      </c>
      <c r="F259" s="1"/>
      <c r="G259" s="1"/>
      <c r="H259" s="1"/>
      <c r="J259" s="1"/>
      <c r="K259" s="1"/>
      <c r="L259" s="1"/>
      <c r="M259" s="1"/>
      <c r="N259" s="1"/>
      <c r="O259" s="1"/>
      <c r="P259" s="1"/>
      <c r="Q259" s="1"/>
    </row>
    <row r="260" spans="1:17">
      <c r="A260" s="1"/>
      <c r="B260" s="1" t="s">
        <v>857</v>
      </c>
      <c r="C260" s="1" t="s">
        <v>858</v>
      </c>
      <c r="D260" s="1" t="s">
        <v>5170</v>
      </c>
      <c r="E260" s="1" t="s">
        <v>625</v>
      </c>
      <c r="F260" s="1">
        <v>1</v>
      </c>
      <c r="G260" s="1">
        <v>1.04</v>
      </c>
      <c r="H260" s="1">
        <v>2</v>
      </c>
      <c r="J260" s="1" t="s">
        <v>40</v>
      </c>
      <c r="K260" s="1" t="s">
        <v>860</v>
      </c>
      <c r="L260" s="1">
        <v>15941753117</v>
      </c>
      <c r="M260" s="1" t="s">
        <v>861</v>
      </c>
      <c r="N260" s="1" t="s">
        <v>862</v>
      </c>
      <c r="O260" s="1" t="s">
        <v>861</v>
      </c>
      <c r="P260" s="1">
        <v>15941753117</v>
      </c>
      <c r="Q260" s="1" t="s">
        <v>863</v>
      </c>
    </row>
    <row r="261" spans="1:17">
      <c r="A261" s="1"/>
      <c r="B261" s="1" t="s">
        <v>865</v>
      </c>
      <c r="C261" s="1" t="s">
        <v>866</v>
      </c>
      <c r="D261" s="1" t="s">
        <v>5171</v>
      </c>
      <c r="E261" s="1" t="s">
        <v>2413</v>
      </c>
      <c r="F261" s="1">
        <v>1</v>
      </c>
      <c r="G261" s="1">
        <v>1.49</v>
      </c>
      <c r="H261" s="1">
        <v>9</v>
      </c>
      <c r="I261" s="1" t="s">
        <v>4972</v>
      </c>
      <c r="J261" s="1" t="s">
        <v>29</v>
      </c>
      <c r="K261" s="1" t="s">
        <v>870</v>
      </c>
      <c r="L261" s="1">
        <v>15652037350</v>
      </c>
      <c r="M261" s="1" t="s">
        <v>871</v>
      </c>
      <c r="N261" s="1" t="s">
        <v>872</v>
      </c>
      <c r="O261" s="1" t="s">
        <v>873</v>
      </c>
      <c r="P261" s="1">
        <v>15522943484</v>
      </c>
      <c r="Q261" s="1" t="s">
        <v>874</v>
      </c>
    </row>
    <row r="262" spans="1:17">
      <c r="A262" s="1"/>
      <c r="B262" s="1"/>
      <c r="C262" s="1"/>
      <c r="D262" s="1" t="s">
        <v>5172</v>
      </c>
      <c r="E262" s="1" t="s">
        <v>2413</v>
      </c>
      <c r="F262" s="1"/>
      <c r="G262" s="1"/>
      <c r="H262" s="1"/>
      <c r="I262" s="1" t="s">
        <v>4970</v>
      </c>
      <c r="J262" s="1"/>
      <c r="K262" s="1"/>
      <c r="L262" s="1"/>
      <c r="M262" s="1"/>
      <c r="N262" s="1"/>
      <c r="O262" s="1"/>
      <c r="P262" s="1"/>
      <c r="Q262" s="1"/>
    </row>
    <row r="263" spans="1:17">
      <c r="A263" s="1"/>
      <c r="B263" s="1"/>
      <c r="C263" s="1"/>
      <c r="D263" s="1" t="s">
        <v>4969</v>
      </c>
      <c r="E263" s="1" t="s">
        <v>2413</v>
      </c>
      <c r="F263" s="1"/>
      <c r="G263" s="1"/>
      <c r="H263" s="1"/>
      <c r="I263" s="1" t="s">
        <v>5173</v>
      </c>
      <c r="J263" s="1"/>
      <c r="K263" s="1"/>
      <c r="L263" s="1"/>
      <c r="M263" s="1"/>
      <c r="N263" s="1"/>
      <c r="O263" s="1"/>
      <c r="P263" s="1"/>
      <c r="Q263" s="1"/>
    </row>
    <row r="264" spans="1:17">
      <c r="A264" s="1"/>
      <c r="B264" s="1"/>
      <c r="C264" s="1"/>
      <c r="D264" s="1" t="s">
        <v>5174</v>
      </c>
      <c r="E264" s="1" t="s">
        <v>2413</v>
      </c>
      <c r="F264" s="1"/>
      <c r="G264" s="1"/>
      <c r="H264" s="1"/>
      <c r="I264" s="1" t="s">
        <v>4968</v>
      </c>
      <c r="J264" s="1"/>
      <c r="K264" s="1"/>
      <c r="L264" s="1"/>
      <c r="M264" s="1"/>
      <c r="N264" s="1"/>
      <c r="O264" s="1"/>
      <c r="P264" s="1"/>
      <c r="Q264" s="1"/>
    </row>
    <row r="265" spans="1:17">
      <c r="A265" s="1"/>
      <c r="B265" s="1" t="s">
        <v>876</v>
      </c>
      <c r="C265" s="1" t="s">
        <v>877</v>
      </c>
      <c r="D265" s="1" t="s">
        <v>4967</v>
      </c>
      <c r="E265" s="1" t="s">
        <v>2413</v>
      </c>
      <c r="F265" s="1">
        <v>1</v>
      </c>
      <c r="G265" s="1">
        <v>0.81</v>
      </c>
      <c r="H265" s="1">
        <v>9</v>
      </c>
      <c r="I265" s="1" t="s">
        <v>4968</v>
      </c>
      <c r="J265" s="1" t="s">
        <v>29</v>
      </c>
      <c r="K265" s="1" t="s">
        <v>879</v>
      </c>
      <c r="L265" s="1">
        <v>18330660293</v>
      </c>
      <c r="M265" s="1" t="s">
        <v>880</v>
      </c>
      <c r="N265" s="1" t="s">
        <v>881</v>
      </c>
      <c r="O265" s="1" t="s">
        <v>882</v>
      </c>
      <c r="P265" s="1">
        <v>13180345166</v>
      </c>
      <c r="Q265" s="1" t="s">
        <v>883</v>
      </c>
    </row>
    <row r="266" spans="1:17">
      <c r="A266" s="1"/>
      <c r="B266" s="1"/>
      <c r="C266" s="1"/>
      <c r="D266" s="1" t="s">
        <v>5175</v>
      </c>
      <c r="E266" s="1" t="s">
        <v>2413</v>
      </c>
      <c r="F266" s="1"/>
      <c r="G266" s="1"/>
      <c r="H266" s="1"/>
      <c r="I266" s="1" t="s">
        <v>4970</v>
      </c>
      <c r="J266" s="1"/>
      <c r="K266" s="1"/>
      <c r="L266" s="1"/>
      <c r="M266" s="1"/>
      <c r="N266" s="1"/>
      <c r="O266" s="1"/>
      <c r="P266" s="1"/>
      <c r="Q266" s="1"/>
    </row>
    <row r="267" spans="1:17">
      <c r="A267" s="1"/>
      <c r="B267" s="1" t="s">
        <v>885</v>
      </c>
      <c r="C267" s="1" t="s">
        <v>886</v>
      </c>
      <c r="D267" s="1" t="s">
        <v>5171</v>
      </c>
      <c r="E267" s="1" t="s">
        <v>449</v>
      </c>
      <c r="F267" s="1">
        <v>1</v>
      </c>
      <c r="G267" s="1">
        <v>1.26</v>
      </c>
      <c r="H267" s="1">
        <v>8</v>
      </c>
      <c r="I267" s="1" t="s">
        <v>4972</v>
      </c>
      <c r="J267" s="1" t="s">
        <v>29</v>
      </c>
      <c r="K267" s="1" t="s">
        <v>890</v>
      </c>
      <c r="L267" s="1">
        <v>18733631372</v>
      </c>
      <c r="M267" s="1" t="s">
        <v>880</v>
      </c>
      <c r="N267" s="1" t="s">
        <v>891</v>
      </c>
      <c r="O267" s="1" t="s">
        <v>892</v>
      </c>
      <c r="P267" s="1">
        <v>15231610316</v>
      </c>
      <c r="Q267" s="1" t="s">
        <v>893</v>
      </c>
    </row>
    <row r="268" spans="1:17">
      <c r="A268" s="1"/>
      <c r="B268" s="1"/>
      <c r="C268" s="1"/>
      <c r="D268" s="1" t="s">
        <v>5060</v>
      </c>
      <c r="E268" s="1" t="s">
        <v>5176</v>
      </c>
      <c r="F268" s="1"/>
      <c r="G268" s="1"/>
      <c r="H268" s="1"/>
      <c r="I268" s="1" t="s">
        <v>5177</v>
      </c>
      <c r="J268" s="1"/>
      <c r="K268" s="1"/>
      <c r="L268" s="1"/>
      <c r="M268" s="1"/>
      <c r="N268" s="1"/>
      <c r="O268" s="1"/>
      <c r="P268" s="1"/>
      <c r="Q268" s="1"/>
    </row>
    <row r="269" spans="1:17">
      <c r="A269" s="1"/>
      <c r="B269" s="1"/>
      <c r="C269" s="1"/>
      <c r="D269" s="1" t="s">
        <v>5178</v>
      </c>
      <c r="E269" s="1" t="s">
        <v>5176</v>
      </c>
      <c r="F269" s="1"/>
      <c r="G269" s="1"/>
      <c r="H269" s="1"/>
      <c r="I269" s="1" t="s">
        <v>5173</v>
      </c>
      <c r="J269" s="1"/>
      <c r="K269" s="1"/>
      <c r="L269" s="1"/>
      <c r="M269" s="1"/>
      <c r="N269" s="1"/>
      <c r="O269" s="1"/>
      <c r="P269" s="1"/>
      <c r="Q269" s="1"/>
    </row>
    <row r="270" spans="1:17">
      <c r="A270" s="1"/>
      <c r="B270" s="1"/>
      <c r="C270" s="1"/>
      <c r="D270" s="1" t="s">
        <v>5179</v>
      </c>
      <c r="E270" s="1" t="s">
        <v>5176</v>
      </c>
      <c r="F270" s="1"/>
      <c r="G270" s="1"/>
      <c r="H270" s="1"/>
      <c r="I270" s="1" t="s">
        <v>5180</v>
      </c>
      <c r="J270" s="1"/>
      <c r="K270" s="1"/>
      <c r="L270" s="1"/>
      <c r="M270" s="1"/>
      <c r="N270" s="1"/>
      <c r="O270" s="1"/>
      <c r="P270" s="1"/>
      <c r="Q270" s="1"/>
    </row>
    <row r="271" spans="1:17">
      <c r="A271" s="1"/>
      <c r="B271" s="1" t="s">
        <v>895</v>
      </c>
      <c r="C271" s="1" t="s">
        <v>896</v>
      </c>
      <c r="D271" s="1" t="s">
        <v>5181</v>
      </c>
      <c r="E271" s="1" t="s">
        <v>625</v>
      </c>
      <c r="F271" s="1">
        <v>1</v>
      </c>
      <c r="G271" s="1">
        <v>0.81</v>
      </c>
      <c r="H271" s="1">
        <v>8</v>
      </c>
      <c r="J271" s="1" t="s">
        <v>40</v>
      </c>
      <c r="K271" s="1" t="s">
        <v>899</v>
      </c>
      <c r="L271" s="1">
        <v>18903126532</v>
      </c>
      <c r="M271" s="1" t="s">
        <v>900</v>
      </c>
      <c r="N271" s="1" t="s">
        <v>901</v>
      </c>
      <c r="O271" s="1" t="s">
        <v>902</v>
      </c>
      <c r="P271" s="1">
        <v>13731663195</v>
      </c>
      <c r="Q271" s="1" t="s">
        <v>903</v>
      </c>
    </row>
    <row r="272" spans="1:17">
      <c r="A272" s="1"/>
      <c r="B272" s="1"/>
      <c r="C272" s="1"/>
      <c r="D272" s="1" t="s">
        <v>5020</v>
      </c>
      <c r="E272" s="1" t="s">
        <v>625</v>
      </c>
      <c r="F272" s="1"/>
      <c r="G272" s="1"/>
      <c r="H272" s="1"/>
      <c r="I272" s="1" t="s">
        <v>4985</v>
      </c>
      <c r="J272" s="1"/>
      <c r="K272" s="1"/>
      <c r="L272" s="1"/>
      <c r="M272" s="1"/>
      <c r="N272" s="1"/>
      <c r="O272" s="1"/>
      <c r="P272" s="1"/>
      <c r="Q272" s="1"/>
    </row>
    <row r="273" spans="1:17">
      <c r="A273" s="1"/>
      <c r="B273" s="1" t="s">
        <v>905</v>
      </c>
      <c r="C273" s="1" t="s">
        <v>906</v>
      </c>
      <c r="D273" s="1" t="s">
        <v>5112</v>
      </c>
      <c r="E273" s="1" t="s">
        <v>908</v>
      </c>
      <c r="F273" s="1">
        <v>1</v>
      </c>
      <c r="G273" s="1">
        <v>0.81</v>
      </c>
      <c r="H273" s="1">
        <v>1</v>
      </c>
      <c r="J273" s="1" t="s">
        <v>29</v>
      </c>
      <c r="K273" s="1" t="s">
        <v>909</v>
      </c>
      <c r="L273" s="1">
        <v>13904520232</v>
      </c>
      <c r="M273" s="1" t="s">
        <v>910</v>
      </c>
      <c r="N273" s="1" t="s">
        <v>911</v>
      </c>
      <c r="O273" s="1" t="s">
        <v>910</v>
      </c>
      <c r="P273" s="1">
        <v>13904520232</v>
      </c>
      <c r="Q273" s="1" t="s">
        <v>912</v>
      </c>
    </row>
    <row r="274" spans="1:17">
      <c r="A274" s="1"/>
      <c r="B274" s="1" t="s">
        <v>914</v>
      </c>
      <c r="C274" s="1" t="s">
        <v>915</v>
      </c>
      <c r="D274" s="1" t="s">
        <v>5182</v>
      </c>
      <c r="E274" s="1" t="s">
        <v>625</v>
      </c>
      <c r="F274" s="1">
        <v>1</v>
      </c>
      <c r="G274" s="1">
        <v>1.72</v>
      </c>
      <c r="H274" s="1">
        <v>3</v>
      </c>
      <c r="J274" s="1" t="s">
        <v>40</v>
      </c>
      <c r="K274" s="1" t="s">
        <v>917</v>
      </c>
      <c r="L274" s="1">
        <v>15900779722</v>
      </c>
      <c r="M274" s="1" t="s">
        <v>918</v>
      </c>
      <c r="N274" s="1" t="s">
        <v>919</v>
      </c>
      <c r="O274" s="1" t="s">
        <v>920</v>
      </c>
      <c r="P274" s="1">
        <v>13520244573</v>
      </c>
      <c r="Q274" s="1" t="s">
        <v>921</v>
      </c>
    </row>
    <row r="275" spans="1:17">
      <c r="A275" s="1"/>
      <c r="B275" s="1" t="s">
        <v>923</v>
      </c>
      <c r="C275" s="1" t="s">
        <v>924</v>
      </c>
      <c r="D275" s="1" t="s">
        <v>1274</v>
      </c>
      <c r="E275" s="1" t="s">
        <v>420</v>
      </c>
      <c r="F275" s="1">
        <v>1</v>
      </c>
      <c r="G275" s="1">
        <v>1.04</v>
      </c>
      <c r="H275" s="1">
        <v>13</v>
      </c>
      <c r="I275" s="1" t="s">
        <v>5105</v>
      </c>
      <c r="J275" s="1" t="s">
        <v>40</v>
      </c>
      <c r="K275" s="1" t="s">
        <v>927</v>
      </c>
      <c r="L275" s="1">
        <v>13770660472</v>
      </c>
      <c r="M275" s="1" t="s">
        <v>928</v>
      </c>
      <c r="N275" s="1" t="s">
        <v>929</v>
      </c>
      <c r="O275" s="1" t="s">
        <v>928</v>
      </c>
      <c r="P275" s="1">
        <v>13770660472</v>
      </c>
      <c r="Q275" s="1" t="s">
        <v>930</v>
      </c>
    </row>
    <row r="276" spans="1:17">
      <c r="A276" s="1"/>
      <c r="B276" s="1"/>
      <c r="C276" s="1"/>
      <c r="D276" s="1" t="s">
        <v>5183</v>
      </c>
      <c r="E276" s="1" t="s">
        <v>420</v>
      </c>
      <c r="F276" s="1"/>
      <c r="G276" s="1"/>
      <c r="H276" s="1"/>
      <c r="I276" s="1" t="s">
        <v>1634</v>
      </c>
      <c r="J276" s="1"/>
      <c r="K276" s="1"/>
      <c r="L276" s="1"/>
      <c r="M276" s="1"/>
      <c r="N276" s="1"/>
      <c r="O276" s="1"/>
      <c r="P276" s="1"/>
      <c r="Q276" s="1"/>
    </row>
    <row r="277" spans="1:17">
      <c r="A277" s="1"/>
      <c r="B277" s="1"/>
      <c r="C277" s="1"/>
      <c r="D277" s="1" t="s">
        <v>4990</v>
      </c>
      <c r="E277" s="1" t="s">
        <v>420</v>
      </c>
      <c r="F277" s="1"/>
      <c r="G277" s="1"/>
      <c r="H277" s="1"/>
      <c r="I277" s="1" t="s">
        <v>5111</v>
      </c>
      <c r="J277" s="1"/>
      <c r="K277" s="1"/>
      <c r="L277" s="1"/>
      <c r="M277" s="1"/>
      <c r="N277" s="1"/>
      <c r="O277" s="1"/>
      <c r="P277" s="1"/>
      <c r="Q277" s="1"/>
    </row>
    <row r="278" spans="1:17">
      <c r="A278" s="1"/>
      <c r="B278" s="1"/>
      <c r="C278" s="1"/>
      <c r="D278" s="1" t="s">
        <v>5184</v>
      </c>
      <c r="E278" s="1" t="s">
        <v>420</v>
      </c>
      <c r="F278" s="1"/>
      <c r="G278" s="1"/>
      <c r="H278" s="1"/>
      <c r="I278" s="1" t="s">
        <v>4963</v>
      </c>
      <c r="J278" s="1"/>
      <c r="K278" s="1"/>
      <c r="L278" s="1"/>
      <c r="M278" s="1"/>
      <c r="N278" s="1"/>
      <c r="O278" s="1"/>
      <c r="P278" s="1"/>
      <c r="Q278" s="1"/>
    </row>
    <row r="279" spans="1:17">
      <c r="A279" s="1"/>
      <c r="B279" s="1" t="s">
        <v>932</v>
      </c>
      <c r="C279" s="1" t="s">
        <v>933</v>
      </c>
      <c r="D279" s="1" t="s">
        <v>4984</v>
      </c>
      <c r="E279" s="1" t="s">
        <v>625</v>
      </c>
      <c r="F279" s="1">
        <v>1</v>
      </c>
      <c r="G279" s="1">
        <v>1.72</v>
      </c>
      <c r="H279" s="1">
        <v>15</v>
      </c>
      <c r="J279" s="1" t="s">
        <v>40</v>
      </c>
      <c r="K279" s="1" t="s">
        <v>935</v>
      </c>
      <c r="L279" s="1">
        <v>13544528260</v>
      </c>
      <c r="M279" s="1" t="s">
        <v>936</v>
      </c>
      <c r="N279" s="1" t="s">
        <v>937</v>
      </c>
      <c r="O279" s="1" t="s">
        <v>938</v>
      </c>
      <c r="P279" s="1">
        <v>13902327820</v>
      </c>
      <c r="Q279" s="1" t="s">
        <v>939</v>
      </c>
    </row>
    <row r="280" spans="1:17">
      <c r="A280" s="1"/>
      <c r="B280" s="1"/>
      <c r="C280" s="1"/>
      <c r="D280" s="1" t="s">
        <v>5024</v>
      </c>
      <c r="E280" s="1" t="s">
        <v>625</v>
      </c>
      <c r="F280" s="1"/>
      <c r="G280" s="1"/>
      <c r="H280" s="1"/>
      <c r="J280" s="1"/>
      <c r="K280" s="1"/>
      <c r="L280" s="1"/>
      <c r="M280" s="1"/>
      <c r="N280" s="1"/>
      <c r="O280" s="1"/>
      <c r="P280" s="1"/>
      <c r="Q280" s="1"/>
    </row>
    <row r="281" spans="1:17">
      <c r="A281" s="1"/>
      <c r="B281" s="1"/>
      <c r="C281" s="1"/>
      <c r="D281" s="1" t="s">
        <v>5185</v>
      </c>
      <c r="E281" s="1" t="s">
        <v>625</v>
      </c>
      <c r="F281" s="1"/>
      <c r="G281" s="1"/>
      <c r="H281" s="1"/>
      <c r="J281" s="1"/>
      <c r="K281" s="1"/>
      <c r="L281" s="1"/>
      <c r="M281" s="1"/>
      <c r="N281" s="1"/>
      <c r="O281" s="1"/>
      <c r="P281" s="1"/>
      <c r="Q281" s="1"/>
    </row>
    <row r="282" spans="1:17">
      <c r="A282" s="1"/>
      <c r="B282" s="1"/>
      <c r="C282" s="1"/>
      <c r="D282" s="1" t="s">
        <v>5186</v>
      </c>
      <c r="E282" s="1" t="s">
        <v>625</v>
      </c>
      <c r="F282" s="1"/>
      <c r="G282" s="1"/>
      <c r="H282" s="1"/>
      <c r="J282" s="1"/>
      <c r="K282" s="1"/>
      <c r="L282" s="1"/>
      <c r="M282" s="1"/>
      <c r="N282" s="1"/>
      <c r="O282" s="1"/>
      <c r="P282" s="1"/>
      <c r="Q282" s="1"/>
    </row>
    <row r="283" spans="1:17">
      <c r="A283" s="1"/>
      <c r="B283" s="1" t="s">
        <v>941</v>
      </c>
      <c r="C283" s="1" t="s">
        <v>942</v>
      </c>
      <c r="D283" s="1" t="s">
        <v>4984</v>
      </c>
      <c r="E283" s="1" t="s">
        <v>625</v>
      </c>
      <c r="F283" s="1">
        <v>1</v>
      </c>
      <c r="G283" s="1">
        <v>1.72</v>
      </c>
      <c r="H283" s="1">
        <v>15</v>
      </c>
      <c r="J283" s="1" t="s">
        <v>40</v>
      </c>
      <c r="K283" s="1" t="s">
        <v>945</v>
      </c>
      <c r="L283" s="1">
        <v>13512756600</v>
      </c>
      <c r="M283" s="1" t="s">
        <v>946</v>
      </c>
      <c r="N283" s="1" t="s">
        <v>947</v>
      </c>
      <c r="O283" s="1" t="s">
        <v>948</v>
      </c>
      <c r="P283" s="1">
        <v>15918652320</v>
      </c>
      <c r="Q283" s="1" t="s">
        <v>949</v>
      </c>
    </row>
    <row r="284" spans="1:17">
      <c r="A284" s="1"/>
      <c r="B284" s="1"/>
      <c r="C284" s="1"/>
      <c r="D284" s="1" t="s">
        <v>5024</v>
      </c>
      <c r="E284" s="1" t="s">
        <v>625</v>
      </c>
      <c r="F284" s="1"/>
      <c r="G284" s="1"/>
      <c r="H284" s="1"/>
      <c r="J284" s="1"/>
      <c r="K284" s="1"/>
      <c r="L284" s="1"/>
      <c r="M284" s="1"/>
      <c r="N284" s="1"/>
      <c r="O284" s="1"/>
      <c r="P284" s="1"/>
      <c r="Q284" s="1"/>
    </row>
    <row r="285" spans="1:17">
      <c r="A285" s="1"/>
      <c r="B285" s="1"/>
      <c r="C285" s="1"/>
      <c r="D285" s="1" t="s">
        <v>5187</v>
      </c>
      <c r="E285" s="1" t="s">
        <v>625</v>
      </c>
      <c r="F285" s="1"/>
      <c r="G285" s="1"/>
      <c r="H285" s="1"/>
      <c r="J285" s="1"/>
      <c r="K285" s="1"/>
      <c r="L285" s="1"/>
      <c r="M285" s="1"/>
      <c r="N285" s="1"/>
      <c r="O285" s="1"/>
      <c r="P285" s="1"/>
      <c r="Q285" s="1"/>
    </row>
    <row r="286" spans="1:17">
      <c r="A286" s="1"/>
      <c r="B286" s="1"/>
      <c r="C286" s="1"/>
      <c r="D286" s="1" t="s">
        <v>5029</v>
      </c>
      <c r="E286" s="1" t="s">
        <v>625</v>
      </c>
      <c r="F286" s="1"/>
      <c r="G286" s="1"/>
      <c r="H286" s="1"/>
      <c r="J286" s="1"/>
      <c r="K286" s="1"/>
      <c r="L286" s="1"/>
      <c r="M286" s="1"/>
      <c r="N286" s="1"/>
      <c r="O286" s="1"/>
      <c r="P286" s="1"/>
      <c r="Q286" s="1"/>
    </row>
    <row r="287" spans="1:17">
      <c r="A287" s="1"/>
      <c r="B287" s="1"/>
      <c r="C287" s="1"/>
      <c r="D287" s="1" t="s">
        <v>5188</v>
      </c>
      <c r="E287" s="1" t="s">
        <v>625</v>
      </c>
      <c r="F287" s="1"/>
      <c r="G287" s="1"/>
      <c r="H287" s="1"/>
      <c r="J287" s="1"/>
      <c r="K287" s="1"/>
      <c r="L287" s="1"/>
      <c r="M287" s="1"/>
      <c r="N287" s="1"/>
      <c r="O287" s="1"/>
      <c r="P287" s="1"/>
      <c r="Q287" s="1"/>
    </row>
    <row r="288" spans="1:17">
      <c r="A288" s="1"/>
      <c r="B288" s="1"/>
      <c r="C288" s="1"/>
      <c r="D288" s="1" t="s">
        <v>5030</v>
      </c>
      <c r="E288" s="1" t="s">
        <v>625</v>
      </c>
      <c r="F288" s="1"/>
      <c r="G288" s="1"/>
      <c r="H288" s="1"/>
      <c r="J288" s="1"/>
      <c r="K288" s="1"/>
      <c r="L288" s="1"/>
      <c r="M288" s="1"/>
      <c r="N288" s="1"/>
      <c r="O288" s="1"/>
      <c r="P288" s="1"/>
      <c r="Q288" s="1"/>
    </row>
    <row r="289" spans="1:17">
      <c r="A289" s="1"/>
      <c r="B289" s="1" t="s">
        <v>951</v>
      </c>
      <c r="C289" s="1" t="s">
        <v>952</v>
      </c>
      <c r="D289" s="1" t="s">
        <v>5189</v>
      </c>
      <c r="E289" s="1" t="s">
        <v>625</v>
      </c>
      <c r="F289" s="1">
        <v>1</v>
      </c>
      <c r="G289" s="1">
        <v>1.95</v>
      </c>
      <c r="H289" s="1">
        <v>15</v>
      </c>
      <c r="J289" s="1" t="s">
        <v>40</v>
      </c>
      <c r="K289" s="1" t="s">
        <v>954</v>
      </c>
      <c r="L289" s="1">
        <v>13808869361</v>
      </c>
      <c r="M289" s="1" t="s">
        <v>955</v>
      </c>
      <c r="N289" s="1" t="s">
        <v>956</v>
      </c>
      <c r="O289" s="1" t="s">
        <v>957</v>
      </c>
      <c r="P289" s="1">
        <v>13728026148</v>
      </c>
      <c r="Q289" s="1" t="s">
        <v>958</v>
      </c>
    </row>
    <row r="290" spans="1:17">
      <c r="A290" s="1"/>
      <c r="B290" s="1"/>
      <c r="C290" s="1"/>
      <c r="D290" s="1" t="s">
        <v>5187</v>
      </c>
      <c r="E290" s="1" t="s">
        <v>625</v>
      </c>
      <c r="F290" s="1"/>
      <c r="G290" s="1"/>
      <c r="H290" s="1"/>
      <c r="J290" s="1"/>
      <c r="K290" s="1"/>
      <c r="L290" s="1"/>
      <c r="M290" s="1"/>
      <c r="N290" s="1"/>
      <c r="O290" s="1"/>
      <c r="P290" s="1"/>
      <c r="Q290" s="1"/>
    </row>
    <row r="291" spans="1:17">
      <c r="A291" s="1"/>
      <c r="B291" s="1"/>
      <c r="C291" s="1"/>
      <c r="D291" s="1" t="s">
        <v>5185</v>
      </c>
      <c r="E291" s="1" t="s">
        <v>625</v>
      </c>
      <c r="F291" s="1"/>
      <c r="G291" s="1"/>
      <c r="H291" s="1"/>
      <c r="J291" s="1"/>
      <c r="K291" s="1"/>
      <c r="L291" s="1"/>
      <c r="M291" s="1"/>
      <c r="N291" s="1"/>
      <c r="O291" s="1"/>
      <c r="P291" s="1"/>
      <c r="Q291" s="1"/>
    </row>
    <row r="292" spans="1:17">
      <c r="A292" s="1"/>
      <c r="B292" s="1"/>
      <c r="C292" s="1"/>
      <c r="D292" s="1" t="s">
        <v>5072</v>
      </c>
      <c r="E292" s="1" t="s">
        <v>625</v>
      </c>
      <c r="F292" s="1"/>
      <c r="G292" s="1"/>
      <c r="H292" s="1"/>
      <c r="J292" s="1"/>
      <c r="K292" s="1"/>
      <c r="L292" s="1"/>
      <c r="M292" s="1"/>
      <c r="N292" s="1"/>
      <c r="O292" s="1"/>
      <c r="P292" s="1"/>
      <c r="Q292" s="1"/>
    </row>
    <row r="293" spans="1:17">
      <c r="A293" s="1"/>
      <c r="B293" s="1"/>
      <c r="C293" s="1"/>
      <c r="D293" s="1" t="s">
        <v>5017</v>
      </c>
      <c r="E293" s="1" t="s">
        <v>625</v>
      </c>
      <c r="F293" s="1"/>
      <c r="G293" s="1"/>
      <c r="H293" s="1"/>
      <c r="J293" s="1"/>
      <c r="K293" s="1"/>
      <c r="L293" s="1"/>
      <c r="M293" s="1"/>
      <c r="N293" s="1"/>
      <c r="O293" s="1"/>
      <c r="P293" s="1"/>
      <c r="Q293" s="1"/>
    </row>
    <row r="294" spans="1:17">
      <c r="A294" s="1"/>
      <c r="B294" s="1" t="s">
        <v>960</v>
      </c>
      <c r="C294" s="1" t="s">
        <v>961</v>
      </c>
      <c r="D294" s="1" t="s">
        <v>5024</v>
      </c>
      <c r="E294" s="1" t="s">
        <v>625</v>
      </c>
      <c r="F294" s="1">
        <v>1</v>
      </c>
      <c r="G294" s="1">
        <v>1.26</v>
      </c>
      <c r="H294" s="1">
        <v>15</v>
      </c>
      <c r="J294" s="1" t="s">
        <v>40</v>
      </c>
      <c r="K294" s="1" t="s">
        <v>963</v>
      </c>
      <c r="L294" s="1">
        <v>13609093091</v>
      </c>
      <c r="M294" s="1" t="s">
        <v>964</v>
      </c>
      <c r="N294" s="1" t="s">
        <v>965</v>
      </c>
      <c r="O294" s="1" t="s">
        <v>966</v>
      </c>
      <c r="P294" s="1">
        <v>15011768411</v>
      </c>
      <c r="Q294" s="1" t="s">
        <v>967</v>
      </c>
    </row>
    <row r="295" spans="1:17">
      <c r="A295" s="1"/>
      <c r="B295" s="1"/>
      <c r="C295" s="1"/>
      <c r="D295" s="1" t="s">
        <v>5186</v>
      </c>
      <c r="E295" s="1" t="s">
        <v>625</v>
      </c>
      <c r="F295" s="1"/>
      <c r="G295" s="1"/>
      <c r="H295" s="1"/>
      <c r="J295" s="1"/>
      <c r="K295" s="1"/>
      <c r="L295" s="1"/>
      <c r="M295" s="1"/>
      <c r="N295" s="1"/>
      <c r="O295" s="1"/>
      <c r="P295" s="1"/>
      <c r="Q295" s="1"/>
    </row>
    <row r="296" spans="1:17">
      <c r="A296" s="1"/>
      <c r="B296" s="1"/>
      <c r="C296" s="1"/>
      <c r="D296" s="1" t="s">
        <v>5190</v>
      </c>
      <c r="E296" s="1" t="s">
        <v>625</v>
      </c>
      <c r="F296" s="1"/>
      <c r="G296" s="1"/>
      <c r="H296" s="1"/>
      <c r="J296" s="1"/>
      <c r="K296" s="1"/>
      <c r="L296" s="1"/>
      <c r="M296" s="1"/>
      <c r="N296" s="1"/>
      <c r="O296" s="1"/>
      <c r="P296" s="1"/>
      <c r="Q296" s="1"/>
    </row>
    <row r="297" spans="1:17">
      <c r="A297" s="1"/>
      <c r="B297" s="1"/>
      <c r="C297" s="1"/>
      <c r="D297" s="1" t="s">
        <v>5146</v>
      </c>
      <c r="E297" s="1" t="s">
        <v>625</v>
      </c>
      <c r="F297" s="1"/>
      <c r="G297" s="1"/>
      <c r="H297" s="1"/>
      <c r="J297" s="1"/>
      <c r="K297" s="1"/>
      <c r="L297" s="1"/>
      <c r="M297" s="1"/>
      <c r="N297" s="1"/>
      <c r="O297" s="1"/>
      <c r="P297" s="1"/>
      <c r="Q297" s="1"/>
    </row>
    <row r="298" spans="1:17">
      <c r="A298" s="1"/>
      <c r="B298" s="1" t="s">
        <v>969</v>
      </c>
      <c r="C298" s="1" t="s">
        <v>970</v>
      </c>
      <c r="D298" s="1" t="s">
        <v>5022</v>
      </c>
      <c r="E298" s="1" t="s">
        <v>625</v>
      </c>
      <c r="F298" s="1">
        <v>1</v>
      </c>
      <c r="G298" s="1">
        <v>1.72</v>
      </c>
      <c r="H298" s="1">
        <v>11</v>
      </c>
      <c r="I298" s="1" t="s">
        <v>4987</v>
      </c>
      <c r="J298" s="1" t="s">
        <v>40</v>
      </c>
      <c r="K298" s="1" t="s">
        <v>973</v>
      </c>
      <c r="L298" s="1">
        <v>15091139613</v>
      </c>
      <c r="M298" s="1" t="s">
        <v>974</v>
      </c>
      <c r="N298" s="1" t="s">
        <v>973</v>
      </c>
      <c r="O298" s="1" t="s">
        <v>974</v>
      </c>
      <c r="P298" s="1">
        <v>15091139613</v>
      </c>
      <c r="Q298" s="1" t="s">
        <v>975</v>
      </c>
    </row>
    <row r="299" spans="1:17">
      <c r="A299" s="1"/>
      <c r="B299" s="1"/>
      <c r="C299" s="1"/>
      <c r="D299" s="1" t="s">
        <v>5020</v>
      </c>
      <c r="E299" s="1" t="s">
        <v>625</v>
      </c>
      <c r="F299" s="1"/>
      <c r="G299" s="1"/>
      <c r="H299" s="1"/>
      <c r="I299" s="1" t="s">
        <v>4985</v>
      </c>
      <c r="J299" s="1"/>
      <c r="K299" s="1"/>
      <c r="L299" s="1"/>
      <c r="M299" s="1"/>
      <c r="N299" s="1"/>
      <c r="O299" s="1"/>
      <c r="P299" s="1"/>
      <c r="Q299" s="1"/>
    </row>
    <row r="300" spans="1:17">
      <c r="A300" s="1"/>
      <c r="B300" s="1"/>
      <c r="C300" s="1"/>
      <c r="D300" s="1" t="s">
        <v>5130</v>
      </c>
      <c r="E300" s="1" t="s">
        <v>625</v>
      </c>
      <c r="F300" s="1"/>
      <c r="G300" s="1"/>
      <c r="H300" s="1"/>
      <c r="I300" s="1" t="s">
        <v>4983</v>
      </c>
      <c r="J300" s="1"/>
      <c r="K300" s="1"/>
      <c r="L300" s="1"/>
      <c r="M300" s="1"/>
      <c r="N300" s="1"/>
      <c r="O300" s="1"/>
      <c r="P300" s="1"/>
      <c r="Q300" s="1"/>
    </row>
    <row r="301" spans="1:17">
      <c r="A301" s="1"/>
      <c r="B301" s="1"/>
      <c r="C301" s="1"/>
      <c r="D301" s="1" t="s">
        <v>5039</v>
      </c>
      <c r="E301" s="1" t="s">
        <v>625</v>
      </c>
      <c r="F301" s="1"/>
      <c r="G301" s="1"/>
      <c r="H301" s="1"/>
      <c r="I301" s="1" t="s">
        <v>4987</v>
      </c>
      <c r="J301" s="1"/>
      <c r="K301" s="1"/>
      <c r="L301" s="1"/>
      <c r="M301" s="1"/>
      <c r="N301" s="1"/>
      <c r="O301" s="1"/>
      <c r="P301" s="1"/>
      <c r="Q301" s="1"/>
    </row>
    <row r="302" spans="1:17">
      <c r="A302" s="1"/>
      <c r="B302" s="1"/>
      <c r="C302" s="1"/>
      <c r="D302" s="1" t="s">
        <v>5113</v>
      </c>
      <c r="E302" s="1" t="s">
        <v>625</v>
      </c>
      <c r="F302" s="1"/>
      <c r="G302" s="1"/>
      <c r="H302" s="1"/>
      <c r="I302" s="1" t="s">
        <v>4985</v>
      </c>
      <c r="J302" s="1"/>
      <c r="K302" s="1"/>
      <c r="L302" s="1"/>
      <c r="M302" s="1"/>
      <c r="N302" s="1"/>
      <c r="O302" s="1"/>
      <c r="P302" s="1"/>
      <c r="Q302" s="1"/>
    </row>
    <row r="303" spans="1:17">
      <c r="A303" s="1"/>
      <c r="B303" s="1"/>
      <c r="C303" s="1"/>
      <c r="D303" s="1" t="s">
        <v>5054</v>
      </c>
      <c r="E303" s="1" t="s">
        <v>625</v>
      </c>
      <c r="F303" s="1"/>
      <c r="G303" s="1"/>
      <c r="H303" s="1"/>
      <c r="I303" s="1" t="s">
        <v>4985</v>
      </c>
      <c r="J303" s="1"/>
      <c r="K303" s="1"/>
      <c r="L303" s="1"/>
      <c r="M303" s="1"/>
      <c r="N303" s="1"/>
      <c r="O303" s="1"/>
      <c r="P303" s="1"/>
      <c r="Q303" s="1"/>
    </row>
    <row r="304" spans="1:17">
      <c r="A304" s="1"/>
      <c r="B304" s="1" t="s">
        <v>977</v>
      </c>
      <c r="C304" s="1" t="s">
        <v>978</v>
      </c>
      <c r="D304" s="1" t="s">
        <v>5023</v>
      </c>
      <c r="E304" s="1" t="s">
        <v>625</v>
      </c>
      <c r="F304" s="1">
        <v>1</v>
      </c>
      <c r="G304" s="1">
        <v>0.81</v>
      </c>
      <c r="H304" s="1">
        <v>9</v>
      </c>
      <c r="J304" s="1" t="s">
        <v>40</v>
      </c>
      <c r="K304" s="1" t="s">
        <v>980</v>
      </c>
      <c r="L304" s="1">
        <v>13501522178</v>
      </c>
      <c r="M304" s="1" t="s">
        <v>981</v>
      </c>
      <c r="N304" s="1" t="s">
        <v>982</v>
      </c>
      <c r="O304" s="1" t="s">
        <v>983</v>
      </c>
      <c r="P304" s="1">
        <v>13450256887</v>
      </c>
      <c r="Q304" s="1" t="s">
        <v>984</v>
      </c>
    </row>
    <row r="305" spans="1:17">
      <c r="A305" s="1"/>
      <c r="B305" s="1"/>
      <c r="C305" s="1"/>
      <c r="D305" s="1" t="s">
        <v>5191</v>
      </c>
      <c r="E305" s="1" t="s">
        <v>625</v>
      </c>
      <c r="F305" s="1"/>
      <c r="G305" s="1"/>
      <c r="H305" s="1"/>
      <c r="J305" s="1"/>
      <c r="K305" s="1"/>
      <c r="L305" s="1"/>
      <c r="M305" s="1"/>
      <c r="N305" s="1"/>
      <c r="O305" s="1"/>
      <c r="P305" s="1"/>
      <c r="Q305" s="1"/>
    </row>
    <row r="306" spans="1:17">
      <c r="A306" s="1"/>
      <c r="B306" s="1"/>
      <c r="C306" s="1"/>
      <c r="D306" s="1" t="s">
        <v>5190</v>
      </c>
      <c r="E306" s="1" t="s">
        <v>625</v>
      </c>
      <c r="F306" s="1"/>
      <c r="G306" s="1"/>
      <c r="H306" s="1"/>
      <c r="J306" s="1"/>
      <c r="K306" s="1"/>
      <c r="L306" s="1"/>
      <c r="M306" s="1"/>
      <c r="N306" s="1"/>
      <c r="O306" s="1"/>
      <c r="P306" s="1"/>
      <c r="Q306" s="1"/>
    </row>
    <row r="307" spans="1:17">
      <c r="A307" s="1"/>
      <c r="B307" s="1"/>
      <c r="C307" s="1"/>
      <c r="D307" s="1" t="s">
        <v>5113</v>
      </c>
      <c r="E307" s="1" t="s">
        <v>625</v>
      </c>
      <c r="F307" s="1"/>
      <c r="G307" s="1"/>
      <c r="H307" s="1"/>
      <c r="J307" s="1"/>
      <c r="K307" s="1"/>
      <c r="L307" s="1"/>
      <c r="M307" s="1"/>
      <c r="N307" s="1"/>
      <c r="O307" s="1"/>
      <c r="P307" s="1"/>
      <c r="Q307" s="1"/>
    </row>
    <row r="308" spans="1:17">
      <c r="A308" s="1"/>
      <c r="B308" s="1" t="s">
        <v>986</v>
      </c>
      <c r="C308" s="1" t="s">
        <v>987</v>
      </c>
      <c r="D308" s="1" t="s">
        <v>5009</v>
      </c>
      <c r="E308" s="1" t="s">
        <v>5192</v>
      </c>
      <c r="F308" s="1">
        <v>1</v>
      </c>
      <c r="G308" s="1">
        <v>0.81</v>
      </c>
      <c r="H308" s="1">
        <v>5</v>
      </c>
      <c r="J308" s="1" t="s">
        <v>29</v>
      </c>
      <c r="K308" s="1" t="s">
        <v>991</v>
      </c>
      <c r="L308" s="1">
        <v>17695963119</v>
      </c>
      <c r="M308" s="1" t="s">
        <v>992</v>
      </c>
      <c r="N308" s="1" t="s">
        <v>993</v>
      </c>
      <c r="O308" s="1" t="s">
        <v>994</v>
      </c>
      <c r="P308" s="1">
        <v>13752186681</v>
      </c>
      <c r="Q308" s="1" t="s">
        <v>995</v>
      </c>
    </row>
    <row r="309" spans="1:17">
      <c r="A309" s="1"/>
      <c r="B309" s="1"/>
      <c r="C309" s="1"/>
      <c r="D309" s="1" t="s">
        <v>5193</v>
      </c>
      <c r="E309" s="1" t="s">
        <v>5194</v>
      </c>
      <c r="F309" s="1"/>
      <c r="G309" s="1"/>
      <c r="H309" s="1"/>
      <c r="I309" s="1" t="s">
        <v>5195</v>
      </c>
      <c r="J309" s="1"/>
      <c r="K309" s="1"/>
      <c r="L309" s="1"/>
      <c r="M309" s="1"/>
      <c r="N309" s="1"/>
      <c r="O309" s="1"/>
      <c r="P309" s="1"/>
      <c r="Q309" s="1"/>
    </row>
    <row r="310" spans="1:17">
      <c r="A310" s="1"/>
      <c r="B310" s="1"/>
      <c r="C310" s="1"/>
      <c r="D310" s="1" t="s">
        <v>5196</v>
      </c>
      <c r="E310" s="1" t="s">
        <v>687</v>
      </c>
      <c r="F310" s="1"/>
      <c r="G310" s="1"/>
      <c r="H310" s="1"/>
      <c r="J310" s="1"/>
      <c r="K310" s="1"/>
      <c r="L310" s="1"/>
      <c r="M310" s="1"/>
      <c r="N310" s="1"/>
      <c r="O310" s="1"/>
      <c r="P310" s="1"/>
      <c r="Q310" s="1"/>
    </row>
    <row r="311" spans="1:17">
      <c r="A311" s="1"/>
      <c r="B311" s="1" t="s">
        <v>997</v>
      </c>
      <c r="C311" s="1" t="s">
        <v>998</v>
      </c>
      <c r="D311" s="1" t="s">
        <v>5197</v>
      </c>
      <c r="E311" s="1" t="s">
        <v>5067</v>
      </c>
      <c r="F311" s="1">
        <v>1</v>
      </c>
      <c r="G311" s="1">
        <v>1.1299999999999999</v>
      </c>
      <c r="H311" s="1">
        <v>6</v>
      </c>
      <c r="J311" s="1" t="s">
        <v>293</v>
      </c>
      <c r="K311" s="1" t="s">
        <v>1001</v>
      </c>
      <c r="L311" s="1">
        <v>13920730582</v>
      </c>
      <c r="M311" s="1" t="s">
        <v>1002</v>
      </c>
      <c r="N311" s="1" t="s">
        <v>1003</v>
      </c>
      <c r="O311" s="1" t="s">
        <v>1002</v>
      </c>
      <c r="P311" s="1">
        <v>13920730582</v>
      </c>
      <c r="Q311" s="1" t="s">
        <v>1004</v>
      </c>
    </row>
    <row r="312" spans="1:17">
      <c r="A312" s="1"/>
      <c r="B312" s="1"/>
      <c r="C312" s="1"/>
      <c r="D312" s="1" t="s">
        <v>5139</v>
      </c>
      <c r="E312" s="1" t="s">
        <v>687</v>
      </c>
      <c r="F312" s="1"/>
      <c r="G312" s="1"/>
      <c r="H312" s="1"/>
      <c r="J312" s="1"/>
      <c r="K312" s="1"/>
      <c r="L312" s="1"/>
      <c r="M312" s="1"/>
      <c r="N312" s="1"/>
      <c r="O312" s="1"/>
      <c r="P312" s="1"/>
      <c r="Q312" s="1"/>
    </row>
    <row r="313" spans="1:17">
      <c r="A313" s="1"/>
      <c r="B313" s="1" t="s">
        <v>1006</v>
      </c>
      <c r="C313" s="1" t="s">
        <v>1007</v>
      </c>
      <c r="D313" s="1" t="s">
        <v>5009</v>
      </c>
      <c r="E313" s="1" t="s">
        <v>5198</v>
      </c>
      <c r="F313" s="1">
        <v>1</v>
      </c>
      <c r="G313" s="1">
        <v>1.95</v>
      </c>
      <c r="H313" s="1">
        <v>7</v>
      </c>
      <c r="J313" s="1" t="s">
        <v>29</v>
      </c>
      <c r="K313" s="1" t="s">
        <v>1010</v>
      </c>
      <c r="L313" s="1">
        <v>15838198670</v>
      </c>
      <c r="M313" s="1" t="s">
        <v>1011</v>
      </c>
      <c r="N313" s="1" t="s">
        <v>1012</v>
      </c>
      <c r="O313" s="1" t="s">
        <v>1011</v>
      </c>
      <c r="P313" s="1">
        <v>15838198670</v>
      </c>
      <c r="Q313" s="1" t="s">
        <v>1013</v>
      </c>
    </row>
    <row r="314" spans="1:17">
      <c r="A314" s="1"/>
      <c r="B314" s="1"/>
      <c r="C314" s="1"/>
      <c r="D314" s="1" t="s">
        <v>4974</v>
      </c>
      <c r="E314" s="1" t="s">
        <v>5199</v>
      </c>
      <c r="F314" s="1"/>
      <c r="G314" s="1"/>
      <c r="H314" s="1"/>
      <c r="J314" s="1"/>
      <c r="K314" s="1"/>
      <c r="L314" s="1"/>
      <c r="M314" s="1"/>
      <c r="N314" s="1"/>
      <c r="O314" s="1"/>
      <c r="P314" s="1"/>
      <c r="Q314" s="1"/>
    </row>
    <row r="315" spans="1:17">
      <c r="A315" s="1"/>
      <c r="B315" s="1"/>
      <c r="C315" s="1"/>
      <c r="D315" s="1" t="s">
        <v>5060</v>
      </c>
      <c r="E315" s="1" t="s">
        <v>5200</v>
      </c>
      <c r="F315" s="1"/>
      <c r="G315" s="1"/>
      <c r="H315" s="1"/>
      <c r="J315" s="1"/>
      <c r="K315" s="1"/>
      <c r="L315" s="1"/>
      <c r="M315" s="1"/>
      <c r="N315" s="1"/>
      <c r="O315" s="1"/>
      <c r="P315" s="1"/>
      <c r="Q315" s="1"/>
    </row>
    <row r="316" spans="1:17">
      <c r="A316" s="1"/>
      <c r="B316" s="1"/>
      <c r="C316" s="1"/>
      <c r="D316" s="1" t="s">
        <v>5201</v>
      </c>
      <c r="E316" s="1" t="s">
        <v>696</v>
      </c>
      <c r="F316" s="1"/>
      <c r="G316" s="1"/>
      <c r="H316" s="1"/>
      <c r="J316" s="1"/>
      <c r="K316" s="1"/>
      <c r="L316" s="1"/>
      <c r="M316" s="1"/>
      <c r="N316" s="1"/>
      <c r="O316" s="1"/>
      <c r="P316" s="1"/>
      <c r="Q316" s="1"/>
    </row>
    <row r="317" spans="1:17">
      <c r="A317" s="1"/>
      <c r="B317" s="1"/>
      <c r="C317" s="1"/>
      <c r="D317" s="1" t="s">
        <v>5202</v>
      </c>
      <c r="E317" s="1" t="s">
        <v>1210</v>
      </c>
      <c r="F317" s="1"/>
      <c r="G317" s="1"/>
      <c r="H317" s="1"/>
      <c r="J317" s="1"/>
      <c r="K317" s="1"/>
      <c r="L317" s="1"/>
      <c r="M317" s="1"/>
      <c r="N317" s="1"/>
      <c r="O317" s="1"/>
      <c r="P317" s="1"/>
      <c r="Q317" s="1"/>
    </row>
    <row r="318" spans="1:17">
      <c r="A318" s="1"/>
      <c r="B318" s="1" t="s">
        <v>1015</v>
      </c>
      <c r="C318" s="1" t="s">
        <v>1016</v>
      </c>
      <c r="D318" s="1" t="s">
        <v>5203</v>
      </c>
      <c r="E318" s="1" t="s">
        <v>5094</v>
      </c>
      <c r="F318" s="1">
        <v>1</v>
      </c>
      <c r="G318" s="1">
        <v>1.04</v>
      </c>
      <c r="H318" s="1">
        <v>3</v>
      </c>
      <c r="J318" s="1" t="s">
        <v>293</v>
      </c>
      <c r="K318" s="1" t="s">
        <v>1020</v>
      </c>
      <c r="L318" s="1">
        <v>15803879267</v>
      </c>
      <c r="M318" s="1" t="s">
        <v>1021</v>
      </c>
      <c r="N318" s="1" t="s">
        <v>1020</v>
      </c>
      <c r="O318" s="1" t="s">
        <v>1021</v>
      </c>
      <c r="P318" s="1">
        <v>15803879267</v>
      </c>
      <c r="Q318" s="1" t="s">
        <v>1022</v>
      </c>
    </row>
    <row r="319" spans="1:17">
      <c r="A319" s="1"/>
      <c r="B319" s="1"/>
      <c r="C319" s="1"/>
      <c r="D319" s="1" t="s">
        <v>5134</v>
      </c>
      <c r="E319" s="1" t="s">
        <v>2295</v>
      </c>
      <c r="F319" s="1"/>
      <c r="G319" s="1"/>
      <c r="H319" s="1"/>
      <c r="I319" s="1" t="s">
        <v>4970</v>
      </c>
      <c r="J319" s="1"/>
      <c r="K319" s="1"/>
      <c r="L319" s="1"/>
      <c r="M319" s="1"/>
      <c r="N319" s="1"/>
      <c r="O319" s="1"/>
      <c r="P319" s="1"/>
      <c r="Q319" s="1"/>
    </row>
    <row r="320" spans="1:17">
      <c r="A320" s="1"/>
      <c r="B320" s="1" t="s">
        <v>1024</v>
      </c>
      <c r="C320" s="1" t="s">
        <v>1025</v>
      </c>
      <c r="D320" s="1" t="s">
        <v>5204</v>
      </c>
      <c r="E320" s="1" t="s">
        <v>5205</v>
      </c>
      <c r="F320" s="1">
        <v>1</v>
      </c>
      <c r="G320" s="1">
        <v>1.95</v>
      </c>
      <c r="H320" s="1">
        <v>9</v>
      </c>
      <c r="J320" s="1" t="s">
        <v>29</v>
      </c>
      <c r="K320" s="1" t="s">
        <v>1028</v>
      </c>
      <c r="L320" s="1">
        <v>15037170532</v>
      </c>
      <c r="M320" s="1" t="s">
        <v>1029</v>
      </c>
      <c r="N320" s="1" t="s">
        <v>1030</v>
      </c>
      <c r="O320" s="1" t="s">
        <v>1031</v>
      </c>
      <c r="P320" s="1">
        <v>13598022892</v>
      </c>
      <c r="Q320" s="1" t="s">
        <v>1032</v>
      </c>
    </row>
    <row r="321" spans="1:17">
      <c r="A321" s="1"/>
      <c r="B321" s="1"/>
      <c r="C321" s="1"/>
      <c r="D321" s="1" t="s">
        <v>5076</v>
      </c>
      <c r="E321" s="1" t="s">
        <v>5206</v>
      </c>
      <c r="F321" s="1"/>
      <c r="G321" s="1"/>
      <c r="H321" s="1"/>
      <c r="J321" s="1"/>
      <c r="K321" s="1"/>
      <c r="L321" s="1"/>
      <c r="M321" s="1"/>
      <c r="N321" s="1"/>
      <c r="O321" s="1"/>
      <c r="P321" s="1"/>
      <c r="Q321" s="1"/>
    </row>
    <row r="322" spans="1:17">
      <c r="A322" s="1"/>
      <c r="B322" s="1"/>
      <c r="C322" s="1"/>
      <c r="D322" s="1" t="s">
        <v>5060</v>
      </c>
      <c r="E322" s="1" t="s">
        <v>5200</v>
      </c>
      <c r="F322" s="1"/>
      <c r="G322" s="1"/>
      <c r="H322" s="1"/>
      <c r="J322" s="1"/>
      <c r="K322" s="1"/>
      <c r="L322" s="1"/>
      <c r="M322" s="1"/>
      <c r="N322" s="1"/>
      <c r="O322" s="1"/>
      <c r="P322" s="1"/>
      <c r="Q322" s="1"/>
    </row>
    <row r="323" spans="1:17">
      <c r="A323" s="1"/>
      <c r="B323" s="1"/>
      <c r="C323" s="1"/>
      <c r="D323" s="1" t="s">
        <v>5207</v>
      </c>
      <c r="E323" s="1" t="s">
        <v>5077</v>
      </c>
      <c r="F323" s="1"/>
      <c r="G323" s="1"/>
      <c r="H323" s="1"/>
      <c r="J323" s="1"/>
      <c r="K323" s="1"/>
      <c r="L323" s="1"/>
      <c r="M323" s="1"/>
      <c r="N323" s="1"/>
      <c r="O323" s="1"/>
      <c r="P323" s="1"/>
      <c r="Q323" s="1"/>
    </row>
    <row r="324" spans="1:17">
      <c r="A324" s="1"/>
      <c r="B324" s="1"/>
      <c r="C324" s="1"/>
      <c r="D324" s="1" t="s">
        <v>5208</v>
      </c>
      <c r="E324" s="1" t="s">
        <v>5199</v>
      </c>
      <c r="F324" s="1"/>
      <c r="G324" s="1"/>
      <c r="H324" s="1"/>
      <c r="J324" s="1"/>
      <c r="K324" s="1"/>
      <c r="L324" s="1"/>
      <c r="M324" s="1"/>
      <c r="N324" s="1"/>
      <c r="O324" s="1"/>
      <c r="P324" s="1"/>
      <c r="Q324" s="1"/>
    </row>
    <row r="325" spans="1:17">
      <c r="A325" s="1"/>
      <c r="B325" s="1"/>
      <c r="C325" s="1"/>
      <c r="D325" s="1" t="s">
        <v>4952</v>
      </c>
      <c r="E325" s="1" t="s">
        <v>1210</v>
      </c>
      <c r="F325" s="1"/>
      <c r="G325" s="1"/>
      <c r="H325" s="1"/>
      <c r="J325" s="1"/>
      <c r="K325" s="1"/>
      <c r="L325" s="1"/>
      <c r="M325" s="1"/>
      <c r="N325" s="1"/>
      <c r="O325" s="1"/>
      <c r="P325" s="1"/>
      <c r="Q325" s="1"/>
    </row>
    <row r="326" spans="1:17">
      <c r="A326" s="1"/>
      <c r="B326" s="1" t="s">
        <v>1034</v>
      </c>
      <c r="C326" s="1" t="s">
        <v>1035</v>
      </c>
      <c r="D326" s="1" t="s">
        <v>5204</v>
      </c>
      <c r="E326" s="1" t="s">
        <v>5088</v>
      </c>
      <c r="F326" s="1">
        <v>1</v>
      </c>
      <c r="G326" s="1">
        <v>1.26</v>
      </c>
      <c r="H326" s="1">
        <v>7</v>
      </c>
      <c r="J326" s="1" t="s">
        <v>29</v>
      </c>
      <c r="K326" s="1" t="s">
        <v>1039</v>
      </c>
      <c r="L326" s="1">
        <v>18738522711</v>
      </c>
      <c r="M326" s="1" t="s">
        <v>1040</v>
      </c>
      <c r="N326" s="1" t="s">
        <v>1041</v>
      </c>
      <c r="O326" s="1" t="s">
        <v>1040</v>
      </c>
      <c r="P326" s="1">
        <v>18738522711</v>
      </c>
      <c r="Q326" s="1" t="s">
        <v>1042</v>
      </c>
    </row>
    <row r="327" spans="1:17">
      <c r="A327" s="1"/>
      <c r="B327" s="1"/>
      <c r="C327" s="1"/>
      <c r="D327" s="1" t="s">
        <v>5204</v>
      </c>
      <c r="E327" s="1" t="s">
        <v>5209</v>
      </c>
      <c r="F327" s="1"/>
      <c r="G327" s="1"/>
      <c r="H327" s="1"/>
      <c r="J327" s="1"/>
      <c r="K327" s="1"/>
      <c r="L327" s="1"/>
      <c r="M327" s="1"/>
      <c r="N327" s="1"/>
      <c r="O327" s="1"/>
      <c r="P327" s="1"/>
      <c r="Q327" s="1"/>
    </row>
    <row r="328" spans="1:17">
      <c r="A328" s="1"/>
      <c r="B328" s="1"/>
      <c r="C328" s="1"/>
      <c r="D328" s="1" t="s">
        <v>5009</v>
      </c>
      <c r="E328" s="1" t="s">
        <v>5210</v>
      </c>
      <c r="F328" s="1"/>
      <c r="G328" s="1"/>
      <c r="H328" s="1"/>
      <c r="J328" s="1"/>
      <c r="K328" s="1"/>
      <c r="L328" s="1"/>
      <c r="M328" s="1"/>
      <c r="N328" s="1"/>
      <c r="O328" s="1"/>
      <c r="P328" s="1"/>
      <c r="Q328" s="1"/>
    </row>
    <row r="329" spans="1:17">
      <c r="A329" s="1"/>
      <c r="B329" s="1"/>
      <c r="C329" s="1"/>
      <c r="D329" s="1" t="s">
        <v>5211</v>
      </c>
      <c r="E329" s="1" t="s">
        <v>449</v>
      </c>
      <c r="F329" s="1"/>
      <c r="G329" s="1"/>
      <c r="H329" s="1"/>
      <c r="I329" s="1" t="s">
        <v>1634</v>
      </c>
      <c r="J329" s="1"/>
      <c r="K329" s="1"/>
      <c r="L329" s="1"/>
      <c r="M329" s="1"/>
      <c r="N329" s="1"/>
      <c r="O329" s="1"/>
      <c r="P329" s="1"/>
      <c r="Q329" s="1"/>
    </row>
    <row r="330" spans="1:17">
      <c r="A330" s="1"/>
      <c r="B330" s="1"/>
      <c r="C330" s="1"/>
      <c r="D330" s="1" t="s">
        <v>5076</v>
      </c>
      <c r="E330" s="1" t="s">
        <v>449</v>
      </c>
      <c r="F330" s="1"/>
      <c r="G330" s="1"/>
      <c r="H330" s="1"/>
      <c r="I330" s="1" t="s">
        <v>5212</v>
      </c>
      <c r="J330" s="1"/>
      <c r="K330" s="1"/>
      <c r="L330" s="1"/>
      <c r="M330" s="1"/>
      <c r="N330" s="1"/>
      <c r="O330" s="1"/>
      <c r="P330" s="1"/>
      <c r="Q330" s="1"/>
    </row>
    <row r="331" spans="1:17">
      <c r="A331" s="1"/>
      <c r="B331" s="1"/>
      <c r="C331" s="1"/>
      <c r="D331" s="1" t="s">
        <v>5211</v>
      </c>
      <c r="E331" s="1" t="s">
        <v>2413</v>
      </c>
      <c r="F331" s="1"/>
      <c r="G331" s="1"/>
      <c r="H331" s="1"/>
      <c r="J331" s="1"/>
      <c r="K331" s="1"/>
      <c r="L331" s="1"/>
      <c r="M331" s="1"/>
      <c r="N331" s="1"/>
      <c r="O331" s="1"/>
      <c r="P331" s="1"/>
      <c r="Q331" s="1"/>
    </row>
    <row r="332" spans="1:17">
      <c r="A332" s="1"/>
      <c r="B332" s="1"/>
      <c r="C332" s="1"/>
      <c r="D332" s="1" t="s">
        <v>5213</v>
      </c>
      <c r="E332" s="1" t="s">
        <v>2413</v>
      </c>
      <c r="F332" s="1"/>
      <c r="G332" s="1"/>
      <c r="H332" s="1"/>
      <c r="J332" s="1"/>
      <c r="K332" s="1"/>
      <c r="L332" s="1"/>
      <c r="M332" s="1"/>
      <c r="N332" s="1"/>
      <c r="O332" s="1"/>
      <c r="P332" s="1"/>
      <c r="Q332" s="1"/>
    </row>
    <row r="333" spans="1:17">
      <c r="A333" s="1"/>
      <c r="B333" s="1" t="s">
        <v>1044</v>
      </c>
      <c r="C333" s="1" t="s">
        <v>1045</v>
      </c>
      <c r="D333" s="1" t="s">
        <v>5000</v>
      </c>
      <c r="E333" s="1" t="s">
        <v>5077</v>
      </c>
      <c r="F333" s="1">
        <v>1</v>
      </c>
      <c r="G333" s="1">
        <v>1.04</v>
      </c>
      <c r="H333" s="1">
        <v>8</v>
      </c>
      <c r="J333" s="1" t="s">
        <v>29</v>
      </c>
      <c r="K333" s="1" t="s">
        <v>1049</v>
      </c>
      <c r="L333" s="1">
        <v>15838109510</v>
      </c>
      <c r="M333" s="1" t="s">
        <v>1050</v>
      </c>
      <c r="N333" s="1" t="s">
        <v>1051</v>
      </c>
      <c r="O333" s="1" t="s">
        <v>1050</v>
      </c>
      <c r="P333" s="1">
        <v>15838109510</v>
      </c>
      <c r="Q333" s="1" t="s">
        <v>1052</v>
      </c>
    </row>
    <row r="334" spans="1:17">
      <c r="A334" s="1"/>
      <c r="B334" s="1"/>
      <c r="C334" s="1"/>
      <c r="D334" s="1" t="s">
        <v>5076</v>
      </c>
      <c r="E334" s="1" t="s">
        <v>2413</v>
      </c>
      <c r="F334" s="1"/>
      <c r="G334" s="1"/>
      <c r="H334" s="1"/>
      <c r="J334" s="1"/>
      <c r="K334" s="1"/>
      <c r="L334" s="1"/>
      <c r="M334" s="1"/>
      <c r="N334" s="1"/>
      <c r="O334" s="1"/>
      <c r="P334" s="1"/>
      <c r="Q334" s="1"/>
    </row>
    <row r="335" spans="1:17">
      <c r="A335" s="1"/>
      <c r="B335" s="1"/>
      <c r="C335" s="1"/>
      <c r="D335" s="1" t="s">
        <v>5204</v>
      </c>
      <c r="E335" s="1" t="s">
        <v>5200</v>
      </c>
      <c r="F335" s="1"/>
      <c r="G335" s="1"/>
      <c r="H335" s="1"/>
      <c r="J335" s="1"/>
      <c r="K335" s="1"/>
      <c r="L335" s="1"/>
      <c r="M335" s="1"/>
      <c r="N335" s="1"/>
      <c r="O335" s="1"/>
      <c r="P335" s="1"/>
      <c r="Q335" s="1"/>
    </row>
    <row r="336" spans="1:17">
      <c r="A336" s="1"/>
      <c r="B336" s="1"/>
      <c r="C336" s="1"/>
      <c r="D336" s="1" t="s">
        <v>5201</v>
      </c>
      <c r="E336" s="1" t="s">
        <v>696</v>
      </c>
      <c r="F336" s="1"/>
      <c r="G336" s="1"/>
      <c r="H336" s="1"/>
      <c r="J336" s="1"/>
      <c r="K336" s="1"/>
      <c r="L336" s="1"/>
      <c r="M336" s="1"/>
      <c r="N336" s="1"/>
      <c r="O336" s="1"/>
      <c r="P336" s="1"/>
      <c r="Q336" s="1"/>
    </row>
    <row r="337" spans="1:17">
      <c r="A337" s="1"/>
      <c r="B337" s="1"/>
      <c r="C337" s="1"/>
      <c r="D337" s="1" t="s">
        <v>5211</v>
      </c>
      <c r="E337" s="1" t="s">
        <v>449</v>
      </c>
      <c r="F337" s="1"/>
      <c r="G337" s="1"/>
      <c r="H337" s="1"/>
      <c r="I337" s="1" t="s">
        <v>1634</v>
      </c>
      <c r="J337" s="1"/>
      <c r="K337" s="1"/>
      <c r="L337" s="1"/>
      <c r="M337" s="1"/>
      <c r="N337" s="1"/>
      <c r="O337" s="1"/>
      <c r="P337" s="1"/>
      <c r="Q337" s="1"/>
    </row>
    <row r="338" spans="1:17">
      <c r="A338" s="1"/>
      <c r="B338" s="1"/>
      <c r="C338" s="1"/>
      <c r="D338" s="1" t="s">
        <v>5214</v>
      </c>
      <c r="E338" s="1" t="s">
        <v>449</v>
      </c>
      <c r="F338" s="1"/>
      <c r="G338" s="1"/>
      <c r="H338" s="1"/>
      <c r="I338" s="1" t="s">
        <v>450</v>
      </c>
      <c r="J338" s="1"/>
      <c r="K338" s="1"/>
      <c r="L338" s="1"/>
      <c r="M338" s="1"/>
      <c r="N338" s="1"/>
      <c r="O338" s="1"/>
      <c r="P338" s="1"/>
      <c r="Q338" s="1"/>
    </row>
    <row r="339" spans="1:17">
      <c r="A339" s="1"/>
      <c r="B339" s="1"/>
      <c r="C339" s="1"/>
      <c r="D339" s="1" t="s">
        <v>5215</v>
      </c>
      <c r="E339" s="1" t="s">
        <v>449</v>
      </c>
      <c r="F339" s="1"/>
      <c r="G339" s="1"/>
      <c r="H339" s="1"/>
      <c r="J339" s="1"/>
      <c r="K339" s="1"/>
      <c r="L339" s="1"/>
      <c r="M339" s="1"/>
      <c r="N339" s="1"/>
      <c r="O339" s="1"/>
      <c r="P339" s="1"/>
      <c r="Q339" s="1"/>
    </row>
    <row r="340" spans="1:17">
      <c r="A340" s="1"/>
      <c r="B340" s="1" t="s">
        <v>1054</v>
      </c>
      <c r="C340" s="1" t="s">
        <v>1055</v>
      </c>
      <c r="D340" s="1" t="s">
        <v>5085</v>
      </c>
      <c r="E340" s="1" t="s">
        <v>1210</v>
      </c>
      <c r="F340" s="1">
        <v>1</v>
      </c>
      <c r="G340" s="1">
        <v>2.17</v>
      </c>
      <c r="H340" s="1">
        <v>5</v>
      </c>
      <c r="I340" s="1" t="s">
        <v>5111</v>
      </c>
      <c r="J340" s="1" t="s">
        <v>29</v>
      </c>
      <c r="K340" s="1" t="s">
        <v>1059</v>
      </c>
      <c r="L340" s="1">
        <v>18201556612</v>
      </c>
      <c r="M340" s="1" t="s">
        <v>1060</v>
      </c>
      <c r="N340" s="1" t="s">
        <v>1061</v>
      </c>
      <c r="O340" s="1" t="s">
        <v>1060</v>
      </c>
      <c r="P340" s="1">
        <v>18201556612</v>
      </c>
      <c r="Q340" s="1" t="s">
        <v>1062</v>
      </c>
    </row>
    <row r="341" spans="1:17">
      <c r="A341" s="1"/>
      <c r="B341" s="1"/>
      <c r="C341" s="1"/>
      <c r="D341" s="1" t="s">
        <v>5204</v>
      </c>
      <c r="E341" s="1" t="s">
        <v>5176</v>
      </c>
      <c r="F341" s="1"/>
      <c r="G341" s="1"/>
      <c r="H341" s="1"/>
      <c r="J341" s="1"/>
      <c r="K341" s="1"/>
      <c r="L341" s="1"/>
      <c r="M341" s="1"/>
      <c r="N341" s="1"/>
      <c r="O341" s="1"/>
      <c r="P341" s="1"/>
      <c r="Q341" s="1"/>
    </row>
    <row r="342" spans="1:17">
      <c r="A342" s="1"/>
      <c r="B342" s="1"/>
      <c r="C342" s="1"/>
      <c r="D342" s="1" t="s">
        <v>5112</v>
      </c>
      <c r="E342" s="1" t="s">
        <v>5216</v>
      </c>
      <c r="F342" s="1"/>
      <c r="G342" s="1"/>
      <c r="H342" s="1"/>
      <c r="J342" s="1"/>
      <c r="K342" s="1"/>
      <c r="L342" s="1"/>
      <c r="M342" s="1"/>
      <c r="N342" s="1"/>
      <c r="O342" s="1"/>
      <c r="P342" s="1"/>
      <c r="Q342" s="1"/>
    </row>
    <row r="343" spans="1:17">
      <c r="A343" s="1"/>
      <c r="B343" s="1"/>
      <c r="C343" s="1"/>
      <c r="D343" s="1" t="s">
        <v>5009</v>
      </c>
      <c r="E343" s="1" t="s">
        <v>5198</v>
      </c>
      <c r="F343" s="1"/>
      <c r="G343" s="1"/>
      <c r="H343" s="1"/>
      <c r="J343" s="1"/>
      <c r="K343" s="1"/>
      <c r="L343" s="1"/>
      <c r="M343" s="1"/>
      <c r="N343" s="1"/>
      <c r="O343" s="1"/>
      <c r="P343" s="1"/>
      <c r="Q343" s="1"/>
    </row>
    <row r="344" spans="1:17">
      <c r="A344" s="1"/>
      <c r="B344" s="1" t="s">
        <v>1064</v>
      </c>
      <c r="C344" s="1" t="s">
        <v>1065</v>
      </c>
      <c r="D344" s="1" t="s">
        <v>5217</v>
      </c>
      <c r="E344" s="1" t="s">
        <v>625</v>
      </c>
      <c r="F344" s="1">
        <v>1</v>
      </c>
      <c r="G344" s="1">
        <v>1.72</v>
      </c>
      <c r="H344" s="1">
        <v>12</v>
      </c>
      <c r="I344" s="1" t="s">
        <v>4985</v>
      </c>
      <c r="J344" s="1" t="s">
        <v>40</v>
      </c>
      <c r="K344" s="1" t="s">
        <v>1068</v>
      </c>
      <c r="L344" s="1">
        <v>18630403702</v>
      </c>
      <c r="M344" s="1" t="s">
        <v>1069</v>
      </c>
      <c r="N344" s="1" t="s">
        <v>1070</v>
      </c>
      <c r="O344" s="1" t="s">
        <v>1069</v>
      </c>
      <c r="P344" s="1">
        <v>18630403702</v>
      </c>
      <c r="Q344" s="1" t="s">
        <v>1071</v>
      </c>
    </row>
    <row r="345" spans="1:17">
      <c r="A345" s="1"/>
      <c r="B345" s="1"/>
      <c r="C345" s="1"/>
      <c r="D345" s="1" t="s">
        <v>5128</v>
      </c>
      <c r="E345" s="1" t="s">
        <v>625</v>
      </c>
      <c r="F345" s="1"/>
      <c r="G345" s="1"/>
      <c r="H345" s="1"/>
      <c r="I345" s="1" t="s">
        <v>4987</v>
      </c>
      <c r="J345" s="1"/>
      <c r="K345" s="1"/>
      <c r="L345" s="1"/>
      <c r="M345" s="1"/>
      <c r="N345" s="1"/>
      <c r="O345" s="1"/>
      <c r="P345" s="1"/>
      <c r="Q345" s="1"/>
    </row>
    <row r="346" spans="1:17">
      <c r="A346" s="1"/>
      <c r="B346" s="1"/>
      <c r="C346" s="1"/>
      <c r="D346" s="1" t="s">
        <v>5218</v>
      </c>
      <c r="E346" s="1" t="s">
        <v>625</v>
      </c>
      <c r="F346" s="1"/>
      <c r="G346" s="1"/>
      <c r="H346" s="1"/>
      <c r="I346" s="1" t="s">
        <v>5050</v>
      </c>
      <c r="J346" s="1"/>
      <c r="K346" s="1"/>
      <c r="L346" s="1"/>
      <c r="M346" s="1"/>
      <c r="N346" s="1"/>
      <c r="O346" s="1"/>
      <c r="P346" s="1"/>
      <c r="Q346" s="1"/>
    </row>
    <row r="347" spans="1:17">
      <c r="A347" s="1"/>
      <c r="B347" s="1"/>
      <c r="C347" s="1"/>
      <c r="D347" s="1" t="s">
        <v>5219</v>
      </c>
      <c r="E347" s="1" t="s">
        <v>625</v>
      </c>
      <c r="F347" s="1"/>
      <c r="G347" s="1"/>
      <c r="H347" s="1"/>
      <c r="I347" s="1" t="s">
        <v>4985</v>
      </c>
      <c r="J347" s="1"/>
      <c r="K347" s="1"/>
      <c r="L347" s="1"/>
      <c r="M347" s="1"/>
      <c r="N347" s="1"/>
      <c r="O347" s="1"/>
      <c r="P347" s="1"/>
      <c r="Q347" s="1"/>
    </row>
    <row r="348" spans="1:17">
      <c r="A348" s="1"/>
      <c r="B348" s="1" t="s">
        <v>1073</v>
      </c>
      <c r="C348" s="1" t="s">
        <v>1074</v>
      </c>
      <c r="D348" s="1" t="s">
        <v>5081</v>
      </c>
      <c r="E348" s="1" t="s">
        <v>420</v>
      </c>
      <c r="F348" s="1">
        <v>1</v>
      </c>
      <c r="G348" s="1">
        <v>0.81</v>
      </c>
      <c r="H348" s="1">
        <v>3</v>
      </c>
      <c r="J348" s="1" t="s">
        <v>29</v>
      </c>
      <c r="K348" s="1" t="s">
        <v>1076</v>
      </c>
      <c r="L348" s="1">
        <v>18295618888</v>
      </c>
      <c r="M348" s="1" t="s">
        <v>1077</v>
      </c>
      <c r="N348" s="1" t="s">
        <v>1078</v>
      </c>
      <c r="O348" s="1" t="s">
        <v>1077</v>
      </c>
      <c r="P348" s="1">
        <v>18295618888</v>
      </c>
      <c r="Q348" s="1" t="s">
        <v>1079</v>
      </c>
    </row>
    <row r="349" spans="1:17">
      <c r="A349" s="1"/>
      <c r="B349" s="1"/>
      <c r="C349" s="1"/>
      <c r="D349" s="1" t="s">
        <v>4952</v>
      </c>
      <c r="E349" s="1" t="s">
        <v>420</v>
      </c>
      <c r="F349" s="1"/>
      <c r="G349" s="1"/>
      <c r="H349" s="1"/>
      <c r="J349" s="1"/>
      <c r="K349" s="1"/>
      <c r="L349" s="1"/>
      <c r="M349" s="1"/>
      <c r="N349" s="1"/>
      <c r="O349" s="1"/>
      <c r="P349" s="1"/>
      <c r="Q349" s="1"/>
    </row>
    <row r="350" spans="1:17">
      <c r="A350" s="1"/>
      <c r="B350" s="1" t="s">
        <v>1081</v>
      </c>
      <c r="C350" s="1" t="s">
        <v>1082</v>
      </c>
      <c r="D350" s="1" t="s">
        <v>5220</v>
      </c>
      <c r="E350" s="1" t="s">
        <v>1084</v>
      </c>
      <c r="F350" s="1">
        <v>1</v>
      </c>
      <c r="G350" s="1">
        <v>1.95</v>
      </c>
      <c r="H350" s="1">
        <v>8</v>
      </c>
      <c r="I350" s="1" t="s">
        <v>1085</v>
      </c>
      <c r="J350" s="1" t="s">
        <v>40</v>
      </c>
      <c r="K350" s="1" t="s">
        <v>1086</v>
      </c>
      <c r="L350" s="1">
        <v>13882248118</v>
      </c>
      <c r="M350" s="1" t="s">
        <v>1087</v>
      </c>
      <c r="N350" s="1" t="s">
        <v>1088</v>
      </c>
      <c r="O350" s="1" t="s">
        <v>1089</v>
      </c>
      <c r="P350" s="1">
        <v>13683443229</v>
      </c>
      <c r="Q350" s="1" t="s">
        <v>1090</v>
      </c>
    </row>
    <row r="351" spans="1:17">
      <c r="A351" s="1"/>
      <c r="B351" s="1" t="s">
        <v>1092</v>
      </c>
      <c r="C351" s="1" t="s">
        <v>1093</v>
      </c>
      <c r="D351" s="1" t="s">
        <v>5221</v>
      </c>
      <c r="E351" s="1" t="s">
        <v>625</v>
      </c>
      <c r="F351" s="1">
        <v>1</v>
      </c>
      <c r="G351" s="1">
        <v>1.26</v>
      </c>
      <c r="H351" s="1">
        <v>9</v>
      </c>
      <c r="J351" s="1" t="s">
        <v>40</v>
      </c>
      <c r="K351" s="1" t="s">
        <v>1096</v>
      </c>
      <c r="L351" s="1">
        <v>13886165108</v>
      </c>
      <c r="M351" s="1" t="s">
        <v>1097</v>
      </c>
      <c r="N351" s="1" t="s">
        <v>1098</v>
      </c>
      <c r="O351" s="1" t="s">
        <v>1097</v>
      </c>
      <c r="P351" s="1">
        <v>13886165108</v>
      </c>
      <c r="Q351" s="1" t="s">
        <v>1099</v>
      </c>
    </row>
    <row r="352" spans="1:17">
      <c r="A352" s="1"/>
      <c r="B352" s="1"/>
      <c r="C352" s="1"/>
      <c r="D352" s="1" t="s">
        <v>5071</v>
      </c>
      <c r="E352" s="1" t="s">
        <v>625</v>
      </c>
      <c r="F352" s="1"/>
      <c r="G352" s="1"/>
      <c r="H352" s="1"/>
      <c r="I352" s="1" t="s">
        <v>4983</v>
      </c>
      <c r="J352" s="1"/>
      <c r="K352" s="1"/>
      <c r="L352" s="1"/>
      <c r="M352" s="1"/>
      <c r="N352" s="1"/>
      <c r="O352" s="1"/>
      <c r="P352" s="1"/>
      <c r="Q352" s="1"/>
    </row>
    <row r="353" spans="1:17">
      <c r="A353" s="1"/>
      <c r="B353" s="1"/>
      <c r="C353" s="1"/>
      <c r="D353" s="1" t="s">
        <v>5113</v>
      </c>
      <c r="E353" s="1" t="s">
        <v>625</v>
      </c>
      <c r="F353" s="1"/>
      <c r="G353" s="1"/>
      <c r="H353" s="1"/>
      <c r="I353" s="1" t="s">
        <v>4985</v>
      </c>
      <c r="J353" s="1"/>
      <c r="K353" s="1"/>
      <c r="L353" s="1"/>
      <c r="M353" s="1"/>
      <c r="N353" s="1"/>
      <c r="O353" s="1"/>
      <c r="P353" s="1"/>
      <c r="Q353" s="1"/>
    </row>
    <row r="354" spans="1:17">
      <c r="A354" s="1"/>
      <c r="B354" s="1" t="s">
        <v>1101</v>
      </c>
      <c r="C354" s="1" t="s">
        <v>1102</v>
      </c>
      <c r="D354" s="1" t="s">
        <v>5222</v>
      </c>
      <c r="E354" s="1" t="s">
        <v>420</v>
      </c>
      <c r="F354" s="1">
        <v>1</v>
      </c>
      <c r="G354" s="1">
        <v>1.04</v>
      </c>
      <c r="H354" s="1">
        <v>8</v>
      </c>
      <c r="I354" s="1" t="s">
        <v>5223</v>
      </c>
      <c r="J354" s="1" t="s">
        <v>29</v>
      </c>
      <c r="K354" s="1" t="s">
        <v>1105</v>
      </c>
      <c r="L354" s="1">
        <v>13923489399</v>
      </c>
      <c r="M354" s="1" t="s">
        <v>1106</v>
      </c>
      <c r="N354" s="1" t="s">
        <v>1105</v>
      </c>
      <c r="O354" s="1" t="s">
        <v>1106</v>
      </c>
      <c r="P354" s="1">
        <v>13923489399</v>
      </c>
      <c r="Q354" s="1" t="s">
        <v>1107</v>
      </c>
    </row>
    <row r="355" spans="1:17">
      <c r="A355" s="1"/>
      <c r="B355" s="1"/>
      <c r="C355" s="1"/>
      <c r="D355" s="1" t="s">
        <v>5224</v>
      </c>
      <c r="E355" s="1" t="s">
        <v>420</v>
      </c>
      <c r="F355" s="1"/>
      <c r="G355" s="1"/>
      <c r="H355" s="1"/>
      <c r="I355" s="1" t="s">
        <v>5223</v>
      </c>
      <c r="J355" s="1"/>
      <c r="K355" s="1"/>
      <c r="L355" s="1"/>
      <c r="M355" s="1"/>
      <c r="N355" s="1"/>
      <c r="O355" s="1"/>
      <c r="P355" s="1"/>
      <c r="Q355" s="1"/>
    </row>
    <row r="356" spans="1:17">
      <c r="A356" s="1"/>
      <c r="B356" s="1"/>
      <c r="C356" s="1"/>
      <c r="D356" s="1" t="s">
        <v>5081</v>
      </c>
      <c r="E356" s="1" t="s">
        <v>420</v>
      </c>
      <c r="F356" s="1"/>
      <c r="G356" s="1"/>
      <c r="H356" s="1"/>
      <c r="I356" s="1" t="s">
        <v>164</v>
      </c>
      <c r="J356" s="1"/>
      <c r="K356" s="1"/>
      <c r="L356" s="1"/>
      <c r="M356" s="1"/>
      <c r="N356" s="1"/>
      <c r="O356" s="1"/>
      <c r="P356" s="1"/>
      <c r="Q356" s="1"/>
    </row>
    <row r="357" spans="1:17">
      <c r="A357" s="1"/>
      <c r="B357" s="1"/>
      <c r="C357" s="1"/>
      <c r="D357" s="1" t="s">
        <v>5082</v>
      </c>
      <c r="E357" s="1" t="s">
        <v>420</v>
      </c>
      <c r="F357" s="1"/>
      <c r="G357" s="1"/>
      <c r="H357" s="1"/>
      <c r="I357" s="1" t="s">
        <v>5225</v>
      </c>
      <c r="J357" s="1"/>
      <c r="K357" s="1"/>
      <c r="L357" s="1"/>
      <c r="M357" s="1"/>
      <c r="N357" s="1"/>
      <c r="O357" s="1"/>
      <c r="P357" s="1"/>
      <c r="Q357" s="1"/>
    </row>
    <row r="358" spans="1:17">
      <c r="A358" s="1"/>
      <c r="B358" s="1"/>
      <c r="C358" s="1"/>
      <c r="D358" s="1" t="s">
        <v>5226</v>
      </c>
      <c r="E358" s="1" t="s">
        <v>420</v>
      </c>
      <c r="F358" s="1"/>
      <c r="G358" s="1"/>
      <c r="H358" s="1"/>
      <c r="J358" s="1"/>
      <c r="K358" s="1"/>
      <c r="L358" s="1"/>
      <c r="M358" s="1"/>
      <c r="N358" s="1"/>
      <c r="O358" s="1"/>
      <c r="P358" s="1"/>
      <c r="Q358" s="1"/>
    </row>
    <row r="359" spans="1:17">
      <c r="A359" s="1"/>
      <c r="B359" s="1"/>
      <c r="C359" s="1"/>
      <c r="D359" s="1" t="s">
        <v>5227</v>
      </c>
      <c r="E359" s="1" t="s">
        <v>420</v>
      </c>
      <c r="F359" s="1"/>
      <c r="G359" s="1"/>
      <c r="H359" s="1"/>
      <c r="I359" s="1" t="s">
        <v>4968</v>
      </c>
      <c r="J359" s="1"/>
      <c r="K359" s="1"/>
      <c r="L359" s="1"/>
      <c r="M359" s="1"/>
      <c r="N359" s="1"/>
      <c r="O359" s="1"/>
      <c r="P359" s="1"/>
      <c r="Q359" s="1"/>
    </row>
    <row r="360" spans="1:17">
      <c r="A360" s="1"/>
      <c r="B360" s="1" t="s">
        <v>1109</v>
      </c>
      <c r="C360" s="1" t="s">
        <v>1110</v>
      </c>
      <c r="D360" s="1" t="s">
        <v>5081</v>
      </c>
      <c r="E360" s="1" t="s">
        <v>420</v>
      </c>
      <c r="F360" s="1">
        <v>1</v>
      </c>
      <c r="G360" s="1">
        <v>0.81</v>
      </c>
      <c r="H360" s="1">
        <v>6</v>
      </c>
      <c r="I360" s="1" t="s">
        <v>164</v>
      </c>
      <c r="J360" s="1" t="s">
        <v>29</v>
      </c>
      <c r="K360" s="1" t="s">
        <v>1114</v>
      </c>
      <c r="L360" s="1">
        <v>13684931304</v>
      </c>
      <c r="M360" s="1" t="s">
        <v>1115</v>
      </c>
      <c r="N360" s="1" t="s">
        <v>1114</v>
      </c>
      <c r="O360" s="1" t="s">
        <v>1115</v>
      </c>
      <c r="P360" s="1">
        <v>13684931304</v>
      </c>
      <c r="Q360" s="1" t="s">
        <v>1116</v>
      </c>
    </row>
    <row r="361" spans="1:17">
      <c r="A361" s="1"/>
      <c r="B361" s="1"/>
      <c r="C361" s="1"/>
      <c r="D361" s="1" t="s">
        <v>5082</v>
      </c>
      <c r="E361" s="1" t="s">
        <v>420</v>
      </c>
      <c r="F361" s="1"/>
      <c r="G361" s="1"/>
      <c r="H361" s="1"/>
      <c r="I361" s="1" t="s">
        <v>5225</v>
      </c>
      <c r="J361" s="1"/>
      <c r="K361" s="1"/>
      <c r="L361" s="1"/>
      <c r="M361" s="1"/>
      <c r="N361" s="1"/>
      <c r="O361" s="1"/>
      <c r="P361" s="1"/>
      <c r="Q361" s="1"/>
    </row>
    <row r="362" spans="1:17">
      <c r="A362" s="1"/>
      <c r="B362" s="1"/>
      <c r="C362" s="1"/>
      <c r="D362" s="1" t="s">
        <v>5228</v>
      </c>
      <c r="E362" s="1" t="s">
        <v>420</v>
      </c>
      <c r="F362" s="1"/>
      <c r="G362" s="1"/>
      <c r="H362" s="1"/>
      <c r="I362" s="1" t="s">
        <v>1142</v>
      </c>
      <c r="J362" s="1"/>
      <c r="K362" s="1"/>
      <c r="L362" s="1"/>
      <c r="M362" s="1"/>
      <c r="N362" s="1"/>
      <c r="O362" s="1"/>
      <c r="P362" s="1"/>
      <c r="Q362" s="1"/>
    </row>
    <row r="363" spans="1:17">
      <c r="A363" s="1"/>
      <c r="B363" s="1"/>
      <c r="C363" s="1"/>
      <c r="D363" s="1" t="s">
        <v>5227</v>
      </c>
      <c r="E363" s="1" t="s">
        <v>420</v>
      </c>
      <c r="F363" s="1"/>
      <c r="G363" s="1"/>
      <c r="H363" s="1"/>
      <c r="I363" s="1" t="s">
        <v>4968</v>
      </c>
      <c r="J363" s="1"/>
      <c r="K363" s="1"/>
      <c r="L363" s="1"/>
      <c r="M363" s="1"/>
      <c r="N363" s="1"/>
      <c r="O363" s="1"/>
      <c r="P363" s="1"/>
      <c r="Q363" s="1"/>
    </row>
    <row r="364" spans="1:17">
      <c r="A364" s="1"/>
      <c r="B364" s="1"/>
      <c r="C364" s="1"/>
      <c r="D364" s="1" t="s">
        <v>5229</v>
      </c>
      <c r="E364" s="1" t="s">
        <v>420</v>
      </c>
      <c r="F364" s="1"/>
      <c r="G364" s="1"/>
      <c r="H364" s="1"/>
      <c r="I364" s="1" t="s">
        <v>5111</v>
      </c>
      <c r="J364" s="1"/>
      <c r="K364" s="1"/>
      <c r="L364" s="1"/>
      <c r="M364" s="1"/>
      <c r="N364" s="1"/>
      <c r="O364" s="1"/>
      <c r="P364" s="1"/>
      <c r="Q364" s="1"/>
    </row>
    <row r="365" spans="1:17">
      <c r="A365" s="1"/>
      <c r="B365" s="1" t="s">
        <v>1118</v>
      </c>
      <c r="C365" s="1" t="s">
        <v>1119</v>
      </c>
      <c r="D365" s="1" t="s">
        <v>5230</v>
      </c>
      <c r="E365" s="1" t="s">
        <v>625</v>
      </c>
      <c r="F365" s="1">
        <v>1</v>
      </c>
      <c r="G365" s="1">
        <v>1.95</v>
      </c>
      <c r="H365" s="1">
        <v>1</v>
      </c>
      <c r="I365" s="1" t="s">
        <v>5231</v>
      </c>
      <c r="J365" s="1" t="s">
        <v>40</v>
      </c>
      <c r="K365" s="1" t="s">
        <v>1122</v>
      </c>
      <c r="L365" s="1">
        <v>13817013878</v>
      </c>
      <c r="M365" s="1" t="s">
        <v>1123</v>
      </c>
      <c r="N365" s="1" t="s">
        <v>1124</v>
      </c>
      <c r="O365" s="1" t="s">
        <v>1125</v>
      </c>
      <c r="P365" s="1">
        <v>18930529835</v>
      </c>
      <c r="Q365" s="1" t="s">
        <v>1126</v>
      </c>
    </row>
    <row r="366" spans="1:17">
      <c r="A366" s="1"/>
      <c r="B366" s="1" t="s">
        <v>1128</v>
      </c>
      <c r="C366" s="1" t="s">
        <v>1129</v>
      </c>
      <c r="D366" s="1" t="s">
        <v>5232</v>
      </c>
      <c r="E366" s="1" t="s">
        <v>1131</v>
      </c>
      <c r="F366" s="1">
        <v>1</v>
      </c>
      <c r="G366" s="1">
        <v>2.85</v>
      </c>
      <c r="H366" s="1">
        <v>6</v>
      </c>
      <c r="I366" s="1" t="s">
        <v>1132</v>
      </c>
      <c r="J366" s="1" t="s">
        <v>293</v>
      </c>
      <c r="K366" s="1" t="s">
        <v>1133</v>
      </c>
      <c r="L366" s="1">
        <v>18722628063</v>
      </c>
      <c r="M366" s="1" t="s">
        <v>1134</v>
      </c>
      <c r="N366" s="1" t="s">
        <v>1135</v>
      </c>
      <c r="O366" s="1" t="s">
        <v>1136</v>
      </c>
      <c r="P366" s="1">
        <v>15373576669</v>
      </c>
      <c r="Q366" s="1" t="s">
        <v>1137</v>
      </c>
    </row>
    <row r="367" spans="1:17">
      <c r="A367" s="1"/>
      <c r="B367" s="1" t="s">
        <v>1139</v>
      </c>
      <c r="C367" s="1" t="s">
        <v>1140</v>
      </c>
      <c r="D367" s="1" t="s">
        <v>5233</v>
      </c>
      <c r="E367" s="1" t="s">
        <v>420</v>
      </c>
      <c r="F367" s="1">
        <v>1</v>
      </c>
      <c r="G367" s="1">
        <v>1.72</v>
      </c>
      <c r="H367" s="1">
        <v>14</v>
      </c>
      <c r="I367" s="1" t="s">
        <v>1142</v>
      </c>
      <c r="J367" s="1" t="s">
        <v>29</v>
      </c>
      <c r="K367" s="1" t="s">
        <v>1143</v>
      </c>
      <c r="L367" s="1">
        <v>13266533076</v>
      </c>
      <c r="M367" s="1" t="s">
        <v>1144</v>
      </c>
      <c r="N367" s="1" t="s">
        <v>1145</v>
      </c>
      <c r="O367" s="1" t="s">
        <v>1146</v>
      </c>
      <c r="P367" s="1">
        <v>18948720882</v>
      </c>
      <c r="Q367" s="1" t="s">
        <v>1147</v>
      </c>
    </row>
    <row r="368" spans="1:17">
      <c r="A368" s="1"/>
      <c r="B368" s="1" t="s">
        <v>1149</v>
      </c>
      <c r="C368" s="1" t="s">
        <v>1150</v>
      </c>
      <c r="D368" s="1" t="s">
        <v>5234</v>
      </c>
      <c r="E368" s="1" t="s">
        <v>625</v>
      </c>
      <c r="F368" s="1">
        <v>1</v>
      </c>
      <c r="G368" s="1">
        <v>0.81</v>
      </c>
      <c r="H368" s="1">
        <v>12</v>
      </c>
      <c r="I368" s="1" t="s">
        <v>5235</v>
      </c>
      <c r="J368" s="1" t="s">
        <v>40</v>
      </c>
      <c r="K368" s="1" t="s">
        <v>1153</v>
      </c>
      <c r="L368" s="1">
        <v>13313625098</v>
      </c>
      <c r="M368" s="1" t="s">
        <v>1154</v>
      </c>
      <c r="N368" s="1" t="s">
        <v>1155</v>
      </c>
      <c r="O368" s="1" t="s">
        <v>1156</v>
      </c>
      <c r="P368" s="1">
        <v>13945187822</v>
      </c>
      <c r="Q368" s="1" t="s">
        <v>1157</v>
      </c>
    </row>
    <row r="369" spans="1:17">
      <c r="A369" s="1"/>
      <c r="B369" s="1"/>
      <c r="C369" s="1"/>
      <c r="D369" s="1" t="s">
        <v>5103</v>
      </c>
      <c r="E369" s="1" t="s">
        <v>625</v>
      </c>
      <c r="F369" s="1"/>
      <c r="G369" s="1"/>
      <c r="H369" s="1"/>
      <c r="I369" s="1" t="s">
        <v>4987</v>
      </c>
      <c r="J369" s="1"/>
      <c r="K369" s="1"/>
      <c r="L369" s="1"/>
      <c r="M369" s="1"/>
      <c r="N369" s="1"/>
      <c r="O369" s="1"/>
      <c r="P369" s="1"/>
      <c r="Q369" s="1"/>
    </row>
    <row r="370" spans="1:17">
      <c r="A370" s="1"/>
      <c r="B370" s="1"/>
      <c r="C370" s="1"/>
      <c r="D370" s="1" t="s">
        <v>5236</v>
      </c>
      <c r="E370" s="1" t="s">
        <v>625</v>
      </c>
      <c r="F370" s="1"/>
      <c r="G370" s="1"/>
      <c r="H370" s="1"/>
      <c r="I370" s="1" t="s">
        <v>4983</v>
      </c>
      <c r="J370" s="1"/>
      <c r="K370" s="1"/>
      <c r="L370" s="1"/>
      <c r="M370" s="1"/>
      <c r="N370" s="1"/>
      <c r="O370" s="1"/>
      <c r="P370" s="1"/>
      <c r="Q370" s="1"/>
    </row>
    <row r="371" spans="1:17">
      <c r="A371" s="1"/>
      <c r="B371" s="1"/>
      <c r="C371" s="1"/>
      <c r="D371" s="1" t="s">
        <v>5237</v>
      </c>
      <c r="E371" s="1" t="s">
        <v>625</v>
      </c>
      <c r="F371" s="1"/>
      <c r="G371" s="1"/>
      <c r="H371" s="1"/>
      <c r="I371" s="1" t="s">
        <v>4987</v>
      </c>
      <c r="J371" s="1"/>
      <c r="K371" s="1"/>
      <c r="L371" s="1"/>
      <c r="M371" s="1"/>
      <c r="N371" s="1"/>
      <c r="O371" s="1"/>
      <c r="P371" s="1"/>
      <c r="Q371" s="1"/>
    </row>
    <row r="372" spans="1:17">
      <c r="A372" s="1"/>
      <c r="B372" s="1" t="s">
        <v>1159</v>
      </c>
      <c r="C372" s="1" t="s">
        <v>1160</v>
      </c>
      <c r="D372" s="1" t="s">
        <v>5238</v>
      </c>
      <c r="E372" s="1" t="s">
        <v>625</v>
      </c>
      <c r="F372" s="1">
        <v>1</v>
      </c>
      <c r="G372" s="1">
        <v>1.72</v>
      </c>
      <c r="H372" s="1">
        <v>8</v>
      </c>
      <c r="I372" s="1" t="s">
        <v>5239</v>
      </c>
      <c r="J372" s="1" t="s">
        <v>40</v>
      </c>
      <c r="K372" s="1" t="s">
        <v>1068</v>
      </c>
      <c r="L372" s="1">
        <v>18630403702</v>
      </c>
      <c r="M372" s="1" t="s">
        <v>1069</v>
      </c>
      <c r="N372" s="1" t="s">
        <v>1163</v>
      </c>
      <c r="O372" s="1" t="s">
        <v>1164</v>
      </c>
      <c r="P372" s="1">
        <v>15320030707</v>
      </c>
      <c r="Q372" s="1" t="s">
        <v>1165</v>
      </c>
    </row>
    <row r="373" spans="1:17">
      <c r="A373" s="1"/>
      <c r="B373" s="1"/>
      <c r="C373" s="1"/>
      <c r="D373" s="1" t="s">
        <v>5240</v>
      </c>
      <c r="E373" s="1" t="s">
        <v>625</v>
      </c>
      <c r="F373" s="1"/>
      <c r="G373" s="1"/>
      <c r="H373" s="1"/>
      <c r="I373" s="1" t="s">
        <v>4987</v>
      </c>
      <c r="J373" s="1"/>
      <c r="K373" s="1"/>
      <c r="L373" s="1"/>
      <c r="M373" s="1"/>
      <c r="N373" s="1"/>
      <c r="O373" s="1"/>
      <c r="P373" s="1"/>
      <c r="Q373" s="1"/>
    </row>
    <row r="374" spans="1:17">
      <c r="A374" s="1"/>
      <c r="B374" s="1"/>
      <c r="C374" s="1"/>
      <c r="D374" s="1" t="s">
        <v>5241</v>
      </c>
      <c r="E374" s="1" t="s">
        <v>625</v>
      </c>
      <c r="F374" s="1"/>
      <c r="G374" s="1"/>
      <c r="H374" s="1"/>
      <c r="I374" s="1" t="s">
        <v>4987</v>
      </c>
      <c r="J374" s="1"/>
      <c r="K374" s="1"/>
      <c r="L374" s="1"/>
      <c r="M374" s="1"/>
      <c r="N374" s="1"/>
      <c r="O374" s="1"/>
      <c r="P374" s="1"/>
      <c r="Q374" s="1"/>
    </row>
    <row r="375" spans="1:17">
      <c r="A375" s="1"/>
      <c r="B375" s="1"/>
      <c r="C375" s="1"/>
      <c r="D375" s="1" t="s">
        <v>5130</v>
      </c>
      <c r="E375" s="1" t="s">
        <v>625</v>
      </c>
      <c r="F375" s="1"/>
      <c r="G375" s="1"/>
      <c r="H375" s="1"/>
      <c r="I375" s="1" t="s">
        <v>4983</v>
      </c>
      <c r="J375" s="1"/>
      <c r="K375" s="1"/>
      <c r="L375" s="1"/>
      <c r="M375" s="1"/>
      <c r="N375" s="1"/>
      <c r="O375" s="1"/>
      <c r="P375" s="1"/>
      <c r="Q375" s="1"/>
    </row>
    <row r="376" spans="1:17">
      <c r="A376" s="1"/>
      <c r="B376" s="1" t="s">
        <v>1167</v>
      </c>
      <c r="C376" s="1" t="s">
        <v>1168</v>
      </c>
      <c r="D376" s="1" t="s">
        <v>5242</v>
      </c>
      <c r="E376" s="1" t="s">
        <v>625</v>
      </c>
      <c r="F376" s="1">
        <v>1</v>
      </c>
      <c r="G376" s="1">
        <v>2.85</v>
      </c>
      <c r="H376" s="1">
        <v>10</v>
      </c>
      <c r="J376" s="1" t="s">
        <v>40</v>
      </c>
      <c r="K376" s="1" t="s">
        <v>1171</v>
      </c>
      <c r="L376" s="1">
        <v>13689911637</v>
      </c>
      <c r="M376" s="1" t="s">
        <v>1172</v>
      </c>
      <c r="N376" s="1" t="s">
        <v>1173</v>
      </c>
      <c r="O376" s="1" t="s">
        <v>1174</v>
      </c>
      <c r="P376" s="1">
        <v>13689000637</v>
      </c>
      <c r="Q376" s="1" t="s">
        <v>1175</v>
      </c>
    </row>
    <row r="377" spans="1:17">
      <c r="A377" s="1"/>
      <c r="B377" s="1"/>
      <c r="C377" s="1"/>
      <c r="D377" s="1" t="s">
        <v>5243</v>
      </c>
      <c r="E377" s="1" t="s">
        <v>625</v>
      </c>
      <c r="F377" s="1"/>
      <c r="G377" s="1"/>
      <c r="H377" s="1"/>
      <c r="I377" s="1" t="s">
        <v>4987</v>
      </c>
      <c r="J377" s="1"/>
      <c r="K377" s="1"/>
      <c r="L377" s="1"/>
      <c r="M377" s="1"/>
      <c r="N377" s="1"/>
      <c r="O377" s="1"/>
      <c r="P377" s="1"/>
      <c r="Q377" s="1"/>
    </row>
    <row r="378" spans="1:17">
      <c r="A378" s="1"/>
      <c r="B378" s="1"/>
      <c r="C378" s="1"/>
      <c r="D378" s="1" t="s">
        <v>5244</v>
      </c>
      <c r="E378" s="1" t="s">
        <v>625</v>
      </c>
      <c r="F378" s="1"/>
      <c r="G378" s="1"/>
      <c r="H378" s="1"/>
      <c r="I378" s="1" t="s">
        <v>5235</v>
      </c>
      <c r="J378" s="1"/>
      <c r="K378" s="1"/>
      <c r="L378" s="1"/>
      <c r="M378" s="1"/>
      <c r="N378" s="1"/>
      <c r="O378" s="1"/>
      <c r="P378" s="1"/>
      <c r="Q378" s="1"/>
    </row>
    <row r="379" spans="1:17">
      <c r="A379" s="1"/>
      <c r="B379" s="1" t="s">
        <v>1177</v>
      </c>
      <c r="C379" s="1" t="s">
        <v>1178</v>
      </c>
      <c r="D379" s="1" t="s">
        <v>5245</v>
      </c>
      <c r="E379" s="1" t="s">
        <v>625</v>
      </c>
      <c r="F379" s="1">
        <v>1</v>
      </c>
      <c r="G379" s="1">
        <v>1.04</v>
      </c>
      <c r="H379" s="1">
        <v>10</v>
      </c>
      <c r="J379" s="1" t="s">
        <v>40</v>
      </c>
      <c r="K379" s="1" t="s">
        <v>1181</v>
      </c>
      <c r="L379" s="1">
        <v>13321152741</v>
      </c>
      <c r="M379" s="1" t="s">
        <v>1182</v>
      </c>
      <c r="N379" s="1" t="s">
        <v>1183</v>
      </c>
      <c r="O379" s="1" t="s">
        <v>1184</v>
      </c>
      <c r="P379" s="1">
        <v>13807605233</v>
      </c>
      <c r="Q379" s="1" t="s">
        <v>1185</v>
      </c>
    </row>
    <row r="380" spans="1:17">
      <c r="A380" s="1"/>
      <c r="B380" s="1"/>
      <c r="C380" s="1"/>
      <c r="D380" s="1" t="s">
        <v>5128</v>
      </c>
      <c r="E380" s="1" t="s">
        <v>625</v>
      </c>
      <c r="F380" s="1"/>
      <c r="G380" s="1"/>
      <c r="H380" s="1"/>
      <c r="J380" s="1"/>
      <c r="K380" s="1"/>
      <c r="L380" s="1"/>
      <c r="M380" s="1"/>
      <c r="N380" s="1"/>
      <c r="O380" s="1"/>
      <c r="P380" s="1"/>
      <c r="Q380" s="1"/>
    </row>
    <row r="381" spans="1:17">
      <c r="A381" s="1"/>
      <c r="B381" s="1"/>
      <c r="C381" s="1"/>
      <c r="D381" s="1" t="s">
        <v>5103</v>
      </c>
      <c r="E381" s="1" t="s">
        <v>625</v>
      </c>
      <c r="F381" s="1"/>
      <c r="G381" s="1"/>
      <c r="H381" s="1"/>
      <c r="J381" s="1"/>
      <c r="K381" s="1"/>
      <c r="L381" s="1"/>
      <c r="M381" s="1"/>
      <c r="N381" s="1"/>
      <c r="O381" s="1"/>
      <c r="P381" s="1"/>
      <c r="Q381" s="1"/>
    </row>
    <row r="382" spans="1:17">
      <c r="A382" s="1"/>
      <c r="B382" s="1"/>
      <c r="C382" s="1"/>
      <c r="D382" s="1" t="s">
        <v>5130</v>
      </c>
      <c r="E382" s="1" t="s">
        <v>625</v>
      </c>
      <c r="F382" s="1"/>
      <c r="G382" s="1"/>
      <c r="H382" s="1"/>
      <c r="J382" s="1"/>
      <c r="K382" s="1"/>
      <c r="L382" s="1"/>
      <c r="M382" s="1"/>
      <c r="N382" s="1"/>
      <c r="O382" s="1"/>
      <c r="P382" s="1"/>
      <c r="Q382" s="1"/>
    </row>
    <row r="383" spans="1:17">
      <c r="A383" s="1"/>
      <c r="B383" s="1"/>
      <c r="C383" s="1"/>
      <c r="D383" s="1" t="s">
        <v>5246</v>
      </c>
      <c r="E383" s="1" t="s">
        <v>625</v>
      </c>
      <c r="F383" s="1"/>
      <c r="G383" s="1"/>
      <c r="H383" s="1"/>
      <c r="J383" s="1"/>
      <c r="K383" s="1"/>
      <c r="L383" s="1"/>
      <c r="M383" s="1"/>
      <c r="N383" s="1"/>
      <c r="O383" s="1"/>
      <c r="P383" s="1"/>
      <c r="Q383" s="1"/>
    </row>
    <row r="384" spans="1:17">
      <c r="A384" s="1"/>
      <c r="B384" s="1"/>
      <c r="C384" s="1"/>
      <c r="D384" s="1" t="s">
        <v>5163</v>
      </c>
      <c r="E384" s="1" t="s">
        <v>625</v>
      </c>
      <c r="F384" s="1"/>
      <c r="G384" s="1"/>
      <c r="H384" s="1"/>
      <c r="J384" s="1"/>
      <c r="K384" s="1"/>
      <c r="L384" s="1"/>
      <c r="M384" s="1"/>
      <c r="N384" s="1"/>
      <c r="O384" s="1"/>
      <c r="P384" s="1"/>
      <c r="Q384" s="1"/>
    </row>
    <row r="385" spans="1:17">
      <c r="A385" s="1"/>
      <c r="B385" s="1"/>
      <c r="C385" s="1"/>
      <c r="D385" s="1" t="s">
        <v>5017</v>
      </c>
      <c r="E385" s="1" t="s">
        <v>625</v>
      </c>
      <c r="F385" s="1"/>
      <c r="G385" s="1"/>
      <c r="H385" s="1"/>
      <c r="J385" s="1"/>
      <c r="K385" s="1"/>
      <c r="L385" s="1"/>
      <c r="M385" s="1"/>
      <c r="N385" s="1"/>
      <c r="O385" s="1"/>
      <c r="P385" s="1"/>
      <c r="Q385" s="1"/>
    </row>
    <row r="386" spans="1:17">
      <c r="A386" s="1"/>
      <c r="B386" s="1" t="s">
        <v>1187</v>
      </c>
      <c r="C386" s="1" t="s">
        <v>1188</v>
      </c>
      <c r="D386" s="1" t="s">
        <v>5247</v>
      </c>
      <c r="E386" s="1" t="s">
        <v>5077</v>
      </c>
      <c r="F386" s="1">
        <v>1</v>
      </c>
      <c r="G386" s="1">
        <v>1.72</v>
      </c>
      <c r="H386" s="1">
        <v>6</v>
      </c>
      <c r="J386" s="1" t="s">
        <v>29</v>
      </c>
      <c r="K386" s="1" t="s">
        <v>1191</v>
      </c>
      <c r="L386" s="1">
        <v>18382618053</v>
      </c>
      <c r="M386" s="1" t="s">
        <v>1192</v>
      </c>
      <c r="N386" s="1" t="s">
        <v>1193</v>
      </c>
      <c r="O386" s="1" t="s">
        <v>1194</v>
      </c>
      <c r="P386" s="1">
        <v>13982631997</v>
      </c>
      <c r="Q386" s="1" t="s">
        <v>1195</v>
      </c>
    </row>
    <row r="387" spans="1:17">
      <c r="A387" s="1"/>
      <c r="B387" s="1"/>
      <c r="C387" s="1"/>
      <c r="D387" s="1" t="s">
        <v>5248</v>
      </c>
      <c r="E387" s="1" t="s">
        <v>5077</v>
      </c>
      <c r="F387" s="1"/>
      <c r="G387" s="1"/>
      <c r="H387" s="1"/>
      <c r="J387" s="1"/>
      <c r="K387" s="1"/>
      <c r="L387" s="1"/>
      <c r="M387" s="1"/>
      <c r="N387" s="1"/>
      <c r="O387" s="1"/>
      <c r="P387" s="1"/>
      <c r="Q387" s="1"/>
    </row>
    <row r="388" spans="1:17">
      <c r="A388" s="1"/>
      <c r="B388" s="1"/>
      <c r="C388" s="1"/>
      <c r="D388" s="1" t="s">
        <v>5249</v>
      </c>
      <c r="E388" s="1" t="s">
        <v>5077</v>
      </c>
      <c r="F388" s="1"/>
      <c r="G388" s="1"/>
      <c r="H388" s="1"/>
      <c r="J388" s="1"/>
      <c r="K388" s="1"/>
      <c r="L388" s="1"/>
      <c r="M388" s="1"/>
      <c r="N388" s="1"/>
      <c r="O388" s="1"/>
      <c r="P388" s="1"/>
      <c r="Q388" s="1"/>
    </row>
    <row r="389" spans="1:17">
      <c r="A389" s="1"/>
      <c r="B389" s="1"/>
      <c r="C389" s="1"/>
      <c r="D389" s="1" t="s">
        <v>5250</v>
      </c>
      <c r="E389" s="1" t="s">
        <v>449</v>
      </c>
      <c r="F389" s="1"/>
      <c r="G389" s="1"/>
      <c r="H389" s="1"/>
      <c r="J389" s="1"/>
      <c r="K389" s="1"/>
      <c r="L389" s="1"/>
      <c r="M389" s="1"/>
      <c r="N389" s="1"/>
      <c r="O389" s="1"/>
      <c r="P389" s="1"/>
      <c r="Q389" s="1"/>
    </row>
    <row r="390" spans="1:17">
      <c r="A390" s="1"/>
      <c r="B390" s="1" t="s">
        <v>1197</v>
      </c>
      <c r="C390" s="1" t="s">
        <v>1198</v>
      </c>
      <c r="D390" s="1" t="s">
        <v>5218</v>
      </c>
      <c r="E390" s="1" t="s">
        <v>625</v>
      </c>
      <c r="F390" s="1">
        <v>1</v>
      </c>
      <c r="G390" s="1">
        <v>1.04</v>
      </c>
      <c r="H390" s="1">
        <v>12</v>
      </c>
      <c r="I390" s="1" t="s">
        <v>5050</v>
      </c>
      <c r="J390" s="1" t="s">
        <v>40</v>
      </c>
      <c r="K390" s="1" t="s">
        <v>1201</v>
      </c>
      <c r="L390" s="1">
        <v>13805356723</v>
      </c>
      <c r="M390" s="1" t="s">
        <v>1202</v>
      </c>
      <c r="N390" s="1" t="s">
        <v>1203</v>
      </c>
      <c r="O390" s="1" t="s">
        <v>1204</v>
      </c>
      <c r="P390" s="1">
        <v>13675355765</v>
      </c>
      <c r="Q390" s="1" t="s">
        <v>1205</v>
      </c>
    </row>
    <row r="391" spans="1:17">
      <c r="A391" s="1"/>
      <c r="B391" s="1"/>
      <c r="C391" s="1"/>
      <c r="D391" s="1" t="s">
        <v>5251</v>
      </c>
      <c r="E391" s="1" t="s">
        <v>625</v>
      </c>
      <c r="F391" s="1"/>
      <c r="G391" s="1"/>
      <c r="H391" s="1"/>
      <c r="I391" s="1" t="s">
        <v>4987</v>
      </c>
      <c r="J391" s="1"/>
      <c r="K391" s="1"/>
      <c r="L391" s="1"/>
      <c r="M391" s="1"/>
      <c r="N391" s="1"/>
      <c r="O391" s="1"/>
      <c r="P391" s="1"/>
      <c r="Q391" s="1"/>
    </row>
    <row r="392" spans="1:17">
      <c r="A392" s="1"/>
      <c r="B392" s="1"/>
      <c r="C392" s="1"/>
      <c r="D392" s="1" t="s">
        <v>5252</v>
      </c>
      <c r="E392" s="1" t="s">
        <v>625</v>
      </c>
      <c r="F392" s="1"/>
      <c r="G392" s="1"/>
      <c r="H392" s="1"/>
      <c r="I392" s="1" t="s">
        <v>4983</v>
      </c>
      <c r="J392" s="1"/>
      <c r="K392" s="1"/>
      <c r="L392" s="1"/>
      <c r="M392" s="1"/>
      <c r="N392" s="1"/>
      <c r="O392" s="1"/>
      <c r="P392" s="1"/>
      <c r="Q392" s="1"/>
    </row>
    <row r="393" spans="1:17">
      <c r="A393" s="1"/>
      <c r="B393" s="1" t="s">
        <v>1207</v>
      </c>
      <c r="C393" s="1" t="s">
        <v>1208</v>
      </c>
      <c r="D393" s="1" t="s">
        <v>5253</v>
      </c>
      <c r="E393" s="1" t="s">
        <v>1210</v>
      </c>
      <c r="F393" s="1">
        <v>1</v>
      </c>
      <c r="G393" s="1">
        <v>0.81</v>
      </c>
      <c r="H393" s="1">
        <v>5</v>
      </c>
      <c r="J393" s="1" t="s">
        <v>29</v>
      </c>
      <c r="K393" s="1" t="s">
        <v>1211</v>
      </c>
      <c r="L393" s="1">
        <v>17695963119</v>
      </c>
      <c r="M393" s="1" t="s">
        <v>992</v>
      </c>
      <c r="N393" s="1" t="s">
        <v>1211</v>
      </c>
      <c r="O393" s="1" t="s">
        <v>1212</v>
      </c>
      <c r="P393" s="1">
        <v>13662121620</v>
      </c>
      <c r="Q393" s="1" t="s">
        <v>1213</v>
      </c>
    </row>
    <row r="394" spans="1:17">
      <c r="A394" s="1"/>
      <c r="B394" s="1" t="s">
        <v>1215</v>
      </c>
      <c r="C394" s="1" t="s">
        <v>1216</v>
      </c>
      <c r="D394" s="1" t="s">
        <v>5254</v>
      </c>
      <c r="E394" s="1" t="s">
        <v>2413</v>
      </c>
      <c r="F394" s="1">
        <v>1</v>
      </c>
      <c r="G394" s="1">
        <v>1.26</v>
      </c>
      <c r="H394" s="1">
        <v>16</v>
      </c>
      <c r="J394" s="1" t="s">
        <v>29</v>
      </c>
      <c r="K394" s="1" t="s">
        <v>1220</v>
      </c>
      <c r="L394" s="1">
        <v>17694885170</v>
      </c>
      <c r="M394" s="1" t="s">
        <v>1221</v>
      </c>
      <c r="N394" s="1" t="s">
        <v>1222</v>
      </c>
      <c r="O394" s="1" t="s">
        <v>1221</v>
      </c>
      <c r="P394" s="1">
        <v>17694885170</v>
      </c>
      <c r="Q394" s="1" t="s">
        <v>1223</v>
      </c>
    </row>
    <row r="395" spans="1:17">
      <c r="A395" s="1"/>
      <c r="B395" s="1"/>
      <c r="C395" s="1"/>
      <c r="D395" s="1" t="s">
        <v>5255</v>
      </c>
      <c r="E395" s="1" t="s">
        <v>449</v>
      </c>
      <c r="F395" s="1"/>
      <c r="G395" s="1"/>
      <c r="H395" s="1"/>
      <c r="J395" s="1"/>
      <c r="K395" s="1"/>
      <c r="L395" s="1"/>
      <c r="M395" s="1"/>
      <c r="N395" s="1"/>
      <c r="O395" s="1"/>
      <c r="P395" s="1"/>
      <c r="Q395" s="1"/>
    </row>
    <row r="396" spans="1:17">
      <c r="A396" s="1"/>
      <c r="B396" s="1"/>
      <c r="C396" s="1"/>
      <c r="D396" s="1" t="s">
        <v>5256</v>
      </c>
      <c r="E396" s="1" t="s">
        <v>449</v>
      </c>
      <c r="F396" s="1"/>
      <c r="G396" s="1"/>
      <c r="H396" s="1"/>
      <c r="J396" s="1"/>
      <c r="K396" s="1"/>
      <c r="L396" s="1"/>
      <c r="M396" s="1"/>
      <c r="N396" s="1"/>
      <c r="O396" s="1"/>
      <c r="P396" s="1"/>
      <c r="Q396" s="1"/>
    </row>
    <row r="397" spans="1:17">
      <c r="A397" s="1"/>
      <c r="B397" s="1"/>
      <c r="C397" s="1"/>
      <c r="D397" s="1" t="s">
        <v>5257</v>
      </c>
      <c r="E397" s="1" t="s">
        <v>449</v>
      </c>
      <c r="F397" s="1"/>
      <c r="G397" s="1"/>
      <c r="H397" s="1"/>
      <c r="J397" s="1"/>
      <c r="K397" s="1"/>
      <c r="L397" s="1"/>
      <c r="M397" s="1"/>
      <c r="N397" s="1"/>
      <c r="O397" s="1"/>
      <c r="P397" s="1"/>
      <c r="Q397" s="1"/>
    </row>
    <row r="398" spans="1:17">
      <c r="A398" s="1"/>
      <c r="B398" s="1"/>
      <c r="C398" s="1"/>
      <c r="D398" s="1" t="s">
        <v>5258</v>
      </c>
      <c r="E398" s="1" t="s">
        <v>449</v>
      </c>
      <c r="F398" s="1"/>
      <c r="G398" s="1"/>
      <c r="H398" s="1"/>
      <c r="I398" s="1" t="s">
        <v>1634</v>
      </c>
      <c r="J398" s="1"/>
      <c r="K398" s="1"/>
      <c r="L398" s="1"/>
      <c r="M398" s="1"/>
      <c r="N398" s="1"/>
      <c r="O398" s="1"/>
      <c r="P398" s="1"/>
      <c r="Q398" s="1"/>
    </row>
    <row r="399" spans="1:17">
      <c r="A399" s="1"/>
      <c r="B399" s="1" t="s">
        <v>1225</v>
      </c>
      <c r="C399" s="1" t="s">
        <v>1226</v>
      </c>
      <c r="D399" s="1" t="s">
        <v>5259</v>
      </c>
      <c r="E399" s="1" t="s">
        <v>5260</v>
      </c>
      <c r="F399" s="1">
        <v>1</v>
      </c>
      <c r="G399" s="1">
        <v>0.81</v>
      </c>
      <c r="H399" s="1">
        <v>6</v>
      </c>
      <c r="J399" s="1" t="s">
        <v>29</v>
      </c>
      <c r="K399" s="1" t="s">
        <v>1229</v>
      </c>
      <c r="L399" s="1">
        <v>18722622602</v>
      </c>
      <c r="M399" s="1" t="s">
        <v>1230</v>
      </c>
      <c r="N399" s="1" t="s">
        <v>1231</v>
      </c>
      <c r="O399" s="1" t="s">
        <v>1232</v>
      </c>
      <c r="P399" s="1">
        <v>18002015029</v>
      </c>
      <c r="Q399" s="1" t="s">
        <v>1233</v>
      </c>
    </row>
    <row r="400" spans="1:17">
      <c r="A400" s="1"/>
      <c r="B400" s="1"/>
      <c r="C400" s="1"/>
      <c r="D400" s="1" t="s">
        <v>5261</v>
      </c>
      <c r="E400" s="1" t="s">
        <v>5205</v>
      </c>
      <c r="F400" s="1"/>
      <c r="G400" s="1"/>
      <c r="H400" s="1"/>
      <c r="J400" s="1"/>
      <c r="K400" s="1"/>
      <c r="L400" s="1"/>
      <c r="M400" s="1"/>
      <c r="N400" s="1"/>
      <c r="O400" s="1"/>
      <c r="P400" s="1"/>
      <c r="Q400" s="1"/>
    </row>
    <row r="401" spans="1:17">
      <c r="A401" s="1"/>
      <c r="B401" s="1" t="s">
        <v>1235</v>
      </c>
      <c r="C401" s="1" t="s">
        <v>1236</v>
      </c>
      <c r="D401" s="1" t="s">
        <v>5262</v>
      </c>
      <c r="E401" s="1" t="s">
        <v>449</v>
      </c>
      <c r="F401" s="1">
        <v>1</v>
      </c>
      <c r="G401" s="1">
        <v>1.04</v>
      </c>
      <c r="H401" s="1">
        <v>3</v>
      </c>
      <c r="I401" s="1" t="s">
        <v>1238</v>
      </c>
      <c r="J401" s="1" t="s">
        <v>29</v>
      </c>
      <c r="K401" s="1" t="s">
        <v>1239</v>
      </c>
      <c r="L401" s="1">
        <v>17694885170</v>
      </c>
      <c r="M401" s="1" t="s">
        <v>1230</v>
      </c>
      <c r="N401" s="1" t="s">
        <v>1240</v>
      </c>
      <c r="O401" s="1" t="s">
        <v>1241</v>
      </c>
      <c r="P401" s="1">
        <v>13512244158</v>
      </c>
      <c r="Q401" s="1" t="s">
        <v>1242</v>
      </c>
    </row>
    <row r="402" spans="1:17">
      <c r="A402" s="1"/>
      <c r="B402" s="1" t="s">
        <v>1244</v>
      </c>
      <c r="C402" s="1" t="s">
        <v>1245</v>
      </c>
      <c r="D402" s="1" t="s">
        <v>5263</v>
      </c>
      <c r="E402" s="1" t="s">
        <v>625</v>
      </c>
      <c r="F402" s="1">
        <v>1</v>
      </c>
      <c r="G402" s="1">
        <v>1.04</v>
      </c>
      <c r="H402" s="1">
        <v>10</v>
      </c>
      <c r="I402" s="1" t="s">
        <v>5050</v>
      </c>
      <c r="J402" s="1" t="s">
        <v>40</v>
      </c>
      <c r="K402" s="1" t="s">
        <v>1248</v>
      </c>
      <c r="L402" s="1">
        <v>13801375568</v>
      </c>
      <c r="M402" s="1" t="s">
        <v>1249</v>
      </c>
      <c r="N402" s="1" t="s">
        <v>1250</v>
      </c>
      <c r="O402" s="1" t="s">
        <v>1249</v>
      </c>
      <c r="P402" s="1">
        <v>13801375568</v>
      </c>
      <c r="Q402" s="1" t="s">
        <v>1251</v>
      </c>
    </row>
    <row r="403" spans="1:17">
      <c r="A403" s="1"/>
      <c r="B403" s="1"/>
      <c r="C403" s="1"/>
      <c r="D403" s="1" t="s">
        <v>5264</v>
      </c>
      <c r="E403" s="1" t="s">
        <v>625</v>
      </c>
      <c r="F403" s="1"/>
      <c r="G403" s="1"/>
      <c r="H403" s="1"/>
      <c r="I403" s="1" t="s">
        <v>4987</v>
      </c>
      <c r="J403" s="1"/>
      <c r="K403" s="1"/>
      <c r="L403" s="1"/>
      <c r="M403" s="1"/>
      <c r="N403" s="1"/>
      <c r="O403" s="1"/>
      <c r="P403" s="1"/>
      <c r="Q403" s="1"/>
    </row>
    <row r="404" spans="1:17">
      <c r="A404" s="1"/>
      <c r="B404" s="1"/>
      <c r="C404" s="1"/>
      <c r="D404" s="1" t="s">
        <v>5245</v>
      </c>
      <c r="E404" s="1" t="s">
        <v>625</v>
      </c>
      <c r="F404" s="1"/>
      <c r="G404" s="1"/>
      <c r="H404" s="1"/>
      <c r="I404" s="1" t="s">
        <v>4985</v>
      </c>
      <c r="J404" s="1"/>
      <c r="K404" s="1"/>
      <c r="L404" s="1"/>
      <c r="M404" s="1"/>
      <c r="N404" s="1"/>
      <c r="O404" s="1"/>
      <c r="P404" s="1"/>
      <c r="Q404" s="1"/>
    </row>
    <row r="405" spans="1:17">
      <c r="A405" s="1"/>
      <c r="B405" s="1"/>
      <c r="C405" s="1"/>
      <c r="D405" s="1" t="s">
        <v>5128</v>
      </c>
      <c r="E405" s="1" t="s">
        <v>625</v>
      </c>
      <c r="F405" s="1"/>
      <c r="G405" s="1"/>
      <c r="H405" s="1"/>
      <c r="I405" s="1" t="s">
        <v>4987</v>
      </c>
      <c r="J405" s="1"/>
      <c r="K405" s="1"/>
      <c r="L405" s="1"/>
      <c r="M405" s="1"/>
      <c r="N405" s="1"/>
      <c r="O405" s="1"/>
      <c r="P405" s="1"/>
      <c r="Q405" s="1"/>
    </row>
    <row r="406" spans="1:17">
      <c r="A406" s="1"/>
      <c r="B406" s="1"/>
      <c r="C406" s="1"/>
      <c r="D406" s="1" t="s">
        <v>5032</v>
      </c>
      <c r="E406" s="1" t="s">
        <v>625</v>
      </c>
      <c r="F406" s="1"/>
      <c r="G406" s="1"/>
      <c r="H406" s="1"/>
      <c r="I406" s="1" t="s">
        <v>5101</v>
      </c>
      <c r="J406" s="1"/>
      <c r="K406" s="1"/>
      <c r="L406" s="1"/>
      <c r="M406" s="1"/>
      <c r="N406" s="1"/>
      <c r="O406" s="1"/>
      <c r="P406" s="1"/>
      <c r="Q406" s="1"/>
    </row>
    <row r="407" spans="1:17">
      <c r="A407" s="1"/>
      <c r="B407" s="1"/>
      <c r="C407" s="1"/>
      <c r="D407" s="1" t="s">
        <v>5044</v>
      </c>
      <c r="E407" s="1" t="s">
        <v>625</v>
      </c>
      <c r="F407" s="1"/>
      <c r="G407" s="1"/>
      <c r="H407" s="1"/>
      <c r="I407" s="1" t="s">
        <v>5265</v>
      </c>
      <c r="J407" s="1"/>
      <c r="K407" s="1"/>
      <c r="L407" s="1"/>
      <c r="M407" s="1"/>
      <c r="N407" s="1"/>
      <c r="O407" s="1"/>
      <c r="P407" s="1"/>
      <c r="Q407" s="1"/>
    </row>
    <row r="408" spans="1:17">
      <c r="A408" s="1"/>
      <c r="B408" s="1" t="s">
        <v>1253</v>
      </c>
      <c r="C408" s="1" t="s">
        <v>1254</v>
      </c>
      <c r="D408" s="1" t="s">
        <v>5104</v>
      </c>
      <c r="E408" s="1" t="s">
        <v>420</v>
      </c>
      <c r="F408" s="1">
        <v>1</v>
      </c>
      <c r="G408" s="1">
        <v>1.72</v>
      </c>
      <c r="H408" s="1">
        <v>11</v>
      </c>
      <c r="I408" s="1" t="s">
        <v>5105</v>
      </c>
      <c r="J408" s="1" t="s">
        <v>40</v>
      </c>
      <c r="K408" s="1" t="s">
        <v>1257</v>
      </c>
      <c r="L408" s="1">
        <v>18820285826</v>
      </c>
      <c r="M408" s="1" t="s">
        <v>1258</v>
      </c>
      <c r="N408" s="1" t="s">
        <v>1259</v>
      </c>
      <c r="O408" s="1" t="s">
        <v>1258</v>
      </c>
      <c r="P408" s="1">
        <v>18820285826</v>
      </c>
      <c r="Q408" s="1" t="s">
        <v>1260</v>
      </c>
    </row>
    <row r="409" spans="1:17">
      <c r="A409" s="1"/>
      <c r="B409" s="1"/>
      <c r="C409" s="1"/>
      <c r="D409" s="1" t="s">
        <v>5266</v>
      </c>
      <c r="E409" s="1" t="s">
        <v>420</v>
      </c>
      <c r="F409" s="1"/>
      <c r="G409" s="1"/>
      <c r="H409" s="1"/>
      <c r="I409" s="1" t="s">
        <v>164</v>
      </c>
      <c r="J409" s="1"/>
      <c r="K409" s="1"/>
      <c r="L409" s="1"/>
      <c r="M409" s="1"/>
      <c r="N409" s="1"/>
      <c r="O409" s="1"/>
      <c r="P409" s="1"/>
      <c r="Q409" s="1"/>
    </row>
    <row r="410" spans="1:17">
      <c r="A410" s="1"/>
      <c r="B410" s="1"/>
      <c r="C410" s="1"/>
      <c r="D410" s="1" t="s">
        <v>5149</v>
      </c>
      <c r="E410" s="1" t="s">
        <v>420</v>
      </c>
      <c r="F410" s="1"/>
      <c r="G410" s="1"/>
      <c r="H410" s="1"/>
      <c r="I410" s="1" t="s">
        <v>1142</v>
      </c>
      <c r="J410" s="1"/>
      <c r="K410" s="1"/>
      <c r="L410" s="1"/>
      <c r="M410" s="1"/>
      <c r="N410" s="1"/>
      <c r="O410" s="1"/>
      <c r="P410" s="1"/>
      <c r="Q410" s="1"/>
    </row>
    <row r="411" spans="1:17">
      <c r="A411" s="1"/>
      <c r="B411" s="1"/>
      <c r="C411" s="1"/>
      <c r="D411" s="1" t="s">
        <v>5267</v>
      </c>
      <c r="E411" s="1" t="s">
        <v>420</v>
      </c>
      <c r="F411" s="1"/>
      <c r="G411" s="1"/>
      <c r="H411" s="1"/>
      <c r="I411" s="1" t="s">
        <v>5111</v>
      </c>
      <c r="J411" s="1"/>
      <c r="K411" s="1"/>
      <c r="L411" s="1"/>
      <c r="M411" s="1"/>
      <c r="N411" s="1"/>
      <c r="O411" s="1"/>
      <c r="P411" s="1"/>
      <c r="Q411" s="1"/>
    </row>
    <row r="412" spans="1:17">
      <c r="A412" s="1"/>
      <c r="B412" s="1" t="s">
        <v>1262</v>
      </c>
      <c r="C412" s="1" t="s">
        <v>1263</v>
      </c>
      <c r="D412" s="1" t="s">
        <v>5266</v>
      </c>
      <c r="E412" s="1" t="s">
        <v>420</v>
      </c>
      <c r="F412" s="1">
        <v>1</v>
      </c>
      <c r="G412" s="1">
        <v>1.2636363636363599</v>
      </c>
      <c r="H412" s="1">
        <v>10</v>
      </c>
      <c r="I412" s="1" t="s">
        <v>164</v>
      </c>
      <c r="J412" s="1" t="s">
        <v>29</v>
      </c>
      <c r="K412" s="1" t="s">
        <v>1266</v>
      </c>
      <c r="L412" s="1">
        <v>13611066495</v>
      </c>
      <c r="M412" s="1" t="s">
        <v>1267</v>
      </c>
      <c r="N412" s="1" t="s">
        <v>1268</v>
      </c>
      <c r="O412" s="1" t="s">
        <v>1269</v>
      </c>
      <c r="P412" s="1">
        <v>13611100945</v>
      </c>
      <c r="Q412" s="1" t="s">
        <v>1270</v>
      </c>
    </row>
    <row r="413" spans="1:17">
      <c r="A413" s="1"/>
      <c r="B413" s="1"/>
      <c r="C413" s="1"/>
      <c r="D413" s="1" t="s">
        <v>5268</v>
      </c>
      <c r="E413" s="1" t="s">
        <v>420</v>
      </c>
      <c r="F413" s="1"/>
      <c r="G413" s="1"/>
      <c r="H413" s="1"/>
      <c r="I413" s="1" t="s">
        <v>5269</v>
      </c>
      <c r="J413" s="1"/>
      <c r="K413" s="1"/>
      <c r="L413" s="1"/>
      <c r="M413" s="1"/>
      <c r="N413" s="1"/>
      <c r="O413" s="1"/>
      <c r="P413" s="1"/>
      <c r="Q413" s="1"/>
    </row>
    <row r="414" spans="1:17">
      <c r="A414" s="1"/>
      <c r="B414" s="1"/>
      <c r="C414" s="1"/>
      <c r="D414" s="1" t="s">
        <v>5270</v>
      </c>
      <c r="E414" s="1" t="s">
        <v>420</v>
      </c>
      <c r="F414" s="1"/>
      <c r="G414" s="1"/>
      <c r="H414" s="1"/>
      <c r="I414" s="1" t="s">
        <v>4963</v>
      </c>
      <c r="J414" s="1"/>
      <c r="K414" s="1"/>
      <c r="L414" s="1"/>
      <c r="M414" s="1"/>
      <c r="N414" s="1"/>
      <c r="O414" s="1"/>
      <c r="P414" s="1"/>
      <c r="Q414" s="1"/>
    </row>
    <row r="415" spans="1:17">
      <c r="A415" s="1"/>
      <c r="B415" s="1"/>
      <c r="C415" s="1"/>
      <c r="D415" s="1" t="s">
        <v>5271</v>
      </c>
      <c r="E415" s="1" t="s">
        <v>420</v>
      </c>
      <c r="F415" s="1"/>
      <c r="G415" s="1"/>
      <c r="H415" s="1"/>
      <c r="I415" s="1" t="s">
        <v>5272</v>
      </c>
      <c r="J415" s="1"/>
      <c r="K415" s="1"/>
      <c r="L415" s="1"/>
      <c r="M415" s="1"/>
      <c r="N415" s="1"/>
      <c r="O415" s="1"/>
      <c r="P415" s="1"/>
      <c r="Q415" s="1"/>
    </row>
    <row r="416" spans="1:17">
      <c r="A416" s="1"/>
      <c r="B416" s="1" t="s">
        <v>1272</v>
      </c>
      <c r="C416" s="1" t="s">
        <v>1273</v>
      </c>
      <c r="D416" s="1" t="s">
        <v>1274</v>
      </c>
      <c r="E416" s="1" t="s">
        <v>420</v>
      </c>
      <c r="F416" s="1">
        <v>1</v>
      </c>
      <c r="G416" s="1">
        <v>0.81</v>
      </c>
      <c r="H416" s="1">
        <v>2</v>
      </c>
      <c r="J416" s="1" t="s">
        <v>40</v>
      </c>
      <c r="K416" s="1" t="s">
        <v>1275</v>
      </c>
      <c r="L416" s="1">
        <v>15672663259</v>
      </c>
      <c r="M416" s="1" t="s">
        <v>1276</v>
      </c>
      <c r="N416" s="1" t="s">
        <v>1277</v>
      </c>
      <c r="O416" s="1" t="s">
        <v>1278</v>
      </c>
      <c r="P416" s="1">
        <v>13434605237</v>
      </c>
      <c r="Q416" s="1" t="s">
        <v>1279</v>
      </c>
    </row>
    <row r="417" spans="1:17">
      <c r="A417" s="1"/>
      <c r="B417" s="1" t="s">
        <v>1281</v>
      </c>
      <c r="C417" s="1" t="s">
        <v>1282</v>
      </c>
      <c r="D417" s="1" t="s">
        <v>1274</v>
      </c>
      <c r="E417" s="1" t="s">
        <v>420</v>
      </c>
      <c r="F417" s="1">
        <v>1</v>
      </c>
      <c r="G417" s="1">
        <v>0.81</v>
      </c>
      <c r="H417" s="1">
        <v>2</v>
      </c>
      <c r="J417" s="1" t="s">
        <v>40</v>
      </c>
      <c r="K417" s="1" t="s">
        <v>1283</v>
      </c>
      <c r="L417" s="1">
        <v>18926224930</v>
      </c>
      <c r="M417" s="1" t="s">
        <v>1284</v>
      </c>
      <c r="N417" s="1" t="s">
        <v>1285</v>
      </c>
      <c r="O417" s="1" t="s">
        <v>1284</v>
      </c>
      <c r="P417" s="1">
        <v>18926224930</v>
      </c>
      <c r="Q417" s="1" t="s">
        <v>1286</v>
      </c>
    </row>
    <row r="418" spans="1:17">
      <c r="A418" s="1"/>
      <c r="B418" s="1" t="s">
        <v>1288</v>
      </c>
      <c r="C418" s="1" t="s">
        <v>1289</v>
      </c>
      <c r="D418" s="1" t="s">
        <v>1274</v>
      </c>
      <c r="E418" s="1" t="s">
        <v>420</v>
      </c>
      <c r="F418" s="1">
        <v>1</v>
      </c>
      <c r="G418" s="1">
        <v>0.81</v>
      </c>
      <c r="H418" s="1">
        <v>2</v>
      </c>
      <c r="J418" s="1" t="s">
        <v>40</v>
      </c>
      <c r="K418" s="1" t="s">
        <v>1290</v>
      </c>
      <c r="L418" s="1">
        <v>18922776708</v>
      </c>
      <c r="M418" s="1" t="s">
        <v>1291</v>
      </c>
      <c r="N418" s="1" t="s">
        <v>1292</v>
      </c>
      <c r="O418" s="1" t="s">
        <v>1291</v>
      </c>
      <c r="P418" s="1">
        <v>18922776708</v>
      </c>
      <c r="Q418" s="1" t="s">
        <v>1293</v>
      </c>
    </row>
    <row r="419" spans="1:17">
      <c r="A419" s="1"/>
      <c r="B419" s="1" t="s">
        <v>1295</v>
      </c>
      <c r="C419" s="1" t="s">
        <v>1296</v>
      </c>
      <c r="D419" s="1" t="s">
        <v>4991</v>
      </c>
      <c r="E419" s="1" t="s">
        <v>4992</v>
      </c>
      <c r="F419" s="1">
        <v>1</v>
      </c>
      <c r="G419" s="1">
        <v>1.72</v>
      </c>
      <c r="H419" s="1">
        <v>15</v>
      </c>
      <c r="I419" s="1" t="s">
        <v>164</v>
      </c>
      <c r="J419" s="1" t="s">
        <v>40</v>
      </c>
      <c r="K419" s="1" t="s">
        <v>345</v>
      </c>
      <c r="L419" s="1">
        <v>13840761783</v>
      </c>
      <c r="M419" s="1" t="s">
        <v>346</v>
      </c>
      <c r="N419" s="1" t="s">
        <v>1297</v>
      </c>
      <c r="O419" s="1" t="s">
        <v>1298</v>
      </c>
      <c r="P419" s="1">
        <v>13342385225</v>
      </c>
      <c r="Q419" s="1" t="s">
        <v>1299</v>
      </c>
    </row>
    <row r="420" spans="1:17">
      <c r="A420" s="1"/>
      <c r="B420" s="1"/>
      <c r="C420" s="1"/>
      <c r="D420" s="1" t="s">
        <v>4993</v>
      </c>
      <c r="E420" s="1" t="s">
        <v>4994</v>
      </c>
      <c r="F420" s="1"/>
      <c r="G420" s="1"/>
      <c r="H420" s="1"/>
      <c r="I420" s="1" t="s">
        <v>4995</v>
      </c>
      <c r="J420" s="1"/>
      <c r="K420" s="1"/>
      <c r="L420" s="1"/>
      <c r="M420" s="1"/>
      <c r="N420" s="1"/>
      <c r="O420" s="1"/>
      <c r="P420" s="1"/>
      <c r="Q420" s="1"/>
    </row>
    <row r="421" spans="1:17">
      <c r="A421" s="1"/>
      <c r="B421" s="1" t="s">
        <v>1301</v>
      </c>
      <c r="C421" s="1" t="s">
        <v>1302</v>
      </c>
      <c r="D421" s="1" t="s">
        <v>4991</v>
      </c>
      <c r="E421" s="1" t="s">
        <v>4992</v>
      </c>
      <c r="F421" s="1">
        <v>1</v>
      </c>
      <c r="G421" s="1">
        <v>1.72</v>
      </c>
      <c r="H421" s="1">
        <v>15</v>
      </c>
      <c r="I421" s="1" t="s">
        <v>164</v>
      </c>
      <c r="J421" s="1" t="s">
        <v>40</v>
      </c>
      <c r="K421" s="1" t="s">
        <v>1303</v>
      </c>
      <c r="L421" s="1">
        <v>13610961783</v>
      </c>
      <c r="M421" s="1" t="s">
        <v>1304</v>
      </c>
      <c r="N421" s="1" t="s">
        <v>1305</v>
      </c>
      <c r="O421" s="1" t="s">
        <v>1304</v>
      </c>
      <c r="P421" s="1">
        <v>15510961783</v>
      </c>
      <c r="Q421" s="1" t="s">
        <v>1306</v>
      </c>
    </row>
    <row r="422" spans="1:17">
      <c r="A422" s="1"/>
      <c r="B422" s="1"/>
      <c r="C422" s="1"/>
      <c r="D422" s="1" t="s">
        <v>4993</v>
      </c>
      <c r="E422" s="1" t="s">
        <v>4994</v>
      </c>
      <c r="F422" s="1"/>
      <c r="G422" s="1"/>
      <c r="H422" s="1"/>
      <c r="I422" s="1" t="s">
        <v>4995</v>
      </c>
      <c r="J422" s="1"/>
      <c r="K422" s="1"/>
      <c r="L422" s="1"/>
      <c r="M422" s="1"/>
      <c r="N422" s="1"/>
      <c r="O422" s="1"/>
      <c r="P422" s="1"/>
      <c r="Q422" s="1"/>
    </row>
    <row r="423" spans="1:17">
      <c r="A423" s="1"/>
      <c r="B423" s="1" t="s">
        <v>1308</v>
      </c>
      <c r="C423" s="1" t="s">
        <v>1309</v>
      </c>
      <c r="D423" s="1" t="s">
        <v>5053</v>
      </c>
      <c r="E423" s="1" t="s">
        <v>4992</v>
      </c>
      <c r="F423" s="1">
        <v>1</v>
      </c>
      <c r="G423" s="1">
        <v>1.72</v>
      </c>
      <c r="H423" s="1">
        <v>14</v>
      </c>
      <c r="I423" s="1" t="s">
        <v>164</v>
      </c>
      <c r="J423" s="1" t="s">
        <v>40</v>
      </c>
      <c r="K423" s="1" t="s">
        <v>355</v>
      </c>
      <c r="L423" s="1">
        <v>13911116697</v>
      </c>
      <c r="M423" s="1" t="s">
        <v>356</v>
      </c>
      <c r="N423" s="1" t="s">
        <v>1310</v>
      </c>
      <c r="O423" s="1" t="s">
        <v>1311</v>
      </c>
      <c r="P423" s="1">
        <v>18106997906</v>
      </c>
      <c r="Q423" s="1" t="s">
        <v>1312</v>
      </c>
    </row>
    <row r="424" spans="1:17">
      <c r="A424" s="1"/>
      <c r="B424" s="1"/>
      <c r="C424" s="1"/>
      <c r="D424" s="1" t="s">
        <v>5054</v>
      </c>
      <c r="E424" s="1" t="s">
        <v>4994</v>
      </c>
      <c r="F424" s="1"/>
      <c r="G424" s="1"/>
      <c r="H424" s="1"/>
      <c r="I424" s="1" t="s">
        <v>5055</v>
      </c>
      <c r="J424" s="1"/>
      <c r="K424" s="1"/>
      <c r="L424" s="1"/>
      <c r="M424" s="1"/>
      <c r="N424" s="1"/>
      <c r="O424" s="1"/>
      <c r="P424" s="1"/>
      <c r="Q424" s="1"/>
    </row>
    <row r="425" spans="1:17">
      <c r="A425" s="1"/>
      <c r="B425" s="1" t="s">
        <v>1314</v>
      </c>
      <c r="C425" s="1" t="s">
        <v>1315</v>
      </c>
      <c r="D425" s="1" t="s">
        <v>5273</v>
      </c>
      <c r="E425" s="1" t="s">
        <v>420</v>
      </c>
      <c r="F425" s="1">
        <v>1</v>
      </c>
      <c r="G425" s="1">
        <v>1.26</v>
      </c>
      <c r="H425" s="1">
        <v>13</v>
      </c>
      <c r="J425" s="1" t="s">
        <v>29</v>
      </c>
      <c r="K425" s="1" t="s">
        <v>712</v>
      </c>
      <c r="L425" s="1">
        <v>17098714030</v>
      </c>
      <c r="M425" s="1" t="s">
        <v>713</v>
      </c>
      <c r="N425" s="1" t="s">
        <v>1319</v>
      </c>
      <c r="O425" s="1" t="s">
        <v>1320</v>
      </c>
      <c r="P425" s="1">
        <v>17853588562</v>
      </c>
      <c r="Q425" s="1" t="s">
        <v>1321</v>
      </c>
    </row>
    <row r="426" spans="1:17">
      <c r="A426" s="1"/>
      <c r="B426" s="1"/>
      <c r="C426" s="1"/>
      <c r="D426" s="1" t="s">
        <v>5274</v>
      </c>
      <c r="E426" s="1" t="s">
        <v>420</v>
      </c>
      <c r="F426" s="1"/>
      <c r="G426" s="1"/>
      <c r="H426" s="1"/>
      <c r="J426" s="1"/>
      <c r="K426" s="1"/>
      <c r="L426" s="1"/>
      <c r="M426" s="1"/>
      <c r="N426" s="1"/>
      <c r="O426" s="1"/>
      <c r="P426" s="1"/>
      <c r="Q426" s="1"/>
    </row>
    <row r="427" spans="1:17">
      <c r="A427" s="1"/>
      <c r="B427" s="1"/>
      <c r="C427" s="1"/>
      <c r="D427" s="1" t="s">
        <v>5275</v>
      </c>
      <c r="E427" s="1" t="s">
        <v>420</v>
      </c>
      <c r="F427" s="1"/>
      <c r="G427" s="1"/>
      <c r="H427" s="1"/>
      <c r="J427" s="1"/>
      <c r="K427" s="1"/>
      <c r="L427" s="1"/>
      <c r="M427" s="1"/>
      <c r="N427" s="1"/>
      <c r="O427" s="1"/>
      <c r="P427" s="1"/>
      <c r="Q427" s="1"/>
    </row>
    <row r="428" spans="1:17">
      <c r="A428" s="1"/>
      <c r="B428" s="1" t="s">
        <v>1323</v>
      </c>
      <c r="C428" s="1" t="s">
        <v>1324</v>
      </c>
      <c r="D428" s="1" t="s">
        <v>1274</v>
      </c>
      <c r="E428" s="1" t="s">
        <v>420</v>
      </c>
      <c r="F428" s="1">
        <v>1</v>
      </c>
      <c r="G428" s="1">
        <v>0.81</v>
      </c>
      <c r="H428" s="1">
        <v>2</v>
      </c>
      <c r="J428" s="1" t="s">
        <v>40</v>
      </c>
      <c r="K428" s="1" t="s">
        <v>1325</v>
      </c>
      <c r="L428" s="1">
        <v>17098899489</v>
      </c>
      <c r="M428" s="1" t="s">
        <v>1326</v>
      </c>
      <c r="N428" s="1" t="s">
        <v>1327</v>
      </c>
      <c r="O428" s="1" t="s">
        <v>1326</v>
      </c>
      <c r="P428" s="1">
        <v>17098899489</v>
      </c>
      <c r="Q428" s="1" t="s">
        <v>1328</v>
      </c>
    </row>
    <row r="429" spans="1:17">
      <c r="A429" s="1"/>
      <c r="B429" s="1" t="s">
        <v>1330</v>
      </c>
      <c r="C429" s="1" t="s">
        <v>1331</v>
      </c>
      <c r="D429" s="1" t="s">
        <v>1274</v>
      </c>
      <c r="E429" s="1" t="s">
        <v>420</v>
      </c>
      <c r="F429" s="1">
        <v>1</v>
      </c>
      <c r="G429" s="1">
        <v>0.81</v>
      </c>
      <c r="H429" s="1">
        <v>2</v>
      </c>
      <c r="J429" s="1" t="s">
        <v>40</v>
      </c>
      <c r="K429" s="1" t="s">
        <v>1332</v>
      </c>
      <c r="L429" s="1">
        <v>18926220287</v>
      </c>
      <c r="M429" s="1" t="s">
        <v>1333</v>
      </c>
      <c r="N429" s="1" t="s">
        <v>1334</v>
      </c>
      <c r="O429" s="1" t="s">
        <v>1335</v>
      </c>
      <c r="P429" s="1">
        <v>13802340676</v>
      </c>
      <c r="Q429" s="1" t="s">
        <v>1336</v>
      </c>
    </row>
    <row r="430" spans="1:17">
      <c r="A430" s="1"/>
      <c r="B430" s="1" t="s">
        <v>1338</v>
      </c>
      <c r="C430" s="1" t="s">
        <v>1339</v>
      </c>
      <c r="D430" s="1" t="s">
        <v>5276</v>
      </c>
      <c r="E430" s="1" t="s">
        <v>420</v>
      </c>
      <c r="F430" s="1">
        <v>1</v>
      </c>
      <c r="G430" s="1">
        <v>1.49</v>
      </c>
      <c r="H430" s="1">
        <v>10</v>
      </c>
      <c r="J430" s="1" t="s">
        <v>29</v>
      </c>
      <c r="K430" s="1" t="s">
        <v>1341</v>
      </c>
      <c r="L430" s="1">
        <v>13922769996</v>
      </c>
      <c r="M430" s="1" t="s">
        <v>1342</v>
      </c>
      <c r="N430" s="1" t="s">
        <v>1343</v>
      </c>
      <c r="O430" s="1" t="s">
        <v>1344</v>
      </c>
      <c r="P430" s="1">
        <v>13824801333</v>
      </c>
      <c r="Q430" s="1" t="s">
        <v>1345</v>
      </c>
    </row>
    <row r="431" spans="1:17">
      <c r="A431" s="1"/>
      <c r="B431" s="1"/>
      <c r="C431" s="1"/>
      <c r="D431" s="1" t="s">
        <v>5277</v>
      </c>
      <c r="E431" s="1" t="s">
        <v>420</v>
      </c>
      <c r="F431" s="1"/>
      <c r="G431" s="1"/>
      <c r="H431" s="1"/>
      <c r="J431" s="1"/>
      <c r="K431" s="1"/>
      <c r="L431" s="1"/>
      <c r="M431" s="1"/>
      <c r="N431" s="1"/>
      <c r="O431" s="1"/>
      <c r="P431" s="1"/>
      <c r="Q431" s="1"/>
    </row>
    <row r="432" spans="1:17">
      <c r="A432" s="1"/>
      <c r="B432" s="1" t="s">
        <v>1347</v>
      </c>
      <c r="C432" s="1" t="s">
        <v>1348</v>
      </c>
      <c r="D432" s="1" t="s">
        <v>5276</v>
      </c>
      <c r="E432" s="1" t="s">
        <v>420</v>
      </c>
      <c r="F432" s="1">
        <v>1</v>
      </c>
      <c r="G432" s="1">
        <v>1.49</v>
      </c>
      <c r="H432" s="1">
        <v>10</v>
      </c>
      <c r="J432" s="1" t="s">
        <v>29</v>
      </c>
      <c r="K432" s="1" t="s">
        <v>1349</v>
      </c>
      <c r="L432" s="1">
        <v>18571938601</v>
      </c>
      <c r="M432" s="1" t="s">
        <v>1350</v>
      </c>
      <c r="N432" s="1" t="s">
        <v>1351</v>
      </c>
      <c r="O432" s="1" t="s">
        <v>1352</v>
      </c>
      <c r="P432" s="1">
        <v>15113588839</v>
      </c>
      <c r="Q432" s="1" t="s">
        <v>1353</v>
      </c>
    </row>
    <row r="433" spans="1:17">
      <c r="A433" s="1"/>
      <c r="B433" s="1"/>
      <c r="C433" s="1"/>
      <c r="D433" s="1" t="s">
        <v>5277</v>
      </c>
      <c r="E433" s="1" t="s">
        <v>420</v>
      </c>
      <c r="F433" s="1"/>
      <c r="G433" s="1"/>
      <c r="H433" s="1"/>
      <c r="J433" s="1"/>
      <c r="K433" s="1"/>
      <c r="L433" s="1"/>
      <c r="M433" s="1"/>
      <c r="N433" s="1"/>
      <c r="O433" s="1"/>
      <c r="P433" s="1"/>
      <c r="Q433" s="1"/>
    </row>
    <row r="434" spans="1:17">
      <c r="A434" s="1"/>
      <c r="B434" s="1" t="s">
        <v>1355</v>
      </c>
      <c r="C434" s="1" t="s">
        <v>1356</v>
      </c>
      <c r="D434" s="1" t="s">
        <v>5276</v>
      </c>
      <c r="E434" s="1" t="s">
        <v>420</v>
      </c>
      <c r="F434" s="1">
        <v>1</v>
      </c>
      <c r="G434" s="1">
        <v>1.49</v>
      </c>
      <c r="H434" s="1">
        <v>10</v>
      </c>
      <c r="J434" s="1" t="s">
        <v>29</v>
      </c>
      <c r="K434" s="1" t="s">
        <v>1357</v>
      </c>
      <c r="L434" s="1">
        <v>18928770178</v>
      </c>
      <c r="M434" s="1" t="s">
        <v>1358</v>
      </c>
      <c r="N434" s="1" t="s">
        <v>1359</v>
      </c>
      <c r="O434" s="1" t="s">
        <v>1360</v>
      </c>
      <c r="P434" s="1">
        <v>13929546211</v>
      </c>
      <c r="Q434" s="1" t="s">
        <v>1361</v>
      </c>
    </row>
    <row r="435" spans="1:17">
      <c r="A435" s="1"/>
      <c r="B435" s="1"/>
      <c r="C435" s="1"/>
      <c r="D435" s="1" t="s">
        <v>5277</v>
      </c>
      <c r="E435" s="1" t="s">
        <v>420</v>
      </c>
      <c r="F435" s="1"/>
      <c r="G435" s="1"/>
      <c r="H435" s="1"/>
      <c r="J435" s="1"/>
      <c r="K435" s="1"/>
      <c r="L435" s="1"/>
      <c r="M435" s="1"/>
      <c r="N435" s="1"/>
      <c r="O435" s="1"/>
      <c r="P435" s="1"/>
      <c r="Q435" s="1"/>
    </row>
    <row r="436" spans="1:17">
      <c r="A436" s="1"/>
      <c r="B436" s="1" t="s">
        <v>1363</v>
      </c>
      <c r="C436" s="1" t="s">
        <v>1364</v>
      </c>
      <c r="D436" s="1" t="s">
        <v>5141</v>
      </c>
      <c r="E436" s="1" t="s">
        <v>420</v>
      </c>
      <c r="F436" s="1">
        <v>1</v>
      </c>
      <c r="G436" s="1">
        <v>1.95</v>
      </c>
      <c r="H436" s="1">
        <v>14</v>
      </c>
      <c r="J436" s="1" t="s">
        <v>29</v>
      </c>
      <c r="K436" s="1" t="s">
        <v>1365</v>
      </c>
      <c r="L436" s="1">
        <v>18766077610</v>
      </c>
      <c r="M436" s="1" t="s">
        <v>1366</v>
      </c>
      <c r="N436" s="1" t="s">
        <v>1367</v>
      </c>
      <c r="O436" s="1" t="s">
        <v>1366</v>
      </c>
      <c r="P436" s="1">
        <v>18766077610</v>
      </c>
      <c r="Q436" s="1" t="s">
        <v>1368</v>
      </c>
    </row>
    <row r="437" spans="1:17">
      <c r="A437" s="1"/>
      <c r="B437" s="1"/>
      <c r="C437" s="1"/>
      <c r="D437" s="1" t="s">
        <v>5142</v>
      </c>
      <c r="E437" s="1" t="s">
        <v>420</v>
      </c>
      <c r="F437" s="1"/>
      <c r="G437" s="1"/>
      <c r="H437" s="1"/>
      <c r="J437" s="1"/>
      <c r="K437" s="1"/>
      <c r="L437" s="1"/>
      <c r="M437" s="1"/>
      <c r="N437" s="1"/>
      <c r="O437" s="1"/>
      <c r="P437" s="1"/>
      <c r="Q437" s="1"/>
    </row>
    <row r="438" spans="1:17">
      <c r="A438" s="1"/>
      <c r="B438" s="1" t="s">
        <v>1370</v>
      </c>
      <c r="C438" s="1" t="s">
        <v>1371</v>
      </c>
      <c r="D438" s="1" t="s">
        <v>5143</v>
      </c>
      <c r="E438" s="1" t="s">
        <v>720</v>
      </c>
      <c r="F438" s="1">
        <v>1</v>
      </c>
      <c r="G438" s="1">
        <v>1.49</v>
      </c>
      <c r="H438" s="1">
        <v>12</v>
      </c>
      <c r="I438" s="1" t="s">
        <v>721</v>
      </c>
      <c r="J438" s="1" t="s">
        <v>40</v>
      </c>
      <c r="K438" s="1" t="s">
        <v>722</v>
      </c>
      <c r="L438" s="1">
        <v>18123680919</v>
      </c>
      <c r="M438" s="1" t="s">
        <v>723</v>
      </c>
      <c r="N438" s="1" t="s">
        <v>1372</v>
      </c>
      <c r="O438" s="1" t="s">
        <v>1373</v>
      </c>
      <c r="P438" s="1">
        <v>13322999698</v>
      </c>
      <c r="Q438" s="1" t="s">
        <v>1374</v>
      </c>
    </row>
    <row r="439" spans="1:17">
      <c r="A439" s="1"/>
      <c r="B439" s="1" t="s">
        <v>1376</v>
      </c>
      <c r="C439" s="1" t="s">
        <v>1377</v>
      </c>
      <c r="D439" s="1" t="s">
        <v>4991</v>
      </c>
      <c r="E439" s="1" t="s">
        <v>4992</v>
      </c>
      <c r="F439" s="1">
        <v>1</v>
      </c>
      <c r="G439" s="1">
        <v>1.72</v>
      </c>
      <c r="H439" s="1">
        <v>15</v>
      </c>
      <c r="I439" s="1" t="s">
        <v>164</v>
      </c>
      <c r="J439" s="1" t="s">
        <v>40</v>
      </c>
      <c r="K439" s="1" t="s">
        <v>229</v>
      </c>
      <c r="L439" s="1">
        <v>13840761783</v>
      </c>
      <c r="M439" s="1" t="s">
        <v>230</v>
      </c>
      <c r="N439" s="1" t="s">
        <v>1378</v>
      </c>
      <c r="O439" s="1" t="s">
        <v>1379</v>
      </c>
      <c r="P439" s="1">
        <v>15840626918</v>
      </c>
      <c r="Q439" s="1" t="s">
        <v>1380</v>
      </c>
    </row>
    <row r="440" spans="1:17">
      <c r="A440" s="1"/>
      <c r="B440" s="1"/>
      <c r="C440" s="1"/>
      <c r="D440" s="1" t="s">
        <v>4993</v>
      </c>
      <c r="E440" s="1" t="s">
        <v>4994</v>
      </c>
      <c r="F440" s="1"/>
      <c r="G440" s="1"/>
      <c r="H440" s="1"/>
      <c r="I440" s="1" t="s">
        <v>4995</v>
      </c>
      <c r="J440" s="1"/>
      <c r="K440" s="1"/>
      <c r="L440" s="1"/>
      <c r="M440" s="1"/>
      <c r="N440" s="1"/>
      <c r="O440" s="1"/>
      <c r="P440" s="1"/>
      <c r="Q440" s="1"/>
    </row>
    <row r="441" spans="1:17">
      <c r="A441" s="1"/>
      <c r="B441" s="1" t="s">
        <v>1382</v>
      </c>
      <c r="C441" s="1" t="s">
        <v>1383</v>
      </c>
      <c r="D441" s="1" t="s">
        <v>4991</v>
      </c>
      <c r="E441" s="1" t="s">
        <v>4992</v>
      </c>
      <c r="F441" s="1">
        <v>1</v>
      </c>
      <c r="G441" s="1">
        <v>1.72</v>
      </c>
      <c r="H441" s="1">
        <v>15</v>
      </c>
      <c r="I441" s="1" t="s">
        <v>164</v>
      </c>
      <c r="J441" s="1" t="s">
        <v>40</v>
      </c>
      <c r="K441" s="1" t="s">
        <v>237</v>
      </c>
      <c r="L441" s="1">
        <v>18341785826</v>
      </c>
      <c r="M441" s="1" t="s">
        <v>238</v>
      </c>
      <c r="N441" s="1" t="s">
        <v>1384</v>
      </c>
      <c r="O441" s="1" t="s">
        <v>1385</v>
      </c>
      <c r="P441" s="1">
        <v>15842750003</v>
      </c>
      <c r="Q441" s="1" t="s">
        <v>1386</v>
      </c>
    </row>
    <row r="442" spans="1:17">
      <c r="A442" s="1"/>
      <c r="B442" s="1"/>
      <c r="C442" s="1"/>
      <c r="D442" s="1" t="s">
        <v>4993</v>
      </c>
      <c r="E442" s="1" t="s">
        <v>4994</v>
      </c>
      <c r="F442" s="1"/>
      <c r="G442" s="1"/>
      <c r="H442" s="1"/>
      <c r="I442" s="1" t="s">
        <v>4995</v>
      </c>
      <c r="J442" s="1"/>
      <c r="K442" s="1"/>
      <c r="L442" s="1"/>
      <c r="M442" s="1"/>
      <c r="N442" s="1"/>
      <c r="O442" s="1"/>
      <c r="P442" s="1"/>
      <c r="Q442" s="1"/>
    </row>
    <row r="443" spans="1:17">
      <c r="A443" s="1"/>
      <c r="B443" s="1" t="s">
        <v>1388</v>
      </c>
      <c r="C443" s="1" t="s">
        <v>1389</v>
      </c>
      <c r="D443" s="1" t="s">
        <v>4991</v>
      </c>
      <c r="E443" s="1" t="s">
        <v>4992</v>
      </c>
      <c r="F443" s="1">
        <v>1</v>
      </c>
      <c r="G443" s="1">
        <v>1.72</v>
      </c>
      <c r="H443" s="1">
        <v>15</v>
      </c>
      <c r="I443" s="1" t="s">
        <v>164</v>
      </c>
      <c r="J443" s="1" t="s">
        <v>40</v>
      </c>
      <c r="K443" s="1" t="s">
        <v>244</v>
      </c>
      <c r="L443" s="1">
        <v>13940778352</v>
      </c>
      <c r="M443" s="1" t="s">
        <v>245</v>
      </c>
      <c r="N443" s="1" t="s">
        <v>1390</v>
      </c>
      <c r="O443" s="1" t="s">
        <v>1391</v>
      </c>
      <c r="P443" s="1">
        <v>18604275386</v>
      </c>
      <c r="Q443" s="1" t="s">
        <v>1392</v>
      </c>
    </row>
    <row r="444" spans="1:17">
      <c r="A444" s="1"/>
      <c r="B444" s="1"/>
      <c r="C444" s="1"/>
      <c r="D444" s="1" t="s">
        <v>4993</v>
      </c>
      <c r="E444" s="1" t="s">
        <v>4994</v>
      </c>
      <c r="F444" s="1"/>
      <c r="G444" s="1"/>
      <c r="H444" s="1"/>
      <c r="I444" s="1" t="s">
        <v>4995</v>
      </c>
      <c r="J444" s="1"/>
      <c r="K444" s="1"/>
      <c r="L444" s="1"/>
      <c r="M444" s="1"/>
      <c r="N444" s="1"/>
      <c r="O444" s="1"/>
      <c r="P444" s="1"/>
      <c r="Q444" s="1"/>
    </row>
    <row r="445" spans="1:17">
      <c r="A445" s="1"/>
      <c r="B445" s="1" t="s">
        <v>1394</v>
      </c>
      <c r="C445" s="1" t="s">
        <v>1395</v>
      </c>
      <c r="D445" s="1" t="s">
        <v>5053</v>
      </c>
      <c r="E445" s="1" t="s">
        <v>4992</v>
      </c>
      <c r="F445" s="1">
        <v>1</v>
      </c>
      <c r="G445" s="1">
        <v>1.72</v>
      </c>
      <c r="H445" s="1">
        <v>14</v>
      </c>
      <c r="I445" s="1" t="s">
        <v>164</v>
      </c>
      <c r="J445" s="1" t="s">
        <v>40</v>
      </c>
      <c r="K445" s="1" t="s">
        <v>355</v>
      </c>
      <c r="L445" s="1">
        <v>13911116697</v>
      </c>
      <c r="M445" s="1" t="s">
        <v>356</v>
      </c>
      <c r="N445" s="1" t="s">
        <v>355</v>
      </c>
      <c r="O445" s="1" t="s">
        <v>1396</v>
      </c>
      <c r="P445" s="1">
        <v>13968160978</v>
      </c>
      <c r="Q445" s="1" t="s">
        <v>1397</v>
      </c>
    </row>
    <row r="446" spans="1:17">
      <c r="A446" s="1"/>
      <c r="B446" s="1"/>
      <c r="C446" s="1"/>
      <c r="D446" s="1" t="s">
        <v>5054</v>
      </c>
      <c r="E446" s="1" t="s">
        <v>4994</v>
      </c>
      <c r="F446" s="1"/>
      <c r="G446" s="1"/>
      <c r="H446" s="1"/>
      <c r="I446" s="1" t="s">
        <v>5055</v>
      </c>
      <c r="J446" s="1"/>
      <c r="K446" s="1"/>
      <c r="L446" s="1"/>
      <c r="M446" s="1"/>
      <c r="N446" s="1"/>
      <c r="O446" s="1"/>
      <c r="P446" s="1"/>
      <c r="Q446" s="1"/>
    </row>
    <row r="447" spans="1:17">
      <c r="A447" s="1"/>
      <c r="B447" s="1" t="s">
        <v>1399</v>
      </c>
      <c r="C447" s="1" t="s">
        <v>1400</v>
      </c>
      <c r="D447" s="1" t="s">
        <v>5273</v>
      </c>
      <c r="E447" s="1" t="s">
        <v>420</v>
      </c>
      <c r="F447" s="1">
        <v>1</v>
      </c>
      <c r="G447" s="1">
        <v>1.26</v>
      </c>
      <c r="H447" s="1">
        <v>13</v>
      </c>
      <c r="J447" s="1" t="s">
        <v>29</v>
      </c>
      <c r="K447" s="1" t="s">
        <v>1401</v>
      </c>
      <c r="L447" s="1">
        <v>18965022053</v>
      </c>
      <c r="M447" s="1" t="s">
        <v>1402</v>
      </c>
      <c r="N447" s="1" t="s">
        <v>1401</v>
      </c>
      <c r="O447" s="1" t="s">
        <v>1403</v>
      </c>
      <c r="P447" s="1">
        <v>18965022053</v>
      </c>
      <c r="Q447" s="1" t="s">
        <v>1404</v>
      </c>
    </row>
    <row r="448" spans="1:17">
      <c r="A448" s="1"/>
      <c r="B448" s="1"/>
      <c r="C448" s="1"/>
      <c r="D448" s="1" t="s">
        <v>5274</v>
      </c>
      <c r="E448" s="1" t="s">
        <v>420</v>
      </c>
      <c r="F448" s="1"/>
      <c r="G448" s="1"/>
      <c r="H448" s="1"/>
      <c r="J448" s="1"/>
      <c r="K448" s="1"/>
      <c r="L448" s="1"/>
      <c r="M448" s="1"/>
      <c r="N448" s="1"/>
      <c r="O448" s="1"/>
      <c r="P448" s="1"/>
      <c r="Q448" s="1"/>
    </row>
    <row r="449" spans="1:17">
      <c r="A449" s="1"/>
      <c r="B449" s="1"/>
      <c r="C449" s="1"/>
      <c r="D449" s="1" t="s">
        <v>5275</v>
      </c>
      <c r="E449" s="1" t="s">
        <v>420</v>
      </c>
      <c r="F449" s="1"/>
      <c r="G449" s="1"/>
      <c r="H449" s="1"/>
      <c r="J449" s="1"/>
      <c r="K449" s="1"/>
      <c r="L449" s="1"/>
      <c r="M449" s="1"/>
      <c r="N449" s="1"/>
      <c r="O449" s="1"/>
      <c r="P449" s="1"/>
      <c r="Q449" s="1"/>
    </row>
    <row r="450" spans="1:17">
      <c r="A450" s="1"/>
      <c r="B450" s="1" t="s">
        <v>1406</v>
      </c>
      <c r="C450" s="1" t="s">
        <v>1407</v>
      </c>
      <c r="D450" s="1" t="s">
        <v>4996</v>
      </c>
      <c r="E450" s="1" t="s">
        <v>420</v>
      </c>
      <c r="F450" s="1">
        <v>1</v>
      </c>
      <c r="G450" s="1">
        <v>1.49</v>
      </c>
      <c r="H450" s="1">
        <v>11</v>
      </c>
      <c r="J450" s="1" t="s">
        <v>29</v>
      </c>
      <c r="K450" s="1" t="s">
        <v>1401</v>
      </c>
      <c r="L450" s="1">
        <v>18965022053</v>
      </c>
      <c r="M450" s="1" t="s">
        <v>1402</v>
      </c>
      <c r="N450" s="1" t="s">
        <v>1408</v>
      </c>
      <c r="O450" s="1" t="s">
        <v>1409</v>
      </c>
      <c r="P450" s="1">
        <v>15753415801</v>
      </c>
      <c r="Q450" s="1" t="s">
        <v>1410</v>
      </c>
    </row>
    <row r="451" spans="1:17">
      <c r="A451" s="1"/>
      <c r="B451" s="1"/>
      <c r="C451" s="1"/>
      <c r="D451" s="1" t="s">
        <v>4997</v>
      </c>
      <c r="E451" s="1" t="s">
        <v>420</v>
      </c>
      <c r="F451" s="1"/>
      <c r="G451" s="1"/>
      <c r="H451" s="1"/>
      <c r="J451" s="1"/>
      <c r="K451" s="1"/>
      <c r="L451" s="1"/>
      <c r="M451" s="1"/>
      <c r="N451" s="1"/>
      <c r="O451" s="1"/>
      <c r="P451" s="1"/>
      <c r="Q451" s="1"/>
    </row>
    <row r="452" spans="1:17">
      <c r="A452" s="1"/>
      <c r="B452" s="1"/>
      <c r="C452" s="1"/>
      <c r="D452" s="1" t="s">
        <v>4998</v>
      </c>
      <c r="E452" s="1" t="s">
        <v>420</v>
      </c>
      <c r="F452" s="1"/>
      <c r="G452" s="1"/>
      <c r="H452" s="1"/>
      <c r="J452" s="1"/>
      <c r="K452" s="1"/>
      <c r="L452" s="1"/>
      <c r="M452" s="1"/>
      <c r="N452" s="1"/>
      <c r="O452" s="1"/>
      <c r="P452" s="1"/>
      <c r="Q452" s="1"/>
    </row>
    <row r="453" spans="1:17">
      <c r="A453" s="1"/>
      <c r="B453" s="1"/>
      <c r="C453" s="1"/>
      <c r="D453" s="1" t="s">
        <v>4999</v>
      </c>
      <c r="E453" s="1" t="s">
        <v>420</v>
      </c>
      <c r="F453" s="1"/>
      <c r="G453" s="1"/>
      <c r="H453" s="1"/>
      <c r="J453" s="1"/>
      <c r="K453" s="1"/>
      <c r="L453" s="1"/>
      <c r="M453" s="1"/>
      <c r="N453" s="1"/>
      <c r="O453" s="1"/>
      <c r="P453" s="1"/>
      <c r="Q453" s="1"/>
    </row>
    <row r="454" spans="1:17">
      <c r="A454" s="1"/>
      <c r="B454" s="1"/>
      <c r="C454" s="1"/>
      <c r="D454" s="1" t="s">
        <v>5000</v>
      </c>
      <c r="E454" s="1" t="s">
        <v>420</v>
      </c>
      <c r="F454" s="1"/>
      <c r="G454" s="1"/>
      <c r="H454" s="1"/>
      <c r="J454" s="1"/>
      <c r="K454" s="1"/>
      <c r="L454" s="1"/>
      <c r="M454" s="1"/>
      <c r="N454" s="1"/>
      <c r="O454" s="1"/>
      <c r="P454" s="1"/>
      <c r="Q454" s="1"/>
    </row>
    <row r="455" spans="1:17">
      <c r="A455" s="1"/>
      <c r="B455" s="1"/>
      <c r="C455" s="1"/>
      <c r="D455" s="1" t="s">
        <v>5001</v>
      </c>
      <c r="E455" s="1" t="s">
        <v>420</v>
      </c>
      <c r="F455" s="1"/>
      <c r="G455" s="1"/>
      <c r="H455" s="1"/>
      <c r="J455" s="1"/>
      <c r="K455" s="1"/>
      <c r="L455" s="1"/>
      <c r="M455" s="1"/>
      <c r="N455" s="1"/>
      <c r="O455" s="1"/>
      <c r="P455" s="1"/>
      <c r="Q455" s="1"/>
    </row>
    <row r="456" spans="1:17">
      <c r="A456" s="1"/>
      <c r="B456" s="1"/>
      <c r="C456" s="1"/>
      <c r="D456" s="1" t="s">
        <v>5002</v>
      </c>
      <c r="E456" s="1" t="s">
        <v>420</v>
      </c>
      <c r="F456" s="1"/>
      <c r="G456" s="1"/>
      <c r="H456" s="1"/>
      <c r="J456" s="1"/>
      <c r="K456" s="1"/>
      <c r="L456" s="1"/>
      <c r="M456" s="1"/>
      <c r="N456" s="1"/>
      <c r="O456" s="1"/>
      <c r="P456" s="1"/>
      <c r="Q456" s="1"/>
    </row>
    <row r="457" spans="1:17">
      <c r="A457" s="1"/>
      <c r="B457" s="1" t="s">
        <v>1412</v>
      </c>
      <c r="C457" s="1" t="s">
        <v>1413</v>
      </c>
      <c r="D457" s="1" t="s">
        <v>4996</v>
      </c>
      <c r="E457" s="1" t="s">
        <v>420</v>
      </c>
      <c r="F457" s="1">
        <v>1</v>
      </c>
      <c r="G457" s="1">
        <v>1.49</v>
      </c>
      <c r="H457" s="1">
        <v>11</v>
      </c>
      <c r="J457" s="1" t="s">
        <v>29</v>
      </c>
      <c r="K457" s="1" t="s">
        <v>712</v>
      </c>
      <c r="L457" s="1">
        <v>17098714030</v>
      </c>
      <c r="M457" s="1" t="s">
        <v>713</v>
      </c>
      <c r="N457" s="1" t="s">
        <v>712</v>
      </c>
      <c r="O457" s="1" t="s">
        <v>1414</v>
      </c>
      <c r="P457" s="1">
        <v>18553411666</v>
      </c>
      <c r="Q457" s="1" t="s">
        <v>1415</v>
      </c>
    </row>
    <row r="458" spans="1:17">
      <c r="A458" s="1"/>
      <c r="B458" s="1"/>
      <c r="C458" s="1"/>
      <c r="D458" s="1" t="s">
        <v>4997</v>
      </c>
      <c r="E458" s="1" t="s">
        <v>420</v>
      </c>
      <c r="F458" s="1"/>
      <c r="G458" s="1"/>
      <c r="H458" s="1"/>
      <c r="J458" s="1"/>
      <c r="K458" s="1"/>
      <c r="L458" s="1"/>
      <c r="M458" s="1"/>
      <c r="N458" s="1"/>
      <c r="O458" s="1"/>
      <c r="P458" s="1"/>
      <c r="Q458" s="1"/>
    </row>
    <row r="459" spans="1:17">
      <c r="A459" s="1"/>
      <c r="B459" s="1"/>
      <c r="C459" s="1"/>
      <c r="D459" s="1" t="s">
        <v>4998</v>
      </c>
      <c r="E459" s="1" t="s">
        <v>420</v>
      </c>
      <c r="F459" s="1"/>
      <c r="G459" s="1"/>
      <c r="H459" s="1"/>
      <c r="J459" s="1"/>
      <c r="K459" s="1"/>
      <c r="L459" s="1"/>
      <c r="M459" s="1"/>
      <c r="N459" s="1"/>
      <c r="O459" s="1"/>
      <c r="P459" s="1"/>
      <c r="Q459" s="1"/>
    </row>
    <row r="460" spans="1:17">
      <c r="A460" s="1"/>
      <c r="B460" s="1"/>
      <c r="C460" s="1"/>
      <c r="D460" s="1" t="s">
        <v>4999</v>
      </c>
      <c r="E460" s="1" t="s">
        <v>420</v>
      </c>
      <c r="F460" s="1"/>
      <c r="G460" s="1"/>
      <c r="H460" s="1"/>
      <c r="J460" s="1"/>
      <c r="K460" s="1"/>
      <c r="L460" s="1"/>
      <c r="M460" s="1"/>
      <c r="N460" s="1"/>
      <c r="O460" s="1"/>
      <c r="P460" s="1"/>
      <c r="Q460" s="1"/>
    </row>
    <row r="461" spans="1:17">
      <c r="A461" s="1"/>
      <c r="B461" s="1"/>
      <c r="C461" s="1"/>
      <c r="D461" s="1" t="s">
        <v>5000</v>
      </c>
      <c r="E461" s="1" t="s">
        <v>420</v>
      </c>
      <c r="F461" s="1"/>
      <c r="G461" s="1"/>
      <c r="H461" s="1"/>
      <c r="J461" s="1"/>
      <c r="K461" s="1"/>
      <c r="L461" s="1"/>
      <c r="M461" s="1"/>
      <c r="N461" s="1"/>
      <c r="O461" s="1"/>
      <c r="P461" s="1"/>
      <c r="Q461" s="1"/>
    </row>
    <row r="462" spans="1:17">
      <c r="A462" s="1"/>
      <c r="B462" s="1"/>
      <c r="C462" s="1"/>
      <c r="D462" s="1" t="s">
        <v>5001</v>
      </c>
      <c r="E462" s="1" t="s">
        <v>420</v>
      </c>
      <c r="F462" s="1"/>
      <c r="G462" s="1"/>
      <c r="H462" s="1"/>
      <c r="J462" s="1"/>
      <c r="K462" s="1"/>
      <c r="L462" s="1"/>
      <c r="M462" s="1"/>
      <c r="N462" s="1"/>
      <c r="O462" s="1"/>
      <c r="P462" s="1"/>
      <c r="Q462" s="1"/>
    </row>
    <row r="463" spans="1:17">
      <c r="A463" s="1"/>
      <c r="B463" s="1"/>
      <c r="C463" s="1"/>
      <c r="D463" s="1" t="s">
        <v>5002</v>
      </c>
      <c r="E463" s="1" t="s">
        <v>420</v>
      </c>
      <c r="F463" s="1"/>
      <c r="G463" s="1"/>
      <c r="H463" s="1"/>
      <c r="J463" s="1"/>
      <c r="K463" s="1"/>
      <c r="L463" s="1"/>
      <c r="M463" s="1"/>
      <c r="N463" s="1"/>
      <c r="O463" s="1"/>
      <c r="P463" s="1"/>
      <c r="Q463" s="1"/>
    </row>
    <row r="464" spans="1:17">
      <c r="A464" s="1"/>
      <c r="B464" s="1" t="s">
        <v>1417</v>
      </c>
      <c r="C464" s="1" t="s">
        <v>1418</v>
      </c>
      <c r="D464" s="1" t="s">
        <v>5003</v>
      </c>
      <c r="E464" s="1" t="s">
        <v>163</v>
      </c>
      <c r="F464" s="1">
        <v>1</v>
      </c>
      <c r="G464" s="1">
        <v>2.1727272727272702</v>
      </c>
      <c r="H464" s="1">
        <v>5</v>
      </c>
      <c r="I464" s="1" t="s">
        <v>164</v>
      </c>
      <c r="J464" s="1" t="s">
        <v>29</v>
      </c>
      <c r="K464" s="1" t="s">
        <v>165</v>
      </c>
      <c r="L464" s="1">
        <v>15140531165</v>
      </c>
      <c r="M464" s="1" t="s">
        <v>166</v>
      </c>
      <c r="N464" s="1" t="s">
        <v>165</v>
      </c>
      <c r="O464" s="1" t="s">
        <v>166</v>
      </c>
      <c r="P464" s="1">
        <v>15140531165</v>
      </c>
      <c r="Q464" s="1" t="s">
        <v>1419</v>
      </c>
    </row>
    <row r="465" spans="1:17">
      <c r="A465" s="1"/>
      <c r="B465" s="1" t="s">
        <v>1421</v>
      </c>
      <c r="C465" s="1" t="s">
        <v>1422</v>
      </c>
      <c r="D465" s="1" t="s">
        <v>5278</v>
      </c>
      <c r="E465" s="1" t="s">
        <v>163</v>
      </c>
      <c r="F465" s="1">
        <v>1</v>
      </c>
      <c r="G465" s="1">
        <v>0.80909090909090897</v>
      </c>
      <c r="H465" s="1">
        <v>3</v>
      </c>
      <c r="J465" s="1" t="s">
        <v>29</v>
      </c>
      <c r="K465" s="1" t="s">
        <v>174</v>
      </c>
      <c r="L465" s="1">
        <v>13509603170</v>
      </c>
      <c r="M465" s="1" t="s">
        <v>175</v>
      </c>
      <c r="N465" s="1" t="s">
        <v>1424</v>
      </c>
      <c r="O465" s="1" t="s">
        <v>175</v>
      </c>
      <c r="P465" s="1">
        <v>13509603170</v>
      </c>
      <c r="Q465" s="1" t="s">
        <v>1425</v>
      </c>
    </row>
    <row r="466" spans="1:17">
      <c r="A466" s="1"/>
      <c r="B466" s="1" t="s">
        <v>1427</v>
      </c>
      <c r="C466" s="1" t="s">
        <v>1428</v>
      </c>
      <c r="D466" s="1" t="s">
        <v>1274</v>
      </c>
      <c r="E466" s="1" t="s">
        <v>420</v>
      </c>
      <c r="F466" s="1">
        <v>1</v>
      </c>
      <c r="G466" s="1">
        <v>0.81</v>
      </c>
      <c r="H466" s="1">
        <v>2</v>
      </c>
      <c r="J466" s="1" t="s">
        <v>40</v>
      </c>
      <c r="K466" s="1" t="s">
        <v>1429</v>
      </c>
      <c r="L466" s="1">
        <v>17180669418</v>
      </c>
      <c r="M466" s="1" t="s">
        <v>1430</v>
      </c>
      <c r="N466" s="1" t="s">
        <v>1431</v>
      </c>
      <c r="O466" s="1" t="s">
        <v>1432</v>
      </c>
      <c r="P466" s="1">
        <v>15816134433</v>
      </c>
      <c r="Q466" s="1" t="s">
        <v>1433</v>
      </c>
    </row>
    <row r="467" spans="1:17">
      <c r="A467" s="1"/>
      <c r="B467" s="1" t="s">
        <v>1435</v>
      </c>
      <c r="C467" s="1" t="s">
        <v>1436</v>
      </c>
      <c r="D467" s="1" t="s">
        <v>1274</v>
      </c>
      <c r="E467" s="1" t="s">
        <v>420</v>
      </c>
      <c r="F467" s="1">
        <v>1</v>
      </c>
      <c r="G467" s="1">
        <v>0.81</v>
      </c>
      <c r="H467" s="1">
        <v>2</v>
      </c>
      <c r="J467" s="1" t="s">
        <v>40</v>
      </c>
      <c r="K467" s="1" t="s">
        <v>1357</v>
      </c>
      <c r="L467" s="1">
        <v>18928770178</v>
      </c>
      <c r="M467" s="1" t="s">
        <v>1437</v>
      </c>
      <c r="N467" s="1" t="s">
        <v>1438</v>
      </c>
      <c r="O467" s="1" t="s">
        <v>1439</v>
      </c>
      <c r="P467" s="1">
        <v>13533529391</v>
      </c>
      <c r="Q467" s="1" t="s">
        <v>1440</v>
      </c>
    </row>
    <row r="468" spans="1:17">
      <c r="A468" s="1"/>
      <c r="B468" s="1" t="s">
        <v>1442</v>
      </c>
      <c r="C468" s="1" t="s">
        <v>1443</v>
      </c>
      <c r="D468" s="1" t="s">
        <v>1274</v>
      </c>
      <c r="E468" s="1" t="s">
        <v>420</v>
      </c>
      <c r="F468" s="1">
        <v>1</v>
      </c>
      <c r="G468" s="1">
        <v>0.81</v>
      </c>
      <c r="H468" s="1">
        <v>2</v>
      </c>
      <c r="J468" s="1" t="s">
        <v>40</v>
      </c>
      <c r="K468" s="1" t="s">
        <v>1332</v>
      </c>
      <c r="L468" s="1">
        <v>18926220287</v>
      </c>
      <c r="M468" s="1" t="s">
        <v>1333</v>
      </c>
      <c r="N468" s="1" t="s">
        <v>1444</v>
      </c>
      <c r="O468" s="1" t="s">
        <v>1445</v>
      </c>
      <c r="P468" s="1">
        <v>13763025488</v>
      </c>
      <c r="Q468" s="1" t="s">
        <v>1446</v>
      </c>
    </row>
    <row r="469" spans="1:17">
      <c r="A469" s="1"/>
      <c r="B469" s="1" t="s">
        <v>1448</v>
      </c>
      <c r="C469" s="1" t="s">
        <v>1449</v>
      </c>
      <c r="D469" s="1" t="s">
        <v>5279</v>
      </c>
      <c r="E469" s="1" t="s">
        <v>163</v>
      </c>
      <c r="F469" s="1">
        <v>1</v>
      </c>
      <c r="G469" s="1">
        <v>1.0363636363636399</v>
      </c>
      <c r="H469" s="1">
        <v>3</v>
      </c>
      <c r="J469" s="1" t="s">
        <v>29</v>
      </c>
      <c r="K469" s="1" t="s">
        <v>1452</v>
      </c>
      <c r="L469" s="1">
        <v>13247860122</v>
      </c>
      <c r="M469" s="1" t="s">
        <v>1453</v>
      </c>
      <c r="N469" s="1" t="s">
        <v>1454</v>
      </c>
      <c r="O469" s="1" t="s">
        <v>1455</v>
      </c>
      <c r="P469" s="1">
        <v>13607089823</v>
      </c>
      <c r="Q469" s="1" t="s">
        <v>1456</v>
      </c>
    </row>
    <row r="470" spans="1:17">
      <c r="A470" s="1"/>
      <c r="B470" s="1"/>
      <c r="C470" s="1"/>
      <c r="D470" s="1" t="s">
        <v>5280</v>
      </c>
      <c r="E470" s="1" t="s">
        <v>163</v>
      </c>
      <c r="F470" s="1"/>
      <c r="G470" s="1"/>
      <c r="H470" s="1"/>
      <c r="J470" s="1"/>
      <c r="K470" s="1"/>
      <c r="L470" s="1"/>
      <c r="M470" s="1"/>
      <c r="N470" s="1"/>
      <c r="O470" s="1"/>
      <c r="P470" s="1"/>
      <c r="Q470" s="1"/>
    </row>
    <row r="471" spans="1:17">
      <c r="A471" s="1"/>
      <c r="B471" s="1" t="s">
        <v>1458</v>
      </c>
      <c r="C471" s="1" t="s">
        <v>1459</v>
      </c>
      <c r="D471" s="1" t="s">
        <v>5280</v>
      </c>
      <c r="E471" s="1" t="s">
        <v>163</v>
      </c>
      <c r="F471" s="1">
        <v>1</v>
      </c>
      <c r="G471" s="1">
        <v>1.2636363636363599</v>
      </c>
      <c r="H471" s="1">
        <v>3</v>
      </c>
      <c r="J471" s="1" t="s">
        <v>29</v>
      </c>
      <c r="K471" s="1" t="s">
        <v>1461</v>
      </c>
      <c r="L471" s="1">
        <v>13003229793</v>
      </c>
      <c r="M471" s="1" t="s">
        <v>1462</v>
      </c>
      <c r="N471" s="1" t="s">
        <v>1463</v>
      </c>
      <c r="O471" s="1" t="s">
        <v>1464</v>
      </c>
      <c r="P471" s="1">
        <v>13816854106</v>
      </c>
      <c r="Q471" s="1" t="s">
        <v>1465</v>
      </c>
    </row>
    <row r="472" spans="1:17">
      <c r="A472" s="1"/>
      <c r="B472" s="1"/>
      <c r="C472" s="1"/>
      <c r="D472" s="1" t="s">
        <v>4952</v>
      </c>
      <c r="E472" s="1" t="s">
        <v>163</v>
      </c>
      <c r="F472" s="1"/>
      <c r="G472" s="1"/>
      <c r="H472" s="1"/>
      <c r="J472" s="1"/>
      <c r="K472" s="1"/>
      <c r="L472" s="1"/>
      <c r="M472" s="1"/>
      <c r="N472" s="1"/>
      <c r="O472" s="1"/>
      <c r="P472" s="1"/>
      <c r="Q472" s="1"/>
    </row>
    <row r="473" spans="1:17">
      <c r="A473" s="1"/>
      <c r="B473" s="1" t="s">
        <v>1467</v>
      </c>
      <c r="C473" s="1" t="s">
        <v>1468</v>
      </c>
      <c r="D473" s="1" t="s">
        <v>5003</v>
      </c>
      <c r="E473" s="1" t="s">
        <v>163</v>
      </c>
      <c r="F473" s="1">
        <v>1</v>
      </c>
      <c r="G473" s="1">
        <v>1.4909090909090901</v>
      </c>
      <c r="H473" s="1">
        <v>10</v>
      </c>
      <c r="I473" s="1" t="s">
        <v>164</v>
      </c>
      <c r="J473" s="1" t="s">
        <v>29</v>
      </c>
      <c r="K473" s="1" t="s">
        <v>1469</v>
      </c>
      <c r="L473" s="1">
        <v>15862213019</v>
      </c>
      <c r="M473" s="1" t="s">
        <v>1470</v>
      </c>
      <c r="N473" s="1" t="s">
        <v>1471</v>
      </c>
      <c r="O473" s="1" t="s">
        <v>1472</v>
      </c>
      <c r="P473" s="1">
        <v>13773283167</v>
      </c>
      <c r="Q473" s="1" t="s">
        <v>1473</v>
      </c>
    </row>
    <row r="474" spans="1:17">
      <c r="A474" s="1"/>
      <c r="B474" s="1" t="s">
        <v>1475</v>
      </c>
      <c r="C474" s="1" t="s">
        <v>1476</v>
      </c>
      <c r="D474" s="1" t="s">
        <v>5281</v>
      </c>
      <c r="E474" s="1" t="s">
        <v>420</v>
      </c>
      <c r="F474" s="1">
        <v>1</v>
      </c>
      <c r="G474" s="1">
        <v>1.49</v>
      </c>
      <c r="H474" s="1">
        <v>14</v>
      </c>
      <c r="I474" s="1" t="s">
        <v>1142</v>
      </c>
      <c r="J474" s="1" t="s">
        <v>29</v>
      </c>
      <c r="K474" s="1" t="s">
        <v>1479</v>
      </c>
      <c r="L474" s="1">
        <v>13459103839</v>
      </c>
      <c r="M474" s="1" t="s">
        <v>1480</v>
      </c>
      <c r="N474" s="1" t="s">
        <v>1481</v>
      </c>
      <c r="O474" s="1" t="s">
        <v>1482</v>
      </c>
      <c r="P474" s="1">
        <v>18963337775</v>
      </c>
      <c r="Q474" s="1" t="s">
        <v>1483</v>
      </c>
    </row>
    <row r="475" spans="1:17">
      <c r="A475" s="1"/>
      <c r="B475" s="1"/>
      <c r="C475" s="1"/>
      <c r="D475" s="1" t="s">
        <v>5282</v>
      </c>
      <c r="E475" s="1" t="s">
        <v>420</v>
      </c>
      <c r="F475" s="1"/>
      <c r="G475" s="1"/>
      <c r="H475" s="1"/>
      <c r="I475" s="1" t="s">
        <v>4968</v>
      </c>
      <c r="J475" s="1"/>
      <c r="K475" s="1"/>
      <c r="L475" s="1"/>
      <c r="M475" s="1"/>
      <c r="N475" s="1"/>
      <c r="O475" s="1"/>
      <c r="P475" s="1"/>
      <c r="Q475" s="1"/>
    </row>
    <row r="476" spans="1:17">
      <c r="A476" s="1"/>
      <c r="B476" s="1"/>
      <c r="C476" s="1"/>
      <c r="D476" s="1" t="s">
        <v>5081</v>
      </c>
      <c r="E476" s="1" t="s">
        <v>420</v>
      </c>
      <c r="F476" s="1"/>
      <c r="G476" s="1"/>
      <c r="H476" s="1"/>
      <c r="I476" s="1" t="s">
        <v>4995</v>
      </c>
      <c r="J476" s="1"/>
      <c r="K476" s="1"/>
      <c r="L476" s="1"/>
      <c r="M476" s="1"/>
      <c r="N476" s="1"/>
      <c r="O476" s="1"/>
      <c r="P476" s="1"/>
      <c r="Q476" s="1"/>
    </row>
    <row r="477" spans="1:17">
      <c r="A477" s="1"/>
      <c r="B477" s="1"/>
      <c r="C477" s="1"/>
      <c r="D477" s="1" t="s">
        <v>5283</v>
      </c>
      <c r="E477" s="1" t="s">
        <v>420</v>
      </c>
      <c r="F477" s="1"/>
      <c r="G477" s="1"/>
      <c r="H477" s="1"/>
      <c r="I477" s="1" t="s">
        <v>5111</v>
      </c>
      <c r="J477" s="1"/>
      <c r="K477" s="1"/>
      <c r="L477" s="1"/>
      <c r="M477" s="1"/>
      <c r="N477" s="1"/>
      <c r="O477" s="1"/>
      <c r="P477" s="1"/>
      <c r="Q477" s="1"/>
    </row>
    <row r="478" spans="1:17">
      <c r="A478" s="1"/>
      <c r="B478" s="1" t="s">
        <v>1485</v>
      </c>
      <c r="C478" s="1" t="s">
        <v>1486</v>
      </c>
      <c r="D478" s="1" t="s">
        <v>5281</v>
      </c>
      <c r="E478" s="1" t="s">
        <v>420</v>
      </c>
      <c r="F478" s="1">
        <v>1</v>
      </c>
      <c r="G478" s="1">
        <v>1.49</v>
      </c>
      <c r="H478" s="1">
        <v>14</v>
      </c>
      <c r="I478" s="1" t="s">
        <v>1142</v>
      </c>
      <c r="J478" s="1" t="s">
        <v>29</v>
      </c>
      <c r="K478" s="1" t="s">
        <v>1487</v>
      </c>
      <c r="L478" s="1">
        <v>13455405061</v>
      </c>
      <c r="M478" s="1" t="s">
        <v>364</v>
      </c>
      <c r="N478" s="1" t="s">
        <v>1488</v>
      </c>
      <c r="O478" s="1" t="s">
        <v>1489</v>
      </c>
      <c r="P478" s="1">
        <v>13563330305</v>
      </c>
      <c r="Q478" s="1" t="s">
        <v>1490</v>
      </c>
    </row>
    <row r="479" spans="1:17">
      <c r="A479" s="1"/>
      <c r="B479" s="1"/>
      <c r="C479" s="1"/>
      <c r="D479" s="1" t="s">
        <v>5282</v>
      </c>
      <c r="E479" s="1" t="s">
        <v>420</v>
      </c>
      <c r="F479" s="1"/>
      <c r="G479" s="1"/>
      <c r="H479" s="1"/>
      <c r="I479" s="1" t="s">
        <v>4968</v>
      </c>
      <c r="J479" s="1"/>
      <c r="K479" s="1"/>
      <c r="L479" s="1"/>
      <c r="M479" s="1"/>
      <c r="N479" s="1"/>
      <c r="O479" s="1"/>
      <c r="P479" s="1"/>
      <c r="Q479" s="1"/>
    </row>
    <row r="480" spans="1:17">
      <c r="A480" s="1"/>
      <c r="B480" s="1"/>
      <c r="C480" s="1"/>
      <c r="D480" s="1" t="s">
        <v>5081</v>
      </c>
      <c r="E480" s="1" t="s">
        <v>420</v>
      </c>
      <c r="F480" s="1"/>
      <c r="G480" s="1"/>
      <c r="H480" s="1"/>
      <c r="I480" s="1" t="s">
        <v>4995</v>
      </c>
      <c r="J480" s="1"/>
      <c r="K480" s="1"/>
      <c r="L480" s="1"/>
      <c r="M480" s="1"/>
      <c r="N480" s="1"/>
      <c r="O480" s="1"/>
      <c r="P480" s="1"/>
      <c r="Q480" s="1"/>
    </row>
    <row r="481" spans="1:17">
      <c r="A481" s="1"/>
      <c r="B481" s="1"/>
      <c r="C481" s="1"/>
      <c r="D481" s="1" t="s">
        <v>5283</v>
      </c>
      <c r="E481" s="1" t="s">
        <v>420</v>
      </c>
      <c r="F481" s="1"/>
      <c r="G481" s="1"/>
      <c r="H481" s="1"/>
      <c r="I481" s="1" t="s">
        <v>5111</v>
      </c>
      <c r="J481" s="1"/>
      <c r="K481" s="1"/>
      <c r="L481" s="1"/>
      <c r="M481" s="1"/>
      <c r="N481" s="1"/>
      <c r="O481" s="1"/>
      <c r="P481" s="1"/>
      <c r="Q481" s="1"/>
    </row>
    <row r="482" spans="1:17">
      <c r="A482" s="1"/>
      <c r="B482" s="1" t="s">
        <v>1492</v>
      </c>
      <c r="C482" s="1" t="s">
        <v>1493</v>
      </c>
      <c r="D482" s="1" t="s">
        <v>5284</v>
      </c>
      <c r="E482" s="1" t="s">
        <v>420</v>
      </c>
      <c r="F482" s="1">
        <v>1</v>
      </c>
      <c r="G482" s="1">
        <v>1.49</v>
      </c>
      <c r="H482" s="1">
        <v>16</v>
      </c>
      <c r="I482" s="1" t="s">
        <v>1142</v>
      </c>
      <c r="J482" s="1" t="s">
        <v>29</v>
      </c>
      <c r="K482" s="1" t="s">
        <v>1496</v>
      </c>
      <c r="L482" s="1">
        <v>13635279948</v>
      </c>
      <c r="M482" s="1" t="s">
        <v>1497</v>
      </c>
      <c r="N482" s="1" t="s">
        <v>1498</v>
      </c>
      <c r="O482" s="1" t="s">
        <v>1499</v>
      </c>
      <c r="P482" s="1">
        <v>13561907770</v>
      </c>
      <c r="Q482" s="1" t="s">
        <v>1500</v>
      </c>
    </row>
    <row r="483" spans="1:17">
      <c r="A483" s="1"/>
      <c r="B483" s="1"/>
      <c r="C483" s="1"/>
      <c r="D483" s="1" t="s">
        <v>5285</v>
      </c>
      <c r="E483" s="1" t="s">
        <v>420</v>
      </c>
      <c r="F483" s="1"/>
      <c r="G483" s="1"/>
      <c r="H483" s="1"/>
      <c r="I483" s="1" t="s">
        <v>4968</v>
      </c>
      <c r="J483" s="1"/>
      <c r="K483" s="1"/>
      <c r="L483" s="1"/>
      <c r="M483" s="1"/>
      <c r="N483" s="1"/>
      <c r="O483" s="1"/>
      <c r="P483" s="1"/>
      <c r="Q483" s="1"/>
    </row>
    <row r="484" spans="1:17">
      <c r="A484" s="1"/>
      <c r="B484" s="1" t="s">
        <v>1502</v>
      </c>
      <c r="C484" s="1" t="s">
        <v>1503</v>
      </c>
      <c r="D484" s="1" t="s">
        <v>5117</v>
      </c>
      <c r="E484" s="1" t="s">
        <v>420</v>
      </c>
      <c r="F484" s="1">
        <v>1</v>
      </c>
      <c r="G484" s="1">
        <v>1.26</v>
      </c>
      <c r="H484" s="1">
        <v>11</v>
      </c>
      <c r="I484" s="1" t="s">
        <v>1142</v>
      </c>
      <c r="J484" s="1" t="s">
        <v>29</v>
      </c>
      <c r="K484" s="1" t="s">
        <v>1506</v>
      </c>
      <c r="L484" s="1">
        <v>17098714030</v>
      </c>
      <c r="M484" s="1" t="s">
        <v>713</v>
      </c>
      <c r="N484" s="1" t="s">
        <v>1507</v>
      </c>
      <c r="O484" s="1" t="s">
        <v>1508</v>
      </c>
      <c r="P484" s="1">
        <v>15092531239</v>
      </c>
      <c r="Q484" s="1" t="s">
        <v>1509</v>
      </c>
    </row>
    <row r="485" spans="1:17">
      <c r="A485" s="1"/>
      <c r="B485" s="1"/>
      <c r="C485" s="1"/>
      <c r="D485" s="1" t="s">
        <v>5286</v>
      </c>
      <c r="E485" s="1" t="s">
        <v>420</v>
      </c>
      <c r="F485" s="1"/>
      <c r="G485" s="1"/>
      <c r="H485" s="1"/>
      <c r="I485" s="1" t="s">
        <v>4968</v>
      </c>
      <c r="J485" s="1"/>
      <c r="K485" s="1"/>
      <c r="L485" s="1"/>
      <c r="M485" s="1"/>
      <c r="N485" s="1"/>
      <c r="O485" s="1"/>
      <c r="P485" s="1"/>
      <c r="Q485" s="1"/>
    </row>
    <row r="486" spans="1:17">
      <c r="A486" s="1"/>
      <c r="B486" s="1"/>
      <c r="C486" s="1"/>
      <c r="D486" s="1" t="s">
        <v>5287</v>
      </c>
      <c r="E486" s="1" t="s">
        <v>420</v>
      </c>
      <c r="F486" s="1"/>
      <c r="G486" s="1"/>
      <c r="H486" s="1"/>
      <c r="I486" s="1" t="s">
        <v>5111</v>
      </c>
      <c r="J486" s="1"/>
      <c r="K486" s="1"/>
      <c r="L486" s="1"/>
      <c r="M486" s="1"/>
      <c r="N486" s="1"/>
      <c r="O486" s="1"/>
      <c r="P486" s="1"/>
      <c r="Q486" s="1"/>
    </row>
    <row r="487" spans="1:17">
      <c r="A487" s="1"/>
      <c r="B487" s="1"/>
      <c r="C487" s="1"/>
      <c r="D487" s="1" t="s">
        <v>5085</v>
      </c>
      <c r="E487" s="1" t="s">
        <v>420</v>
      </c>
      <c r="F487" s="1"/>
      <c r="G487" s="1"/>
      <c r="H487" s="1"/>
      <c r="I487" s="1" t="s">
        <v>450</v>
      </c>
      <c r="J487" s="1"/>
      <c r="K487" s="1"/>
      <c r="L487" s="1"/>
      <c r="M487" s="1"/>
      <c r="N487" s="1"/>
      <c r="O487" s="1"/>
      <c r="P487" s="1"/>
      <c r="Q487" s="1"/>
    </row>
    <row r="488" spans="1:17">
      <c r="A488" s="1"/>
      <c r="B488" s="1" t="s">
        <v>1511</v>
      </c>
      <c r="C488" s="1" t="s">
        <v>1512</v>
      </c>
      <c r="D488" s="1" t="s">
        <v>5288</v>
      </c>
      <c r="E488" s="1" t="s">
        <v>1514</v>
      </c>
      <c r="F488" s="1">
        <v>1</v>
      </c>
      <c r="G488" s="1">
        <v>3.08</v>
      </c>
      <c r="H488" s="1">
        <v>6</v>
      </c>
      <c r="J488" s="1" t="s">
        <v>293</v>
      </c>
      <c r="K488" s="1" t="s">
        <v>1515</v>
      </c>
      <c r="L488" s="1" t="s">
        <v>1516</v>
      </c>
      <c r="M488" s="1" t="s">
        <v>1517</v>
      </c>
      <c r="N488" s="1" t="s">
        <v>1518</v>
      </c>
      <c r="O488" s="1" t="s">
        <v>1517</v>
      </c>
      <c r="P488" s="1" t="s">
        <v>1516</v>
      </c>
      <c r="Q488" s="1" t="s">
        <v>1519</v>
      </c>
    </row>
    <row r="489" spans="1:17">
      <c r="A489" s="1"/>
      <c r="B489" s="1" t="s">
        <v>1521</v>
      </c>
      <c r="C489" s="1" t="s">
        <v>1522</v>
      </c>
      <c r="D489" s="1" t="s">
        <v>5288</v>
      </c>
      <c r="E489" s="1" t="s">
        <v>1514</v>
      </c>
      <c r="F489" s="1">
        <v>1</v>
      </c>
      <c r="G489" s="1">
        <v>3.08</v>
      </c>
      <c r="H489" s="1">
        <v>6</v>
      </c>
      <c r="J489" s="1" t="s">
        <v>293</v>
      </c>
      <c r="K489" s="1" t="s">
        <v>1523</v>
      </c>
      <c r="L489" s="1" t="s">
        <v>1524</v>
      </c>
      <c r="M489" s="1" t="s">
        <v>1525</v>
      </c>
      <c r="N489" s="1" t="s">
        <v>1526</v>
      </c>
      <c r="O489" s="1" t="s">
        <v>1527</v>
      </c>
      <c r="P489" s="1">
        <v>19932207067</v>
      </c>
      <c r="Q489" s="1" t="s">
        <v>1528</v>
      </c>
    </row>
    <row r="490" spans="1:17">
      <c r="A490" s="1"/>
      <c r="B490" s="1" t="s">
        <v>1530</v>
      </c>
      <c r="C490" s="1" t="s">
        <v>1531</v>
      </c>
      <c r="D490" s="1" t="s">
        <v>5289</v>
      </c>
      <c r="E490" s="1" t="s">
        <v>1552</v>
      </c>
      <c r="F490" s="1">
        <v>1</v>
      </c>
      <c r="G490" s="1">
        <v>1.49</v>
      </c>
      <c r="H490" s="1">
        <v>15</v>
      </c>
      <c r="I490" s="1" t="s">
        <v>4995</v>
      </c>
      <c r="J490" s="1" t="s">
        <v>40</v>
      </c>
      <c r="K490" s="1" t="s">
        <v>1535</v>
      </c>
      <c r="L490" s="1">
        <v>13818301527</v>
      </c>
      <c r="M490" s="1" t="s">
        <v>1536</v>
      </c>
      <c r="N490" s="1" t="s">
        <v>1537</v>
      </c>
      <c r="O490" s="1" t="s">
        <v>1538</v>
      </c>
      <c r="P490" s="1">
        <v>13514188400</v>
      </c>
      <c r="Q490" s="1" t="s">
        <v>1539</v>
      </c>
    </row>
    <row r="491" spans="1:17">
      <c r="A491" s="1"/>
      <c r="B491" s="1"/>
      <c r="C491" s="1"/>
      <c r="D491" s="1" t="s">
        <v>5290</v>
      </c>
      <c r="E491" s="1" t="s">
        <v>1552</v>
      </c>
      <c r="F491" s="1"/>
      <c r="G491" s="1"/>
      <c r="H491" s="1"/>
      <c r="I491" s="1" t="s">
        <v>5055</v>
      </c>
      <c r="J491" s="1"/>
      <c r="K491" s="1"/>
      <c r="L491" s="1"/>
      <c r="M491" s="1"/>
      <c r="N491" s="1"/>
      <c r="O491" s="1"/>
      <c r="P491" s="1"/>
      <c r="Q491" s="1"/>
    </row>
    <row r="492" spans="1:17">
      <c r="A492" s="1"/>
      <c r="B492" s="1" t="s">
        <v>1541</v>
      </c>
      <c r="C492" s="1" t="s">
        <v>1542</v>
      </c>
      <c r="D492" s="1" t="s">
        <v>5289</v>
      </c>
      <c r="E492" s="1" t="s">
        <v>1552</v>
      </c>
      <c r="F492" s="1">
        <v>1</v>
      </c>
      <c r="G492" s="1">
        <v>1.49</v>
      </c>
      <c r="H492" s="1">
        <v>15</v>
      </c>
      <c r="I492" s="1" t="s">
        <v>4995</v>
      </c>
      <c r="J492" s="1" t="s">
        <v>40</v>
      </c>
      <c r="K492" s="1" t="s">
        <v>1544</v>
      </c>
      <c r="L492" s="1">
        <v>13130420752</v>
      </c>
      <c r="M492" s="1" t="s">
        <v>1545</v>
      </c>
      <c r="N492" s="1" t="s">
        <v>1546</v>
      </c>
      <c r="O492" s="1" t="s">
        <v>1545</v>
      </c>
      <c r="P492" s="1">
        <v>13130420752</v>
      </c>
      <c r="Q492" s="1" t="s">
        <v>1547</v>
      </c>
    </row>
    <row r="493" spans="1:17">
      <c r="A493" s="1"/>
      <c r="B493" s="1"/>
      <c r="C493" s="1"/>
      <c r="D493" s="1" t="s">
        <v>5291</v>
      </c>
      <c r="E493" s="1" t="s">
        <v>1552</v>
      </c>
      <c r="F493" s="1"/>
      <c r="G493" s="1"/>
      <c r="H493" s="1"/>
      <c r="I493" s="1" t="s">
        <v>5055</v>
      </c>
      <c r="J493" s="1"/>
      <c r="K493" s="1"/>
      <c r="L493" s="1"/>
      <c r="M493" s="1"/>
      <c r="N493" s="1"/>
      <c r="O493" s="1"/>
      <c r="P493" s="1"/>
      <c r="Q493" s="1"/>
    </row>
    <row r="494" spans="1:17">
      <c r="A494" s="1"/>
      <c r="B494" s="1" t="s">
        <v>1549</v>
      </c>
      <c r="C494" s="1" t="s">
        <v>1550</v>
      </c>
      <c r="D494" s="1" t="s">
        <v>1551</v>
      </c>
      <c r="E494" s="1" t="s">
        <v>1552</v>
      </c>
      <c r="F494" s="1">
        <v>1</v>
      </c>
      <c r="G494" s="1">
        <v>1.95</v>
      </c>
      <c r="H494" s="1">
        <v>15</v>
      </c>
      <c r="I494" s="1" t="s">
        <v>5055</v>
      </c>
      <c r="J494" s="1" t="s">
        <v>40</v>
      </c>
      <c r="K494" s="1" t="s">
        <v>1554</v>
      </c>
      <c r="L494" s="1">
        <v>19990075328</v>
      </c>
      <c r="M494" s="1" t="s">
        <v>1555</v>
      </c>
      <c r="N494" s="1" t="s">
        <v>1556</v>
      </c>
      <c r="O494" s="1" t="s">
        <v>1555</v>
      </c>
      <c r="P494" s="1">
        <v>19990075328</v>
      </c>
      <c r="Q494" s="1" t="s">
        <v>1557</v>
      </c>
    </row>
    <row r="495" spans="1:17">
      <c r="A495" s="1"/>
      <c r="B495" s="1" t="s">
        <v>1559</v>
      </c>
      <c r="C495" s="1" t="s">
        <v>1560</v>
      </c>
      <c r="D495" s="1" t="s">
        <v>5292</v>
      </c>
      <c r="E495" s="1" t="s">
        <v>1552</v>
      </c>
      <c r="F495" s="1">
        <v>1</v>
      </c>
      <c r="G495" s="1">
        <v>1.49</v>
      </c>
      <c r="H495" s="1">
        <v>14</v>
      </c>
      <c r="I495" s="1" t="s">
        <v>5055</v>
      </c>
      <c r="J495" s="1" t="s">
        <v>40</v>
      </c>
      <c r="K495" s="1" t="s">
        <v>1554</v>
      </c>
      <c r="L495" s="1">
        <v>19990075328</v>
      </c>
      <c r="M495" s="1" t="s">
        <v>1555</v>
      </c>
      <c r="N495" s="1" t="s">
        <v>1563</v>
      </c>
      <c r="O495" s="1" t="s">
        <v>1564</v>
      </c>
      <c r="P495" s="1">
        <v>13898516621</v>
      </c>
      <c r="Q495" s="1" t="s">
        <v>1565</v>
      </c>
    </row>
    <row r="496" spans="1:17">
      <c r="A496" s="1"/>
      <c r="B496" s="1"/>
      <c r="C496" s="1"/>
      <c r="D496" s="1" t="s">
        <v>5290</v>
      </c>
      <c r="E496" s="1" t="s">
        <v>1552</v>
      </c>
      <c r="F496" s="1"/>
      <c r="G496" s="1"/>
      <c r="H496" s="1"/>
      <c r="I496" s="1" t="s">
        <v>5055</v>
      </c>
      <c r="J496" s="1"/>
      <c r="K496" s="1"/>
      <c r="L496" s="1"/>
      <c r="M496" s="1"/>
      <c r="N496" s="1"/>
      <c r="O496" s="1"/>
      <c r="P496" s="1"/>
      <c r="Q496" s="1"/>
    </row>
    <row r="497" spans="1:17">
      <c r="A497" s="1"/>
      <c r="B497" s="1" t="s">
        <v>1567</v>
      </c>
      <c r="C497" s="1" t="s">
        <v>1568</v>
      </c>
      <c r="D497" s="1" t="s">
        <v>5293</v>
      </c>
      <c r="E497" s="1" t="s">
        <v>5294</v>
      </c>
      <c r="F497" s="1">
        <v>1</v>
      </c>
      <c r="G497" s="1">
        <v>2.4</v>
      </c>
      <c r="H497" s="1">
        <v>8</v>
      </c>
      <c r="J497" s="1" t="s">
        <v>40</v>
      </c>
      <c r="K497" s="1" t="s">
        <v>1571</v>
      </c>
      <c r="L497" s="1">
        <v>18603577666</v>
      </c>
      <c r="M497" s="1" t="s">
        <v>1572</v>
      </c>
      <c r="N497" s="1" t="s">
        <v>1573</v>
      </c>
      <c r="O497" s="1" t="s">
        <v>1574</v>
      </c>
      <c r="P497" s="1">
        <v>13753557888</v>
      </c>
      <c r="Q497" s="1" t="s">
        <v>1575</v>
      </c>
    </row>
    <row r="498" spans="1:17">
      <c r="A498" s="1"/>
      <c r="B498" s="1"/>
      <c r="C498" s="1"/>
      <c r="D498" s="1" t="s">
        <v>5021</v>
      </c>
      <c r="E498" s="1" t="s">
        <v>5295</v>
      </c>
      <c r="F498" s="1"/>
      <c r="G498" s="1"/>
      <c r="H498" s="1"/>
      <c r="J498" s="1"/>
      <c r="K498" s="1"/>
      <c r="L498" s="1"/>
      <c r="M498" s="1"/>
      <c r="N498" s="1"/>
      <c r="O498" s="1"/>
      <c r="P498" s="1"/>
      <c r="Q498" s="1"/>
    </row>
    <row r="499" spans="1:17">
      <c r="A499" s="1"/>
      <c r="B499" s="1" t="s">
        <v>1577</v>
      </c>
      <c r="C499" s="1" t="s">
        <v>1578</v>
      </c>
      <c r="D499" s="1" t="s">
        <v>5296</v>
      </c>
      <c r="E499" s="1" t="s">
        <v>50</v>
      </c>
      <c r="F499" s="1">
        <v>1</v>
      </c>
      <c r="G499" s="1">
        <v>0.81</v>
      </c>
      <c r="H499" s="1">
        <v>16</v>
      </c>
      <c r="I499" s="1" t="s">
        <v>4963</v>
      </c>
      <c r="J499" s="1" t="s">
        <v>40</v>
      </c>
      <c r="K499" s="1" t="s">
        <v>1580</v>
      </c>
      <c r="L499" s="1">
        <v>13912795769</v>
      </c>
      <c r="M499" s="1" t="s">
        <v>1581</v>
      </c>
      <c r="N499" s="1" t="s">
        <v>1580</v>
      </c>
      <c r="O499" s="1" t="s">
        <v>1582</v>
      </c>
      <c r="P499" s="1">
        <v>13901546110</v>
      </c>
      <c r="Q499" s="1" t="s">
        <v>1583</v>
      </c>
    </row>
    <row r="500" spans="1:17">
      <c r="A500" s="1"/>
      <c r="B500" s="1" t="s">
        <v>1585</v>
      </c>
      <c r="C500" s="1" t="s">
        <v>1586</v>
      </c>
      <c r="D500" s="1" t="s">
        <v>5297</v>
      </c>
      <c r="E500" s="1" t="s">
        <v>50</v>
      </c>
      <c r="F500" s="1">
        <v>1</v>
      </c>
      <c r="G500" s="1">
        <v>0.81</v>
      </c>
      <c r="H500" s="1">
        <v>16</v>
      </c>
      <c r="I500" s="1" t="s">
        <v>4963</v>
      </c>
      <c r="J500" s="1" t="s">
        <v>40</v>
      </c>
      <c r="K500" s="1" t="s">
        <v>1588</v>
      </c>
      <c r="L500" s="1">
        <v>13913502969</v>
      </c>
      <c r="M500" s="1" t="s">
        <v>1581</v>
      </c>
      <c r="N500" s="1" t="s">
        <v>1588</v>
      </c>
      <c r="O500" s="1" t="s">
        <v>1581</v>
      </c>
      <c r="P500" s="1">
        <v>13913502969</v>
      </c>
      <c r="Q500" s="1" t="s">
        <v>1589</v>
      </c>
    </row>
    <row r="501" spans="1:17">
      <c r="A501" s="1"/>
      <c r="B501" s="1" t="s">
        <v>1591</v>
      </c>
      <c r="C501" s="1" t="s">
        <v>1592</v>
      </c>
      <c r="D501" s="1" t="s">
        <v>5298</v>
      </c>
      <c r="E501" s="1" t="s">
        <v>1594</v>
      </c>
      <c r="F501" s="1">
        <v>1</v>
      </c>
      <c r="G501" s="1">
        <v>1.04</v>
      </c>
      <c r="H501" s="1">
        <v>10</v>
      </c>
      <c r="I501" s="1" t="s">
        <v>164</v>
      </c>
      <c r="J501" s="1" t="s">
        <v>40</v>
      </c>
      <c r="K501" s="1" t="s">
        <v>1596</v>
      </c>
      <c r="L501" s="1">
        <v>13015331566</v>
      </c>
      <c r="M501" s="1" t="s">
        <v>1597</v>
      </c>
      <c r="N501" s="1" t="s">
        <v>1596</v>
      </c>
      <c r="O501" s="1" t="s">
        <v>1597</v>
      </c>
      <c r="P501" s="1">
        <v>13015331566</v>
      </c>
      <c r="Q501" s="1" t="s">
        <v>1598</v>
      </c>
    </row>
    <row r="502" spans="1:17">
      <c r="A502" s="1"/>
      <c r="B502" s="1" t="s">
        <v>1600</v>
      </c>
      <c r="C502" s="1" t="s">
        <v>1601</v>
      </c>
      <c r="D502" s="1" t="s">
        <v>5299</v>
      </c>
      <c r="E502" s="1" t="s">
        <v>1210</v>
      </c>
      <c r="F502" s="1">
        <v>1</v>
      </c>
      <c r="G502" s="1">
        <v>2.4</v>
      </c>
      <c r="H502" s="1">
        <v>6</v>
      </c>
      <c r="J502" s="1" t="s">
        <v>29</v>
      </c>
      <c r="K502" s="1" t="s">
        <v>1604</v>
      </c>
      <c r="L502" s="1">
        <v>13386251002</v>
      </c>
      <c r="M502" s="1" t="s">
        <v>1605</v>
      </c>
      <c r="N502" s="1" t="s">
        <v>1606</v>
      </c>
      <c r="O502" s="1" t="s">
        <v>1605</v>
      </c>
      <c r="P502" s="1">
        <v>13386251002</v>
      </c>
      <c r="Q502" s="1" t="s">
        <v>1607</v>
      </c>
    </row>
    <row r="503" spans="1:17">
      <c r="A503" s="1"/>
      <c r="B503" s="1"/>
      <c r="C503" s="1"/>
      <c r="D503" s="1" t="s">
        <v>5300</v>
      </c>
      <c r="E503" s="1" t="s">
        <v>1210</v>
      </c>
      <c r="F503" s="1"/>
      <c r="G503" s="1"/>
      <c r="H503" s="1"/>
      <c r="J503" s="1"/>
      <c r="K503" s="1"/>
      <c r="L503" s="1"/>
      <c r="M503" s="1"/>
      <c r="N503" s="1"/>
      <c r="O503" s="1"/>
      <c r="P503" s="1"/>
      <c r="Q503" s="1"/>
    </row>
    <row r="504" spans="1:17">
      <c r="A504" s="1"/>
      <c r="B504" s="1" t="s">
        <v>1609</v>
      </c>
      <c r="C504" s="1" t="s">
        <v>1610</v>
      </c>
      <c r="D504" s="1" t="s">
        <v>4967</v>
      </c>
      <c r="E504" s="1" t="s">
        <v>2413</v>
      </c>
      <c r="F504" s="1">
        <v>1</v>
      </c>
      <c r="G504" s="1">
        <v>0.81</v>
      </c>
      <c r="H504" s="1">
        <v>8</v>
      </c>
      <c r="I504" s="1" t="s">
        <v>4968</v>
      </c>
      <c r="J504" s="1" t="s">
        <v>29</v>
      </c>
      <c r="K504" s="1" t="s">
        <v>870</v>
      </c>
      <c r="L504" s="1">
        <v>15652037350</v>
      </c>
      <c r="M504" s="1" t="s">
        <v>871</v>
      </c>
      <c r="N504" s="1" t="s">
        <v>870</v>
      </c>
      <c r="O504" s="1" t="s">
        <v>1611</v>
      </c>
      <c r="P504" s="1">
        <v>17332175777</v>
      </c>
      <c r="Q504" s="1" t="s">
        <v>1612</v>
      </c>
    </row>
    <row r="505" spans="1:17">
      <c r="A505" s="1"/>
      <c r="B505" s="1"/>
      <c r="C505" s="1"/>
      <c r="D505" s="1" t="s">
        <v>4969</v>
      </c>
      <c r="E505" s="1" t="s">
        <v>2413</v>
      </c>
      <c r="F505" s="1"/>
      <c r="G505" s="1"/>
      <c r="H505" s="1"/>
      <c r="I505" s="1" t="s">
        <v>4970</v>
      </c>
      <c r="J505" s="1"/>
      <c r="K505" s="1"/>
      <c r="L505" s="1"/>
      <c r="M505" s="1"/>
      <c r="N505" s="1"/>
      <c r="O505" s="1"/>
      <c r="P505" s="1"/>
      <c r="Q505" s="1"/>
    </row>
    <row r="506" spans="1:17">
      <c r="A506" s="1"/>
      <c r="B506" s="1" t="s">
        <v>1614</v>
      </c>
      <c r="C506" s="1" t="s">
        <v>1615</v>
      </c>
      <c r="D506" s="1" t="s">
        <v>5085</v>
      </c>
      <c r="E506" s="1" t="s">
        <v>5057</v>
      </c>
      <c r="F506" s="1">
        <v>1</v>
      </c>
      <c r="G506" s="1">
        <v>2.63</v>
      </c>
      <c r="H506" s="1">
        <v>6</v>
      </c>
      <c r="I506" s="1" t="s">
        <v>5301</v>
      </c>
      <c r="J506" s="1" t="s">
        <v>29</v>
      </c>
      <c r="K506" s="1" t="s">
        <v>879</v>
      </c>
      <c r="L506" s="1">
        <v>18330660293</v>
      </c>
      <c r="M506" s="1" t="s">
        <v>871</v>
      </c>
      <c r="N506" s="1" t="s">
        <v>1619</v>
      </c>
      <c r="O506" s="1" t="s">
        <v>1620</v>
      </c>
      <c r="P506" s="1">
        <v>18132396666</v>
      </c>
      <c r="Q506" s="1" t="s">
        <v>1621</v>
      </c>
    </row>
    <row r="507" spans="1:17">
      <c r="A507" s="1"/>
      <c r="B507" s="1"/>
      <c r="C507" s="1"/>
      <c r="D507" s="1" t="s">
        <v>5302</v>
      </c>
      <c r="E507" s="1" t="s">
        <v>449</v>
      </c>
      <c r="F507" s="1"/>
      <c r="G507" s="1"/>
      <c r="H507" s="1"/>
      <c r="I507" s="1" t="s">
        <v>4972</v>
      </c>
      <c r="J507" s="1"/>
      <c r="K507" s="1"/>
      <c r="L507" s="1"/>
      <c r="M507" s="1"/>
      <c r="N507" s="1"/>
      <c r="O507" s="1"/>
      <c r="P507" s="1"/>
      <c r="Q507" s="1"/>
    </row>
    <row r="508" spans="1:17">
      <c r="A508" s="1"/>
      <c r="B508" s="1"/>
      <c r="C508" s="1"/>
      <c r="D508" s="1" t="s">
        <v>5303</v>
      </c>
      <c r="E508" s="1" t="s">
        <v>5304</v>
      </c>
      <c r="F508" s="1"/>
      <c r="G508" s="1"/>
      <c r="H508" s="1"/>
      <c r="I508" s="1" t="s">
        <v>5305</v>
      </c>
      <c r="J508" s="1"/>
      <c r="K508" s="1"/>
      <c r="L508" s="1"/>
      <c r="M508" s="1"/>
      <c r="N508" s="1"/>
      <c r="O508" s="1"/>
      <c r="P508" s="1"/>
      <c r="Q508" s="1"/>
    </row>
    <row r="509" spans="1:17">
      <c r="A509" s="1"/>
      <c r="B509" s="1" t="s">
        <v>1623</v>
      </c>
      <c r="C509" s="1" t="s">
        <v>1624</v>
      </c>
      <c r="D509" s="1" t="s">
        <v>5306</v>
      </c>
      <c r="E509" s="1" t="s">
        <v>625</v>
      </c>
      <c r="F509" s="1">
        <v>1</v>
      </c>
      <c r="G509" s="1">
        <v>1.26</v>
      </c>
      <c r="H509" s="1">
        <v>9</v>
      </c>
      <c r="J509" s="1" t="s">
        <v>40</v>
      </c>
      <c r="K509" s="1" t="s">
        <v>1626</v>
      </c>
      <c r="L509" s="1">
        <v>18109312000</v>
      </c>
      <c r="M509" s="1" t="s">
        <v>1627</v>
      </c>
      <c r="N509" s="1" t="s">
        <v>1626</v>
      </c>
      <c r="O509" s="1" t="s">
        <v>1627</v>
      </c>
      <c r="P509" s="1">
        <v>18109312000</v>
      </c>
      <c r="Q509" s="1" t="s">
        <v>1628</v>
      </c>
    </row>
    <row r="510" spans="1:17">
      <c r="A510" s="1"/>
      <c r="B510" s="1"/>
      <c r="C510" s="1"/>
      <c r="D510" s="1" t="s">
        <v>5307</v>
      </c>
      <c r="E510" s="1" t="s">
        <v>625</v>
      </c>
      <c r="F510" s="1"/>
      <c r="G510" s="1"/>
      <c r="H510" s="1"/>
      <c r="J510" s="1"/>
      <c r="K510" s="1"/>
      <c r="L510" s="1"/>
      <c r="M510" s="1"/>
      <c r="N510" s="1"/>
      <c r="O510" s="1"/>
      <c r="P510" s="1"/>
      <c r="Q510" s="1"/>
    </row>
    <row r="511" spans="1:17">
      <c r="A511" s="1"/>
      <c r="B511" s="1"/>
      <c r="C511" s="1"/>
      <c r="D511" s="1" t="s">
        <v>5017</v>
      </c>
      <c r="E511" s="1" t="s">
        <v>625</v>
      </c>
      <c r="F511" s="1"/>
      <c r="G511" s="1"/>
      <c r="H511" s="1"/>
      <c r="J511" s="1"/>
      <c r="K511" s="1"/>
      <c r="L511" s="1"/>
      <c r="M511" s="1"/>
      <c r="N511" s="1"/>
      <c r="O511" s="1"/>
      <c r="P511" s="1"/>
      <c r="Q511" s="1"/>
    </row>
    <row r="512" spans="1:17">
      <c r="A512" s="1"/>
      <c r="B512" s="1" t="s">
        <v>1630</v>
      </c>
      <c r="C512" s="1" t="s">
        <v>1631</v>
      </c>
      <c r="D512" s="1" t="s">
        <v>5308</v>
      </c>
      <c r="E512" s="1" t="s">
        <v>1633</v>
      </c>
      <c r="F512" s="1">
        <v>1</v>
      </c>
      <c r="G512" s="1">
        <v>0.81</v>
      </c>
      <c r="H512" s="1">
        <v>5</v>
      </c>
      <c r="I512" s="1" t="s">
        <v>1634</v>
      </c>
      <c r="J512" s="1" t="s">
        <v>29</v>
      </c>
      <c r="K512" s="1" t="s">
        <v>1635</v>
      </c>
      <c r="L512" s="1">
        <v>13541316114</v>
      </c>
      <c r="M512" s="1" t="s">
        <v>1636</v>
      </c>
      <c r="N512" s="1" t="s">
        <v>1637</v>
      </c>
      <c r="O512" s="1" t="s">
        <v>1638</v>
      </c>
      <c r="P512" s="1">
        <v>18081800812</v>
      </c>
      <c r="Q512" s="1" t="s">
        <v>1639</v>
      </c>
    </row>
    <row r="513" spans="1:17">
      <c r="A513" s="1"/>
      <c r="B513" s="1" t="s">
        <v>1641</v>
      </c>
      <c r="C513" s="1" t="s">
        <v>1642</v>
      </c>
      <c r="D513" s="1" t="s">
        <v>4989</v>
      </c>
      <c r="E513" s="1" t="s">
        <v>1633</v>
      </c>
      <c r="F513" s="1">
        <v>1</v>
      </c>
      <c r="G513" s="1">
        <v>0.81</v>
      </c>
      <c r="H513" s="1">
        <v>4</v>
      </c>
      <c r="I513" s="1" t="s">
        <v>1634</v>
      </c>
      <c r="J513" s="1" t="s">
        <v>29</v>
      </c>
      <c r="K513" s="1" t="s">
        <v>1643</v>
      </c>
      <c r="L513" s="1">
        <v>18163221890</v>
      </c>
      <c r="M513" s="1" t="s">
        <v>1644</v>
      </c>
      <c r="N513" s="1" t="s">
        <v>1645</v>
      </c>
      <c r="O513" s="1" t="s">
        <v>1646</v>
      </c>
      <c r="P513" s="1">
        <v>18620489248</v>
      </c>
      <c r="Q513" s="1" t="s">
        <v>1647</v>
      </c>
    </row>
    <row r="514" spans="1:17">
      <c r="A514" s="1"/>
      <c r="B514" s="1"/>
      <c r="C514" s="1"/>
      <c r="D514" s="1" t="s">
        <v>4990</v>
      </c>
      <c r="E514" s="1" t="s">
        <v>1633</v>
      </c>
      <c r="F514" s="1"/>
      <c r="G514" s="1"/>
      <c r="H514" s="1"/>
      <c r="I514" s="1" t="s">
        <v>450</v>
      </c>
      <c r="J514" s="1"/>
      <c r="K514" s="1"/>
      <c r="L514" s="1"/>
      <c r="M514" s="1"/>
      <c r="N514" s="1"/>
      <c r="O514" s="1"/>
      <c r="P514" s="1"/>
      <c r="Q514" s="1"/>
    </row>
    <row r="515" spans="1:17">
      <c r="A515" s="1"/>
      <c r="B515" s="1" t="s">
        <v>1649</v>
      </c>
      <c r="C515" s="1" t="s">
        <v>1650</v>
      </c>
      <c r="D515" s="1" t="s">
        <v>4989</v>
      </c>
      <c r="E515" s="1" t="s">
        <v>1633</v>
      </c>
      <c r="F515" s="1">
        <v>1</v>
      </c>
      <c r="G515" s="1">
        <v>0.81</v>
      </c>
      <c r="H515" s="1">
        <v>5</v>
      </c>
      <c r="I515" s="1" t="s">
        <v>1634</v>
      </c>
      <c r="J515" s="1" t="s">
        <v>29</v>
      </c>
      <c r="K515" s="1" t="s">
        <v>1643</v>
      </c>
      <c r="L515" s="1">
        <v>18163221890</v>
      </c>
      <c r="M515" s="1" t="s">
        <v>1644</v>
      </c>
      <c r="N515" s="1" t="s">
        <v>1643</v>
      </c>
      <c r="O515" s="1" t="s">
        <v>1654</v>
      </c>
      <c r="P515" s="1">
        <v>13902829300</v>
      </c>
      <c r="Q515" s="1" t="s">
        <v>1655</v>
      </c>
    </row>
    <row r="516" spans="1:17">
      <c r="A516" s="1"/>
      <c r="B516" s="1"/>
      <c r="C516" s="1"/>
      <c r="D516" s="1" t="s">
        <v>5009</v>
      </c>
      <c r="E516" s="1" t="s">
        <v>1633</v>
      </c>
      <c r="F516" s="1"/>
      <c r="G516" s="1"/>
      <c r="H516" s="1"/>
      <c r="I516" s="1" t="s">
        <v>5010</v>
      </c>
      <c r="J516" s="1"/>
      <c r="K516" s="1"/>
      <c r="L516" s="1"/>
      <c r="M516" s="1"/>
      <c r="N516" s="1"/>
      <c r="O516" s="1"/>
      <c r="P516" s="1"/>
      <c r="Q516" s="1"/>
    </row>
    <row r="517" spans="1:17">
      <c r="A517" s="1"/>
      <c r="B517" s="1"/>
      <c r="C517" s="1"/>
      <c r="D517" s="1" t="s">
        <v>5007</v>
      </c>
      <c r="E517" s="1" t="s">
        <v>1633</v>
      </c>
      <c r="F517" s="1"/>
      <c r="G517" s="1"/>
      <c r="H517" s="1"/>
      <c r="I517" s="1" t="s">
        <v>5008</v>
      </c>
      <c r="J517" s="1"/>
      <c r="K517" s="1"/>
      <c r="L517" s="1"/>
      <c r="M517" s="1"/>
      <c r="N517" s="1"/>
      <c r="O517" s="1"/>
      <c r="P517" s="1"/>
      <c r="Q517" s="1"/>
    </row>
    <row r="518" spans="1:17">
      <c r="A518" s="1"/>
      <c r="B518" s="1" t="s">
        <v>1657</v>
      </c>
      <c r="C518" s="1" t="s">
        <v>1658</v>
      </c>
      <c r="D518" s="1" t="s">
        <v>5014</v>
      </c>
      <c r="E518" s="1" t="s">
        <v>625</v>
      </c>
      <c r="F518" s="1">
        <v>1</v>
      </c>
      <c r="G518" s="1">
        <v>1.72</v>
      </c>
      <c r="H518" s="1">
        <v>11</v>
      </c>
      <c r="J518" s="1" t="s">
        <v>40</v>
      </c>
      <c r="K518" s="1" t="s">
        <v>1660</v>
      </c>
      <c r="L518" s="1">
        <v>13602446645</v>
      </c>
      <c r="M518" s="1" t="s">
        <v>1661</v>
      </c>
      <c r="N518" s="1" t="s">
        <v>1662</v>
      </c>
      <c r="O518" s="1" t="s">
        <v>1663</v>
      </c>
      <c r="P518" s="1">
        <v>15913187189</v>
      </c>
      <c r="Q518" s="1" t="s">
        <v>1664</v>
      </c>
    </row>
    <row r="519" spans="1:17">
      <c r="A519" s="1"/>
      <c r="B519" s="1"/>
      <c r="C519" s="1"/>
      <c r="D519" s="1" t="s">
        <v>5018</v>
      </c>
      <c r="E519" s="1" t="s">
        <v>625</v>
      </c>
      <c r="F519" s="1"/>
      <c r="G519" s="1"/>
      <c r="H519" s="1"/>
      <c r="J519" s="1"/>
      <c r="K519" s="1"/>
      <c r="L519" s="1"/>
      <c r="M519" s="1"/>
      <c r="N519" s="1"/>
      <c r="O519" s="1"/>
      <c r="P519" s="1"/>
      <c r="Q519" s="1"/>
    </row>
    <row r="520" spans="1:17">
      <c r="A520" s="1"/>
      <c r="B520" s="1"/>
      <c r="C520" s="1"/>
      <c r="D520" s="1" t="s">
        <v>5188</v>
      </c>
      <c r="E520" s="1" t="s">
        <v>625</v>
      </c>
      <c r="F520" s="1"/>
      <c r="G520" s="1"/>
      <c r="H520" s="1"/>
      <c r="J520" s="1"/>
      <c r="K520" s="1"/>
      <c r="L520" s="1"/>
      <c r="M520" s="1"/>
      <c r="N520" s="1"/>
      <c r="O520" s="1"/>
      <c r="P520" s="1"/>
      <c r="Q520" s="1"/>
    </row>
    <row r="521" spans="1:17">
      <c r="A521" s="1"/>
      <c r="B521" s="1"/>
      <c r="C521" s="1"/>
      <c r="D521" s="1" t="s">
        <v>5022</v>
      </c>
      <c r="E521" s="1" t="s">
        <v>625</v>
      </c>
      <c r="F521" s="1"/>
      <c r="G521" s="1"/>
      <c r="H521" s="1"/>
      <c r="J521" s="1"/>
      <c r="K521" s="1"/>
      <c r="L521" s="1"/>
      <c r="M521" s="1"/>
      <c r="N521" s="1"/>
      <c r="O521" s="1"/>
      <c r="P521" s="1"/>
      <c r="Q521" s="1"/>
    </row>
    <row r="522" spans="1:17">
      <c r="A522" s="1"/>
      <c r="B522" s="1"/>
      <c r="C522" s="1"/>
      <c r="D522" s="1" t="s">
        <v>5309</v>
      </c>
      <c r="E522" s="1" t="s">
        <v>625</v>
      </c>
      <c r="F522" s="1"/>
      <c r="G522" s="1"/>
      <c r="H522" s="1"/>
      <c r="J522" s="1"/>
      <c r="K522" s="1"/>
      <c r="L522" s="1"/>
      <c r="M522" s="1"/>
      <c r="N522" s="1"/>
      <c r="O522" s="1"/>
      <c r="P522" s="1"/>
      <c r="Q522" s="1"/>
    </row>
    <row r="523" spans="1:17">
      <c r="A523" s="1"/>
      <c r="B523" s="1" t="s">
        <v>1666</v>
      </c>
      <c r="C523" s="1" t="s">
        <v>1667</v>
      </c>
      <c r="D523" s="1" t="s">
        <v>5014</v>
      </c>
      <c r="E523" s="1" t="s">
        <v>625</v>
      </c>
      <c r="F523" s="1">
        <v>1</v>
      </c>
      <c r="G523" s="1">
        <v>1.72</v>
      </c>
      <c r="H523" s="1">
        <v>10</v>
      </c>
      <c r="J523" s="1" t="s">
        <v>40</v>
      </c>
      <c r="K523" s="1" t="s">
        <v>945</v>
      </c>
      <c r="L523" s="1">
        <v>13512756600</v>
      </c>
      <c r="M523" s="1" t="s">
        <v>946</v>
      </c>
      <c r="N523" s="1" t="s">
        <v>945</v>
      </c>
      <c r="O523" s="1" t="s">
        <v>1668</v>
      </c>
      <c r="P523" s="1">
        <v>13414117858</v>
      </c>
      <c r="Q523" s="1" t="s">
        <v>1669</v>
      </c>
    </row>
    <row r="524" spans="1:17">
      <c r="A524" s="1"/>
      <c r="B524" s="1"/>
      <c r="C524" s="1"/>
      <c r="D524" s="1" t="s">
        <v>5015</v>
      </c>
      <c r="E524" s="1" t="s">
        <v>625</v>
      </c>
      <c r="F524" s="1"/>
      <c r="G524" s="1"/>
      <c r="H524" s="1"/>
      <c r="J524" s="1"/>
      <c r="K524" s="1"/>
      <c r="L524" s="1"/>
      <c r="M524" s="1"/>
      <c r="N524" s="1"/>
      <c r="O524" s="1"/>
      <c r="P524" s="1"/>
      <c r="Q524" s="1"/>
    </row>
    <row r="525" spans="1:17">
      <c r="A525" s="1"/>
      <c r="B525" s="1"/>
      <c r="C525" s="1"/>
      <c r="D525" s="1" t="s">
        <v>5016</v>
      </c>
      <c r="E525" s="1" t="s">
        <v>625</v>
      </c>
      <c r="F525" s="1"/>
      <c r="G525" s="1"/>
      <c r="H525" s="1"/>
      <c r="J525" s="1"/>
      <c r="K525" s="1"/>
      <c r="L525" s="1"/>
      <c r="M525" s="1"/>
      <c r="N525" s="1"/>
      <c r="O525" s="1"/>
      <c r="P525" s="1"/>
      <c r="Q525" s="1"/>
    </row>
    <row r="526" spans="1:17">
      <c r="A526" s="1"/>
      <c r="B526" s="1"/>
      <c r="C526" s="1"/>
      <c r="D526" s="1" t="s">
        <v>5017</v>
      </c>
      <c r="E526" s="1" t="s">
        <v>625</v>
      </c>
      <c r="F526" s="1"/>
      <c r="G526" s="1"/>
      <c r="H526" s="1"/>
      <c r="J526" s="1"/>
      <c r="K526" s="1"/>
      <c r="L526" s="1"/>
      <c r="M526" s="1"/>
      <c r="N526" s="1"/>
      <c r="O526" s="1"/>
      <c r="P526" s="1"/>
      <c r="Q526" s="1"/>
    </row>
    <row r="527" spans="1:17">
      <c r="A527" s="1"/>
      <c r="B527" s="1"/>
      <c r="C527" s="1"/>
      <c r="D527" s="1" t="s">
        <v>5018</v>
      </c>
      <c r="E527" s="1" t="s">
        <v>625</v>
      </c>
      <c r="F527" s="1"/>
      <c r="G527" s="1"/>
      <c r="H527" s="1"/>
      <c r="J527" s="1"/>
      <c r="K527" s="1"/>
      <c r="L527" s="1"/>
      <c r="M527" s="1"/>
      <c r="N527" s="1"/>
      <c r="O527" s="1"/>
      <c r="P527" s="1"/>
      <c r="Q527" s="1"/>
    </row>
    <row r="528" spans="1:17">
      <c r="A528" s="1"/>
      <c r="B528" s="1"/>
      <c r="C528" s="1"/>
      <c r="D528" s="1" t="s">
        <v>5019</v>
      </c>
      <c r="E528" s="1" t="s">
        <v>625</v>
      </c>
      <c r="F528" s="1"/>
      <c r="G528" s="1"/>
      <c r="H528" s="1"/>
      <c r="J528" s="1"/>
      <c r="K528" s="1"/>
      <c r="L528" s="1"/>
      <c r="M528" s="1"/>
      <c r="N528" s="1"/>
      <c r="O528" s="1"/>
      <c r="P528" s="1"/>
      <c r="Q528" s="1"/>
    </row>
    <row r="529" spans="1:17">
      <c r="A529" s="1"/>
      <c r="B529" s="1" t="s">
        <v>1671</v>
      </c>
      <c r="C529" s="1" t="s">
        <v>1672</v>
      </c>
      <c r="D529" s="1" t="s">
        <v>5027</v>
      </c>
      <c r="E529" s="1" t="s">
        <v>625</v>
      </c>
      <c r="F529" s="1">
        <v>1</v>
      </c>
      <c r="G529" s="1">
        <v>1.49</v>
      </c>
      <c r="H529" s="1">
        <v>12</v>
      </c>
      <c r="J529" s="1" t="s">
        <v>40</v>
      </c>
      <c r="K529" s="1" t="s">
        <v>1673</v>
      </c>
      <c r="L529" s="1">
        <v>13560315011</v>
      </c>
      <c r="M529" s="1" t="s">
        <v>1674</v>
      </c>
      <c r="N529" s="1" t="s">
        <v>1675</v>
      </c>
      <c r="O529" s="1" t="s">
        <v>1674</v>
      </c>
      <c r="P529" s="1">
        <v>13560315011</v>
      </c>
      <c r="Q529" s="1" t="s">
        <v>1676</v>
      </c>
    </row>
    <row r="530" spans="1:17">
      <c r="A530" s="1"/>
      <c r="B530" s="1"/>
      <c r="C530" s="1"/>
      <c r="D530" s="1" t="s">
        <v>5028</v>
      </c>
      <c r="E530" s="1" t="s">
        <v>625</v>
      </c>
      <c r="F530" s="1"/>
      <c r="G530" s="1"/>
      <c r="H530" s="1"/>
      <c r="J530" s="1"/>
      <c r="K530" s="1"/>
      <c r="L530" s="1"/>
      <c r="M530" s="1"/>
      <c r="N530" s="1"/>
      <c r="O530" s="1"/>
      <c r="P530" s="1"/>
      <c r="Q530" s="1"/>
    </row>
    <row r="531" spans="1:17">
      <c r="A531" s="1"/>
      <c r="B531" s="1"/>
      <c r="C531" s="1"/>
      <c r="D531" s="1" t="s">
        <v>5015</v>
      </c>
      <c r="E531" s="1" t="s">
        <v>625</v>
      </c>
      <c r="F531" s="1"/>
      <c r="G531" s="1"/>
      <c r="H531" s="1"/>
      <c r="J531" s="1"/>
      <c r="K531" s="1"/>
      <c r="L531" s="1"/>
      <c r="M531" s="1"/>
      <c r="N531" s="1"/>
      <c r="O531" s="1"/>
      <c r="P531" s="1"/>
      <c r="Q531" s="1"/>
    </row>
    <row r="532" spans="1:17">
      <c r="A532" s="1"/>
      <c r="B532" s="1"/>
      <c r="C532" s="1"/>
      <c r="D532" s="1" t="s">
        <v>5029</v>
      </c>
      <c r="E532" s="1" t="s">
        <v>625</v>
      </c>
      <c r="F532" s="1"/>
      <c r="G532" s="1"/>
      <c r="H532" s="1"/>
      <c r="J532" s="1"/>
      <c r="K532" s="1"/>
      <c r="L532" s="1"/>
      <c r="M532" s="1"/>
      <c r="N532" s="1"/>
      <c r="O532" s="1"/>
      <c r="P532" s="1"/>
      <c r="Q532" s="1"/>
    </row>
    <row r="533" spans="1:17">
      <c r="A533" s="1"/>
      <c r="B533" s="1"/>
      <c r="C533" s="1"/>
      <c r="D533" s="1" t="s">
        <v>5030</v>
      </c>
      <c r="E533" s="1" t="s">
        <v>625</v>
      </c>
      <c r="F533" s="1"/>
      <c r="G533" s="1"/>
      <c r="H533" s="1"/>
      <c r="J533" s="1"/>
      <c r="K533" s="1"/>
      <c r="L533" s="1"/>
      <c r="M533" s="1"/>
      <c r="N533" s="1"/>
      <c r="O533" s="1"/>
      <c r="P533" s="1"/>
      <c r="Q533" s="1"/>
    </row>
    <row r="534" spans="1:17">
      <c r="A534" s="1"/>
      <c r="B534" s="1"/>
      <c r="C534" s="1"/>
      <c r="D534" s="1" t="s">
        <v>5026</v>
      </c>
      <c r="E534" s="1" t="s">
        <v>625</v>
      </c>
      <c r="F534" s="1"/>
      <c r="G534" s="1"/>
      <c r="H534" s="1"/>
      <c r="J534" s="1"/>
      <c r="K534" s="1"/>
      <c r="L534" s="1"/>
      <c r="M534" s="1"/>
      <c r="N534" s="1"/>
      <c r="O534" s="1"/>
      <c r="P534" s="1"/>
      <c r="Q534" s="1"/>
    </row>
    <row r="535" spans="1:17">
      <c r="A535" s="1"/>
      <c r="B535" s="1" t="s">
        <v>1678</v>
      </c>
      <c r="C535" s="1" t="s">
        <v>1679</v>
      </c>
      <c r="D535" s="1" t="s">
        <v>5310</v>
      </c>
      <c r="E535" s="1" t="s">
        <v>625</v>
      </c>
      <c r="F535" s="1">
        <v>1</v>
      </c>
      <c r="G535" s="1">
        <v>1.26</v>
      </c>
      <c r="H535" s="1">
        <v>10</v>
      </c>
      <c r="J535" s="1" t="s">
        <v>40</v>
      </c>
      <c r="K535" s="1" t="s">
        <v>626</v>
      </c>
      <c r="L535" s="1">
        <v>18017976061</v>
      </c>
      <c r="M535" s="1" t="s">
        <v>627</v>
      </c>
      <c r="N535" s="1" t="s">
        <v>1681</v>
      </c>
      <c r="O535" s="1" t="s">
        <v>627</v>
      </c>
      <c r="P535" s="1">
        <v>18017976061</v>
      </c>
      <c r="Q535" s="1" t="s">
        <v>1682</v>
      </c>
    </row>
    <row r="536" spans="1:17">
      <c r="A536" s="1"/>
      <c r="B536" s="1"/>
      <c r="C536" s="1"/>
      <c r="D536" s="1" t="s">
        <v>5311</v>
      </c>
      <c r="E536" s="1" t="s">
        <v>625</v>
      </c>
      <c r="F536" s="1"/>
      <c r="G536" s="1"/>
      <c r="H536" s="1"/>
      <c r="J536" s="1"/>
      <c r="K536" s="1"/>
      <c r="L536" s="1"/>
      <c r="M536" s="1"/>
      <c r="N536" s="1"/>
      <c r="O536" s="1"/>
      <c r="P536" s="1"/>
      <c r="Q536" s="1"/>
    </row>
    <row r="537" spans="1:17">
      <c r="A537" s="1"/>
      <c r="B537" s="1" t="s">
        <v>1684</v>
      </c>
      <c r="C537" s="1" t="s">
        <v>1685</v>
      </c>
      <c r="D537" s="1" t="s">
        <v>5312</v>
      </c>
      <c r="E537" s="1" t="s">
        <v>4054</v>
      </c>
      <c r="F537" s="1">
        <v>1</v>
      </c>
      <c r="G537" s="1">
        <v>1.04</v>
      </c>
      <c r="H537" s="1">
        <v>2</v>
      </c>
      <c r="I537" s="1" t="s">
        <v>5313</v>
      </c>
      <c r="J537" s="1" t="s">
        <v>103</v>
      </c>
      <c r="K537" s="1" t="s">
        <v>1689</v>
      </c>
      <c r="L537" s="1">
        <v>13780820398</v>
      </c>
      <c r="M537" s="1" t="s">
        <v>1690</v>
      </c>
      <c r="N537" s="1" t="s">
        <v>1689</v>
      </c>
      <c r="O537" s="1" t="s">
        <v>1690</v>
      </c>
      <c r="P537" s="1">
        <v>13780820398</v>
      </c>
      <c r="Q537" s="1" t="s">
        <v>1691</v>
      </c>
    </row>
    <row r="538" spans="1:17">
      <c r="A538" s="1"/>
      <c r="B538" s="1"/>
      <c r="C538" s="1"/>
      <c r="D538" s="1" t="s">
        <v>5314</v>
      </c>
      <c r="E538" s="1" t="s">
        <v>5209</v>
      </c>
      <c r="F538" s="1"/>
      <c r="G538" s="1"/>
      <c r="H538" s="1"/>
      <c r="J538" s="1"/>
      <c r="K538" s="1"/>
      <c r="L538" s="1"/>
      <c r="M538" s="1"/>
      <c r="N538" s="1"/>
      <c r="O538" s="1"/>
      <c r="P538" s="1"/>
      <c r="Q538" s="1"/>
    </row>
    <row r="539" spans="1:17">
      <c r="A539" s="1"/>
      <c r="B539" s="1" t="s">
        <v>1693</v>
      </c>
      <c r="C539" s="1" t="s">
        <v>1694</v>
      </c>
      <c r="D539" s="1" t="s">
        <v>5042</v>
      </c>
      <c r="E539" s="1" t="s">
        <v>302</v>
      </c>
      <c r="F539" s="1">
        <v>1</v>
      </c>
      <c r="G539" s="1">
        <v>1.26</v>
      </c>
      <c r="H539" s="1">
        <v>1</v>
      </c>
      <c r="I539" s="1" t="s">
        <v>303</v>
      </c>
      <c r="J539" s="1" t="s">
        <v>304</v>
      </c>
      <c r="K539" s="1" t="s">
        <v>1695</v>
      </c>
      <c r="L539" s="1">
        <v>15135116606</v>
      </c>
      <c r="M539" s="1" t="s">
        <v>1696</v>
      </c>
      <c r="N539" s="1" t="s">
        <v>1697</v>
      </c>
      <c r="O539" s="1" t="s">
        <v>1696</v>
      </c>
      <c r="P539" s="1">
        <v>15135116606</v>
      </c>
      <c r="Q539" s="1" t="s">
        <v>1698</v>
      </c>
    </row>
    <row r="540" spans="1:17">
      <c r="A540" s="1"/>
      <c r="B540" s="1" t="s">
        <v>1700</v>
      </c>
      <c r="C540" s="1" t="s">
        <v>1701</v>
      </c>
      <c r="D540" s="1" t="s">
        <v>5315</v>
      </c>
      <c r="E540" s="1" t="s">
        <v>1703</v>
      </c>
      <c r="F540" s="1">
        <v>1</v>
      </c>
      <c r="G540" s="1">
        <v>1.72</v>
      </c>
      <c r="H540" s="1">
        <v>2</v>
      </c>
      <c r="J540" s="1" t="s">
        <v>29</v>
      </c>
      <c r="K540" s="1" t="s">
        <v>1704</v>
      </c>
      <c r="L540" s="1">
        <v>13910983636</v>
      </c>
      <c r="M540" s="1" t="s">
        <v>1705</v>
      </c>
      <c r="N540" s="1" t="s">
        <v>1706</v>
      </c>
      <c r="O540" s="1" t="s">
        <v>1705</v>
      </c>
      <c r="P540" s="1">
        <v>13910983636</v>
      </c>
      <c r="Q540" s="1" t="s">
        <v>1707</v>
      </c>
    </row>
    <row r="541" spans="1:17">
      <c r="A541" s="1"/>
      <c r="B541" s="1" t="s">
        <v>1709</v>
      </c>
      <c r="C541" s="1" t="s">
        <v>1710</v>
      </c>
      <c r="D541" s="1" t="s">
        <v>5307</v>
      </c>
      <c r="E541" s="1" t="s">
        <v>625</v>
      </c>
      <c r="F541" s="1">
        <v>1</v>
      </c>
      <c r="G541" s="1">
        <v>1.26</v>
      </c>
      <c r="H541" s="1">
        <v>14</v>
      </c>
      <c r="J541" s="1" t="s">
        <v>40</v>
      </c>
      <c r="K541" s="1" t="s">
        <v>321</v>
      </c>
      <c r="L541" s="1">
        <v>13701378667</v>
      </c>
      <c r="M541" s="1" t="s">
        <v>322</v>
      </c>
      <c r="N541" s="1" t="s">
        <v>1712</v>
      </c>
      <c r="O541" s="1" t="s">
        <v>1713</v>
      </c>
      <c r="P541" s="1">
        <v>18810306766</v>
      </c>
      <c r="Q541" s="1" t="s">
        <v>1714</v>
      </c>
    </row>
    <row r="542" spans="1:17">
      <c r="A542" s="1"/>
      <c r="B542" s="1"/>
      <c r="C542" s="1"/>
      <c r="D542" s="1" t="s">
        <v>5316</v>
      </c>
      <c r="E542" s="1" t="s">
        <v>625</v>
      </c>
      <c r="F542" s="1"/>
      <c r="G542" s="1"/>
      <c r="H542" s="1"/>
      <c r="J542" s="1"/>
      <c r="K542" s="1"/>
      <c r="L542" s="1"/>
      <c r="M542" s="1"/>
      <c r="N542" s="1"/>
      <c r="O542" s="1"/>
      <c r="P542" s="1"/>
      <c r="Q542" s="1"/>
    </row>
    <row r="543" spans="1:17">
      <c r="A543" s="1"/>
      <c r="B543" s="1"/>
      <c r="C543" s="1"/>
      <c r="D543" s="1" t="s">
        <v>5317</v>
      </c>
      <c r="E543" s="1" t="s">
        <v>625</v>
      </c>
      <c r="F543" s="1"/>
      <c r="G543" s="1"/>
      <c r="H543" s="1"/>
      <c r="J543" s="1"/>
      <c r="K543" s="1"/>
      <c r="L543" s="1"/>
      <c r="M543" s="1"/>
      <c r="N543" s="1"/>
      <c r="O543" s="1"/>
      <c r="P543" s="1"/>
      <c r="Q543" s="1"/>
    </row>
    <row r="544" spans="1:17">
      <c r="A544" s="1"/>
      <c r="B544" s="1"/>
      <c r="C544" s="1"/>
      <c r="D544" s="1" t="s">
        <v>5163</v>
      </c>
      <c r="E544" s="1" t="s">
        <v>625</v>
      </c>
      <c r="F544" s="1"/>
      <c r="G544" s="1"/>
      <c r="H544" s="1"/>
      <c r="J544" s="1"/>
      <c r="K544" s="1"/>
      <c r="L544" s="1"/>
      <c r="M544" s="1"/>
      <c r="N544" s="1"/>
      <c r="O544" s="1"/>
      <c r="P544" s="1"/>
      <c r="Q544" s="1"/>
    </row>
    <row r="545" spans="1:17">
      <c r="A545" s="1"/>
      <c r="B545" s="1" t="s">
        <v>1716</v>
      </c>
      <c r="C545" s="1" t="s">
        <v>1717</v>
      </c>
      <c r="D545" s="1" t="s">
        <v>5318</v>
      </c>
      <c r="E545" s="1" t="s">
        <v>625</v>
      </c>
      <c r="F545" s="1">
        <v>1</v>
      </c>
      <c r="G545" s="1">
        <v>1.04</v>
      </c>
      <c r="H545" s="1">
        <v>13</v>
      </c>
      <c r="J545" s="1" t="s">
        <v>40</v>
      </c>
      <c r="K545" s="1" t="s">
        <v>1719</v>
      </c>
      <c r="L545" s="1">
        <v>13502825633</v>
      </c>
      <c r="M545" s="1" t="s">
        <v>1720</v>
      </c>
      <c r="N545" s="1" t="s">
        <v>1721</v>
      </c>
      <c r="O545" s="1" t="s">
        <v>1720</v>
      </c>
      <c r="P545" s="1">
        <v>13502825633</v>
      </c>
      <c r="Q545" s="1" t="s">
        <v>1722</v>
      </c>
    </row>
    <row r="546" spans="1:17">
      <c r="A546" s="1"/>
      <c r="B546" s="1"/>
      <c r="C546" s="1"/>
      <c r="D546" s="1" t="s">
        <v>5319</v>
      </c>
      <c r="E546" s="1" t="s">
        <v>625</v>
      </c>
      <c r="F546" s="1"/>
      <c r="G546" s="1"/>
      <c r="H546" s="1"/>
      <c r="J546" s="1"/>
      <c r="K546" s="1"/>
      <c r="L546" s="1"/>
      <c r="M546" s="1"/>
      <c r="N546" s="1"/>
      <c r="O546" s="1"/>
      <c r="P546" s="1"/>
      <c r="Q546" s="1"/>
    </row>
    <row r="547" spans="1:17">
      <c r="A547" s="1"/>
      <c r="B547" s="1"/>
      <c r="C547" s="1"/>
      <c r="D547" s="1" t="s">
        <v>5038</v>
      </c>
      <c r="E547" s="1" t="s">
        <v>625</v>
      </c>
      <c r="F547" s="1"/>
      <c r="G547" s="1"/>
      <c r="H547" s="1"/>
      <c r="J547" s="1"/>
      <c r="K547" s="1"/>
      <c r="L547" s="1"/>
      <c r="M547" s="1"/>
      <c r="N547" s="1"/>
      <c r="O547" s="1"/>
      <c r="P547" s="1"/>
      <c r="Q547" s="1"/>
    </row>
    <row r="548" spans="1:17">
      <c r="A548" s="1"/>
      <c r="B548" s="1"/>
      <c r="C548" s="1"/>
      <c r="D548" s="1" t="s">
        <v>5320</v>
      </c>
      <c r="E548" s="1" t="s">
        <v>625</v>
      </c>
      <c r="F548" s="1"/>
      <c r="G548" s="1"/>
      <c r="H548" s="1"/>
      <c r="J548" s="1"/>
      <c r="K548" s="1"/>
      <c r="L548" s="1"/>
      <c r="M548" s="1"/>
      <c r="N548" s="1"/>
      <c r="O548" s="1"/>
      <c r="P548" s="1"/>
      <c r="Q548" s="1"/>
    </row>
    <row r="549" spans="1:17">
      <c r="A549" s="1"/>
      <c r="B549" s="1"/>
      <c r="C549" s="1"/>
      <c r="D549" s="1" t="s">
        <v>5321</v>
      </c>
      <c r="E549" s="1" t="s">
        <v>625</v>
      </c>
      <c r="F549" s="1"/>
      <c r="G549" s="1"/>
      <c r="H549" s="1"/>
      <c r="J549" s="1"/>
      <c r="K549" s="1"/>
      <c r="L549" s="1"/>
      <c r="M549" s="1"/>
      <c r="N549" s="1"/>
      <c r="O549" s="1"/>
      <c r="P549" s="1"/>
      <c r="Q549" s="1"/>
    </row>
    <row r="550" spans="1:17">
      <c r="A550" s="1"/>
      <c r="B550" s="1" t="s">
        <v>1724</v>
      </c>
      <c r="C550" s="1" t="s">
        <v>1725</v>
      </c>
      <c r="D550" s="1" t="s">
        <v>5322</v>
      </c>
      <c r="E550" s="1" t="s">
        <v>3963</v>
      </c>
      <c r="F550" s="1">
        <v>1</v>
      </c>
      <c r="G550" s="1">
        <v>2.85</v>
      </c>
      <c r="H550" s="1">
        <v>12</v>
      </c>
      <c r="I550" s="1" t="s">
        <v>3964</v>
      </c>
      <c r="J550" s="1" t="s">
        <v>40</v>
      </c>
      <c r="K550" s="1" t="s">
        <v>1729</v>
      </c>
      <c r="L550" s="1">
        <v>13556052647</v>
      </c>
      <c r="M550" s="1" t="s">
        <v>1730</v>
      </c>
      <c r="N550" s="1" t="s">
        <v>1731</v>
      </c>
      <c r="O550" s="1" t="s">
        <v>1732</v>
      </c>
      <c r="P550" s="1">
        <v>13178844366</v>
      </c>
      <c r="Q550" s="1" t="s">
        <v>1733</v>
      </c>
    </row>
    <row r="551" spans="1:17">
      <c r="A551" s="1"/>
      <c r="B551" s="1"/>
      <c r="C551" s="1"/>
      <c r="D551" s="1" t="s">
        <v>5127</v>
      </c>
      <c r="E551" s="1" t="s">
        <v>3963</v>
      </c>
      <c r="F551" s="1"/>
      <c r="G551" s="1"/>
      <c r="H551" s="1"/>
      <c r="I551" s="1" t="s">
        <v>5323</v>
      </c>
      <c r="J551" s="1"/>
      <c r="K551" s="1"/>
      <c r="L551" s="1"/>
      <c r="M551" s="1"/>
      <c r="N551" s="1"/>
      <c r="O551" s="1"/>
      <c r="P551" s="1"/>
      <c r="Q551" s="1"/>
    </row>
    <row r="552" spans="1:17">
      <c r="A552" s="1"/>
      <c r="B552" s="1" t="s">
        <v>1735</v>
      </c>
      <c r="C552" s="1" t="s">
        <v>1736</v>
      </c>
      <c r="D552" s="1" t="s">
        <v>5324</v>
      </c>
      <c r="E552" s="1" t="s">
        <v>625</v>
      </c>
      <c r="F552" s="1">
        <v>1</v>
      </c>
      <c r="G552" s="1">
        <v>1.49</v>
      </c>
      <c r="H552" s="1">
        <v>3</v>
      </c>
      <c r="J552" s="1" t="s">
        <v>40</v>
      </c>
      <c r="K552" s="1" t="s">
        <v>392</v>
      </c>
      <c r="L552" s="1">
        <v>18918016978</v>
      </c>
      <c r="M552" s="1" t="s">
        <v>393</v>
      </c>
      <c r="N552" s="1" t="s">
        <v>1738</v>
      </c>
      <c r="O552" s="1" t="s">
        <v>1739</v>
      </c>
      <c r="P552" s="1">
        <v>18901896625</v>
      </c>
      <c r="Q552" s="1" t="s">
        <v>1740</v>
      </c>
    </row>
    <row r="553" spans="1:17">
      <c r="A553" s="1"/>
      <c r="B553" s="1" t="s">
        <v>1742</v>
      </c>
      <c r="C553" s="1" t="s">
        <v>1743</v>
      </c>
      <c r="D553" s="1" t="s">
        <v>5325</v>
      </c>
      <c r="E553" s="1" t="s">
        <v>420</v>
      </c>
      <c r="F553" s="1">
        <v>1</v>
      </c>
      <c r="G553" s="1">
        <v>1.72</v>
      </c>
      <c r="H553" s="1">
        <v>11</v>
      </c>
      <c r="J553" s="1" t="s">
        <v>29</v>
      </c>
      <c r="K553" s="1" t="s">
        <v>1745</v>
      </c>
      <c r="L553" s="1">
        <v>13953750669</v>
      </c>
      <c r="M553" s="1" t="s">
        <v>1746</v>
      </c>
      <c r="N553" s="1" t="s">
        <v>1747</v>
      </c>
      <c r="O553" s="1" t="s">
        <v>1748</v>
      </c>
      <c r="P553" s="1">
        <v>13253631201</v>
      </c>
      <c r="Q553" s="1" t="s">
        <v>1749</v>
      </c>
    </row>
    <row r="554" spans="1:17">
      <c r="A554" s="1"/>
      <c r="B554" s="1"/>
      <c r="C554" s="1"/>
      <c r="D554" s="1" t="s">
        <v>4996</v>
      </c>
      <c r="E554" s="1" t="s">
        <v>420</v>
      </c>
      <c r="F554" s="1"/>
      <c r="G554" s="1"/>
      <c r="H554" s="1"/>
      <c r="J554" s="1"/>
      <c r="K554" s="1"/>
      <c r="L554" s="1"/>
      <c r="M554" s="1"/>
      <c r="N554" s="1"/>
      <c r="O554" s="1"/>
      <c r="P554" s="1"/>
      <c r="Q554" s="1"/>
    </row>
    <row r="555" spans="1:17">
      <c r="A555" s="1"/>
      <c r="B555" s="1"/>
      <c r="C555" s="1"/>
      <c r="D555" s="1" t="s">
        <v>5001</v>
      </c>
      <c r="E555" s="1" t="s">
        <v>420</v>
      </c>
      <c r="F555" s="1"/>
      <c r="G555" s="1"/>
      <c r="H555" s="1"/>
      <c r="J555" s="1"/>
      <c r="K555" s="1"/>
      <c r="L555" s="1"/>
      <c r="M555" s="1"/>
      <c r="N555" s="1"/>
      <c r="O555" s="1"/>
      <c r="P555" s="1"/>
      <c r="Q555" s="1"/>
    </row>
    <row r="556" spans="1:17">
      <c r="A556" s="1"/>
      <c r="B556" s="1"/>
      <c r="C556" s="1"/>
      <c r="D556" s="1" t="s">
        <v>5326</v>
      </c>
      <c r="E556" s="1" t="s">
        <v>420</v>
      </c>
      <c r="F556" s="1"/>
      <c r="G556" s="1"/>
      <c r="H556" s="1"/>
      <c r="J556" s="1"/>
      <c r="K556" s="1"/>
      <c r="L556" s="1"/>
      <c r="M556" s="1"/>
      <c r="N556" s="1"/>
      <c r="O556" s="1"/>
      <c r="P556" s="1"/>
      <c r="Q556" s="1"/>
    </row>
    <row r="557" spans="1:17">
      <c r="A557" s="1"/>
      <c r="B557" s="1"/>
      <c r="C557" s="1"/>
      <c r="D557" s="1" t="s">
        <v>5224</v>
      </c>
      <c r="E557" s="1" t="s">
        <v>420</v>
      </c>
      <c r="F557" s="1"/>
      <c r="G557" s="1"/>
      <c r="H557" s="1"/>
      <c r="J557" s="1"/>
      <c r="K557" s="1"/>
      <c r="L557" s="1"/>
      <c r="M557" s="1"/>
      <c r="N557" s="1"/>
      <c r="O557" s="1"/>
      <c r="P557" s="1"/>
      <c r="Q557" s="1"/>
    </row>
    <row r="558" spans="1:17">
      <c r="A558" s="1"/>
      <c r="B558" s="1"/>
      <c r="C558" s="1"/>
      <c r="D558" s="1" t="s">
        <v>5076</v>
      </c>
      <c r="E558" s="1" t="s">
        <v>420</v>
      </c>
      <c r="F558" s="1"/>
      <c r="G558" s="1"/>
      <c r="H558" s="1"/>
      <c r="J558" s="1"/>
      <c r="K558" s="1"/>
      <c r="L558" s="1"/>
      <c r="M558" s="1"/>
      <c r="N558" s="1"/>
      <c r="O558" s="1"/>
      <c r="P558" s="1"/>
      <c r="Q558" s="1"/>
    </row>
    <row r="559" spans="1:17">
      <c r="A559" s="1"/>
      <c r="B559" s="1" t="s">
        <v>1751</v>
      </c>
      <c r="C559" s="1" t="s">
        <v>1752</v>
      </c>
      <c r="D559" s="1" t="s">
        <v>5014</v>
      </c>
      <c r="E559" s="1" t="s">
        <v>625</v>
      </c>
      <c r="F559" s="1">
        <v>1</v>
      </c>
      <c r="G559" s="1">
        <v>1.26</v>
      </c>
      <c r="H559" s="1">
        <v>10</v>
      </c>
      <c r="J559" s="1" t="s">
        <v>40</v>
      </c>
      <c r="K559" s="1" t="s">
        <v>1754</v>
      </c>
      <c r="L559" s="1">
        <v>13003387219</v>
      </c>
      <c r="M559" s="1" t="s">
        <v>1755</v>
      </c>
      <c r="N559" s="1" t="s">
        <v>1756</v>
      </c>
      <c r="O559" s="1" t="s">
        <v>1757</v>
      </c>
      <c r="P559" s="1">
        <v>13861880727</v>
      </c>
      <c r="Q559" s="1" t="s">
        <v>1758</v>
      </c>
    </row>
    <row r="560" spans="1:17">
      <c r="A560" s="1"/>
      <c r="B560" s="1"/>
      <c r="C560" s="1"/>
      <c r="D560" s="1" t="s">
        <v>5327</v>
      </c>
      <c r="E560" s="1" t="s">
        <v>625</v>
      </c>
      <c r="F560" s="1"/>
      <c r="G560" s="1"/>
      <c r="H560" s="1"/>
      <c r="J560" s="1"/>
      <c r="K560" s="1"/>
      <c r="L560" s="1"/>
      <c r="M560" s="1"/>
      <c r="N560" s="1"/>
      <c r="O560" s="1"/>
      <c r="P560" s="1"/>
      <c r="Q560" s="1"/>
    </row>
    <row r="561" spans="1:17">
      <c r="A561" s="1"/>
      <c r="B561" s="1" t="s">
        <v>1760</v>
      </c>
      <c r="C561" s="1" t="s">
        <v>1761</v>
      </c>
      <c r="D561" s="1" t="s">
        <v>5328</v>
      </c>
      <c r="E561" s="1" t="s">
        <v>449</v>
      </c>
      <c r="F561" s="1">
        <v>1</v>
      </c>
      <c r="G561" s="1">
        <v>2.17</v>
      </c>
      <c r="H561" s="1">
        <v>10</v>
      </c>
      <c r="I561" s="1" t="s">
        <v>4972</v>
      </c>
      <c r="J561" s="1" t="s">
        <v>29</v>
      </c>
      <c r="K561" s="1" t="s">
        <v>1765</v>
      </c>
      <c r="L561" s="1">
        <v>15343486392</v>
      </c>
      <c r="M561" s="1" t="s">
        <v>1766</v>
      </c>
      <c r="N561" s="1" t="s">
        <v>1767</v>
      </c>
      <c r="O561" s="1" t="s">
        <v>1766</v>
      </c>
      <c r="P561" s="1">
        <v>15343486392</v>
      </c>
      <c r="Q561" s="1" t="s">
        <v>1768</v>
      </c>
    </row>
    <row r="562" spans="1:17">
      <c r="A562" s="1"/>
      <c r="B562" s="1"/>
      <c r="C562" s="1"/>
      <c r="D562" s="1" t="s">
        <v>4952</v>
      </c>
      <c r="E562" s="1" t="s">
        <v>449</v>
      </c>
      <c r="F562" s="1"/>
      <c r="G562" s="1"/>
      <c r="H562" s="1"/>
      <c r="I562" s="1" t="s">
        <v>4968</v>
      </c>
      <c r="J562" s="1"/>
      <c r="K562" s="1"/>
      <c r="L562" s="1"/>
      <c r="M562" s="1"/>
      <c r="N562" s="1"/>
      <c r="O562" s="1"/>
      <c r="P562" s="1"/>
      <c r="Q562" s="1"/>
    </row>
    <row r="563" spans="1:17">
      <c r="A563" s="1"/>
      <c r="B563" s="1"/>
      <c r="C563" s="1"/>
      <c r="D563" s="1" t="s">
        <v>5085</v>
      </c>
      <c r="E563" s="1" t="s">
        <v>449</v>
      </c>
      <c r="F563" s="1"/>
      <c r="G563" s="1"/>
      <c r="H563" s="1"/>
      <c r="I563" s="1" t="s">
        <v>5135</v>
      </c>
      <c r="J563" s="1"/>
      <c r="K563" s="1"/>
      <c r="L563" s="1"/>
      <c r="M563" s="1"/>
      <c r="N563" s="1"/>
      <c r="O563" s="1"/>
      <c r="P563" s="1"/>
      <c r="Q563" s="1"/>
    </row>
    <row r="564" spans="1:17">
      <c r="A564" s="1"/>
      <c r="B564" s="1"/>
      <c r="C564" s="1"/>
      <c r="D564" s="1" t="s">
        <v>5183</v>
      </c>
      <c r="E564" s="1" t="s">
        <v>449</v>
      </c>
      <c r="F564" s="1"/>
      <c r="G564" s="1"/>
      <c r="H564" s="1"/>
      <c r="I564" s="1" t="s">
        <v>5135</v>
      </c>
      <c r="J564" s="1"/>
      <c r="K564" s="1"/>
      <c r="L564" s="1"/>
      <c r="M564" s="1"/>
      <c r="N564" s="1"/>
      <c r="O564" s="1"/>
      <c r="P564" s="1"/>
      <c r="Q564" s="1"/>
    </row>
    <row r="565" spans="1:17">
      <c r="A565" s="1"/>
      <c r="B565" s="1"/>
      <c r="C565" s="1"/>
      <c r="D565" s="1" t="s">
        <v>5329</v>
      </c>
      <c r="E565" s="1" t="s">
        <v>449</v>
      </c>
      <c r="F565" s="1"/>
      <c r="G565" s="1"/>
      <c r="H565" s="1"/>
      <c r="J565" s="1"/>
      <c r="K565" s="1"/>
      <c r="L565" s="1"/>
      <c r="M565" s="1"/>
      <c r="N565" s="1"/>
      <c r="O565" s="1"/>
      <c r="P565" s="1"/>
      <c r="Q565" s="1"/>
    </row>
    <row r="566" spans="1:17">
      <c r="A566" s="1"/>
      <c r="B566" s="1"/>
      <c r="C566" s="1"/>
      <c r="D566" s="1" t="s">
        <v>5204</v>
      </c>
      <c r="E566" s="1" t="s">
        <v>449</v>
      </c>
      <c r="F566" s="1"/>
      <c r="G566" s="1"/>
      <c r="H566" s="1"/>
      <c r="J566" s="1"/>
      <c r="K566" s="1"/>
      <c r="L566" s="1"/>
      <c r="M566" s="1"/>
      <c r="N566" s="1"/>
      <c r="O566" s="1"/>
      <c r="P566" s="1"/>
      <c r="Q566" s="1"/>
    </row>
    <row r="567" spans="1:17">
      <c r="A567" s="1"/>
      <c r="B567" s="1" t="s">
        <v>1770</v>
      </c>
      <c r="C567" s="1" t="s">
        <v>1771</v>
      </c>
      <c r="D567" s="1" t="s">
        <v>5330</v>
      </c>
      <c r="E567" s="1" t="s">
        <v>420</v>
      </c>
      <c r="F567" s="1">
        <v>1</v>
      </c>
      <c r="G567" s="1">
        <v>1.49</v>
      </c>
      <c r="H567" s="1">
        <v>11</v>
      </c>
      <c r="J567" s="1" t="s">
        <v>29</v>
      </c>
      <c r="K567" s="1" t="s">
        <v>1773</v>
      </c>
      <c r="L567" s="1">
        <v>13916274801</v>
      </c>
      <c r="M567" s="1" t="s">
        <v>1774</v>
      </c>
      <c r="N567" s="1" t="s">
        <v>1775</v>
      </c>
      <c r="O567" s="1" t="s">
        <v>1776</v>
      </c>
      <c r="P567" s="1">
        <v>13801747185</v>
      </c>
      <c r="Q567" s="1" t="s">
        <v>1777</v>
      </c>
    </row>
    <row r="568" spans="1:17">
      <c r="A568" s="1"/>
      <c r="B568" s="1"/>
      <c r="C568" s="1"/>
      <c r="D568" s="1" t="s">
        <v>5331</v>
      </c>
      <c r="E568" s="1" t="s">
        <v>420</v>
      </c>
      <c r="F568" s="1"/>
      <c r="G568" s="1"/>
      <c r="H568" s="1"/>
      <c r="J568" s="1"/>
      <c r="K568" s="1"/>
      <c r="L568" s="1"/>
      <c r="M568" s="1"/>
      <c r="N568" s="1"/>
      <c r="O568" s="1"/>
      <c r="P568" s="1"/>
      <c r="Q568" s="1"/>
    </row>
    <row r="569" spans="1:17">
      <c r="A569" s="1"/>
      <c r="B569" s="1"/>
      <c r="C569" s="1"/>
      <c r="D569" s="1" t="s">
        <v>5332</v>
      </c>
      <c r="E569" s="1" t="s">
        <v>420</v>
      </c>
      <c r="F569" s="1"/>
      <c r="G569" s="1"/>
      <c r="H569" s="1"/>
      <c r="J569" s="1"/>
      <c r="K569" s="1"/>
      <c r="L569" s="1"/>
      <c r="M569" s="1"/>
      <c r="N569" s="1"/>
      <c r="O569" s="1"/>
      <c r="P569" s="1"/>
      <c r="Q569" s="1"/>
    </row>
    <row r="570" spans="1:17">
      <c r="A570" s="1"/>
      <c r="B570" s="1"/>
      <c r="C570" s="1"/>
      <c r="D570" s="1" t="s">
        <v>5333</v>
      </c>
      <c r="E570" s="1" t="s">
        <v>420</v>
      </c>
      <c r="F570" s="1"/>
      <c r="G570" s="1"/>
      <c r="H570" s="1"/>
      <c r="J570" s="1"/>
      <c r="K570" s="1"/>
      <c r="L570" s="1"/>
      <c r="M570" s="1"/>
      <c r="N570" s="1"/>
      <c r="O570" s="1"/>
      <c r="P570" s="1"/>
      <c r="Q570" s="1"/>
    </row>
    <row r="571" spans="1:17">
      <c r="A571" s="1"/>
      <c r="B571" s="1" t="s">
        <v>1779</v>
      </c>
      <c r="C571" s="1" t="s">
        <v>1780</v>
      </c>
      <c r="D571" s="1" t="s">
        <v>5317</v>
      </c>
      <c r="E571" s="1" t="s">
        <v>625</v>
      </c>
      <c r="F571" s="1">
        <v>1</v>
      </c>
      <c r="G571" s="1">
        <v>1.04</v>
      </c>
      <c r="H571" s="1">
        <v>12</v>
      </c>
      <c r="I571" s="1" t="s">
        <v>4987</v>
      </c>
      <c r="J571" s="1" t="s">
        <v>40</v>
      </c>
      <c r="K571" s="1" t="s">
        <v>1783</v>
      </c>
      <c r="L571" s="1">
        <v>15912146261</v>
      </c>
      <c r="M571" s="1" t="s">
        <v>1784</v>
      </c>
      <c r="N571" s="1" t="s">
        <v>1785</v>
      </c>
      <c r="O571" s="1" t="s">
        <v>1784</v>
      </c>
      <c r="P571" s="1">
        <v>15912146261</v>
      </c>
      <c r="Q571" s="1" t="s">
        <v>1786</v>
      </c>
    </row>
    <row r="572" spans="1:17">
      <c r="A572" s="1"/>
      <c r="B572" s="1"/>
      <c r="C572" s="1"/>
      <c r="D572" s="1" t="s">
        <v>5163</v>
      </c>
      <c r="E572" s="1" t="s">
        <v>625</v>
      </c>
      <c r="F572" s="1"/>
      <c r="G572" s="1"/>
      <c r="H572" s="1"/>
      <c r="I572" s="1" t="s">
        <v>5050</v>
      </c>
      <c r="J572" s="1"/>
      <c r="K572" s="1"/>
      <c r="L572" s="1"/>
      <c r="M572" s="1"/>
      <c r="N572" s="1"/>
      <c r="O572" s="1"/>
      <c r="P572" s="1"/>
      <c r="Q572" s="1"/>
    </row>
    <row r="573" spans="1:17">
      <c r="A573" s="1"/>
      <c r="B573" s="1"/>
      <c r="C573" s="1"/>
      <c r="D573" s="1" t="s">
        <v>5334</v>
      </c>
      <c r="E573" s="1" t="s">
        <v>625</v>
      </c>
      <c r="F573" s="1"/>
      <c r="G573" s="1"/>
      <c r="H573" s="1"/>
      <c r="I573" s="1" t="s">
        <v>4987</v>
      </c>
      <c r="J573" s="1"/>
      <c r="K573" s="1"/>
      <c r="L573" s="1"/>
      <c r="M573" s="1"/>
      <c r="N573" s="1"/>
      <c r="O573" s="1"/>
      <c r="P573" s="1"/>
      <c r="Q573" s="1"/>
    </row>
    <row r="574" spans="1:17">
      <c r="A574" s="1"/>
      <c r="B574" s="1"/>
      <c r="C574" s="1"/>
      <c r="D574" s="1" t="s">
        <v>5016</v>
      </c>
      <c r="E574" s="1" t="s">
        <v>625</v>
      </c>
      <c r="F574" s="1"/>
      <c r="G574" s="1"/>
      <c r="H574" s="1"/>
      <c r="I574" s="1" t="s">
        <v>4985</v>
      </c>
      <c r="J574" s="1"/>
      <c r="K574" s="1"/>
      <c r="L574" s="1"/>
      <c r="M574" s="1"/>
      <c r="N574" s="1"/>
      <c r="O574" s="1"/>
      <c r="P574" s="1"/>
      <c r="Q574" s="1"/>
    </row>
    <row r="575" spans="1:17">
      <c r="A575" s="1"/>
      <c r="B575" s="1" t="s">
        <v>1788</v>
      </c>
      <c r="C575" s="1" t="s">
        <v>1789</v>
      </c>
      <c r="D575" s="1" t="s">
        <v>5024</v>
      </c>
      <c r="E575" s="1" t="s">
        <v>625</v>
      </c>
      <c r="F575" s="1">
        <v>1</v>
      </c>
      <c r="G575" s="1">
        <v>1.04</v>
      </c>
      <c r="H575" s="1">
        <v>12</v>
      </c>
      <c r="I575" s="1" t="s">
        <v>4985</v>
      </c>
      <c r="J575" s="1" t="s">
        <v>40</v>
      </c>
      <c r="K575" s="1" t="s">
        <v>440</v>
      </c>
      <c r="L575" s="1">
        <v>15912146261</v>
      </c>
      <c r="M575" s="1" t="s">
        <v>441</v>
      </c>
      <c r="N575" s="1" t="s">
        <v>440</v>
      </c>
      <c r="O575" s="1" t="s">
        <v>1792</v>
      </c>
      <c r="P575" s="1">
        <v>18508176957</v>
      </c>
      <c r="Q575" s="1" t="s">
        <v>1793</v>
      </c>
    </row>
    <row r="576" spans="1:17">
      <c r="A576" s="1"/>
      <c r="B576" s="1"/>
      <c r="C576" s="1"/>
      <c r="D576" s="1" t="s">
        <v>5163</v>
      </c>
      <c r="E576" s="1" t="s">
        <v>625</v>
      </c>
      <c r="F576" s="1"/>
      <c r="G576" s="1"/>
      <c r="H576" s="1"/>
      <c r="I576" s="1" t="s">
        <v>5050</v>
      </c>
      <c r="J576" s="1"/>
      <c r="K576" s="1"/>
      <c r="L576" s="1"/>
      <c r="M576" s="1"/>
      <c r="N576" s="1"/>
      <c r="O576" s="1"/>
      <c r="P576" s="1"/>
      <c r="Q576" s="1"/>
    </row>
    <row r="577" spans="1:17">
      <c r="A577" s="1"/>
      <c r="B577" s="1"/>
      <c r="C577" s="1"/>
      <c r="D577" s="1" t="s">
        <v>5335</v>
      </c>
      <c r="E577" s="1" t="s">
        <v>625</v>
      </c>
      <c r="F577" s="1"/>
      <c r="G577" s="1"/>
      <c r="H577" s="1"/>
      <c r="I577" s="1" t="s">
        <v>4987</v>
      </c>
      <c r="J577" s="1"/>
      <c r="K577" s="1"/>
      <c r="L577" s="1"/>
      <c r="M577" s="1"/>
      <c r="N577" s="1"/>
      <c r="O577" s="1"/>
      <c r="P577" s="1"/>
      <c r="Q577" s="1"/>
    </row>
    <row r="578" spans="1:17">
      <c r="A578" s="1"/>
      <c r="B578" s="1"/>
      <c r="C578" s="1"/>
      <c r="D578" s="1" t="s">
        <v>5103</v>
      </c>
      <c r="E578" s="1" t="s">
        <v>625</v>
      </c>
      <c r="F578" s="1"/>
      <c r="G578" s="1"/>
      <c r="H578" s="1"/>
      <c r="I578" s="1" t="s">
        <v>4987</v>
      </c>
      <c r="J578" s="1"/>
      <c r="K578" s="1"/>
      <c r="L578" s="1"/>
      <c r="M578" s="1"/>
      <c r="N578" s="1"/>
      <c r="O578" s="1"/>
      <c r="P578" s="1"/>
      <c r="Q578" s="1"/>
    </row>
    <row r="579" spans="1:17">
      <c r="A579" s="1"/>
      <c r="B579" s="1" t="s">
        <v>1795</v>
      </c>
      <c r="C579" s="1" t="s">
        <v>1796</v>
      </c>
      <c r="D579" s="1" t="s">
        <v>5336</v>
      </c>
      <c r="E579" s="1" t="s">
        <v>2413</v>
      </c>
      <c r="F579" s="1">
        <v>1</v>
      </c>
      <c r="G579" s="1">
        <v>0.81</v>
      </c>
      <c r="H579" s="1">
        <v>9</v>
      </c>
      <c r="I579" s="1" t="s">
        <v>1634</v>
      </c>
      <c r="J579" s="1" t="s">
        <v>29</v>
      </c>
      <c r="K579" s="1" t="s">
        <v>1800</v>
      </c>
      <c r="L579" s="1">
        <v>15087466668</v>
      </c>
      <c r="M579" s="1" t="s">
        <v>1801</v>
      </c>
      <c r="N579" s="1" t="s">
        <v>1802</v>
      </c>
      <c r="O579" s="1" t="s">
        <v>1801</v>
      </c>
      <c r="P579" s="1">
        <v>15087466668</v>
      </c>
      <c r="Q579" s="1" t="s">
        <v>1803</v>
      </c>
    </row>
    <row r="580" spans="1:17">
      <c r="A580" s="1"/>
      <c r="B580" s="1"/>
      <c r="C580" s="1"/>
      <c r="D580" s="1" t="s">
        <v>5085</v>
      </c>
      <c r="E580" s="1" t="s">
        <v>2413</v>
      </c>
      <c r="F580" s="1"/>
      <c r="G580" s="1"/>
      <c r="H580" s="1"/>
      <c r="I580" s="1" t="s">
        <v>4968</v>
      </c>
      <c r="J580" s="1"/>
      <c r="K580" s="1"/>
      <c r="L580" s="1"/>
      <c r="M580" s="1"/>
      <c r="N580" s="1"/>
      <c r="O580" s="1"/>
      <c r="P580" s="1"/>
      <c r="Q580" s="1"/>
    </row>
    <row r="581" spans="1:17">
      <c r="A581" s="1"/>
      <c r="B581" s="1"/>
      <c r="C581" s="1"/>
      <c r="D581" s="1" t="s">
        <v>5329</v>
      </c>
      <c r="E581" s="1" t="s">
        <v>2413</v>
      </c>
      <c r="F581" s="1"/>
      <c r="G581" s="1"/>
      <c r="H581" s="1"/>
      <c r="J581" s="1"/>
      <c r="K581" s="1"/>
      <c r="L581" s="1"/>
      <c r="M581" s="1"/>
      <c r="N581" s="1"/>
      <c r="O581" s="1"/>
      <c r="P581" s="1"/>
      <c r="Q581" s="1"/>
    </row>
    <row r="582" spans="1:17">
      <c r="A582" s="1"/>
      <c r="B582" s="1"/>
      <c r="C582" s="1"/>
      <c r="D582" s="1" t="s">
        <v>5085</v>
      </c>
      <c r="E582" s="1" t="s">
        <v>2413</v>
      </c>
      <c r="F582" s="1"/>
      <c r="G582" s="1"/>
      <c r="H582" s="1"/>
      <c r="J582" s="1"/>
      <c r="K582" s="1"/>
      <c r="L582" s="1"/>
      <c r="M582" s="1"/>
      <c r="N582" s="1"/>
      <c r="O582" s="1"/>
      <c r="P582" s="1"/>
      <c r="Q582" s="1"/>
    </row>
    <row r="583" spans="1:17">
      <c r="A583" s="1"/>
      <c r="B583" s="1"/>
      <c r="C583" s="1"/>
      <c r="D583" s="1" t="s">
        <v>5183</v>
      </c>
      <c r="E583" s="1" t="s">
        <v>2413</v>
      </c>
      <c r="F583" s="1"/>
      <c r="G583" s="1"/>
      <c r="H583" s="1"/>
      <c r="J583" s="1"/>
      <c r="K583" s="1"/>
      <c r="L583" s="1"/>
      <c r="M583" s="1"/>
      <c r="N583" s="1"/>
      <c r="O583" s="1"/>
      <c r="P583" s="1"/>
      <c r="Q583" s="1"/>
    </row>
    <row r="584" spans="1:17">
      <c r="A584" s="1"/>
      <c r="B584" s="1"/>
      <c r="C584" s="1"/>
      <c r="D584" s="1" t="s">
        <v>5204</v>
      </c>
      <c r="E584" s="1" t="s">
        <v>2413</v>
      </c>
      <c r="F584" s="1"/>
      <c r="G584" s="1"/>
      <c r="H584" s="1"/>
      <c r="J584" s="1"/>
      <c r="K584" s="1"/>
      <c r="L584" s="1"/>
      <c r="M584" s="1"/>
      <c r="N584" s="1"/>
      <c r="O584" s="1"/>
      <c r="P584" s="1"/>
      <c r="Q584" s="1"/>
    </row>
    <row r="585" spans="1:17">
      <c r="A585" s="1"/>
      <c r="B585" s="1" t="s">
        <v>1805</v>
      </c>
      <c r="C585" s="1" t="s">
        <v>1806</v>
      </c>
      <c r="D585" s="1" t="s">
        <v>5337</v>
      </c>
      <c r="E585" s="1" t="s">
        <v>5176</v>
      </c>
      <c r="F585" s="1">
        <v>1</v>
      </c>
      <c r="G585" s="1">
        <v>1.95</v>
      </c>
      <c r="H585" s="1">
        <v>7</v>
      </c>
      <c r="J585" s="1" t="s">
        <v>29</v>
      </c>
      <c r="K585" s="1" t="s">
        <v>1809</v>
      </c>
      <c r="L585" s="1">
        <v>15181342800</v>
      </c>
      <c r="M585" s="1" t="s">
        <v>1810</v>
      </c>
      <c r="N585" s="1" t="s">
        <v>1809</v>
      </c>
      <c r="O585" s="1" t="s">
        <v>1810</v>
      </c>
      <c r="P585" s="1">
        <v>15181342800</v>
      </c>
      <c r="Q585" s="1" t="s">
        <v>1811</v>
      </c>
    </row>
    <row r="586" spans="1:17">
      <c r="A586" s="1"/>
      <c r="B586" s="1"/>
      <c r="C586" s="1"/>
      <c r="D586" s="1" t="s">
        <v>5338</v>
      </c>
      <c r="E586" s="1" t="s">
        <v>5077</v>
      </c>
      <c r="F586" s="1"/>
      <c r="G586" s="1"/>
      <c r="H586" s="1"/>
      <c r="J586" s="1"/>
      <c r="K586" s="1"/>
      <c r="L586" s="1"/>
      <c r="M586" s="1"/>
      <c r="N586" s="1"/>
      <c r="O586" s="1"/>
      <c r="P586" s="1"/>
      <c r="Q586" s="1"/>
    </row>
    <row r="587" spans="1:17">
      <c r="A587" s="1"/>
      <c r="B587" s="1"/>
      <c r="C587" s="1"/>
      <c r="D587" s="1" t="s">
        <v>5078</v>
      </c>
      <c r="E587" s="1" t="s">
        <v>2413</v>
      </c>
      <c r="F587" s="1"/>
      <c r="G587" s="1"/>
      <c r="H587" s="1"/>
      <c r="J587" s="1"/>
      <c r="K587" s="1"/>
      <c r="L587" s="1"/>
      <c r="M587" s="1"/>
      <c r="N587" s="1"/>
      <c r="O587" s="1"/>
      <c r="P587" s="1"/>
      <c r="Q587" s="1"/>
    </row>
    <row r="588" spans="1:17">
      <c r="A588" s="1"/>
      <c r="B588" s="1"/>
      <c r="C588" s="1"/>
      <c r="D588" s="1" t="s">
        <v>5339</v>
      </c>
      <c r="E588" s="1" t="s">
        <v>5340</v>
      </c>
      <c r="F588" s="1"/>
      <c r="G588" s="1"/>
      <c r="H588" s="1"/>
      <c r="J588" s="1"/>
      <c r="K588" s="1"/>
      <c r="L588" s="1"/>
      <c r="M588" s="1"/>
      <c r="N588" s="1"/>
      <c r="O588" s="1"/>
      <c r="P588" s="1"/>
      <c r="Q588" s="1"/>
    </row>
    <row r="589" spans="1:17">
      <c r="A589" s="1"/>
      <c r="B589" s="1"/>
      <c r="C589" s="1"/>
      <c r="D589" s="1" t="s">
        <v>5095</v>
      </c>
      <c r="E589" s="1" t="s">
        <v>5340</v>
      </c>
      <c r="F589" s="1"/>
      <c r="G589" s="1"/>
      <c r="H589" s="1"/>
      <c r="J589" s="1"/>
      <c r="K589" s="1"/>
      <c r="L589" s="1"/>
      <c r="M589" s="1"/>
      <c r="N589" s="1"/>
      <c r="O589" s="1"/>
      <c r="P589" s="1"/>
      <c r="Q589" s="1"/>
    </row>
    <row r="590" spans="1:17">
      <c r="A590" s="1"/>
      <c r="B590" s="1" t="s">
        <v>1813</v>
      </c>
      <c r="C590" s="1" t="s">
        <v>1814</v>
      </c>
      <c r="D590" s="1" t="s">
        <v>5041</v>
      </c>
      <c r="E590" s="1" t="s">
        <v>292</v>
      </c>
      <c r="F590" s="1">
        <v>1</v>
      </c>
      <c r="G590" s="1">
        <v>0.81</v>
      </c>
      <c r="H590" s="1">
        <v>1</v>
      </c>
      <c r="J590" s="1" t="s">
        <v>293</v>
      </c>
      <c r="K590" s="1" t="s">
        <v>1815</v>
      </c>
      <c r="L590" s="1">
        <v>18989912818</v>
      </c>
      <c r="M590" s="1" t="s">
        <v>1816</v>
      </c>
      <c r="N590" s="1" t="s">
        <v>1817</v>
      </c>
      <c r="O590" s="1" t="s">
        <v>1818</v>
      </c>
      <c r="P590" s="1">
        <v>13889001877</v>
      </c>
      <c r="Q590" s="1" t="s">
        <v>1819</v>
      </c>
    </row>
    <row r="591" spans="1:17">
      <c r="A591" s="1"/>
      <c r="B591" s="1" t="s">
        <v>1821</v>
      </c>
      <c r="C591" s="1" t="s">
        <v>1822</v>
      </c>
      <c r="D591" s="1" t="s">
        <v>5091</v>
      </c>
      <c r="E591" s="1" t="s">
        <v>2920</v>
      </c>
      <c r="F591" s="1">
        <v>1</v>
      </c>
      <c r="G591" s="1">
        <v>0.81</v>
      </c>
      <c r="H591" s="1">
        <v>2</v>
      </c>
      <c r="J591" s="1" t="s">
        <v>103</v>
      </c>
      <c r="K591" s="1" t="s">
        <v>1824</v>
      </c>
      <c r="L591" s="1">
        <v>13980358699</v>
      </c>
      <c r="M591" s="1" t="s">
        <v>1825</v>
      </c>
      <c r="N591" s="1" t="s">
        <v>1824</v>
      </c>
      <c r="O591" s="1" t="s">
        <v>1825</v>
      </c>
      <c r="P591" s="1">
        <v>13980358699</v>
      </c>
      <c r="Q591" s="1" t="s">
        <v>1826</v>
      </c>
    </row>
    <row r="592" spans="1:17">
      <c r="A592" s="1"/>
      <c r="B592" s="1"/>
      <c r="C592" s="1"/>
      <c r="D592" s="1" t="s">
        <v>5341</v>
      </c>
      <c r="E592" s="1" t="s">
        <v>2920</v>
      </c>
      <c r="F592" s="1"/>
      <c r="G592" s="1"/>
      <c r="H592" s="1"/>
      <c r="J592" s="1"/>
      <c r="K592" s="1"/>
      <c r="L592" s="1"/>
      <c r="M592" s="1"/>
      <c r="N592" s="1"/>
      <c r="O592" s="1"/>
      <c r="P592" s="1"/>
      <c r="Q592" s="1"/>
    </row>
    <row r="593" spans="1:17">
      <c r="A593" s="1"/>
      <c r="B593" s="1" t="s">
        <v>1828</v>
      </c>
      <c r="C593" s="1" t="s">
        <v>1829</v>
      </c>
      <c r="D593" s="1" t="s">
        <v>5342</v>
      </c>
      <c r="E593" s="1" t="s">
        <v>2920</v>
      </c>
      <c r="F593" s="1">
        <v>1</v>
      </c>
      <c r="G593" s="1">
        <v>1.26</v>
      </c>
      <c r="H593" s="1">
        <v>6</v>
      </c>
      <c r="J593" s="1" t="s">
        <v>103</v>
      </c>
      <c r="K593" s="1" t="s">
        <v>1832</v>
      </c>
      <c r="L593" s="1">
        <v>13908351863</v>
      </c>
      <c r="M593" s="1" t="s">
        <v>1833</v>
      </c>
      <c r="N593" s="1" t="s">
        <v>1834</v>
      </c>
      <c r="O593" s="1" t="s">
        <v>1833</v>
      </c>
      <c r="P593" s="1">
        <v>13908351863</v>
      </c>
      <c r="Q593" s="1" t="s">
        <v>1835</v>
      </c>
    </row>
    <row r="594" spans="1:17">
      <c r="A594" s="1"/>
      <c r="B594" s="1"/>
      <c r="C594" s="1"/>
      <c r="D594" s="1" t="s">
        <v>5341</v>
      </c>
      <c r="E594" s="1" t="s">
        <v>2920</v>
      </c>
      <c r="F594" s="1"/>
      <c r="G594" s="1"/>
      <c r="H594" s="1"/>
      <c r="J594" s="1"/>
      <c r="K594" s="1"/>
      <c r="L594" s="1"/>
      <c r="M594" s="1"/>
      <c r="N594" s="1"/>
      <c r="O594" s="1"/>
      <c r="P594" s="1"/>
      <c r="Q594" s="1"/>
    </row>
    <row r="595" spans="1:17">
      <c r="A595" s="1"/>
      <c r="B595" s="1"/>
      <c r="C595" s="1"/>
      <c r="D595" s="1" t="s">
        <v>5136</v>
      </c>
      <c r="E595" s="1" t="s">
        <v>2920</v>
      </c>
      <c r="F595" s="1"/>
      <c r="G595" s="1"/>
      <c r="H595" s="1"/>
      <c r="J595" s="1"/>
      <c r="K595" s="1"/>
      <c r="L595" s="1"/>
      <c r="M595" s="1"/>
      <c r="N595" s="1"/>
      <c r="O595" s="1"/>
      <c r="P595" s="1"/>
      <c r="Q595" s="1"/>
    </row>
    <row r="596" spans="1:17">
      <c r="A596" s="1"/>
      <c r="B596" s="1"/>
      <c r="C596" s="1"/>
      <c r="D596" s="1" t="s">
        <v>5343</v>
      </c>
      <c r="E596" s="1" t="s">
        <v>2920</v>
      </c>
      <c r="F596" s="1"/>
      <c r="G596" s="1"/>
      <c r="H596" s="1"/>
      <c r="J596" s="1"/>
      <c r="K596" s="1"/>
      <c r="L596" s="1"/>
      <c r="M596" s="1"/>
      <c r="N596" s="1"/>
      <c r="O596" s="1"/>
      <c r="P596" s="1"/>
      <c r="Q596" s="1"/>
    </row>
    <row r="597" spans="1:17">
      <c r="A597" s="1"/>
      <c r="B597" s="1" t="s">
        <v>1837</v>
      </c>
      <c r="C597" s="1" t="s">
        <v>1838</v>
      </c>
      <c r="D597" s="1" t="s">
        <v>5344</v>
      </c>
      <c r="E597" s="1" t="s">
        <v>2920</v>
      </c>
      <c r="F597" s="1">
        <v>1</v>
      </c>
      <c r="G597" s="1">
        <v>0.81</v>
      </c>
      <c r="H597" s="1">
        <v>5</v>
      </c>
      <c r="J597" s="1" t="s">
        <v>103</v>
      </c>
      <c r="K597" s="1" t="s">
        <v>1840</v>
      </c>
      <c r="L597" s="1">
        <v>13771587999</v>
      </c>
      <c r="M597" s="1" t="s">
        <v>1841</v>
      </c>
      <c r="N597" s="1" t="s">
        <v>1840</v>
      </c>
      <c r="O597" s="1" t="s">
        <v>1841</v>
      </c>
      <c r="P597" s="1">
        <v>13771587999</v>
      </c>
      <c r="Q597" s="1" t="s">
        <v>1842</v>
      </c>
    </row>
    <row r="598" spans="1:17">
      <c r="A598" s="1"/>
      <c r="B598" s="1"/>
      <c r="C598" s="1"/>
      <c r="D598" s="1" t="s">
        <v>5091</v>
      </c>
      <c r="E598" s="1" t="s">
        <v>2920</v>
      </c>
      <c r="F598" s="1"/>
      <c r="G598" s="1"/>
      <c r="H598" s="1"/>
      <c r="J598" s="1"/>
      <c r="K598" s="1"/>
      <c r="L598" s="1"/>
      <c r="M598" s="1"/>
      <c r="N598" s="1"/>
      <c r="O598" s="1"/>
      <c r="P598" s="1"/>
      <c r="Q598" s="1"/>
    </row>
    <row r="599" spans="1:17">
      <c r="A599" s="1"/>
      <c r="B599" s="1" t="s">
        <v>1844</v>
      </c>
      <c r="C599" s="1" t="s">
        <v>1845</v>
      </c>
      <c r="D599" s="1" t="s">
        <v>5276</v>
      </c>
      <c r="E599" s="1" t="s">
        <v>420</v>
      </c>
      <c r="F599" s="1">
        <v>1</v>
      </c>
      <c r="G599" s="1">
        <v>1.49</v>
      </c>
      <c r="H599" s="1">
        <v>10</v>
      </c>
      <c r="J599" s="1" t="s">
        <v>29</v>
      </c>
      <c r="K599" s="1" t="s">
        <v>1290</v>
      </c>
      <c r="L599" s="1">
        <v>13972728049</v>
      </c>
      <c r="M599" s="1" t="s">
        <v>1846</v>
      </c>
      <c r="N599" s="1" t="s">
        <v>1847</v>
      </c>
      <c r="O599" s="1" t="s">
        <v>1848</v>
      </c>
      <c r="P599" s="1">
        <v>13503096605</v>
      </c>
      <c r="Q599" s="1" t="s">
        <v>1849</v>
      </c>
    </row>
    <row r="600" spans="1:17">
      <c r="A600" s="1"/>
      <c r="B600" s="1"/>
      <c r="C600" s="1"/>
      <c r="D600" s="1" t="s">
        <v>5277</v>
      </c>
      <c r="E600" s="1" t="s">
        <v>420</v>
      </c>
      <c r="F600" s="1"/>
      <c r="G600" s="1"/>
      <c r="H600" s="1"/>
      <c r="J600" s="1"/>
      <c r="K600" s="1"/>
      <c r="L600" s="1"/>
      <c r="M600" s="1"/>
      <c r="N600" s="1"/>
      <c r="O600" s="1"/>
      <c r="P600" s="1"/>
      <c r="Q600" s="1"/>
    </row>
    <row r="601" spans="1:17">
      <c r="A601" s="1"/>
      <c r="B601" s="1" t="s">
        <v>1851</v>
      </c>
      <c r="C601" s="1" t="s">
        <v>1852</v>
      </c>
      <c r="D601" s="1" t="s">
        <v>5345</v>
      </c>
      <c r="E601" s="1" t="s">
        <v>420</v>
      </c>
      <c r="F601" s="1">
        <v>1</v>
      </c>
      <c r="G601" s="1">
        <v>1.95</v>
      </c>
      <c r="H601" s="1">
        <v>14</v>
      </c>
      <c r="J601" s="1" t="s">
        <v>29</v>
      </c>
      <c r="K601" s="1" t="s">
        <v>1854</v>
      </c>
      <c r="L601" s="1">
        <v>19953443676</v>
      </c>
      <c r="M601" s="1" t="s">
        <v>1855</v>
      </c>
      <c r="N601" s="1" t="s">
        <v>1854</v>
      </c>
      <c r="O601" s="1" t="s">
        <v>1856</v>
      </c>
      <c r="P601" s="1">
        <v>13963658628</v>
      </c>
      <c r="Q601" s="1" t="s">
        <v>1857</v>
      </c>
    </row>
    <row r="602" spans="1:17">
      <c r="A602" s="1"/>
      <c r="B602" s="1"/>
      <c r="C602" s="1"/>
      <c r="D602" s="1" t="s">
        <v>5142</v>
      </c>
      <c r="E602" s="1" t="s">
        <v>420</v>
      </c>
      <c r="F602" s="1"/>
      <c r="G602" s="1"/>
      <c r="H602" s="1"/>
      <c r="J602" s="1"/>
      <c r="K602" s="1"/>
      <c r="L602" s="1"/>
      <c r="M602" s="1"/>
      <c r="N602" s="1"/>
      <c r="O602" s="1"/>
      <c r="P602" s="1"/>
      <c r="Q602" s="1"/>
    </row>
    <row r="603" spans="1:17">
      <c r="A603" s="1"/>
      <c r="B603" s="1" t="s">
        <v>1859</v>
      </c>
      <c r="C603" s="1" t="s">
        <v>1860</v>
      </c>
      <c r="D603" s="1" t="s">
        <v>5141</v>
      </c>
      <c r="E603" s="1" t="s">
        <v>420</v>
      </c>
      <c r="F603" s="1">
        <v>1</v>
      </c>
      <c r="G603" s="1">
        <v>1.95</v>
      </c>
      <c r="H603" s="1">
        <v>14</v>
      </c>
      <c r="J603" s="1" t="s">
        <v>29</v>
      </c>
      <c r="K603" s="1" t="s">
        <v>1861</v>
      </c>
      <c r="L603" s="1">
        <v>18760440425</v>
      </c>
      <c r="M603" s="1" t="s">
        <v>1862</v>
      </c>
      <c r="N603" s="1" t="s">
        <v>1863</v>
      </c>
      <c r="O603" s="1" t="s">
        <v>1864</v>
      </c>
      <c r="P603" s="1">
        <v>13590876318</v>
      </c>
      <c r="Q603" s="1" t="s">
        <v>1865</v>
      </c>
    </row>
    <row r="604" spans="1:17">
      <c r="A604" s="1"/>
      <c r="B604" s="1"/>
      <c r="C604" s="1"/>
      <c r="D604" s="1" t="s">
        <v>5142</v>
      </c>
      <c r="E604" s="1" t="s">
        <v>420</v>
      </c>
      <c r="F604" s="1"/>
      <c r="G604" s="1"/>
      <c r="H604" s="1"/>
      <c r="J604" s="1"/>
      <c r="K604" s="1"/>
      <c r="L604" s="1"/>
      <c r="M604" s="1"/>
      <c r="N604" s="1"/>
      <c r="O604" s="1"/>
      <c r="P604" s="1"/>
      <c r="Q604" s="1"/>
    </row>
    <row r="605" spans="1:17">
      <c r="A605" s="1"/>
      <c r="B605" s="1" t="s">
        <v>1867</v>
      </c>
      <c r="C605" s="1" t="s">
        <v>1868</v>
      </c>
      <c r="D605" s="1" t="s">
        <v>5141</v>
      </c>
      <c r="E605" s="1" t="s">
        <v>420</v>
      </c>
      <c r="F605" s="1">
        <v>1</v>
      </c>
      <c r="G605" s="1">
        <v>1.95</v>
      </c>
      <c r="H605" s="1">
        <v>14</v>
      </c>
      <c r="J605" s="1" t="s">
        <v>29</v>
      </c>
      <c r="K605" s="1" t="s">
        <v>1869</v>
      </c>
      <c r="L605" s="1">
        <v>13853437295</v>
      </c>
      <c r="M605" s="1" t="s">
        <v>1870</v>
      </c>
      <c r="N605" s="1" t="s">
        <v>1871</v>
      </c>
      <c r="O605" s="1" t="s">
        <v>1872</v>
      </c>
      <c r="P605" s="1">
        <v>18963355823</v>
      </c>
      <c r="Q605" s="1" t="s">
        <v>1873</v>
      </c>
    </row>
    <row r="606" spans="1:17">
      <c r="A606" s="1"/>
      <c r="B606" s="1"/>
      <c r="C606" s="1"/>
      <c r="D606" s="1" t="s">
        <v>5142</v>
      </c>
      <c r="E606" s="1" t="s">
        <v>420</v>
      </c>
      <c r="F606" s="1"/>
      <c r="G606" s="1"/>
      <c r="H606" s="1"/>
      <c r="J606" s="1"/>
      <c r="K606" s="1"/>
      <c r="L606" s="1"/>
      <c r="M606" s="1"/>
      <c r="N606" s="1"/>
      <c r="O606" s="1"/>
      <c r="P606" s="1"/>
      <c r="Q606" s="1"/>
    </row>
    <row r="607" spans="1:17">
      <c r="A607" s="1"/>
      <c r="B607" s="1" t="s">
        <v>1875</v>
      </c>
      <c r="C607" s="1" t="s">
        <v>1876</v>
      </c>
      <c r="D607" s="1" t="s">
        <v>5075</v>
      </c>
      <c r="E607" s="1" t="s">
        <v>2920</v>
      </c>
      <c r="F607" s="1">
        <v>1</v>
      </c>
      <c r="G607" s="1">
        <v>1.04</v>
      </c>
      <c r="H607" s="1">
        <v>6</v>
      </c>
      <c r="J607" s="1" t="s">
        <v>103</v>
      </c>
      <c r="K607" s="1" t="s">
        <v>1878</v>
      </c>
      <c r="L607" s="1">
        <v>13574113564</v>
      </c>
      <c r="M607" s="1" t="s">
        <v>1879</v>
      </c>
      <c r="N607" s="1" t="s">
        <v>1880</v>
      </c>
      <c r="O607" s="1" t="s">
        <v>1881</v>
      </c>
      <c r="P607" s="1">
        <v>15974291499</v>
      </c>
      <c r="Q607" s="1" t="s">
        <v>1882</v>
      </c>
    </row>
    <row r="608" spans="1:17">
      <c r="A608" s="1"/>
      <c r="B608" s="1"/>
      <c r="C608" s="1"/>
      <c r="D608" s="1" t="s">
        <v>5346</v>
      </c>
      <c r="E608" s="1" t="s">
        <v>2920</v>
      </c>
      <c r="F608" s="1"/>
      <c r="G608" s="1"/>
      <c r="H608" s="1"/>
      <c r="J608" s="1"/>
      <c r="K608" s="1"/>
      <c r="L608" s="1"/>
      <c r="M608" s="1"/>
      <c r="N608" s="1"/>
      <c r="O608" s="1"/>
      <c r="P608" s="1"/>
      <c r="Q608" s="1"/>
    </row>
    <row r="609" spans="1:17">
      <c r="A609" s="1"/>
      <c r="B609" s="1"/>
      <c r="C609" s="1"/>
      <c r="D609" s="1" t="s">
        <v>5089</v>
      </c>
      <c r="E609" s="1" t="s">
        <v>2920</v>
      </c>
      <c r="F609" s="1"/>
      <c r="G609" s="1"/>
      <c r="H609" s="1"/>
      <c r="J609" s="1"/>
      <c r="K609" s="1"/>
      <c r="L609" s="1"/>
      <c r="M609" s="1"/>
      <c r="N609" s="1"/>
      <c r="O609" s="1"/>
      <c r="P609" s="1"/>
      <c r="Q609" s="1"/>
    </row>
    <row r="610" spans="1:17">
      <c r="A610" s="1"/>
      <c r="B610" s="1"/>
      <c r="C610" s="1"/>
      <c r="D610" s="1" t="s">
        <v>5347</v>
      </c>
      <c r="E610" s="1" t="s">
        <v>2920</v>
      </c>
      <c r="F610" s="1"/>
      <c r="G610" s="1"/>
      <c r="H610" s="1"/>
      <c r="J610" s="1"/>
      <c r="K610" s="1"/>
      <c r="L610" s="1"/>
      <c r="M610" s="1"/>
      <c r="N610" s="1"/>
      <c r="O610" s="1"/>
      <c r="P610" s="1"/>
      <c r="Q610" s="1"/>
    </row>
    <row r="611" spans="1:17">
      <c r="A611" s="1"/>
      <c r="B611" s="1" t="s">
        <v>1884</v>
      </c>
      <c r="C611" s="1" t="s">
        <v>1885</v>
      </c>
      <c r="D611" s="1" t="s">
        <v>5062</v>
      </c>
      <c r="E611" s="1" t="s">
        <v>5348</v>
      </c>
      <c r="F611" s="1">
        <v>1</v>
      </c>
      <c r="G611" s="1">
        <v>2.17</v>
      </c>
      <c r="H611" s="1">
        <v>5</v>
      </c>
      <c r="I611" s="1" t="s">
        <v>5120</v>
      </c>
      <c r="J611" s="1" t="s">
        <v>103</v>
      </c>
      <c r="K611" s="1" t="s">
        <v>1889</v>
      </c>
      <c r="L611" s="1">
        <v>13982350043</v>
      </c>
      <c r="M611" s="1" t="s">
        <v>1890</v>
      </c>
      <c r="N611" s="1" t="s">
        <v>1889</v>
      </c>
      <c r="O611" s="1" t="s">
        <v>1890</v>
      </c>
      <c r="P611" s="1">
        <v>13982350043</v>
      </c>
      <c r="Q611" s="1" t="s">
        <v>1891</v>
      </c>
    </row>
    <row r="612" spans="1:17">
      <c r="A612" s="1"/>
      <c r="B612" s="1"/>
      <c r="C612" s="1"/>
      <c r="D612" s="1" t="s">
        <v>5349</v>
      </c>
      <c r="E612" s="1" t="s">
        <v>5348</v>
      </c>
      <c r="F612" s="1"/>
      <c r="G612" s="1"/>
      <c r="H612" s="1"/>
      <c r="I612" s="1" t="s">
        <v>5120</v>
      </c>
      <c r="J612" s="1"/>
      <c r="K612" s="1"/>
      <c r="L612" s="1"/>
      <c r="M612" s="1"/>
      <c r="N612" s="1"/>
      <c r="O612" s="1"/>
      <c r="P612" s="1"/>
      <c r="Q612" s="1"/>
    </row>
    <row r="613" spans="1:17">
      <c r="A613" s="1"/>
      <c r="B613" s="1"/>
      <c r="C613" s="1"/>
      <c r="D613" s="1" t="s">
        <v>4952</v>
      </c>
      <c r="E613" s="1" t="s">
        <v>5077</v>
      </c>
      <c r="F613" s="1"/>
      <c r="G613" s="1"/>
      <c r="H613" s="1"/>
      <c r="J613" s="1"/>
      <c r="K613" s="1"/>
      <c r="L613" s="1"/>
      <c r="M613" s="1"/>
      <c r="N613" s="1"/>
      <c r="O613" s="1"/>
      <c r="P613" s="1"/>
      <c r="Q613" s="1"/>
    </row>
    <row r="614" spans="1:17">
      <c r="A614" s="1"/>
      <c r="B614" s="1"/>
      <c r="C614" s="1"/>
      <c r="D614" s="1" t="s">
        <v>5078</v>
      </c>
      <c r="E614" s="1" t="s">
        <v>2413</v>
      </c>
      <c r="F614" s="1"/>
      <c r="G614" s="1"/>
      <c r="H614" s="1"/>
      <c r="J614" s="1"/>
      <c r="K614" s="1"/>
      <c r="L614" s="1"/>
      <c r="M614" s="1"/>
      <c r="N614" s="1"/>
      <c r="O614" s="1"/>
      <c r="P614" s="1"/>
      <c r="Q614" s="1"/>
    </row>
    <row r="615" spans="1:17">
      <c r="A615" s="1"/>
      <c r="B615" s="1" t="s">
        <v>1893</v>
      </c>
      <c r="C615" s="1" t="s">
        <v>1894</v>
      </c>
      <c r="D615" s="1" t="s">
        <v>5350</v>
      </c>
      <c r="E615" s="1" t="s">
        <v>2413</v>
      </c>
      <c r="F615" s="1">
        <v>1</v>
      </c>
      <c r="G615" s="1">
        <v>1.72</v>
      </c>
      <c r="H615" s="1">
        <v>5</v>
      </c>
      <c r="J615" s="1" t="s">
        <v>29</v>
      </c>
      <c r="K615" s="1" t="s">
        <v>1897</v>
      </c>
      <c r="L615" s="1">
        <v>18801110931</v>
      </c>
      <c r="M615" s="1" t="s">
        <v>1898</v>
      </c>
      <c r="N615" s="1" t="s">
        <v>1897</v>
      </c>
      <c r="O615" s="1" t="s">
        <v>1898</v>
      </c>
      <c r="P615" s="1">
        <v>18801110931</v>
      </c>
      <c r="Q615" s="1" t="s">
        <v>1899</v>
      </c>
    </row>
    <row r="616" spans="1:17">
      <c r="A616" s="1"/>
      <c r="B616" s="1"/>
      <c r="C616" s="1"/>
      <c r="D616" s="1" t="s">
        <v>5078</v>
      </c>
      <c r="E616" s="1" t="s">
        <v>2413</v>
      </c>
      <c r="F616" s="1"/>
      <c r="G616" s="1"/>
      <c r="H616" s="1"/>
      <c r="J616" s="1"/>
      <c r="K616" s="1"/>
      <c r="L616" s="1"/>
      <c r="M616" s="1"/>
      <c r="N616" s="1"/>
      <c r="O616" s="1"/>
      <c r="P616" s="1"/>
      <c r="Q616" s="1"/>
    </row>
    <row r="617" spans="1:17">
      <c r="A617" s="1"/>
      <c r="B617" s="1"/>
      <c r="C617" s="1"/>
      <c r="D617" s="1" t="s">
        <v>5201</v>
      </c>
      <c r="E617" s="1" t="s">
        <v>5077</v>
      </c>
      <c r="F617" s="1"/>
      <c r="G617" s="1"/>
      <c r="H617" s="1"/>
      <c r="J617" s="1"/>
      <c r="K617" s="1"/>
      <c r="L617" s="1"/>
      <c r="M617" s="1"/>
      <c r="N617" s="1"/>
      <c r="O617" s="1"/>
      <c r="P617" s="1"/>
      <c r="Q617" s="1"/>
    </row>
    <row r="618" spans="1:17">
      <c r="A618" s="1"/>
      <c r="B618" s="1"/>
      <c r="C618" s="1"/>
      <c r="D618" s="1" t="s">
        <v>5351</v>
      </c>
      <c r="E618" s="1" t="s">
        <v>5352</v>
      </c>
      <c r="F618" s="1"/>
      <c r="G618" s="1"/>
      <c r="H618" s="1"/>
      <c r="J618" s="1"/>
      <c r="K618" s="1"/>
      <c r="L618" s="1"/>
      <c r="M618" s="1"/>
      <c r="N618" s="1"/>
      <c r="O618" s="1"/>
      <c r="P618" s="1"/>
      <c r="Q618" s="1"/>
    </row>
    <row r="619" spans="1:17">
      <c r="A619" s="1"/>
      <c r="B619" s="1" t="s">
        <v>1901</v>
      </c>
      <c r="C619" s="1" t="s">
        <v>1902</v>
      </c>
      <c r="D619" s="1" t="s">
        <v>5350</v>
      </c>
      <c r="E619" s="1" t="s">
        <v>2413</v>
      </c>
      <c r="F619" s="1">
        <v>1</v>
      </c>
      <c r="G619" s="1">
        <v>1.04</v>
      </c>
      <c r="H619" s="1">
        <v>4</v>
      </c>
      <c r="J619" s="1" t="s">
        <v>29</v>
      </c>
      <c r="K619" s="1" t="s">
        <v>1905</v>
      </c>
      <c r="L619" s="1">
        <v>18610276646</v>
      </c>
      <c r="M619" s="1" t="s">
        <v>1906</v>
      </c>
      <c r="N619" s="1" t="s">
        <v>1905</v>
      </c>
      <c r="O619" s="1" t="s">
        <v>1906</v>
      </c>
      <c r="P619" s="1">
        <v>18610276646</v>
      </c>
      <c r="Q619" s="1" t="s">
        <v>1907</v>
      </c>
    </row>
    <row r="620" spans="1:17">
      <c r="A620" s="1"/>
      <c r="B620" s="1"/>
      <c r="C620" s="1"/>
      <c r="D620" s="1" t="s">
        <v>5204</v>
      </c>
      <c r="E620" s="1" t="s">
        <v>5176</v>
      </c>
      <c r="F620" s="1"/>
      <c r="G620" s="1"/>
      <c r="H620" s="1"/>
      <c r="J620" s="1"/>
      <c r="K620" s="1"/>
      <c r="L620" s="1"/>
      <c r="M620" s="1"/>
      <c r="N620" s="1"/>
      <c r="O620" s="1"/>
      <c r="P620" s="1"/>
      <c r="Q620" s="1"/>
    </row>
    <row r="621" spans="1:17">
      <c r="A621" s="1"/>
      <c r="B621" s="1"/>
      <c r="C621" s="1"/>
      <c r="D621" s="1" t="s">
        <v>5204</v>
      </c>
      <c r="E621" s="1" t="s">
        <v>5176</v>
      </c>
      <c r="F621" s="1"/>
      <c r="G621" s="1"/>
      <c r="H621" s="1"/>
      <c r="J621" s="1"/>
      <c r="K621" s="1"/>
      <c r="L621" s="1"/>
      <c r="M621" s="1"/>
      <c r="N621" s="1"/>
      <c r="O621" s="1"/>
      <c r="P621" s="1"/>
      <c r="Q621" s="1"/>
    </row>
    <row r="622" spans="1:17">
      <c r="A622" s="1"/>
      <c r="B622" s="1"/>
      <c r="C622" s="1"/>
      <c r="D622" s="1" t="s">
        <v>5007</v>
      </c>
      <c r="E622" s="1" t="s">
        <v>5209</v>
      </c>
      <c r="F622" s="1"/>
      <c r="G622" s="1"/>
      <c r="H622" s="1"/>
      <c r="J622" s="1"/>
      <c r="K622" s="1"/>
      <c r="L622" s="1"/>
      <c r="M622" s="1"/>
      <c r="N622" s="1"/>
      <c r="O622" s="1"/>
      <c r="P622" s="1"/>
      <c r="Q622" s="1"/>
    </row>
    <row r="623" spans="1:17">
      <c r="A623" s="1"/>
      <c r="B623" s="1" t="s">
        <v>1909</v>
      </c>
      <c r="C623" s="1" t="s">
        <v>1910</v>
      </c>
      <c r="D623" s="1" t="s">
        <v>5078</v>
      </c>
      <c r="E623" s="1" t="s">
        <v>2413</v>
      </c>
      <c r="F623" s="1">
        <v>1</v>
      </c>
      <c r="G623" s="1">
        <v>0.81</v>
      </c>
      <c r="H623" s="1">
        <v>2</v>
      </c>
      <c r="J623" s="1" t="s">
        <v>29</v>
      </c>
      <c r="K623" s="1" t="s">
        <v>1913</v>
      </c>
      <c r="L623" s="1">
        <v>18398545466</v>
      </c>
      <c r="M623" s="1" t="s">
        <v>1914</v>
      </c>
      <c r="N623" s="1" t="s">
        <v>1913</v>
      </c>
      <c r="O623" s="1" t="s">
        <v>1914</v>
      </c>
      <c r="P623" s="1">
        <v>18398545466</v>
      </c>
      <c r="Q623" s="1" t="s">
        <v>1915</v>
      </c>
    </row>
    <row r="624" spans="1:17">
      <c r="A624" s="1"/>
      <c r="B624" s="1"/>
      <c r="C624" s="1"/>
      <c r="D624" s="1" t="s">
        <v>5095</v>
      </c>
      <c r="E624" s="1" t="s">
        <v>5077</v>
      </c>
      <c r="F624" s="1"/>
      <c r="G624" s="1"/>
      <c r="H624" s="1"/>
      <c r="J624" s="1"/>
      <c r="K624" s="1"/>
      <c r="L624" s="1"/>
      <c r="M624" s="1"/>
      <c r="N624" s="1"/>
      <c r="O624" s="1"/>
      <c r="P624" s="1"/>
      <c r="Q624" s="1"/>
    </row>
    <row r="625" spans="1:17">
      <c r="A625" s="1"/>
      <c r="B625" s="1" t="s">
        <v>1917</v>
      </c>
      <c r="C625" s="1" t="s">
        <v>1918</v>
      </c>
      <c r="D625" s="1" t="s">
        <v>5016</v>
      </c>
      <c r="E625" s="1" t="s">
        <v>625</v>
      </c>
      <c r="F625" s="1">
        <v>1</v>
      </c>
      <c r="G625" s="1">
        <v>1.26</v>
      </c>
      <c r="H625" s="1">
        <v>13</v>
      </c>
      <c r="J625" s="1" t="s">
        <v>40</v>
      </c>
      <c r="K625" s="1" t="s">
        <v>1920</v>
      </c>
      <c r="L625" s="1">
        <v>13813559959</v>
      </c>
      <c r="M625" s="1" t="s">
        <v>1921</v>
      </c>
      <c r="N625" s="1" t="s">
        <v>1920</v>
      </c>
      <c r="O625" s="1" t="s">
        <v>1921</v>
      </c>
      <c r="P625" s="1">
        <v>13813559959</v>
      </c>
      <c r="Q625" s="1" t="s">
        <v>1922</v>
      </c>
    </row>
    <row r="626" spans="1:17">
      <c r="A626" s="1"/>
      <c r="B626" s="1"/>
      <c r="C626" s="1"/>
      <c r="D626" s="1" t="s">
        <v>5236</v>
      </c>
      <c r="E626" s="1" t="s">
        <v>625</v>
      </c>
      <c r="F626" s="1"/>
      <c r="G626" s="1"/>
      <c r="H626" s="1"/>
      <c r="J626" s="1"/>
      <c r="K626" s="1"/>
      <c r="L626" s="1"/>
      <c r="M626" s="1"/>
      <c r="N626" s="1"/>
      <c r="O626" s="1"/>
      <c r="P626" s="1"/>
      <c r="Q626" s="1"/>
    </row>
    <row r="627" spans="1:17">
      <c r="A627" s="1"/>
      <c r="B627" s="1"/>
      <c r="C627" s="1"/>
      <c r="D627" s="1" t="s">
        <v>5353</v>
      </c>
      <c r="E627" s="1" t="s">
        <v>625</v>
      </c>
      <c r="F627" s="1"/>
      <c r="G627" s="1"/>
      <c r="H627" s="1"/>
      <c r="J627" s="1"/>
      <c r="K627" s="1"/>
      <c r="L627" s="1"/>
      <c r="M627" s="1"/>
      <c r="N627" s="1"/>
      <c r="O627" s="1"/>
      <c r="P627" s="1"/>
      <c r="Q627" s="1"/>
    </row>
    <row r="628" spans="1:17">
      <c r="A628" s="1"/>
      <c r="B628" s="1"/>
      <c r="C628" s="1"/>
      <c r="D628" s="1" t="s">
        <v>5023</v>
      </c>
      <c r="E628" s="1" t="s">
        <v>625</v>
      </c>
      <c r="F628" s="1"/>
      <c r="G628" s="1"/>
      <c r="H628" s="1"/>
      <c r="J628" s="1"/>
      <c r="K628" s="1"/>
      <c r="L628" s="1"/>
      <c r="M628" s="1"/>
      <c r="N628" s="1"/>
      <c r="O628" s="1"/>
      <c r="P628" s="1"/>
      <c r="Q628" s="1"/>
    </row>
    <row r="629" spans="1:17">
      <c r="A629" s="1"/>
      <c r="B629" s="1"/>
      <c r="C629" s="1"/>
      <c r="D629" s="1" t="s">
        <v>5335</v>
      </c>
      <c r="E629" s="1" t="s">
        <v>625</v>
      </c>
      <c r="F629" s="1"/>
      <c r="G629" s="1"/>
      <c r="H629" s="1"/>
      <c r="J629" s="1"/>
      <c r="K629" s="1"/>
      <c r="L629" s="1"/>
      <c r="M629" s="1"/>
      <c r="N629" s="1"/>
      <c r="O629" s="1"/>
      <c r="P629" s="1"/>
      <c r="Q629" s="1"/>
    </row>
    <row r="630" spans="1:17">
      <c r="A630" s="1"/>
      <c r="B630" s="1"/>
      <c r="C630" s="1"/>
      <c r="D630" s="1" t="s">
        <v>5187</v>
      </c>
      <c r="E630" s="1" t="s">
        <v>625</v>
      </c>
      <c r="F630" s="1"/>
      <c r="G630" s="1"/>
      <c r="H630" s="1"/>
      <c r="J630" s="1"/>
      <c r="K630" s="1"/>
      <c r="L630" s="1"/>
      <c r="M630" s="1"/>
      <c r="N630" s="1"/>
      <c r="O630" s="1"/>
      <c r="P630" s="1"/>
      <c r="Q630" s="1"/>
    </row>
    <row r="631" spans="1:17">
      <c r="A631" s="1"/>
      <c r="B631" s="1" t="s">
        <v>1924</v>
      </c>
      <c r="C631" s="1" t="s">
        <v>1925</v>
      </c>
      <c r="D631" s="1" t="s">
        <v>5157</v>
      </c>
      <c r="E631" s="1" t="s">
        <v>625</v>
      </c>
      <c r="F631" s="1">
        <v>1</v>
      </c>
      <c r="G631" s="1">
        <v>1.26</v>
      </c>
      <c r="H631" s="1">
        <v>10</v>
      </c>
      <c r="J631" s="1" t="s">
        <v>40</v>
      </c>
      <c r="K631" s="1" t="s">
        <v>1926</v>
      </c>
      <c r="L631" s="1">
        <v>13703249878</v>
      </c>
      <c r="M631" s="1" t="s">
        <v>1927</v>
      </c>
      <c r="N631" s="1" t="s">
        <v>1928</v>
      </c>
      <c r="O631" s="1" t="s">
        <v>1927</v>
      </c>
      <c r="P631" s="1">
        <v>13703249878</v>
      </c>
      <c r="Q631" s="1" t="s">
        <v>1929</v>
      </c>
    </row>
    <row r="632" spans="1:17">
      <c r="A632" s="1"/>
      <c r="B632" s="1" t="s">
        <v>1931</v>
      </c>
      <c r="C632" s="1" t="s">
        <v>1932</v>
      </c>
      <c r="D632" s="1" t="s">
        <v>5354</v>
      </c>
      <c r="E632" s="1" t="s">
        <v>625</v>
      </c>
      <c r="F632" s="1">
        <v>1</v>
      </c>
      <c r="G632" s="1">
        <v>0.81</v>
      </c>
      <c r="H632" s="1">
        <v>10</v>
      </c>
      <c r="I632" s="1" t="s">
        <v>4987</v>
      </c>
      <c r="J632" s="1" t="s">
        <v>40</v>
      </c>
      <c r="K632" s="1" t="s">
        <v>1935</v>
      </c>
      <c r="L632" s="1">
        <v>13854531217</v>
      </c>
      <c r="M632" s="1" t="s">
        <v>1936</v>
      </c>
      <c r="N632" s="1" t="s">
        <v>1935</v>
      </c>
      <c r="O632" s="1" t="s">
        <v>1936</v>
      </c>
      <c r="P632" s="1">
        <v>13854531217</v>
      </c>
      <c r="Q632" s="1" t="s">
        <v>1937</v>
      </c>
    </row>
    <row r="633" spans="1:17">
      <c r="A633" s="1"/>
      <c r="B633" s="1" t="s">
        <v>1939</v>
      </c>
      <c r="C633" s="1" t="s">
        <v>1940</v>
      </c>
      <c r="D633" s="1" t="s">
        <v>5104</v>
      </c>
      <c r="E633" s="1" t="s">
        <v>420</v>
      </c>
      <c r="F633" s="1">
        <v>1</v>
      </c>
      <c r="G633" s="1">
        <v>1.49</v>
      </c>
      <c r="H633" s="1">
        <v>6</v>
      </c>
      <c r="I633" s="1" t="s">
        <v>5105</v>
      </c>
      <c r="J633" s="1" t="s">
        <v>40</v>
      </c>
      <c r="K633" s="1" t="s">
        <v>562</v>
      </c>
      <c r="L633" s="1">
        <v>13760676033</v>
      </c>
      <c r="M633" s="1" t="s">
        <v>563</v>
      </c>
      <c r="N633" s="1" t="s">
        <v>562</v>
      </c>
      <c r="O633" s="1" t="s">
        <v>1941</v>
      </c>
      <c r="P633" s="1">
        <v>13809810592</v>
      </c>
      <c r="Q633" s="1" t="s">
        <v>1942</v>
      </c>
    </row>
    <row r="634" spans="1:17">
      <c r="A634" s="1"/>
      <c r="B634" s="1"/>
      <c r="C634" s="1"/>
      <c r="D634" s="1" t="s">
        <v>5106</v>
      </c>
      <c r="E634" s="1" t="s">
        <v>420</v>
      </c>
      <c r="F634" s="1"/>
      <c r="G634" s="1"/>
      <c r="H634" s="1"/>
      <c r="I634" s="1" t="s">
        <v>5107</v>
      </c>
      <c r="J634" s="1"/>
      <c r="K634" s="1"/>
      <c r="L634" s="1"/>
      <c r="M634" s="1"/>
      <c r="N634" s="1"/>
      <c r="O634" s="1"/>
      <c r="P634" s="1"/>
      <c r="Q634" s="1"/>
    </row>
    <row r="635" spans="1:17">
      <c r="A635" s="1"/>
      <c r="B635" s="1"/>
      <c r="C635" s="1"/>
      <c r="D635" s="1" t="s">
        <v>5108</v>
      </c>
      <c r="E635" s="1" t="s">
        <v>420</v>
      </c>
      <c r="F635" s="1"/>
      <c r="G635" s="1"/>
      <c r="H635" s="1"/>
      <c r="I635" s="1" t="s">
        <v>164</v>
      </c>
      <c r="J635" s="1"/>
      <c r="K635" s="1"/>
      <c r="L635" s="1"/>
      <c r="M635" s="1"/>
      <c r="N635" s="1"/>
      <c r="O635" s="1"/>
      <c r="P635" s="1"/>
      <c r="Q635" s="1"/>
    </row>
    <row r="636" spans="1:17">
      <c r="A636" s="1"/>
      <c r="B636" s="1"/>
      <c r="C636" s="1"/>
      <c r="D636" s="1" t="s">
        <v>5109</v>
      </c>
      <c r="E636" s="1" t="s">
        <v>420</v>
      </c>
      <c r="F636" s="1"/>
      <c r="G636" s="1"/>
      <c r="H636" s="1"/>
      <c r="I636" s="1" t="s">
        <v>4995</v>
      </c>
      <c r="J636" s="1"/>
      <c r="K636" s="1"/>
      <c r="L636" s="1"/>
      <c r="M636" s="1"/>
      <c r="N636" s="1"/>
      <c r="O636" s="1"/>
      <c r="P636" s="1"/>
      <c r="Q636" s="1"/>
    </row>
    <row r="637" spans="1:17">
      <c r="A637" s="1"/>
      <c r="B637" s="1"/>
      <c r="C637" s="1"/>
      <c r="D637" s="1" t="s">
        <v>5109</v>
      </c>
      <c r="E637" s="1" t="s">
        <v>420</v>
      </c>
      <c r="F637" s="1"/>
      <c r="G637" s="1"/>
      <c r="H637" s="1"/>
      <c r="I637" s="1" t="s">
        <v>164</v>
      </c>
      <c r="J637" s="1"/>
      <c r="K637" s="1"/>
      <c r="L637" s="1"/>
      <c r="M637" s="1"/>
      <c r="N637" s="1"/>
      <c r="O637" s="1"/>
      <c r="P637" s="1"/>
      <c r="Q637" s="1"/>
    </row>
    <row r="638" spans="1:17">
      <c r="A638" s="1"/>
      <c r="B638" s="1"/>
      <c r="C638" s="1"/>
      <c r="D638" s="1" t="s">
        <v>5110</v>
      </c>
      <c r="E638" s="1" t="s">
        <v>420</v>
      </c>
      <c r="F638" s="1"/>
      <c r="G638" s="1"/>
      <c r="H638" s="1"/>
      <c r="I638" s="1" t="s">
        <v>164</v>
      </c>
      <c r="J638" s="1"/>
      <c r="K638" s="1"/>
      <c r="L638" s="1"/>
      <c r="M638" s="1"/>
      <c r="N638" s="1"/>
      <c r="O638" s="1"/>
      <c r="P638" s="1"/>
      <c r="Q638" s="1"/>
    </row>
    <row r="639" spans="1:17">
      <c r="A639" s="1"/>
      <c r="B639" s="1" t="s">
        <v>1944</v>
      </c>
      <c r="C639" s="1" t="s">
        <v>1945</v>
      </c>
      <c r="D639" s="1" t="s">
        <v>5113</v>
      </c>
      <c r="E639" s="1" t="s">
        <v>625</v>
      </c>
      <c r="F639" s="1">
        <v>1</v>
      </c>
      <c r="G639" s="1">
        <v>1.49</v>
      </c>
      <c r="H639" s="1">
        <v>4</v>
      </c>
      <c r="I639" s="1" t="s">
        <v>4985</v>
      </c>
      <c r="J639" s="1" t="s">
        <v>40</v>
      </c>
      <c r="K639" s="1" t="s">
        <v>1948</v>
      </c>
      <c r="L639" s="1">
        <v>18027381428</v>
      </c>
      <c r="M639" s="1" t="s">
        <v>1949</v>
      </c>
      <c r="N639" s="1" t="s">
        <v>1950</v>
      </c>
      <c r="O639" s="1" t="s">
        <v>1949</v>
      </c>
      <c r="P639" s="1">
        <v>18027381428</v>
      </c>
      <c r="Q639" s="1" t="s">
        <v>1951</v>
      </c>
    </row>
    <row r="640" spans="1:17">
      <c r="A640" s="1"/>
      <c r="B640" s="1"/>
      <c r="C640" s="1"/>
      <c r="D640" s="1" t="s">
        <v>5014</v>
      </c>
      <c r="E640" s="1" t="s">
        <v>625</v>
      </c>
      <c r="F640" s="1"/>
      <c r="G640" s="1"/>
      <c r="H640" s="1"/>
      <c r="I640" s="1" t="s">
        <v>5048</v>
      </c>
      <c r="J640" s="1"/>
      <c r="K640" s="1"/>
      <c r="L640" s="1"/>
      <c r="M640" s="1"/>
      <c r="N640" s="1"/>
      <c r="O640" s="1"/>
      <c r="P640" s="1"/>
      <c r="Q640" s="1"/>
    </row>
    <row r="641" spans="1:17">
      <c r="A641" s="1"/>
      <c r="B641" s="1" t="s">
        <v>1953</v>
      </c>
      <c r="C641" s="1" t="s">
        <v>1954</v>
      </c>
      <c r="D641" s="1" t="s">
        <v>5355</v>
      </c>
      <c r="E641" s="1" t="s">
        <v>420</v>
      </c>
      <c r="F641" s="1">
        <v>1</v>
      </c>
      <c r="G641" s="1">
        <v>1.04</v>
      </c>
      <c r="H641" s="1">
        <v>6</v>
      </c>
      <c r="J641" s="1" t="s">
        <v>29</v>
      </c>
      <c r="K641" s="1" t="s">
        <v>1956</v>
      </c>
      <c r="L641" s="1">
        <v>13358918090</v>
      </c>
      <c r="M641" s="1" t="s">
        <v>1957</v>
      </c>
      <c r="N641" s="1" t="s">
        <v>1956</v>
      </c>
      <c r="O641" s="1" t="s">
        <v>1957</v>
      </c>
      <c r="P641" s="1">
        <v>13358918090</v>
      </c>
      <c r="Q641" s="1" t="s">
        <v>1958</v>
      </c>
    </row>
    <row r="642" spans="1:17">
      <c r="A642" s="1"/>
      <c r="B642" s="1"/>
      <c r="C642" s="1"/>
      <c r="D642" s="1" t="s">
        <v>5085</v>
      </c>
      <c r="E642" s="1" t="s">
        <v>420</v>
      </c>
      <c r="F642" s="1"/>
      <c r="G642" s="1"/>
      <c r="H642" s="1"/>
      <c r="J642" s="1"/>
      <c r="K642" s="1"/>
      <c r="L642" s="1"/>
      <c r="M642" s="1"/>
      <c r="N642" s="1"/>
      <c r="O642" s="1"/>
      <c r="P642" s="1"/>
      <c r="Q642" s="1"/>
    </row>
    <row r="643" spans="1:17">
      <c r="A643" s="1"/>
      <c r="B643" s="1" t="s">
        <v>1960</v>
      </c>
      <c r="C643" s="1" t="s">
        <v>1961</v>
      </c>
      <c r="D643" s="1" t="s">
        <v>5266</v>
      </c>
      <c r="E643" s="1" t="s">
        <v>420</v>
      </c>
      <c r="F643" s="1">
        <v>1</v>
      </c>
      <c r="G643" s="1">
        <v>1.26</v>
      </c>
      <c r="H643" s="1">
        <v>8</v>
      </c>
      <c r="J643" s="1" t="s">
        <v>40</v>
      </c>
      <c r="K643" s="1" t="s">
        <v>1963</v>
      </c>
      <c r="L643" s="1">
        <v>13661097422</v>
      </c>
      <c r="M643" s="1" t="s">
        <v>1964</v>
      </c>
      <c r="N643" s="1" t="s">
        <v>1965</v>
      </c>
      <c r="O643" s="1" t="s">
        <v>1966</v>
      </c>
      <c r="P643" s="1">
        <v>18210356284</v>
      </c>
      <c r="Q643" s="1" t="s">
        <v>1967</v>
      </c>
    </row>
    <row r="644" spans="1:17">
      <c r="A644" s="1"/>
      <c r="B644" s="1"/>
      <c r="C644" s="1"/>
      <c r="D644" s="1" t="s">
        <v>5072</v>
      </c>
      <c r="E644" s="1" t="s">
        <v>420</v>
      </c>
      <c r="F644" s="1"/>
      <c r="G644" s="1"/>
      <c r="H644" s="1"/>
      <c r="J644" s="1"/>
      <c r="K644" s="1"/>
      <c r="L644" s="1"/>
      <c r="M644" s="1"/>
      <c r="N644" s="1"/>
      <c r="O644" s="1"/>
      <c r="P644" s="1"/>
      <c r="Q644" s="1"/>
    </row>
    <row r="645" spans="1:17">
      <c r="A645" s="1"/>
      <c r="B645" s="1"/>
      <c r="C645" s="1"/>
      <c r="D645" s="1" t="s">
        <v>5171</v>
      </c>
      <c r="E645" s="1" t="s">
        <v>420</v>
      </c>
      <c r="F645" s="1"/>
      <c r="G645" s="1"/>
      <c r="H645" s="1"/>
      <c r="J645" s="1"/>
      <c r="K645" s="1"/>
      <c r="L645" s="1"/>
      <c r="M645" s="1"/>
      <c r="N645" s="1"/>
      <c r="O645" s="1"/>
      <c r="P645" s="1"/>
      <c r="Q645" s="1"/>
    </row>
    <row r="646" spans="1:17">
      <c r="A646" s="1"/>
      <c r="B646" s="1"/>
      <c r="C646" s="1"/>
      <c r="D646" s="1" t="s">
        <v>5356</v>
      </c>
      <c r="E646" s="1" t="s">
        <v>420</v>
      </c>
      <c r="F646" s="1"/>
      <c r="G646" s="1"/>
      <c r="H646" s="1"/>
      <c r="J646" s="1"/>
      <c r="K646" s="1"/>
      <c r="L646" s="1"/>
      <c r="M646" s="1"/>
      <c r="N646" s="1"/>
      <c r="O646" s="1"/>
      <c r="P646" s="1"/>
      <c r="Q646" s="1"/>
    </row>
    <row r="647" spans="1:17">
      <c r="A647" s="1"/>
      <c r="B647" s="1" t="s">
        <v>1969</v>
      </c>
      <c r="C647" s="1" t="s">
        <v>1970</v>
      </c>
      <c r="D647" s="1" t="s">
        <v>5357</v>
      </c>
      <c r="E647" s="1" t="s">
        <v>5358</v>
      </c>
      <c r="F647" s="1">
        <v>1</v>
      </c>
      <c r="G647" s="1">
        <v>1.17</v>
      </c>
      <c r="H647" s="1">
        <v>3</v>
      </c>
      <c r="J647" s="1" t="s">
        <v>1973</v>
      </c>
      <c r="K647" s="1" t="s">
        <v>1974</v>
      </c>
      <c r="L647" s="1">
        <v>18202616666</v>
      </c>
      <c r="M647" s="1" t="s">
        <v>1975</v>
      </c>
      <c r="N647" s="1" t="s">
        <v>1974</v>
      </c>
      <c r="O647" s="1" t="s">
        <v>1975</v>
      </c>
      <c r="P647" s="1">
        <v>18202616666</v>
      </c>
      <c r="Q647" s="1" t="s">
        <v>1976</v>
      </c>
    </row>
    <row r="648" spans="1:17">
      <c r="A648" s="1"/>
      <c r="B648" s="1"/>
      <c r="C648" s="1"/>
      <c r="D648" s="1" t="s">
        <v>5139</v>
      </c>
      <c r="E648" s="1" t="s">
        <v>687</v>
      </c>
      <c r="F648" s="1"/>
      <c r="G648" s="1"/>
      <c r="H648" s="1"/>
      <c r="J648" s="1"/>
      <c r="K648" s="1"/>
      <c r="L648" s="1"/>
      <c r="M648" s="1"/>
      <c r="N648" s="1"/>
      <c r="O648" s="1"/>
      <c r="P648" s="1"/>
      <c r="Q648" s="1"/>
    </row>
    <row r="649" spans="1:17">
      <c r="A649" s="1"/>
      <c r="B649" s="1"/>
      <c r="C649" s="1"/>
      <c r="D649" s="1" t="s">
        <v>5359</v>
      </c>
      <c r="E649" s="1" t="s">
        <v>687</v>
      </c>
      <c r="F649" s="1"/>
      <c r="G649" s="1"/>
      <c r="H649" s="1"/>
      <c r="J649" s="1"/>
      <c r="K649" s="1"/>
      <c r="L649" s="1"/>
      <c r="M649" s="1"/>
      <c r="N649" s="1"/>
      <c r="O649" s="1"/>
      <c r="P649" s="1"/>
      <c r="Q649" s="1"/>
    </row>
    <row r="650" spans="1:17">
      <c r="A650" s="1"/>
      <c r="B650" s="1" t="s">
        <v>1978</v>
      </c>
      <c r="C650" s="1" t="s">
        <v>1979</v>
      </c>
      <c r="D650" s="1" t="s">
        <v>5141</v>
      </c>
      <c r="E650" s="1" t="s">
        <v>420</v>
      </c>
      <c r="F650" s="1">
        <v>1</v>
      </c>
      <c r="G650" s="1">
        <v>1.95</v>
      </c>
      <c r="H650" s="1">
        <v>14</v>
      </c>
      <c r="J650" s="1" t="s">
        <v>29</v>
      </c>
      <c r="K650" s="1" t="s">
        <v>1861</v>
      </c>
      <c r="L650" s="1">
        <v>18760440425</v>
      </c>
      <c r="M650" s="1" t="s">
        <v>1862</v>
      </c>
      <c r="N650" s="1" t="s">
        <v>1861</v>
      </c>
      <c r="O650" s="1" t="s">
        <v>1980</v>
      </c>
      <c r="P650" s="1">
        <v>18363359887</v>
      </c>
      <c r="Q650" s="1" t="s">
        <v>1981</v>
      </c>
    </row>
    <row r="651" spans="1:17">
      <c r="A651" s="1"/>
      <c r="B651" s="1"/>
      <c r="C651" s="1"/>
      <c r="D651" s="1" t="s">
        <v>5142</v>
      </c>
      <c r="E651" s="1" t="s">
        <v>420</v>
      </c>
      <c r="F651" s="1"/>
      <c r="G651" s="1"/>
      <c r="H651" s="1"/>
      <c r="J651" s="1"/>
      <c r="K651" s="1"/>
      <c r="L651" s="1"/>
      <c r="M651" s="1"/>
      <c r="N651" s="1"/>
      <c r="O651" s="1"/>
      <c r="P651" s="1"/>
      <c r="Q651" s="1"/>
    </row>
    <row r="652" spans="1:17">
      <c r="A652" s="1"/>
      <c r="B652" s="1" t="s">
        <v>1983</v>
      </c>
      <c r="C652" s="1" t="s">
        <v>1984</v>
      </c>
      <c r="D652" s="1" t="s">
        <v>5141</v>
      </c>
      <c r="E652" s="1" t="s">
        <v>420</v>
      </c>
      <c r="F652" s="1">
        <v>1</v>
      </c>
      <c r="G652" s="1">
        <v>1.95</v>
      </c>
      <c r="H652" s="1">
        <v>14</v>
      </c>
      <c r="J652" s="1" t="s">
        <v>29</v>
      </c>
      <c r="K652" s="1" t="s">
        <v>1985</v>
      </c>
      <c r="L652" s="1">
        <v>17081372702</v>
      </c>
      <c r="M652" s="1" t="s">
        <v>1986</v>
      </c>
      <c r="N652" s="1" t="s">
        <v>1985</v>
      </c>
      <c r="O652" s="1" t="s">
        <v>1987</v>
      </c>
      <c r="P652" s="1">
        <v>18605346116</v>
      </c>
      <c r="Q652" s="1" t="s">
        <v>1988</v>
      </c>
    </row>
    <row r="653" spans="1:17">
      <c r="A653" s="1"/>
      <c r="B653" s="1"/>
      <c r="C653" s="1"/>
      <c r="D653" s="1" t="s">
        <v>5142</v>
      </c>
      <c r="E653" s="1" t="s">
        <v>420</v>
      </c>
      <c r="F653" s="1"/>
      <c r="G653" s="1"/>
      <c r="H653" s="1"/>
      <c r="J653" s="1"/>
      <c r="K653" s="1"/>
      <c r="L653" s="1"/>
      <c r="M653" s="1"/>
      <c r="N653" s="1"/>
      <c r="O653" s="1"/>
      <c r="P653" s="1"/>
      <c r="Q653" s="1"/>
    </row>
    <row r="654" spans="1:17">
      <c r="A654" s="1"/>
      <c r="B654" s="1" t="s">
        <v>1990</v>
      </c>
      <c r="C654" s="1" t="s">
        <v>1991</v>
      </c>
      <c r="D654" s="1" t="s">
        <v>5143</v>
      </c>
      <c r="E654" s="1" t="s">
        <v>720</v>
      </c>
      <c r="F654" s="1">
        <v>1</v>
      </c>
      <c r="G654" s="1">
        <v>1.49</v>
      </c>
      <c r="H654" s="1">
        <v>12</v>
      </c>
      <c r="I654" s="1" t="s">
        <v>721</v>
      </c>
      <c r="J654" s="1" t="s">
        <v>40</v>
      </c>
      <c r="K654" s="1" t="s">
        <v>722</v>
      </c>
      <c r="L654" s="1">
        <v>18123680919</v>
      </c>
      <c r="M654" s="1" t="s">
        <v>723</v>
      </c>
      <c r="N654" s="1" t="s">
        <v>1992</v>
      </c>
      <c r="O654" s="1" t="s">
        <v>1993</v>
      </c>
      <c r="P654" s="1">
        <v>15625229229</v>
      </c>
      <c r="Q654" s="1" t="s">
        <v>1994</v>
      </c>
    </row>
    <row r="655" spans="1:17">
      <c r="A655" s="1"/>
      <c r="B655" s="1" t="s">
        <v>1996</v>
      </c>
      <c r="C655" s="1" t="s">
        <v>1997</v>
      </c>
      <c r="D655" s="1" t="s">
        <v>4991</v>
      </c>
      <c r="E655" s="1" t="s">
        <v>4992</v>
      </c>
      <c r="F655" s="1">
        <v>1</v>
      </c>
      <c r="G655" s="1">
        <v>1.72</v>
      </c>
      <c r="H655" s="1">
        <v>15</v>
      </c>
      <c r="I655" s="1" t="s">
        <v>164</v>
      </c>
      <c r="J655" s="1" t="s">
        <v>40</v>
      </c>
      <c r="K655" s="1" t="s">
        <v>345</v>
      </c>
      <c r="L655" s="1">
        <v>13840761783</v>
      </c>
      <c r="M655" s="1" t="s">
        <v>346</v>
      </c>
      <c r="N655" s="1" t="s">
        <v>345</v>
      </c>
      <c r="O655" s="1" t="s">
        <v>1998</v>
      </c>
      <c r="P655" s="1">
        <v>15942708852</v>
      </c>
      <c r="Q655" s="1" t="s">
        <v>1999</v>
      </c>
    </row>
    <row r="656" spans="1:17">
      <c r="A656" s="1"/>
      <c r="B656" s="1"/>
      <c r="C656" s="1"/>
      <c r="D656" s="1" t="s">
        <v>4993</v>
      </c>
      <c r="E656" s="1" t="s">
        <v>4994</v>
      </c>
      <c r="F656" s="1"/>
      <c r="G656" s="1"/>
      <c r="H656" s="1"/>
      <c r="I656" s="1" t="s">
        <v>4995</v>
      </c>
      <c r="J656" s="1"/>
      <c r="K656" s="1"/>
      <c r="L656" s="1"/>
      <c r="M656" s="1"/>
      <c r="N656" s="1"/>
      <c r="O656" s="1"/>
      <c r="P656" s="1"/>
      <c r="Q656" s="1"/>
    </row>
    <row r="657" spans="1:17">
      <c r="A657" s="1"/>
      <c r="B657" s="1" t="s">
        <v>2001</v>
      </c>
      <c r="C657" s="1" t="s">
        <v>2002</v>
      </c>
      <c r="D657" s="1" t="s">
        <v>4991</v>
      </c>
      <c r="E657" s="1" t="s">
        <v>4992</v>
      </c>
      <c r="F657" s="1">
        <v>1</v>
      </c>
      <c r="G657" s="1">
        <v>1.72</v>
      </c>
      <c r="H657" s="1">
        <v>15</v>
      </c>
      <c r="I657" s="1" t="s">
        <v>164</v>
      </c>
      <c r="J657" s="1" t="s">
        <v>40</v>
      </c>
      <c r="K657" s="1" t="s">
        <v>1303</v>
      </c>
      <c r="L657" s="1">
        <v>13610961783</v>
      </c>
      <c r="M657" s="1" t="s">
        <v>1304</v>
      </c>
      <c r="N657" s="1" t="s">
        <v>2003</v>
      </c>
      <c r="O657" s="1" t="s">
        <v>2004</v>
      </c>
      <c r="P657" s="1">
        <v>18909848979</v>
      </c>
      <c r="Q657" s="1" t="s">
        <v>2005</v>
      </c>
    </row>
    <row r="658" spans="1:17">
      <c r="A658" s="1"/>
      <c r="B658" s="1"/>
      <c r="C658" s="1"/>
      <c r="D658" s="1" t="s">
        <v>4993</v>
      </c>
      <c r="E658" s="1" t="s">
        <v>4994</v>
      </c>
      <c r="F658" s="1"/>
      <c r="G658" s="1"/>
      <c r="H658" s="1"/>
      <c r="I658" s="1" t="s">
        <v>4995</v>
      </c>
      <c r="J658" s="1"/>
      <c r="K658" s="1"/>
      <c r="L658" s="1"/>
      <c r="M658" s="1"/>
      <c r="N658" s="1"/>
      <c r="O658" s="1"/>
      <c r="P658" s="1"/>
      <c r="Q658" s="1"/>
    </row>
    <row r="659" spans="1:17">
      <c r="A659" s="1"/>
      <c r="B659" s="1" t="s">
        <v>2007</v>
      </c>
      <c r="C659" s="1" t="s">
        <v>2008</v>
      </c>
      <c r="D659" s="1" t="s">
        <v>5360</v>
      </c>
      <c r="E659" s="1" t="s">
        <v>743</v>
      </c>
      <c r="F659" s="1">
        <v>1</v>
      </c>
      <c r="G659" s="1">
        <v>1.49</v>
      </c>
      <c r="H659" s="1">
        <v>1</v>
      </c>
      <c r="J659" s="1" t="s">
        <v>293</v>
      </c>
      <c r="K659" s="1" t="s">
        <v>2010</v>
      </c>
      <c r="L659" s="1">
        <v>13752358075</v>
      </c>
      <c r="M659" s="1" t="s">
        <v>2011</v>
      </c>
      <c r="N659" s="1" t="s">
        <v>2010</v>
      </c>
      <c r="O659" s="1" t="s">
        <v>2011</v>
      </c>
      <c r="P659" s="1">
        <v>13752358075</v>
      </c>
      <c r="Q659" s="1" t="s">
        <v>2012</v>
      </c>
    </row>
    <row r="660" spans="1:17">
      <c r="A660" s="1"/>
      <c r="B660" s="1" t="s">
        <v>2014</v>
      </c>
      <c r="C660" s="1" t="s">
        <v>2015</v>
      </c>
      <c r="D660" s="1" t="s">
        <v>5139</v>
      </c>
      <c r="E660" s="1" t="s">
        <v>687</v>
      </c>
      <c r="F660" s="1">
        <v>1</v>
      </c>
      <c r="G660" s="1">
        <v>0.81</v>
      </c>
      <c r="H660" s="1">
        <v>4</v>
      </c>
      <c r="J660" s="1" t="s">
        <v>293</v>
      </c>
      <c r="K660" s="1" t="s">
        <v>2019</v>
      </c>
      <c r="L660" s="1">
        <v>15303356867</v>
      </c>
      <c r="M660" s="1" t="s">
        <v>2020</v>
      </c>
      <c r="N660" s="1" t="s">
        <v>2019</v>
      </c>
      <c r="O660" s="1" t="s">
        <v>2020</v>
      </c>
      <c r="P660" s="1">
        <v>15303356867</v>
      </c>
      <c r="Q660" s="1" t="s">
        <v>2021</v>
      </c>
    </row>
    <row r="661" spans="1:17">
      <c r="A661" s="1"/>
      <c r="B661" s="1"/>
      <c r="C661" s="1"/>
      <c r="D661" s="1" t="s">
        <v>5336</v>
      </c>
      <c r="E661" s="1" t="s">
        <v>1210</v>
      </c>
      <c r="F661" s="1"/>
      <c r="G661" s="1"/>
      <c r="H661" s="1"/>
      <c r="I661" s="1" t="s">
        <v>1634</v>
      </c>
      <c r="J661" s="1"/>
      <c r="K661" s="1"/>
      <c r="L661" s="1"/>
      <c r="M661" s="1"/>
      <c r="N661" s="1"/>
      <c r="O661" s="1"/>
      <c r="P661" s="1"/>
      <c r="Q661" s="1"/>
    </row>
    <row r="662" spans="1:17">
      <c r="A662" s="1"/>
      <c r="B662" s="1"/>
      <c r="C662" s="1"/>
      <c r="D662" s="1" t="s">
        <v>4990</v>
      </c>
      <c r="E662" s="1" t="s">
        <v>1210</v>
      </c>
      <c r="F662" s="1"/>
      <c r="G662" s="1"/>
      <c r="H662" s="1"/>
      <c r="I662" s="1" t="s">
        <v>450</v>
      </c>
      <c r="J662" s="1"/>
      <c r="K662" s="1"/>
      <c r="L662" s="1"/>
      <c r="M662" s="1"/>
      <c r="N662" s="1"/>
      <c r="O662" s="1"/>
      <c r="P662" s="1"/>
      <c r="Q662" s="1"/>
    </row>
    <row r="663" spans="1:17">
      <c r="A663" s="1"/>
      <c r="B663" s="1"/>
      <c r="C663" s="1"/>
      <c r="D663" s="1" t="s">
        <v>5361</v>
      </c>
      <c r="E663" s="1" t="s">
        <v>1210</v>
      </c>
      <c r="F663" s="1"/>
      <c r="G663" s="1"/>
      <c r="H663" s="1"/>
      <c r="I663" s="1" t="s">
        <v>1634</v>
      </c>
      <c r="J663" s="1"/>
      <c r="K663" s="1"/>
      <c r="L663" s="1"/>
      <c r="M663" s="1"/>
      <c r="N663" s="1"/>
      <c r="O663" s="1"/>
      <c r="P663" s="1"/>
      <c r="Q663" s="1"/>
    </row>
    <row r="664" spans="1:17">
      <c r="A664" s="1"/>
      <c r="B664" s="1" t="s">
        <v>2023</v>
      </c>
      <c r="C664" s="1" t="s">
        <v>2024</v>
      </c>
      <c r="D664" s="1" t="s">
        <v>5362</v>
      </c>
      <c r="E664" s="1" t="s">
        <v>625</v>
      </c>
      <c r="F664" s="1">
        <v>1</v>
      </c>
      <c r="G664" s="1">
        <v>0.81</v>
      </c>
      <c r="H664" s="1">
        <v>11</v>
      </c>
      <c r="J664" s="1" t="s">
        <v>40</v>
      </c>
      <c r="K664" s="1" t="s">
        <v>2026</v>
      </c>
      <c r="L664" s="1">
        <v>13605749073</v>
      </c>
      <c r="M664" s="1" t="s">
        <v>2027</v>
      </c>
      <c r="N664" s="1" t="s">
        <v>2026</v>
      </c>
      <c r="O664" s="1" t="s">
        <v>2027</v>
      </c>
      <c r="P664" s="1">
        <v>13605749073</v>
      </c>
      <c r="Q664" s="1" t="s">
        <v>2028</v>
      </c>
    </row>
    <row r="665" spans="1:17">
      <c r="A665" s="1"/>
      <c r="B665" s="1"/>
      <c r="C665" s="1"/>
      <c r="D665" s="1" t="s">
        <v>5152</v>
      </c>
      <c r="E665" s="1" t="s">
        <v>625</v>
      </c>
      <c r="F665" s="1"/>
      <c r="G665" s="1"/>
      <c r="H665" s="1"/>
      <c r="J665" s="1"/>
      <c r="K665" s="1"/>
      <c r="L665" s="1"/>
      <c r="M665" s="1"/>
      <c r="N665" s="1"/>
      <c r="O665" s="1"/>
      <c r="P665" s="1"/>
      <c r="Q665" s="1"/>
    </row>
    <row r="666" spans="1:17">
      <c r="A666" s="1"/>
      <c r="B666" s="1" t="s">
        <v>2030</v>
      </c>
      <c r="C666" s="1" t="s">
        <v>2031</v>
      </c>
      <c r="D666" s="1" t="s">
        <v>5014</v>
      </c>
      <c r="E666" s="1" t="s">
        <v>625</v>
      </c>
      <c r="F666" s="1">
        <v>1</v>
      </c>
      <c r="G666" s="1">
        <v>1.26</v>
      </c>
      <c r="H666" s="1">
        <v>5</v>
      </c>
      <c r="I666" s="1" t="s">
        <v>5048</v>
      </c>
      <c r="J666" s="1" t="s">
        <v>40</v>
      </c>
      <c r="K666" s="1" t="s">
        <v>2034</v>
      </c>
      <c r="L666" s="1">
        <v>13847156123</v>
      </c>
      <c r="M666" s="1" t="s">
        <v>2035</v>
      </c>
      <c r="N666" s="1" t="s">
        <v>2036</v>
      </c>
      <c r="O666" s="1" t="s">
        <v>2035</v>
      </c>
      <c r="P666" s="1">
        <v>13847156123</v>
      </c>
      <c r="Q666" s="1" t="s">
        <v>2037</v>
      </c>
    </row>
    <row r="667" spans="1:17">
      <c r="A667" s="1"/>
      <c r="B667" s="1"/>
      <c r="C667" s="1"/>
      <c r="D667" s="1" t="s">
        <v>5363</v>
      </c>
      <c r="E667" s="1" t="s">
        <v>625</v>
      </c>
      <c r="F667" s="1"/>
      <c r="G667" s="1"/>
      <c r="H667" s="1"/>
      <c r="I667" s="1" t="s">
        <v>4963</v>
      </c>
      <c r="J667" s="1"/>
      <c r="K667" s="1"/>
      <c r="L667" s="1"/>
      <c r="M667" s="1"/>
      <c r="N667" s="1"/>
      <c r="O667" s="1"/>
      <c r="P667" s="1"/>
      <c r="Q667" s="1"/>
    </row>
    <row r="668" spans="1:17">
      <c r="A668" s="1"/>
      <c r="B668" s="1"/>
      <c r="C668" s="1"/>
      <c r="D668" s="1" t="s">
        <v>5264</v>
      </c>
      <c r="E668" s="1" t="s">
        <v>625</v>
      </c>
      <c r="F668" s="1"/>
      <c r="G668" s="1"/>
      <c r="H668" s="1"/>
      <c r="I668" s="1" t="s">
        <v>4987</v>
      </c>
      <c r="J668" s="1"/>
      <c r="K668" s="1"/>
      <c r="L668" s="1"/>
      <c r="M668" s="1"/>
      <c r="N668" s="1"/>
      <c r="O668" s="1"/>
      <c r="P668" s="1"/>
      <c r="Q668" s="1"/>
    </row>
    <row r="669" spans="1:17">
      <c r="A669" s="1"/>
      <c r="B669" s="1"/>
      <c r="C669" s="1"/>
      <c r="D669" s="1" t="s">
        <v>5011</v>
      </c>
      <c r="E669" s="1" t="s">
        <v>625</v>
      </c>
      <c r="F669" s="1"/>
      <c r="G669" s="1"/>
      <c r="H669" s="1"/>
      <c r="I669" s="1" t="s">
        <v>5132</v>
      </c>
      <c r="J669" s="1"/>
      <c r="K669" s="1"/>
      <c r="L669" s="1"/>
      <c r="M669" s="1"/>
      <c r="N669" s="1"/>
      <c r="O669" s="1"/>
      <c r="P669" s="1"/>
      <c r="Q669" s="1"/>
    </row>
    <row r="670" spans="1:17">
      <c r="A670" s="1"/>
      <c r="B670" s="1" t="s">
        <v>2039</v>
      </c>
      <c r="C670" s="1" t="s">
        <v>2040</v>
      </c>
      <c r="D670" s="1" t="s">
        <v>5364</v>
      </c>
      <c r="E670" s="1" t="s">
        <v>2413</v>
      </c>
      <c r="F670" s="1">
        <v>1</v>
      </c>
      <c r="G670" s="1">
        <v>1.49</v>
      </c>
      <c r="H670" s="1">
        <v>10</v>
      </c>
      <c r="J670" s="1" t="s">
        <v>29</v>
      </c>
      <c r="K670" s="1" t="s">
        <v>2043</v>
      </c>
      <c r="L670" s="1">
        <v>13824680321</v>
      </c>
      <c r="M670" s="1" t="s">
        <v>2044</v>
      </c>
      <c r="N670" s="1" t="s">
        <v>2045</v>
      </c>
      <c r="O670" s="1" t="s">
        <v>2046</v>
      </c>
      <c r="P670" s="1">
        <v>13531876705</v>
      </c>
      <c r="Q670" s="1" t="s">
        <v>2047</v>
      </c>
    </row>
    <row r="671" spans="1:17">
      <c r="A671" s="1"/>
      <c r="B671" s="1"/>
      <c r="C671" s="1"/>
      <c r="D671" s="1" t="s">
        <v>5365</v>
      </c>
      <c r="E671" s="1" t="s">
        <v>2413</v>
      </c>
      <c r="F671" s="1"/>
      <c r="G671" s="1"/>
      <c r="H671" s="1"/>
      <c r="J671" s="1"/>
      <c r="K671" s="1"/>
      <c r="L671" s="1"/>
      <c r="M671" s="1"/>
      <c r="N671" s="1"/>
      <c r="O671" s="1"/>
      <c r="P671" s="1"/>
      <c r="Q671" s="1"/>
    </row>
    <row r="672" spans="1:17">
      <c r="A672" s="1"/>
      <c r="B672" s="1"/>
      <c r="C672" s="1"/>
      <c r="D672" s="1" t="s">
        <v>5085</v>
      </c>
      <c r="E672" s="1" t="s">
        <v>5366</v>
      </c>
      <c r="F672" s="1"/>
      <c r="G672" s="1"/>
      <c r="H672" s="1"/>
      <c r="J672" s="1"/>
      <c r="K672" s="1"/>
      <c r="L672" s="1"/>
      <c r="M672" s="1"/>
      <c r="N672" s="1"/>
      <c r="O672" s="1"/>
      <c r="P672" s="1"/>
      <c r="Q672" s="1"/>
    </row>
    <row r="673" spans="1:17">
      <c r="A673" s="1"/>
      <c r="B673" s="1"/>
      <c r="C673" s="1"/>
      <c r="D673" s="1" t="s">
        <v>5367</v>
      </c>
      <c r="E673" s="1" t="s">
        <v>302</v>
      </c>
      <c r="F673" s="1"/>
      <c r="G673" s="1"/>
      <c r="H673" s="1"/>
      <c r="J673" s="1"/>
      <c r="K673" s="1"/>
      <c r="L673" s="1"/>
      <c r="M673" s="1"/>
      <c r="N673" s="1"/>
      <c r="O673" s="1"/>
      <c r="P673" s="1"/>
      <c r="Q673" s="1"/>
    </row>
    <row r="674" spans="1:17">
      <c r="A674" s="1"/>
      <c r="B674" s="1"/>
      <c r="C674" s="1"/>
      <c r="D674" s="1" t="s">
        <v>5368</v>
      </c>
      <c r="E674" s="1" t="s">
        <v>5176</v>
      </c>
      <c r="F674" s="1"/>
      <c r="G674" s="1"/>
      <c r="H674" s="1"/>
      <c r="J674" s="1"/>
      <c r="K674" s="1"/>
      <c r="L674" s="1"/>
      <c r="M674" s="1"/>
      <c r="N674" s="1"/>
      <c r="O674" s="1"/>
      <c r="P674" s="1"/>
      <c r="Q674" s="1"/>
    </row>
    <row r="675" spans="1:17">
      <c r="A675" s="1"/>
      <c r="B675" s="1"/>
      <c r="C675" s="1"/>
      <c r="D675" s="1" t="s">
        <v>5369</v>
      </c>
      <c r="E675" s="1" t="s">
        <v>5176</v>
      </c>
      <c r="F675" s="1"/>
      <c r="G675" s="1"/>
      <c r="H675" s="1"/>
      <c r="J675" s="1"/>
      <c r="K675" s="1"/>
      <c r="L675" s="1"/>
      <c r="M675" s="1"/>
      <c r="N675" s="1"/>
      <c r="O675" s="1"/>
      <c r="P675" s="1"/>
      <c r="Q675" s="1"/>
    </row>
    <row r="676" spans="1:17">
      <c r="A676" s="1"/>
      <c r="B676" s="1" t="s">
        <v>2049</v>
      </c>
      <c r="C676" s="1" t="s">
        <v>2050</v>
      </c>
      <c r="D676" s="1" t="s">
        <v>4960</v>
      </c>
      <c r="E676" s="1" t="s">
        <v>625</v>
      </c>
      <c r="F676" s="1">
        <v>1</v>
      </c>
      <c r="G676" s="1">
        <v>2.17</v>
      </c>
      <c r="H676" s="1">
        <v>11</v>
      </c>
      <c r="I676" s="1" t="s">
        <v>4985</v>
      </c>
      <c r="J676" s="1" t="s">
        <v>40</v>
      </c>
      <c r="K676" s="1" t="s">
        <v>660</v>
      </c>
      <c r="L676" s="1">
        <v>13135347968</v>
      </c>
      <c r="M676" s="1" t="s">
        <v>661</v>
      </c>
      <c r="N676" s="1" t="s">
        <v>2053</v>
      </c>
      <c r="O676" s="1" t="s">
        <v>2054</v>
      </c>
      <c r="P676" s="1">
        <v>13665703699</v>
      </c>
      <c r="Q676" s="1" t="s">
        <v>2055</v>
      </c>
    </row>
    <row r="677" spans="1:17">
      <c r="A677" s="1"/>
      <c r="B677" s="1"/>
      <c r="C677" s="1"/>
      <c r="D677" s="1" t="s">
        <v>5252</v>
      </c>
      <c r="E677" s="1" t="s">
        <v>625</v>
      </c>
      <c r="F677" s="1"/>
      <c r="G677" s="1"/>
      <c r="H677" s="1"/>
      <c r="I677" s="1" t="s">
        <v>4983</v>
      </c>
      <c r="J677" s="1"/>
      <c r="K677" s="1"/>
      <c r="L677" s="1"/>
      <c r="M677" s="1"/>
      <c r="N677" s="1"/>
      <c r="O677" s="1"/>
      <c r="P677" s="1"/>
      <c r="Q677" s="1"/>
    </row>
    <row r="678" spans="1:17">
      <c r="A678" s="1"/>
      <c r="B678" s="1"/>
      <c r="C678" s="1"/>
      <c r="D678" s="1" t="s">
        <v>5084</v>
      </c>
      <c r="E678" s="1" t="s">
        <v>625</v>
      </c>
      <c r="F678" s="1"/>
      <c r="G678" s="1"/>
      <c r="H678" s="1"/>
      <c r="I678" s="1" t="s">
        <v>4241</v>
      </c>
      <c r="J678" s="1"/>
      <c r="K678" s="1"/>
      <c r="L678" s="1"/>
      <c r="M678" s="1"/>
      <c r="N678" s="1"/>
      <c r="O678" s="1"/>
      <c r="P678" s="1"/>
      <c r="Q678" s="1"/>
    </row>
    <row r="679" spans="1:17">
      <c r="A679" s="1"/>
      <c r="B679" s="1" t="s">
        <v>2057</v>
      </c>
      <c r="C679" s="1" t="s">
        <v>2058</v>
      </c>
      <c r="D679" s="1" t="s">
        <v>5014</v>
      </c>
      <c r="E679" s="1" t="s">
        <v>625</v>
      </c>
      <c r="F679" s="1">
        <v>1</v>
      </c>
      <c r="G679" s="1">
        <v>1.04</v>
      </c>
      <c r="H679" s="1">
        <v>4</v>
      </c>
      <c r="J679" s="1" t="s">
        <v>40</v>
      </c>
      <c r="K679" s="1" t="s">
        <v>2060</v>
      </c>
      <c r="L679" s="1">
        <v>13878572611</v>
      </c>
      <c r="M679" s="1" t="s">
        <v>2061</v>
      </c>
      <c r="N679" s="1" t="s">
        <v>2062</v>
      </c>
      <c r="O679" s="1" t="s">
        <v>2063</v>
      </c>
      <c r="P679" s="1">
        <v>18677008655</v>
      </c>
      <c r="Q679" s="1" t="s">
        <v>2064</v>
      </c>
    </row>
    <row r="680" spans="1:17">
      <c r="A680" s="1"/>
      <c r="B680" s="1"/>
      <c r="C680" s="1"/>
      <c r="D680" s="1" t="s">
        <v>5018</v>
      </c>
      <c r="E680" s="1" t="s">
        <v>625</v>
      </c>
      <c r="F680" s="1"/>
      <c r="G680" s="1"/>
      <c r="H680" s="1"/>
      <c r="J680" s="1"/>
      <c r="K680" s="1"/>
      <c r="L680" s="1"/>
      <c r="M680" s="1"/>
      <c r="N680" s="1"/>
      <c r="O680" s="1"/>
      <c r="P680" s="1"/>
      <c r="Q680" s="1"/>
    </row>
    <row r="681" spans="1:17">
      <c r="A681" s="1"/>
      <c r="B681" s="1" t="s">
        <v>2066</v>
      </c>
      <c r="C681" s="1" t="s">
        <v>2067</v>
      </c>
      <c r="D681" s="1" t="s">
        <v>5370</v>
      </c>
      <c r="E681" s="1" t="s">
        <v>2069</v>
      </c>
      <c r="F681" s="1">
        <v>1</v>
      </c>
      <c r="G681" s="1">
        <v>1.26</v>
      </c>
      <c r="H681" s="1">
        <v>8</v>
      </c>
      <c r="J681" s="1" t="s">
        <v>103</v>
      </c>
      <c r="K681" s="1" t="s">
        <v>2070</v>
      </c>
      <c r="L681" s="1">
        <v>15806214222</v>
      </c>
      <c r="M681" s="1" t="s">
        <v>2071</v>
      </c>
      <c r="N681" s="1" t="s">
        <v>2072</v>
      </c>
      <c r="O681" s="1" t="s">
        <v>2073</v>
      </c>
      <c r="P681" s="1">
        <v>15995799925</v>
      </c>
      <c r="Q681" s="1" t="s">
        <v>2074</v>
      </c>
    </row>
    <row r="682" spans="1:17">
      <c r="A682" s="1"/>
      <c r="B682" s="1" t="s">
        <v>2076</v>
      </c>
      <c r="C682" s="1" t="s">
        <v>2077</v>
      </c>
      <c r="D682" s="1" t="s">
        <v>5020</v>
      </c>
      <c r="E682" s="1" t="s">
        <v>625</v>
      </c>
      <c r="F682" s="1">
        <v>1</v>
      </c>
      <c r="G682" s="1">
        <v>1.72</v>
      </c>
      <c r="H682" s="1">
        <v>12</v>
      </c>
      <c r="J682" s="1" t="s">
        <v>40</v>
      </c>
      <c r="K682" s="1" t="s">
        <v>2079</v>
      </c>
      <c r="L682" s="1">
        <v>13928112992</v>
      </c>
      <c r="M682" s="1" t="s">
        <v>2080</v>
      </c>
      <c r="N682" s="1" t="s">
        <v>2079</v>
      </c>
      <c r="O682" s="1" t="s">
        <v>2080</v>
      </c>
      <c r="P682" s="1">
        <v>13928112992</v>
      </c>
      <c r="Q682" s="1" t="s">
        <v>2081</v>
      </c>
    </row>
    <row r="683" spans="1:17">
      <c r="A683" s="1"/>
      <c r="B683" s="1"/>
      <c r="C683" s="1"/>
      <c r="D683" s="1" t="s">
        <v>5024</v>
      </c>
      <c r="E683" s="1" t="s">
        <v>625</v>
      </c>
      <c r="F683" s="1"/>
      <c r="G683" s="1"/>
      <c r="H683" s="1"/>
      <c r="J683" s="1"/>
      <c r="K683" s="1"/>
      <c r="L683" s="1"/>
      <c r="M683" s="1"/>
      <c r="N683" s="1"/>
      <c r="O683" s="1"/>
      <c r="P683" s="1"/>
      <c r="Q683" s="1"/>
    </row>
    <row r="684" spans="1:17">
      <c r="A684" s="1"/>
      <c r="B684" s="1"/>
      <c r="C684" s="1"/>
      <c r="D684" s="1" t="s">
        <v>5018</v>
      </c>
      <c r="E684" s="1" t="s">
        <v>625</v>
      </c>
      <c r="F684" s="1"/>
      <c r="G684" s="1"/>
      <c r="H684" s="1"/>
      <c r="J684" s="1"/>
      <c r="K684" s="1"/>
      <c r="L684" s="1"/>
      <c r="M684" s="1"/>
      <c r="N684" s="1"/>
      <c r="O684" s="1"/>
      <c r="P684" s="1"/>
      <c r="Q684" s="1"/>
    </row>
    <row r="685" spans="1:17">
      <c r="A685" s="1"/>
      <c r="B685" s="1"/>
      <c r="C685" s="1"/>
      <c r="D685" s="1" t="s">
        <v>5029</v>
      </c>
      <c r="E685" s="1" t="s">
        <v>625</v>
      </c>
      <c r="F685" s="1"/>
      <c r="G685" s="1"/>
      <c r="H685" s="1"/>
      <c r="J685" s="1"/>
      <c r="K685" s="1"/>
      <c r="L685" s="1"/>
      <c r="M685" s="1"/>
      <c r="N685" s="1"/>
      <c r="O685" s="1"/>
      <c r="P685" s="1"/>
      <c r="Q685" s="1"/>
    </row>
    <row r="686" spans="1:17">
      <c r="A686" s="1"/>
      <c r="B686" s="1"/>
      <c r="C686" s="1"/>
      <c r="D686" s="1" t="s">
        <v>5071</v>
      </c>
      <c r="E686" s="1" t="s">
        <v>625</v>
      </c>
      <c r="F686" s="1"/>
      <c r="G686" s="1"/>
      <c r="H686" s="1"/>
      <c r="J686" s="1"/>
      <c r="K686" s="1"/>
      <c r="L686" s="1"/>
      <c r="M686" s="1"/>
      <c r="N686" s="1"/>
      <c r="O686" s="1"/>
      <c r="P686" s="1"/>
      <c r="Q686" s="1"/>
    </row>
    <row r="687" spans="1:17">
      <c r="A687" s="1"/>
      <c r="B687" s="1"/>
      <c r="C687" s="1"/>
      <c r="D687" s="1" t="s">
        <v>5072</v>
      </c>
      <c r="E687" s="1" t="s">
        <v>625</v>
      </c>
      <c r="F687" s="1"/>
      <c r="G687" s="1"/>
      <c r="H687" s="1"/>
      <c r="J687" s="1"/>
      <c r="K687" s="1"/>
      <c r="L687" s="1"/>
      <c r="M687" s="1"/>
      <c r="N687" s="1"/>
      <c r="O687" s="1"/>
      <c r="P687" s="1"/>
      <c r="Q687" s="1"/>
    </row>
    <row r="688" spans="1:17">
      <c r="A688" s="1"/>
      <c r="B688" s="1" t="s">
        <v>2083</v>
      </c>
      <c r="C688" s="1" t="s">
        <v>2084</v>
      </c>
      <c r="D688" s="1" t="s">
        <v>5146</v>
      </c>
      <c r="E688" s="1" t="s">
        <v>625</v>
      </c>
      <c r="F688" s="1">
        <v>1</v>
      </c>
      <c r="G688" s="1">
        <v>1.49</v>
      </c>
      <c r="H688" s="1">
        <v>13</v>
      </c>
      <c r="I688" s="1" t="s">
        <v>5101</v>
      </c>
      <c r="J688" s="1" t="s">
        <v>40</v>
      </c>
      <c r="K688" s="1" t="s">
        <v>812</v>
      </c>
      <c r="L688" s="1">
        <v>13601026293</v>
      </c>
      <c r="M688" s="1" t="s">
        <v>813</v>
      </c>
      <c r="N688" s="1" t="s">
        <v>2087</v>
      </c>
      <c r="O688" s="1" t="s">
        <v>2088</v>
      </c>
      <c r="P688" s="1">
        <v>18601226301</v>
      </c>
      <c r="Q688" s="1" t="s">
        <v>2089</v>
      </c>
    </row>
    <row r="689" spans="1:17">
      <c r="A689" s="1"/>
      <c r="B689" s="1"/>
      <c r="C689" s="1"/>
      <c r="D689" s="1" t="s">
        <v>5234</v>
      </c>
      <c r="E689" s="1" t="s">
        <v>625</v>
      </c>
      <c r="F689" s="1"/>
      <c r="G689" s="1"/>
      <c r="H689" s="1"/>
      <c r="I689" s="1" t="s">
        <v>4985</v>
      </c>
      <c r="J689" s="1"/>
      <c r="K689" s="1"/>
      <c r="L689" s="1"/>
      <c r="M689" s="1"/>
      <c r="N689" s="1"/>
      <c r="O689" s="1"/>
      <c r="P689" s="1"/>
      <c r="Q689" s="1"/>
    </row>
    <row r="690" spans="1:17">
      <c r="A690" s="1"/>
      <c r="B690" s="1"/>
      <c r="C690" s="1"/>
      <c r="D690" s="1" t="s">
        <v>5098</v>
      </c>
      <c r="E690" s="1" t="s">
        <v>625</v>
      </c>
      <c r="F690" s="1"/>
      <c r="G690" s="1"/>
      <c r="H690" s="1"/>
      <c r="I690" s="1" t="s">
        <v>4983</v>
      </c>
      <c r="J690" s="1"/>
      <c r="K690" s="1"/>
      <c r="L690" s="1"/>
      <c r="M690" s="1"/>
      <c r="N690" s="1"/>
      <c r="O690" s="1"/>
      <c r="P690" s="1"/>
      <c r="Q690" s="1"/>
    </row>
    <row r="691" spans="1:17">
      <c r="A691" s="1"/>
      <c r="B691" s="1"/>
      <c r="C691" s="1"/>
      <c r="D691" s="1" t="s">
        <v>4988</v>
      </c>
      <c r="E691" s="1" t="s">
        <v>625</v>
      </c>
      <c r="F691" s="1"/>
      <c r="G691" s="1"/>
      <c r="H691" s="1"/>
      <c r="I691" s="1" t="s">
        <v>4987</v>
      </c>
      <c r="J691" s="1"/>
      <c r="K691" s="1"/>
      <c r="L691" s="1"/>
      <c r="M691" s="1"/>
      <c r="N691" s="1"/>
      <c r="O691" s="1"/>
      <c r="P691" s="1"/>
      <c r="Q691" s="1"/>
    </row>
    <row r="692" spans="1:17">
      <c r="A692" s="1"/>
      <c r="B692" s="1" t="s">
        <v>2091</v>
      </c>
      <c r="C692" s="1" t="s">
        <v>2092</v>
      </c>
      <c r="D692" s="1" t="s">
        <v>5371</v>
      </c>
      <c r="E692" s="1" t="s">
        <v>420</v>
      </c>
      <c r="F692" s="1">
        <v>1</v>
      </c>
      <c r="G692" s="1">
        <v>0.81</v>
      </c>
      <c r="H692" s="1">
        <v>5</v>
      </c>
      <c r="J692" s="1" t="s">
        <v>29</v>
      </c>
      <c r="K692" s="1" t="s">
        <v>2094</v>
      </c>
      <c r="L692" s="1">
        <v>13316970672</v>
      </c>
      <c r="M692" s="1" t="s">
        <v>2095</v>
      </c>
      <c r="N692" s="1" t="s">
        <v>2094</v>
      </c>
      <c r="O692" s="1" t="s">
        <v>2095</v>
      </c>
      <c r="P692" s="1">
        <v>13316970672</v>
      </c>
      <c r="Q692" s="1" t="s">
        <v>2096</v>
      </c>
    </row>
    <row r="693" spans="1:17">
      <c r="A693" s="1"/>
      <c r="B693" s="1"/>
      <c r="C693" s="1"/>
      <c r="D693" s="1" t="s">
        <v>4952</v>
      </c>
      <c r="E693" s="1" t="s">
        <v>420</v>
      </c>
      <c r="F693" s="1"/>
      <c r="G693" s="1"/>
      <c r="H693" s="1"/>
      <c r="J693" s="1"/>
      <c r="K693" s="1"/>
      <c r="L693" s="1"/>
      <c r="M693" s="1"/>
      <c r="N693" s="1"/>
      <c r="O693" s="1"/>
      <c r="P693" s="1"/>
      <c r="Q693" s="1"/>
    </row>
    <row r="694" spans="1:17">
      <c r="A694" s="1"/>
      <c r="B694" s="1"/>
      <c r="C694" s="1"/>
      <c r="D694" s="1" t="s">
        <v>5000</v>
      </c>
      <c r="E694" s="1" t="s">
        <v>420</v>
      </c>
      <c r="F694" s="1"/>
      <c r="G694" s="1"/>
      <c r="H694" s="1"/>
      <c r="J694" s="1"/>
      <c r="K694" s="1"/>
      <c r="L694" s="1"/>
      <c r="M694" s="1"/>
      <c r="N694" s="1"/>
      <c r="O694" s="1"/>
      <c r="P694" s="1"/>
      <c r="Q694" s="1"/>
    </row>
    <row r="695" spans="1:17">
      <c r="A695" s="1"/>
      <c r="B695" s="1"/>
      <c r="C695" s="1"/>
      <c r="D695" s="1" t="s">
        <v>5007</v>
      </c>
      <c r="E695" s="1" t="s">
        <v>420</v>
      </c>
      <c r="F695" s="1"/>
      <c r="G695" s="1"/>
      <c r="H695" s="1"/>
      <c r="J695" s="1"/>
      <c r="K695" s="1"/>
      <c r="L695" s="1"/>
      <c r="M695" s="1"/>
      <c r="N695" s="1"/>
      <c r="O695" s="1"/>
      <c r="P695" s="1"/>
      <c r="Q695" s="1"/>
    </row>
    <row r="696" spans="1:17">
      <c r="A696" s="1"/>
      <c r="B696" s="1"/>
      <c r="C696" s="1"/>
      <c r="D696" s="1" t="s">
        <v>5372</v>
      </c>
      <c r="E696" s="1" t="s">
        <v>420</v>
      </c>
      <c r="F696" s="1"/>
      <c r="G696" s="1"/>
      <c r="H696" s="1"/>
      <c r="J696" s="1"/>
      <c r="K696" s="1"/>
      <c r="L696" s="1"/>
      <c r="M696" s="1"/>
      <c r="N696" s="1"/>
      <c r="O696" s="1"/>
      <c r="P696" s="1"/>
      <c r="Q696" s="1"/>
    </row>
    <row r="697" spans="1:17">
      <c r="A697" s="1"/>
      <c r="B697" s="1" t="s">
        <v>2098</v>
      </c>
      <c r="C697" s="1" t="s">
        <v>2099</v>
      </c>
      <c r="D697" s="1" t="s">
        <v>5373</v>
      </c>
      <c r="E697" s="1" t="s">
        <v>420</v>
      </c>
      <c r="F697" s="1">
        <v>1</v>
      </c>
      <c r="G697" s="1">
        <v>2.4</v>
      </c>
      <c r="H697" s="1">
        <v>3</v>
      </c>
      <c r="J697" s="1" t="s">
        <v>40</v>
      </c>
      <c r="K697" s="1" t="s">
        <v>2101</v>
      </c>
      <c r="L697" s="1">
        <v>18351184440</v>
      </c>
      <c r="M697" s="1" t="s">
        <v>2102</v>
      </c>
      <c r="N697" s="1" t="s">
        <v>2101</v>
      </c>
      <c r="O697" s="1" t="s">
        <v>2102</v>
      </c>
      <c r="P697" s="1">
        <v>18351184440</v>
      </c>
      <c r="Q697" s="1" t="s">
        <v>2103</v>
      </c>
    </row>
    <row r="698" spans="1:17">
      <c r="A698" s="1"/>
      <c r="B698" s="1" t="s">
        <v>2105</v>
      </c>
      <c r="C698" s="1" t="s">
        <v>2106</v>
      </c>
      <c r="D698" s="1" t="s">
        <v>4984</v>
      </c>
      <c r="E698" s="1" t="s">
        <v>625</v>
      </c>
      <c r="F698" s="1">
        <v>1</v>
      </c>
      <c r="G698" s="1">
        <v>1.72</v>
      </c>
      <c r="H698" s="1">
        <v>12</v>
      </c>
      <c r="I698" s="1" t="s">
        <v>4985</v>
      </c>
      <c r="J698" s="1" t="s">
        <v>40</v>
      </c>
      <c r="K698" s="1" t="s">
        <v>2109</v>
      </c>
      <c r="L698" s="1">
        <v>13555827588</v>
      </c>
      <c r="M698" s="1" t="s">
        <v>2110</v>
      </c>
      <c r="N698" s="1" t="s">
        <v>2111</v>
      </c>
      <c r="O698" s="1" t="s">
        <v>2112</v>
      </c>
      <c r="P698" s="1">
        <v>13604074318</v>
      </c>
      <c r="Q698" s="1" t="s">
        <v>2113</v>
      </c>
    </row>
    <row r="699" spans="1:17">
      <c r="A699" s="1"/>
      <c r="B699" s="1"/>
      <c r="C699" s="1"/>
      <c r="D699" s="1" t="s">
        <v>4982</v>
      </c>
      <c r="E699" s="1" t="s">
        <v>625</v>
      </c>
      <c r="F699" s="1"/>
      <c r="G699" s="1"/>
      <c r="H699" s="1"/>
      <c r="I699" s="1" t="s">
        <v>4983</v>
      </c>
      <c r="J699" s="1"/>
      <c r="K699" s="1"/>
      <c r="L699" s="1"/>
      <c r="M699" s="1"/>
      <c r="N699" s="1"/>
      <c r="O699" s="1"/>
      <c r="P699" s="1"/>
      <c r="Q699" s="1"/>
    </row>
    <row r="700" spans="1:17">
      <c r="A700" s="1"/>
      <c r="B700" s="1"/>
      <c r="C700" s="1"/>
      <c r="D700" s="1" t="s">
        <v>5072</v>
      </c>
      <c r="E700" s="1" t="s">
        <v>625</v>
      </c>
      <c r="F700" s="1"/>
      <c r="G700" s="1"/>
      <c r="H700" s="1"/>
      <c r="I700" s="1" t="s">
        <v>4987</v>
      </c>
      <c r="J700" s="1"/>
      <c r="K700" s="1"/>
      <c r="L700" s="1"/>
      <c r="M700" s="1"/>
      <c r="N700" s="1"/>
      <c r="O700" s="1"/>
      <c r="P700" s="1"/>
      <c r="Q700" s="1"/>
    </row>
    <row r="701" spans="1:17">
      <c r="A701" s="1"/>
      <c r="B701" s="1" t="s">
        <v>2115</v>
      </c>
      <c r="C701" s="1" t="s">
        <v>2116</v>
      </c>
      <c r="D701" s="1" t="s">
        <v>5162</v>
      </c>
      <c r="E701" s="1" t="s">
        <v>625</v>
      </c>
      <c r="F701" s="1">
        <v>1</v>
      </c>
      <c r="G701" s="1">
        <v>1.04</v>
      </c>
      <c r="H701" s="1">
        <v>10</v>
      </c>
      <c r="I701" s="1" t="s">
        <v>4985</v>
      </c>
      <c r="J701" s="1" t="s">
        <v>40</v>
      </c>
      <c r="K701" s="1" t="s">
        <v>841</v>
      </c>
      <c r="L701" s="1">
        <v>13857400062</v>
      </c>
      <c r="M701" s="1" t="s">
        <v>842</v>
      </c>
      <c r="N701" s="1" t="s">
        <v>841</v>
      </c>
      <c r="O701" s="1" t="s">
        <v>2119</v>
      </c>
      <c r="P701" s="1">
        <v>13806678648</v>
      </c>
      <c r="Q701" s="1" t="s">
        <v>2120</v>
      </c>
    </row>
    <row r="702" spans="1:17">
      <c r="A702" s="1"/>
      <c r="B702" s="1"/>
      <c r="C702" s="1"/>
      <c r="D702" s="1" t="s">
        <v>5072</v>
      </c>
      <c r="E702" s="1" t="s">
        <v>625</v>
      </c>
      <c r="F702" s="1"/>
      <c r="G702" s="1"/>
      <c r="H702" s="1"/>
      <c r="I702" s="1" t="s">
        <v>4987</v>
      </c>
      <c r="J702" s="1"/>
      <c r="K702" s="1"/>
      <c r="L702" s="1"/>
      <c r="M702" s="1"/>
      <c r="N702" s="1"/>
      <c r="O702" s="1"/>
      <c r="P702" s="1"/>
      <c r="Q702" s="1"/>
    </row>
    <row r="703" spans="1:17">
      <c r="A703" s="1"/>
      <c r="B703" s="1"/>
      <c r="C703" s="1"/>
      <c r="D703" s="1" t="s">
        <v>5019</v>
      </c>
      <c r="E703" s="1" t="s">
        <v>625</v>
      </c>
      <c r="F703" s="1"/>
      <c r="G703" s="1"/>
      <c r="H703" s="1"/>
      <c r="I703" s="1" t="s">
        <v>4983</v>
      </c>
      <c r="J703" s="1"/>
      <c r="K703" s="1"/>
      <c r="L703" s="1"/>
      <c r="M703" s="1"/>
      <c r="N703" s="1"/>
      <c r="O703" s="1"/>
      <c r="P703" s="1"/>
      <c r="Q703" s="1"/>
    </row>
    <row r="704" spans="1:17">
      <c r="A704" s="1"/>
      <c r="B704" s="1"/>
      <c r="C704" s="1"/>
      <c r="D704" s="1" t="s">
        <v>5244</v>
      </c>
      <c r="E704" s="1" t="s">
        <v>625</v>
      </c>
      <c r="F704" s="1"/>
      <c r="G704" s="1"/>
      <c r="H704" s="1"/>
      <c r="I704" s="1" t="s">
        <v>5235</v>
      </c>
      <c r="J704" s="1"/>
      <c r="K704" s="1"/>
      <c r="L704" s="1"/>
      <c r="M704" s="1"/>
      <c r="N704" s="1"/>
      <c r="O704" s="1"/>
      <c r="P704" s="1"/>
      <c r="Q704" s="1"/>
    </row>
    <row r="705" spans="1:17">
      <c r="A705" s="1"/>
      <c r="B705" s="1" t="s">
        <v>2122</v>
      </c>
      <c r="C705" s="1" t="s">
        <v>2123</v>
      </c>
      <c r="D705" s="1" t="s">
        <v>5374</v>
      </c>
      <c r="E705" s="1" t="s">
        <v>5375</v>
      </c>
      <c r="F705" s="1">
        <v>1</v>
      </c>
      <c r="G705" s="1">
        <v>1.72</v>
      </c>
      <c r="H705" s="1">
        <v>5</v>
      </c>
      <c r="J705" s="1" t="s">
        <v>103</v>
      </c>
      <c r="K705" s="1" t="s">
        <v>2126</v>
      </c>
      <c r="L705" s="1">
        <v>13321158080</v>
      </c>
      <c r="M705" s="1" t="s">
        <v>2127</v>
      </c>
      <c r="N705" s="1" t="s">
        <v>2128</v>
      </c>
      <c r="O705" s="1" t="s">
        <v>2129</v>
      </c>
      <c r="P705" s="1">
        <v>13701029646</v>
      </c>
      <c r="Q705" s="1" t="s">
        <v>2130</v>
      </c>
    </row>
    <row r="706" spans="1:17">
      <c r="A706" s="1"/>
      <c r="B706" s="1"/>
      <c r="C706" s="1"/>
      <c r="D706" s="1" t="s">
        <v>5376</v>
      </c>
      <c r="E706" s="1" t="s">
        <v>5377</v>
      </c>
      <c r="F706" s="1"/>
      <c r="G706" s="1"/>
      <c r="H706" s="1"/>
      <c r="J706" s="1"/>
      <c r="K706" s="1"/>
      <c r="L706" s="1"/>
      <c r="M706" s="1"/>
      <c r="N706" s="1"/>
      <c r="O706" s="1"/>
      <c r="P706" s="1"/>
      <c r="Q706" s="1"/>
    </row>
    <row r="707" spans="1:17">
      <c r="A707" s="1"/>
      <c r="B707" s="1" t="s">
        <v>2132</v>
      </c>
      <c r="C707" s="1" t="s">
        <v>2133</v>
      </c>
      <c r="D707" s="1" t="s">
        <v>5181</v>
      </c>
      <c r="E707" s="1" t="s">
        <v>625</v>
      </c>
      <c r="F707" s="1">
        <v>1</v>
      </c>
      <c r="G707" s="1">
        <v>0.81</v>
      </c>
      <c r="H707" s="1">
        <v>9</v>
      </c>
      <c r="J707" s="1" t="s">
        <v>40</v>
      </c>
      <c r="K707" s="1" t="s">
        <v>899</v>
      </c>
      <c r="L707" s="1">
        <v>18903126532</v>
      </c>
      <c r="M707" s="1" t="s">
        <v>900</v>
      </c>
      <c r="N707" s="1" t="s">
        <v>899</v>
      </c>
      <c r="O707" s="1" t="s">
        <v>2136</v>
      </c>
      <c r="P707" s="1">
        <v>18832216066</v>
      </c>
      <c r="Q707" s="1" t="s">
        <v>2137</v>
      </c>
    </row>
    <row r="708" spans="1:17">
      <c r="A708" s="1"/>
      <c r="B708" s="1"/>
      <c r="C708" s="1"/>
      <c r="D708" s="1" t="s">
        <v>5024</v>
      </c>
      <c r="E708" s="1" t="s">
        <v>625</v>
      </c>
      <c r="F708" s="1"/>
      <c r="G708" s="1"/>
      <c r="H708" s="1"/>
      <c r="I708" s="1" t="s">
        <v>4985</v>
      </c>
      <c r="J708" s="1"/>
      <c r="K708" s="1"/>
      <c r="L708" s="1"/>
      <c r="M708" s="1"/>
      <c r="N708" s="1"/>
      <c r="O708" s="1"/>
      <c r="P708" s="1"/>
      <c r="Q708" s="1"/>
    </row>
    <row r="709" spans="1:17">
      <c r="A709" s="1"/>
      <c r="B709" s="1"/>
      <c r="C709" s="1"/>
      <c r="D709" s="1" t="s">
        <v>5128</v>
      </c>
      <c r="E709" s="1" t="s">
        <v>625</v>
      </c>
      <c r="F709" s="1"/>
      <c r="G709" s="1"/>
      <c r="H709" s="1"/>
      <c r="I709" s="1" t="s">
        <v>4987</v>
      </c>
      <c r="J709" s="1"/>
      <c r="K709" s="1"/>
      <c r="L709" s="1"/>
      <c r="M709" s="1"/>
      <c r="N709" s="1"/>
      <c r="O709" s="1"/>
      <c r="P709" s="1"/>
      <c r="Q709" s="1"/>
    </row>
    <row r="710" spans="1:17">
      <c r="A710" s="1"/>
      <c r="B710" s="1" t="s">
        <v>2139</v>
      </c>
      <c r="C710" s="1" t="s">
        <v>2140</v>
      </c>
      <c r="D710" s="1" t="s">
        <v>4967</v>
      </c>
      <c r="E710" s="1" t="s">
        <v>2413</v>
      </c>
      <c r="F710" s="1">
        <v>1</v>
      </c>
      <c r="G710" s="1">
        <v>0.81</v>
      </c>
      <c r="H710" s="1">
        <v>9</v>
      </c>
      <c r="I710" s="1" t="s">
        <v>4968</v>
      </c>
      <c r="J710" s="1" t="s">
        <v>29</v>
      </c>
      <c r="K710" s="1" t="s">
        <v>2142</v>
      </c>
      <c r="L710" s="1">
        <v>13910075819</v>
      </c>
      <c r="M710" s="1" t="s">
        <v>2143</v>
      </c>
      <c r="N710" s="1" t="s">
        <v>2144</v>
      </c>
      <c r="O710" s="1" t="s">
        <v>2143</v>
      </c>
      <c r="P710" s="1">
        <v>13910075819</v>
      </c>
      <c r="Q710" s="1" t="s">
        <v>2145</v>
      </c>
    </row>
    <row r="711" spans="1:17">
      <c r="A711" s="1"/>
      <c r="B711" s="1"/>
      <c r="C711" s="1"/>
      <c r="D711" s="1" t="s">
        <v>5175</v>
      </c>
      <c r="E711" s="1" t="s">
        <v>2413</v>
      </c>
      <c r="F711" s="1"/>
      <c r="G711" s="1"/>
      <c r="H711" s="1"/>
      <c r="I711" s="1" t="s">
        <v>5173</v>
      </c>
      <c r="J711" s="1"/>
      <c r="K711" s="1"/>
      <c r="L711" s="1"/>
      <c r="M711" s="1"/>
      <c r="N711" s="1"/>
      <c r="O711" s="1"/>
      <c r="P711" s="1"/>
      <c r="Q711" s="1"/>
    </row>
    <row r="712" spans="1:17">
      <c r="A712" s="1"/>
      <c r="B712" s="1" t="s">
        <v>2147</v>
      </c>
      <c r="C712" s="1" t="s">
        <v>2148</v>
      </c>
      <c r="D712" s="1" t="s">
        <v>4967</v>
      </c>
      <c r="E712" s="1" t="s">
        <v>2413</v>
      </c>
      <c r="F712" s="1">
        <v>1</v>
      </c>
      <c r="G712" s="1">
        <v>0.81</v>
      </c>
      <c r="H712" s="1">
        <v>9</v>
      </c>
      <c r="I712" s="1" t="s">
        <v>4968</v>
      </c>
      <c r="J712" s="1" t="s">
        <v>29</v>
      </c>
      <c r="K712" s="1" t="s">
        <v>1231</v>
      </c>
      <c r="L712" s="1">
        <v>13671107288</v>
      </c>
      <c r="M712" s="1" t="s">
        <v>880</v>
      </c>
      <c r="N712" s="1" t="s">
        <v>2149</v>
      </c>
      <c r="O712" s="1" t="s">
        <v>2150</v>
      </c>
      <c r="P712" s="1">
        <v>13810041478</v>
      </c>
      <c r="Q712" s="1" t="s">
        <v>2151</v>
      </c>
    </row>
    <row r="713" spans="1:17">
      <c r="A713" s="1"/>
      <c r="B713" s="1"/>
      <c r="C713" s="1"/>
      <c r="D713" s="1" t="s">
        <v>5175</v>
      </c>
      <c r="E713" s="1" t="s">
        <v>2413</v>
      </c>
      <c r="F713" s="1"/>
      <c r="G713" s="1"/>
      <c r="H713" s="1"/>
      <c r="I713" s="1" t="s">
        <v>4970</v>
      </c>
      <c r="J713" s="1"/>
      <c r="K713" s="1"/>
      <c r="L713" s="1"/>
      <c r="M713" s="1"/>
      <c r="N713" s="1"/>
      <c r="O713" s="1"/>
      <c r="P713" s="1"/>
      <c r="Q713" s="1"/>
    </row>
    <row r="714" spans="1:17">
      <c r="A714" s="1"/>
      <c r="B714" s="1" t="s">
        <v>2153</v>
      </c>
      <c r="C714" s="1" t="s">
        <v>2154</v>
      </c>
      <c r="D714" s="1" t="s">
        <v>5378</v>
      </c>
      <c r="E714" s="1" t="s">
        <v>449</v>
      </c>
      <c r="F714" s="1">
        <v>1</v>
      </c>
      <c r="G714" s="1">
        <v>0.81</v>
      </c>
      <c r="H714" s="1">
        <v>13</v>
      </c>
      <c r="I714" s="1" t="s">
        <v>4968</v>
      </c>
      <c r="J714" s="1" t="s">
        <v>29</v>
      </c>
      <c r="K714" s="1" t="s">
        <v>82</v>
      </c>
      <c r="L714" s="1">
        <v>15210622672</v>
      </c>
      <c r="M714" s="1" t="s">
        <v>871</v>
      </c>
      <c r="N714" s="1" t="s">
        <v>2158</v>
      </c>
      <c r="O714" s="1" t="s">
        <v>2159</v>
      </c>
      <c r="P714" s="1">
        <v>13146915578</v>
      </c>
      <c r="Q714" s="1" t="s">
        <v>2160</v>
      </c>
    </row>
    <row r="715" spans="1:17">
      <c r="A715" s="1"/>
      <c r="B715" s="1"/>
      <c r="C715" s="1"/>
      <c r="D715" s="1" t="s">
        <v>5076</v>
      </c>
      <c r="E715" s="1" t="s">
        <v>5077</v>
      </c>
      <c r="F715" s="1"/>
      <c r="G715" s="1"/>
      <c r="H715" s="1"/>
      <c r="I715" s="1" t="s">
        <v>450</v>
      </c>
      <c r="J715" s="1"/>
      <c r="K715" s="1"/>
      <c r="L715" s="1"/>
      <c r="M715" s="1"/>
      <c r="N715" s="1"/>
      <c r="O715" s="1"/>
      <c r="P715" s="1"/>
      <c r="Q715" s="1"/>
    </row>
    <row r="716" spans="1:17">
      <c r="A716" s="1"/>
      <c r="B716" s="1"/>
      <c r="C716" s="1"/>
      <c r="D716" s="1" t="s">
        <v>5379</v>
      </c>
      <c r="E716" s="1" t="s">
        <v>5176</v>
      </c>
      <c r="F716" s="1"/>
      <c r="G716" s="1"/>
      <c r="H716" s="1"/>
      <c r="I716" s="1" t="s">
        <v>5380</v>
      </c>
      <c r="J716" s="1"/>
      <c r="K716" s="1"/>
      <c r="L716" s="1"/>
      <c r="M716" s="1"/>
      <c r="N716" s="1"/>
      <c r="O716" s="1"/>
      <c r="P716" s="1"/>
      <c r="Q716" s="1"/>
    </row>
    <row r="717" spans="1:17">
      <c r="A717" s="1"/>
      <c r="B717" s="1"/>
      <c r="C717" s="1"/>
      <c r="D717" s="1" t="s">
        <v>5381</v>
      </c>
      <c r="E717" s="1" t="s">
        <v>5176</v>
      </c>
      <c r="F717" s="1"/>
      <c r="G717" s="1"/>
      <c r="H717" s="1"/>
      <c r="I717" s="1" t="s">
        <v>5173</v>
      </c>
      <c r="J717" s="1"/>
      <c r="K717" s="1"/>
      <c r="L717" s="1"/>
      <c r="M717" s="1"/>
      <c r="N717" s="1"/>
      <c r="O717" s="1"/>
      <c r="P717" s="1"/>
      <c r="Q717" s="1"/>
    </row>
    <row r="718" spans="1:17">
      <c r="A718" s="1"/>
      <c r="B718" s="1"/>
      <c r="C718" s="1"/>
      <c r="D718" s="1" t="s">
        <v>5382</v>
      </c>
      <c r="E718" s="1" t="s">
        <v>5176</v>
      </c>
      <c r="F718" s="1"/>
      <c r="G718" s="1"/>
      <c r="H718" s="1"/>
      <c r="I718" s="1" t="s">
        <v>5180</v>
      </c>
      <c r="J718" s="1"/>
      <c r="K718" s="1"/>
      <c r="L718" s="1"/>
      <c r="M718" s="1"/>
      <c r="N718" s="1"/>
      <c r="O718" s="1"/>
      <c r="P718" s="1"/>
      <c r="Q718" s="1"/>
    </row>
    <row r="719" spans="1:17">
      <c r="A719" s="1"/>
      <c r="B719" s="1" t="s">
        <v>2162</v>
      </c>
      <c r="C719" s="1" t="s">
        <v>2163</v>
      </c>
      <c r="D719" s="1" t="s">
        <v>5234</v>
      </c>
      <c r="E719" s="1" t="s">
        <v>625</v>
      </c>
      <c r="F719" s="1">
        <v>1</v>
      </c>
      <c r="G719" s="1">
        <v>1.26</v>
      </c>
      <c r="H719" s="1">
        <v>10</v>
      </c>
      <c r="I719" s="1" t="s">
        <v>4985</v>
      </c>
      <c r="J719" s="1" t="s">
        <v>40</v>
      </c>
      <c r="K719" s="1" t="s">
        <v>899</v>
      </c>
      <c r="L719" s="1">
        <v>18903126532</v>
      </c>
      <c r="M719" s="1" t="s">
        <v>900</v>
      </c>
      <c r="N719" s="1" t="s">
        <v>2166</v>
      </c>
      <c r="O719" s="1" t="s">
        <v>2167</v>
      </c>
      <c r="P719" s="1">
        <v>13703284120</v>
      </c>
      <c r="Q719" s="1" t="s">
        <v>2168</v>
      </c>
    </row>
    <row r="720" spans="1:17">
      <c r="A720" s="1"/>
      <c r="B720" s="1"/>
      <c r="C720" s="1"/>
      <c r="D720" s="1" t="s">
        <v>5033</v>
      </c>
      <c r="E720" s="1" t="s">
        <v>625</v>
      </c>
      <c r="F720" s="1"/>
      <c r="G720" s="1"/>
      <c r="H720" s="1"/>
      <c r="I720" s="1" t="s">
        <v>4987</v>
      </c>
      <c r="J720" s="1"/>
      <c r="K720" s="1"/>
      <c r="L720" s="1"/>
      <c r="M720" s="1"/>
      <c r="N720" s="1"/>
      <c r="O720" s="1"/>
      <c r="P720" s="1"/>
      <c r="Q720" s="1"/>
    </row>
    <row r="721" spans="1:17">
      <c r="A721" s="1"/>
      <c r="B721" s="1"/>
      <c r="C721" s="1"/>
      <c r="D721" s="1" t="s">
        <v>5383</v>
      </c>
      <c r="E721" s="1" t="s">
        <v>625</v>
      </c>
      <c r="F721" s="1"/>
      <c r="G721" s="1"/>
      <c r="H721" s="1"/>
      <c r="I721" s="1" t="s">
        <v>4987</v>
      </c>
      <c r="J721" s="1"/>
      <c r="K721" s="1"/>
      <c r="L721" s="1"/>
      <c r="M721" s="1"/>
      <c r="N721" s="1"/>
      <c r="O721" s="1"/>
      <c r="P721" s="1"/>
      <c r="Q721" s="1"/>
    </row>
    <row r="722" spans="1:17">
      <c r="A722" s="1"/>
      <c r="B722" s="1"/>
      <c r="C722" s="1"/>
      <c r="D722" s="1" t="s">
        <v>5152</v>
      </c>
      <c r="E722" s="1" t="s">
        <v>625</v>
      </c>
      <c r="F722" s="1"/>
      <c r="G722" s="1"/>
      <c r="H722" s="1"/>
      <c r="I722" s="1" t="s">
        <v>4987</v>
      </c>
      <c r="J722" s="1"/>
      <c r="K722" s="1"/>
      <c r="L722" s="1"/>
      <c r="M722" s="1"/>
      <c r="N722" s="1"/>
      <c r="O722" s="1"/>
      <c r="P722" s="1"/>
      <c r="Q722" s="1"/>
    </row>
    <row r="723" spans="1:17">
      <c r="A723" s="1"/>
      <c r="B723" s="1" t="s">
        <v>2170</v>
      </c>
      <c r="C723" s="1" t="s">
        <v>2171</v>
      </c>
      <c r="D723" s="1" t="s">
        <v>5384</v>
      </c>
      <c r="E723" s="1" t="s">
        <v>5385</v>
      </c>
      <c r="F723" s="1">
        <v>1</v>
      </c>
      <c r="G723" s="1">
        <v>0.35</v>
      </c>
      <c r="H723" s="1">
        <v>3</v>
      </c>
      <c r="I723" s="1" t="s">
        <v>5386</v>
      </c>
      <c r="J723" s="1" t="s">
        <v>40</v>
      </c>
      <c r="K723" s="1" t="s">
        <v>2175</v>
      </c>
      <c r="L723" s="1">
        <v>18600260230</v>
      </c>
      <c r="M723" s="1" t="s">
        <v>2176</v>
      </c>
      <c r="N723" s="1" t="s">
        <v>2177</v>
      </c>
      <c r="O723" s="1" t="s">
        <v>2176</v>
      </c>
      <c r="P723" s="1">
        <v>18600260230</v>
      </c>
      <c r="Q723" s="1" t="s">
        <v>2178</v>
      </c>
    </row>
    <row r="724" spans="1:17">
      <c r="A724" s="1"/>
      <c r="B724" s="1"/>
      <c r="C724" s="1"/>
      <c r="D724" s="1" t="s">
        <v>5133</v>
      </c>
      <c r="E724" s="1" t="s">
        <v>2069</v>
      </c>
      <c r="F724" s="1"/>
      <c r="G724" s="1"/>
      <c r="H724" s="1"/>
      <c r="J724" s="1"/>
      <c r="K724" s="1"/>
      <c r="L724" s="1"/>
      <c r="M724" s="1"/>
      <c r="N724" s="1"/>
      <c r="O724" s="1"/>
      <c r="P724" s="1"/>
      <c r="Q724" s="1"/>
    </row>
    <row r="725" spans="1:17">
      <c r="A725" s="1"/>
      <c r="B725" s="1" t="s">
        <v>2180</v>
      </c>
      <c r="C725" s="1" t="s">
        <v>2181</v>
      </c>
      <c r="D725" s="1" t="s">
        <v>5387</v>
      </c>
      <c r="E725" s="1" t="s">
        <v>420</v>
      </c>
      <c r="F725" s="1">
        <v>1</v>
      </c>
      <c r="G725" s="1">
        <v>0.81</v>
      </c>
      <c r="H725" s="1">
        <v>4</v>
      </c>
      <c r="J725" s="1" t="s">
        <v>822</v>
      </c>
      <c r="K725" s="1" t="s">
        <v>2183</v>
      </c>
      <c r="L725" s="1">
        <v>15819974811</v>
      </c>
      <c r="M725" s="1" t="s">
        <v>2184</v>
      </c>
      <c r="N725" s="1" t="s">
        <v>2185</v>
      </c>
      <c r="O725" s="1" t="s">
        <v>2184</v>
      </c>
      <c r="P725" s="1">
        <v>15819974811</v>
      </c>
      <c r="Q725" s="1" t="s">
        <v>2186</v>
      </c>
    </row>
    <row r="726" spans="1:17">
      <c r="A726" s="1"/>
      <c r="B726" s="1"/>
      <c r="C726" s="1"/>
      <c r="D726" s="1" t="s">
        <v>5388</v>
      </c>
      <c r="E726" s="1" t="s">
        <v>420</v>
      </c>
      <c r="F726" s="1"/>
      <c r="G726" s="1"/>
      <c r="H726" s="1"/>
      <c r="J726" s="1"/>
      <c r="K726" s="1"/>
      <c r="L726" s="1"/>
      <c r="M726" s="1"/>
      <c r="N726" s="1"/>
      <c r="O726" s="1"/>
      <c r="P726" s="1"/>
      <c r="Q726" s="1"/>
    </row>
    <row r="727" spans="1:17">
      <c r="A727" s="1"/>
      <c r="B727" s="1"/>
      <c r="C727" s="1"/>
      <c r="D727" s="1" t="s">
        <v>5332</v>
      </c>
      <c r="E727" s="1" t="s">
        <v>420</v>
      </c>
      <c r="F727" s="1"/>
      <c r="G727" s="1"/>
      <c r="H727" s="1"/>
      <c r="J727" s="1"/>
      <c r="K727" s="1"/>
      <c r="L727" s="1"/>
      <c r="M727" s="1"/>
      <c r="N727" s="1"/>
      <c r="O727" s="1"/>
      <c r="P727" s="1"/>
      <c r="Q727" s="1"/>
    </row>
    <row r="728" spans="1:17">
      <c r="A728" s="1"/>
      <c r="B728" s="1"/>
      <c r="C728" s="1"/>
      <c r="D728" s="1" t="s">
        <v>5389</v>
      </c>
      <c r="E728" s="1" t="s">
        <v>420</v>
      </c>
      <c r="F728" s="1"/>
      <c r="G728" s="1"/>
      <c r="H728" s="1"/>
      <c r="J728" s="1"/>
      <c r="K728" s="1"/>
      <c r="L728" s="1"/>
      <c r="M728" s="1"/>
      <c r="N728" s="1"/>
      <c r="O728" s="1"/>
      <c r="P728" s="1"/>
      <c r="Q728" s="1"/>
    </row>
    <row r="729" spans="1:17">
      <c r="A729" s="1"/>
      <c r="B729" s="1" t="s">
        <v>2188</v>
      </c>
      <c r="C729" s="1" t="s">
        <v>2189</v>
      </c>
      <c r="D729" s="1" t="s">
        <v>5390</v>
      </c>
      <c r="E729" s="1" t="s">
        <v>625</v>
      </c>
      <c r="F729" s="1">
        <v>1</v>
      </c>
      <c r="G729" s="1">
        <v>1.04</v>
      </c>
      <c r="H729" s="1">
        <v>13</v>
      </c>
      <c r="J729" s="1" t="s">
        <v>40</v>
      </c>
      <c r="K729" s="1" t="s">
        <v>2191</v>
      </c>
      <c r="L729" s="1">
        <v>13908477972</v>
      </c>
      <c r="M729" s="1" t="s">
        <v>2192</v>
      </c>
      <c r="N729" s="1" t="s">
        <v>2191</v>
      </c>
      <c r="O729" s="1" t="s">
        <v>2192</v>
      </c>
      <c r="P729" s="1">
        <v>13908477972</v>
      </c>
      <c r="Q729" s="1" t="s">
        <v>2193</v>
      </c>
    </row>
    <row r="730" spans="1:17">
      <c r="A730" s="1"/>
      <c r="B730" s="1"/>
      <c r="C730" s="1"/>
      <c r="D730" s="1" t="s">
        <v>5391</v>
      </c>
      <c r="E730" s="1" t="s">
        <v>625</v>
      </c>
      <c r="F730" s="1"/>
      <c r="G730" s="1"/>
      <c r="H730" s="1"/>
      <c r="J730" s="1"/>
      <c r="K730" s="1"/>
      <c r="L730" s="1"/>
      <c r="M730" s="1"/>
      <c r="N730" s="1"/>
      <c r="O730" s="1"/>
      <c r="P730" s="1"/>
      <c r="Q730" s="1"/>
    </row>
    <row r="731" spans="1:17">
      <c r="A731" s="1"/>
      <c r="B731" s="1" t="s">
        <v>2195</v>
      </c>
      <c r="C731" s="1" t="s">
        <v>2196</v>
      </c>
      <c r="D731" s="1" t="s">
        <v>4984</v>
      </c>
      <c r="E731" s="1" t="s">
        <v>625</v>
      </c>
      <c r="F731" s="1">
        <v>1</v>
      </c>
      <c r="G731" s="1">
        <v>1.72</v>
      </c>
      <c r="H731" s="1">
        <v>15</v>
      </c>
      <c r="J731" s="1" t="s">
        <v>40</v>
      </c>
      <c r="K731" s="1" t="s">
        <v>935</v>
      </c>
      <c r="L731" s="1">
        <v>13544528260</v>
      </c>
      <c r="M731" s="1" t="s">
        <v>936</v>
      </c>
      <c r="N731" s="1" t="s">
        <v>2197</v>
      </c>
      <c r="O731" s="1" t="s">
        <v>2198</v>
      </c>
      <c r="P731" s="1">
        <v>13543466209</v>
      </c>
      <c r="Q731" s="1" t="s">
        <v>2199</v>
      </c>
    </row>
    <row r="732" spans="1:17">
      <c r="A732" s="1"/>
      <c r="B732" s="1"/>
      <c r="C732" s="1"/>
      <c r="D732" s="1" t="s">
        <v>5024</v>
      </c>
      <c r="E732" s="1" t="s">
        <v>625</v>
      </c>
      <c r="F732" s="1"/>
      <c r="G732" s="1"/>
      <c r="H732" s="1"/>
      <c r="J732" s="1"/>
      <c r="K732" s="1"/>
      <c r="L732" s="1"/>
      <c r="M732" s="1"/>
      <c r="N732" s="1"/>
      <c r="O732" s="1"/>
      <c r="P732" s="1"/>
      <c r="Q732" s="1"/>
    </row>
    <row r="733" spans="1:17">
      <c r="A733" s="1"/>
      <c r="B733" s="1"/>
      <c r="C733" s="1"/>
      <c r="D733" s="1" t="s">
        <v>5185</v>
      </c>
      <c r="E733" s="1" t="s">
        <v>625</v>
      </c>
      <c r="F733" s="1"/>
      <c r="G733" s="1"/>
      <c r="H733" s="1"/>
      <c r="J733" s="1"/>
      <c r="K733" s="1"/>
      <c r="L733" s="1"/>
      <c r="M733" s="1"/>
      <c r="N733" s="1"/>
      <c r="O733" s="1"/>
      <c r="P733" s="1"/>
      <c r="Q733" s="1"/>
    </row>
    <row r="734" spans="1:17">
      <c r="A734" s="1"/>
      <c r="B734" s="1"/>
      <c r="C734" s="1"/>
      <c r="D734" s="1" t="s">
        <v>5186</v>
      </c>
      <c r="E734" s="1" t="s">
        <v>625</v>
      </c>
      <c r="F734" s="1"/>
      <c r="G734" s="1"/>
      <c r="H734" s="1"/>
      <c r="J734" s="1"/>
      <c r="K734" s="1"/>
      <c r="L734" s="1"/>
      <c r="M734" s="1"/>
      <c r="N734" s="1"/>
      <c r="O734" s="1"/>
      <c r="P734" s="1"/>
      <c r="Q734" s="1"/>
    </row>
    <row r="735" spans="1:17">
      <c r="A735" s="1"/>
      <c r="B735" s="1" t="s">
        <v>2201</v>
      </c>
      <c r="C735" s="1" t="s">
        <v>2202</v>
      </c>
      <c r="D735" s="1" t="s">
        <v>4984</v>
      </c>
      <c r="E735" s="1" t="s">
        <v>625</v>
      </c>
      <c r="F735" s="1">
        <v>1</v>
      </c>
      <c r="G735" s="1">
        <v>1.72</v>
      </c>
      <c r="H735" s="1">
        <v>15</v>
      </c>
      <c r="J735" s="1" t="s">
        <v>40</v>
      </c>
      <c r="K735" s="1" t="s">
        <v>214</v>
      </c>
      <c r="L735" s="1">
        <v>13928934034</v>
      </c>
      <c r="M735" s="1" t="s">
        <v>215</v>
      </c>
      <c r="N735" s="1" t="s">
        <v>2204</v>
      </c>
      <c r="O735" s="1" t="s">
        <v>2205</v>
      </c>
      <c r="P735" s="1">
        <v>18933085512</v>
      </c>
      <c r="Q735" s="1" t="s">
        <v>2206</v>
      </c>
    </row>
    <row r="736" spans="1:17">
      <c r="A736" s="1"/>
      <c r="B736" s="1"/>
      <c r="C736" s="1"/>
      <c r="D736" s="1" t="s">
        <v>5024</v>
      </c>
      <c r="E736" s="1" t="s">
        <v>625</v>
      </c>
      <c r="F736" s="1"/>
      <c r="G736" s="1"/>
      <c r="H736" s="1"/>
      <c r="J736" s="1"/>
      <c r="K736" s="1"/>
      <c r="L736" s="1"/>
      <c r="M736" s="1"/>
      <c r="N736" s="1"/>
      <c r="O736" s="1"/>
      <c r="P736" s="1"/>
      <c r="Q736" s="1"/>
    </row>
    <row r="737" spans="1:17">
      <c r="A737" s="1"/>
      <c r="B737" s="1"/>
      <c r="C737" s="1"/>
      <c r="D737" s="1" t="s">
        <v>5185</v>
      </c>
      <c r="E737" s="1" t="s">
        <v>625</v>
      </c>
      <c r="F737" s="1"/>
      <c r="G737" s="1"/>
      <c r="H737" s="1"/>
      <c r="J737" s="1"/>
      <c r="K737" s="1"/>
      <c r="L737" s="1"/>
      <c r="M737" s="1"/>
      <c r="N737" s="1"/>
      <c r="O737" s="1"/>
      <c r="P737" s="1"/>
      <c r="Q737" s="1"/>
    </row>
    <row r="738" spans="1:17">
      <c r="A738" s="1"/>
      <c r="B738" s="1"/>
      <c r="C738" s="1"/>
      <c r="D738" s="1" t="s">
        <v>5187</v>
      </c>
      <c r="E738" s="1" t="s">
        <v>625</v>
      </c>
      <c r="F738" s="1"/>
      <c r="G738" s="1"/>
      <c r="H738" s="1"/>
      <c r="J738" s="1"/>
      <c r="K738" s="1"/>
      <c r="L738" s="1"/>
      <c r="M738" s="1"/>
      <c r="N738" s="1"/>
      <c r="O738" s="1"/>
      <c r="P738" s="1"/>
      <c r="Q738" s="1"/>
    </row>
    <row r="739" spans="1:17">
      <c r="A739" s="1"/>
      <c r="B739" s="1"/>
      <c r="C739" s="1"/>
      <c r="D739" s="1" t="s">
        <v>5025</v>
      </c>
      <c r="E739" s="1" t="s">
        <v>625</v>
      </c>
      <c r="F739" s="1"/>
      <c r="G739" s="1"/>
      <c r="H739" s="1"/>
      <c r="J739" s="1"/>
      <c r="K739" s="1"/>
      <c r="L739" s="1"/>
      <c r="M739" s="1"/>
      <c r="N739" s="1"/>
      <c r="O739" s="1"/>
      <c r="P739" s="1"/>
      <c r="Q739" s="1"/>
    </row>
    <row r="740" spans="1:17">
      <c r="A740" s="1"/>
      <c r="B740" s="1" t="s">
        <v>2208</v>
      </c>
      <c r="C740" s="1" t="s">
        <v>2209</v>
      </c>
      <c r="D740" s="1" t="s">
        <v>5014</v>
      </c>
      <c r="E740" s="1" t="s">
        <v>625</v>
      </c>
      <c r="F740" s="1">
        <v>1</v>
      </c>
      <c r="G740" s="1">
        <v>1.72</v>
      </c>
      <c r="H740" s="1">
        <v>10</v>
      </c>
      <c r="J740" s="1" t="s">
        <v>40</v>
      </c>
      <c r="K740" s="1" t="s">
        <v>252</v>
      </c>
      <c r="L740" s="1">
        <v>13662476777</v>
      </c>
      <c r="M740" s="1" t="s">
        <v>253</v>
      </c>
      <c r="N740" s="1" t="s">
        <v>2211</v>
      </c>
      <c r="O740" s="1" t="s">
        <v>2212</v>
      </c>
      <c r="P740" s="1">
        <v>13923117525</v>
      </c>
      <c r="Q740" s="1" t="s">
        <v>2213</v>
      </c>
    </row>
    <row r="741" spans="1:17">
      <c r="A741" s="1"/>
      <c r="B741" s="1"/>
      <c r="C741" s="1"/>
      <c r="D741" s="1" t="s">
        <v>5018</v>
      </c>
      <c r="E741" s="1" t="s">
        <v>625</v>
      </c>
      <c r="F741" s="1"/>
      <c r="G741" s="1"/>
      <c r="H741" s="1"/>
      <c r="J741" s="1"/>
      <c r="K741" s="1"/>
      <c r="L741" s="1"/>
      <c r="M741" s="1"/>
      <c r="N741" s="1"/>
      <c r="O741" s="1"/>
      <c r="P741" s="1"/>
      <c r="Q741" s="1"/>
    </row>
    <row r="742" spans="1:17">
      <c r="A742" s="1"/>
      <c r="B742" s="1"/>
      <c r="C742" s="1"/>
      <c r="D742" s="1" t="s">
        <v>5016</v>
      </c>
      <c r="E742" s="1" t="s">
        <v>625</v>
      </c>
      <c r="F742" s="1"/>
      <c r="G742" s="1"/>
      <c r="H742" s="1"/>
      <c r="J742" s="1"/>
      <c r="K742" s="1"/>
      <c r="L742" s="1"/>
      <c r="M742" s="1"/>
      <c r="N742" s="1"/>
      <c r="O742" s="1"/>
      <c r="P742" s="1"/>
      <c r="Q742" s="1"/>
    </row>
    <row r="743" spans="1:17">
      <c r="A743" s="1"/>
      <c r="B743" s="1"/>
      <c r="C743" s="1"/>
      <c r="D743" s="1" t="s">
        <v>5015</v>
      </c>
      <c r="E743" s="1" t="s">
        <v>625</v>
      </c>
      <c r="F743" s="1"/>
      <c r="G743" s="1"/>
      <c r="H743" s="1"/>
      <c r="J743" s="1"/>
      <c r="K743" s="1"/>
      <c r="L743" s="1"/>
      <c r="M743" s="1"/>
      <c r="N743" s="1"/>
      <c r="O743" s="1"/>
      <c r="P743" s="1"/>
      <c r="Q743" s="1"/>
    </row>
    <row r="744" spans="1:17">
      <c r="A744" s="1"/>
      <c r="B744" s="1"/>
      <c r="C744" s="1"/>
      <c r="D744" s="1" t="s">
        <v>5071</v>
      </c>
      <c r="E744" s="1" t="s">
        <v>625</v>
      </c>
      <c r="F744" s="1"/>
      <c r="G744" s="1"/>
      <c r="H744" s="1"/>
      <c r="J744" s="1"/>
      <c r="K744" s="1"/>
      <c r="L744" s="1"/>
      <c r="M744" s="1"/>
      <c r="N744" s="1"/>
      <c r="O744" s="1"/>
      <c r="P744" s="1"/>
      <c r="Q744" s="1"/>
    </row>
    <row r="745" spans="1:17">
      <c r="A745" s="1"/>
      <c r="B745" s="1"/>
      <c r="C745" s="1"/>
      <c r="D745" s="1" t="s">
        <v>5017</v>
      </c>
      <c r="E745" s="1" t="s">
        <v>625</v>
      </c>
      <c r="F745" s="1"/>
      <c r="G745" s="1"/>
      <c r="H745" s="1"/>
      <c r="J745" s="1"/>
      <c r="K745" s="1"/>
      <c r="L745" s="1"/>
      <c r="M745" s="1"/>
      <c r="N745" s="1"/>
      <c r="O745" s="1"/>
      <c r="P745" s="1"/>
      <c r="Q745" s="1"/>
    </row>
    <row r="746" spans="1:17">
      <c r="A746" s="1"/>
      <c r="B746" s="1" t="s">
        <v>2215</v>
      </c>
      <c r="C746" s="1" t="s">
        <v>2216</v>
      </c>
      <c r="D746" s="1" t="s">
        <v>5039</v>
      </c>
      <c r="E746" s="1" t="s">
        <v>625</v>
      </c>
      <c r="F746" s="1">
        <v>1</v>
      </c>
      <c r="G746" s="1">
        <v>1.26</v>
      </c>
      <c r="H746" s="1">
        <v>15</v>
      </c>
      <c r="J746" s="1" t="s">
        <v>40</v>
      </c>
      <c r="K746" s="1" t="s">
        <v>272</v>
      </c>
      <c r="L746" s="1">
        <v>13928780807</v>
      </c>
      <c r="M746" s="1" t="s">
        <v>273</v>
      </c>
      <c r="N746" s="1" t="s">
        <v>272</v>
      </c>
      <c r="O746" s="1" t="s">
        <v>2218</v>
      </c>
      <c r="P746" s="1">
        <v>18410850230</v>
      </c>
      <c r="Q746" s="1" t="s">
        <v>2219</v>
      </c>
    </row>
    <row r="747" spans="1:17">
      <c r="A747" s="1"/>
      <c r="B747" s="1"/>
      <c r="C747" s="1"/>
      <c r="D747" s="1" t="s">
        <v>5096</v>
      </c>
      <c r="E747" s="1" t="s">
        <v>625</v>
      </c>
      <c r="F747" s="1"/>
      <c r="G747" s="1"/>
      <c r="H747" s="1"/>
      <c r="J747" s="1"/>
      <c r="K747" s="1"/>
      <c r="L747" s="1"/>
      <c r="M747" s="1"/>
      <c r="N747" s="1"/>
      <c r="O747" s="1"/>
      <c r="P747" s="1"/>
      <c r="Q747" s="1"/>
    </row>
    <row r="748" spans="1:17">
      <c r="A748" s="1"/>
      <c r="B748" s="1"/>
      <c r="C748" s="1"/>
      <c r="D748" s="1" t="s">
        <v>5186</v>
      </c>
      <c r="E748" s="1" t="s">
        <v>625</v>
      </c>
      <c r="F748" s="1"/>
      <c r="G748" s="1"/>
      <c r="H748" s="1"/>
      <c r="J748" s="1"/>
      <c r="K748" s="1"/>
      <c r="L748" s="1"/>
      <c r="M748" s="1"/>
      <c r="N748" s="1"/>
      <c r="O748" s="1"/>
      <c r="P748" s="1"/>
      <c r="Q748" s="1"/>
    </row>
    <row r="749" spans="1:17">
      <c r="A749" s="1"/>
      <c r="B749" s="1"/>
      <c r="C749" s="1"/>
      <c r="D749" s="1" t="s">
        <v>5185</v>
      </c>
      <c r="E749" s="1" t="s">
        <v>625</v>
      </c>
      <c r="F749" s="1"/>
      <c r="G749" s="1"/>
      <c r="H749" s="1"/>
      <c r="J749" s="1"/>
      <c r="K749" s="1"/>
      <c r="L749" s="1"/>
      <c r="M749" s="1"/>
      <c r="N749" s="1"/>
      <c r="O749" s="1"/>
      <c r="P749" s="1"/>
      <c r="Q749" s="1"/>
    </row>
    <row r="750" spans="1:17">
      <c r="A750" s="1"/>
      <c r="B750" s="1"/>
      <c r="C750" s="1"/>
      <c r="D750" s="1" t="s">
        <v>5018</v>
      </c>
      <c r="E750" s="1" t="s">
        <v>625</v>
      </c>
      <c r="F750" s="1"/>
      <c r="G750" s="1"/>
      <c r="H750" s="1"/>
      <c r="J750" s="1"/>
      <c r="K750" s="1"/>
      <c r="L750" s="1"/>
      <c r="M750" s="1"/>
      <c r="N750" s="1"/>
      <c r="O750" s="1"/>
      <c r="P750" s="1"/>
      <c r="Q750" s="1"/>
    </row>
    <row r="751" spans="1:17">
      <c r="A751" s="1"/>
      <c r="B751" s="1" t="s">
        <v>2221</v>
      </c>
      <c r="C751" s="1" t="s">
        <v>2222</v>
      </c>
      <c r="D751" s="1" t="s">
        <v>5392</v>
      </c>
      <c r="E751" s="1" t="s">
        <v>625</v>
      </c>
      <c r="F751" s="1">
        <v>1</v>
      </c>
      <c r="G751" s="1">
        <v>1.49</v>
      </c>
      <c r="H751" s="1">
        <v>12</v>
      </c>
      <c r="J751" s="1" t="s">
        <v>40</v>
      </c>
      <c r="K751" s="1" t="s">
        <v>2224</v>
      </c>
      <c r="L751" s="1">
        <v>13084183716</v>
      </c>
      <c r="M751" s="1" t="s">
        <v>2225</v>
      </c>
      <c r="N751" s="1" t="s">
        <v>2226</v>
      </c>
      <c r="O751" s="1" t="s">
        <v>2225</v>
      </c>
      <c r="P751" s="1">
        <v>13084183716</v>
      </c>
      <c r="Q751" s="1" t="s">
        <v>2227</v>
      </c>
    </row>
    <row r="752" spans="1:17">
      <c r="A752" s="1"/>
      <c r="B752" s="1"/>
      <c r="C752" s="1"/>
      <c r="D752" s="1" t="s">
        <v>4966</v>
      </c>
      <c r="E752" s="1" t="s">
        <v>625</v>
      </c>
      <c r="F752" s="1"/>
      <c r="G752" s="1"/>
      <c r="H752" s="1"/>
      <c r="J752" s="1"/>
      <c r="K752" s="1"/>
      <c r="L752" s="1"/>
      <c r="M752" s="1"/>
      <c r="N752" s="1"/>
      <c r="O752" s="1"/>
      <c r="P752" s="1"/>
      <c r="Q752" s="1"/>
    </row>
    <row r="753" spans="1:17">
      <c r="A753" s="1"/>
      <c r="B753" s="1"/>
      <c r="C753" s="1"/>
      <c r="D753" s="1" t="s">
        <v>5096</v>
      </c>
      <c r="E753" s="1" t="s">
        <v>625</v>
      </c>
      <c r="F753" s="1"/>
      <c r="G753" s="1"/>
      <c r="H753" s="1"/>
      <c r="J753" s="1"/>
      <c r="K753" s="1"/>
      <c r="L753" s="1"/>
      <c r="M753" s="1"/>
      <c r="N753" s="1"/>
      <c r="O753" s="1"/>
      <c r="P753" s="1"/>
      <c r="Q753" s="1"/>
    </row>
    <row r="754" spans="1:17">
      <c r="A754" s="1"/>
      <c r="B754" s="1" t="s">
        <v>2229</v>
      </c>
      <c r="C754" s="1" t="s">
        <v>2230</v>
      </c>
      <c r="D754" s="1" t="s">
        <v>5393</v>
      </c>
      <c r="E754" s="1" t="s">
        <v>1210</v>
      </c>
      <c r="F754" s="1">
        <v>1</v>
      </c>
      <c r="G754" s="1">
        <v>1.26</v>
      </c>
      <c r="H754" s="1">
        <v>7</v>
      </c>
      <c r="I754" s="1" t="s">
        <v>4995</v>
      </c>
      <c r="J754" s="1" t="s">
        <v>29</v>
      </c>
      <c r="K754" s="1" t="s">
        <v>2234</v>
      </c>
      <c r="L754" s="1">
        <v>15919820869</v>
      </c>
      <c r="M754" s="1" t="s">
        <v>2235</v>
      </c>
      <c r="N754" s="1" t="s">
        <v>2234</v>
      </c>
      <c r="O754" s="1" t="s">
        <v>2235</v>
      </c>
      <c r="P754" s="1">
        <v>15919820869</v>
      </c>
      <c r="Q754" s="1" t="s">
        <v>2236</v>
      </c>
    </row>
    <row r="755" spans="1:17">
      <c r="A755" s="1"/>
      <c r="B755" s="1"/>
      <c r="C755" s="1"/>
      <c r="D755" s="1" t="s">
        <v>5394</v>
      </c>
      <c r="E755" s="1" t="s">
        <v>4976</v>
      </c>
      <c r="F755" s="1"/>
      <c r="G755" s="1"/>
      <c r="H755" s="1"/>
      <c r="J755" s="1"/>
      <c r="K755" s="1"/>
      <c r="L755" s="1"/>
      <c r="M755" s="1"/>
      <c r="N755" s="1"/>
      <c r="O755" s="1"/>
      <c r="P755" s="1"/>
      <c r="Q755" s="1"/>
    </row>
    <row r="756" spans="1:17">
      <c r="A756" s="1"/>
      <c r="B756" s="1"/>
      <c r="C756" s="1"/>
      <c r="D756" s="1" t="s">
        <v>5076</v>
      </c>
      <c r="E756" s="1" t="s">
        <v>2413</v>
      </c>
      <c r="F756" s="1"/>
      <c r="G756" s="1"/>
      <c r="H756" s="1"/>
      <c r="I756" s="1" t="s">
        <v>450</v>
      </c>
      <c r="J756" s="1"/>
      <c r="K756" s="1"/>
      <c r="L756" s="1"/>
      <c r="M756" s="1"/>
      <c r="N756" s="1"/>
      <c r="O756" s="1"/>
      <c r="P756" s="1"/>
      <c r="Q756" s="1"/>
    </row>
    <row r="757" spans="1:17">
      <c r="A757" s="1"/>
      <c r="B757" s="1" t="s">
        <v>2238</v>
      </c>
      <c r="C757" s="1" t="s">
        <v>2239</v>
      </c>
      <c r="D757" s="1" t="s">
        <v>5283</v>
      </c>
      <c r="E757" s="1" t="s">
        <v>1210</v>
      </c>
      <c r="F757" s="1">
        <v>1</v>
      </c>
      <c r="G757" s="1">
        <v>0.28999999999999998</v>
      </c>
      <c r="H757" s="1">
        <v>3</v>
      </c>
      <c r="I757" s="1" t="s">
        <v>450</v>
      </c>
      <c r="J757" s="1" t="s">
        <v>29</v>
      </c>
      <c r="K757" s="1" t="s">
        <v>2243</v>
      </c>
      <c r="L757" s="1">
        <v>13672108519</v>
      </c>
      <c r="M757" s="1" t="s">
        <v>2244</v>
      </c>
      <c r="N757" s="1" t="s">
        <v>2245</v>
      </c>
      <c r="O757" s="1" t="s">
        <v>2244</v>
      </c>
      <c r="P757" s="1">
        <v>13672108519</v>
      </c>
      <c r="Q757" s="1" t="s">
        <v>2246</v>
      </c>
    </row>
    <row r="758" spans="1:17">
      <c r="A758" s="1"/>
      <c r="B758" s="1"/>
      <c r="C758" s="1"/>
      <c r="D758" s="1" t="s">
        <v>5395</v>
      </c>
      <c r="E758" s="1" t="s">
        <v>687</v>
      </c>
      <c r="F758" s="1"/>
      <c r="G758" s="1"/>
      <c r="H758" s="1"/>
      <c r="J758" s="1"/>
      <c r="K758" s="1"/>
      <c r="L758" s="1"/>
      <c r="M758" s="1"/>
      <c r="N758" s="1"/>
      <c r="O758" s="1"/>
      <c r="P758" s="1"/>
      <c r="Q758" s="1"/>
    </row>
    <row r="759" spans="1:17">
      <c r="A759" s="1"/>
      <c r="B759" s="1" t="s">
        <v>2248</v>
      </c>
      <c r="C759" s="1" t="s">
        <v>2249</v>
      </c>
      <c r="D759" s="1" t="s">
        <v>5203</v>
      </c>
      <c r="E759" s="1" t="s">
        <v>5094</v>
      </c>
      <c r="F759" s="1">
        <v>1</v>
      </c>
      <c r="G759" s="1">
        <v>1.49</v>
      </c>
      <c r="H759" s="1">
        <v>6</v>
      </c>
      <c r="J759" s="1" t="s">
        <v>293</v>
      </c>
      <c r="K759" s="1" t="s">
        <v>2253</v>
      </c>
      <c r="L759" s="1">
        <v>13838296863</v>
      </c>
      <c r="M759" s="1" t="s">
        <v>2254</v>
      </c>
      <c r="N759" s="1" t="s">
        <v>2253</v>
      </c>
      <c r="O759" s="1" t="s">
        <v>2254</v>
      </c>
      <c r="P759" s="1">
        <v>13838296863</v>
      </c>
      <c r="Q759" s="1" t="s">
        <v>2255</v>
      </c>
    </row>
    <row r="760" spans="1:17">
      <c r="A760" s="1"/>
      <c r="B760" s="1"/>
      <c r="C760" s="1"/>
      <c r="D760" s="1" t="s">
        <v>5396</v>
      </c>
      <c r="E760" s="1" t="s">
        <v>2413</v>
      </c>
      <c r="F760" s="1"/>
      <c r="G760" s="1"/>
      <c r="H760" s="1"/>
      <c r="J760" s="1"/>
      <c r="K760" s="1"/>
      <c r="L760" s="1"/>
      <c r="M760" s="1"/>
      <c r="N760" s="1"/>
      <c r="O760" s="1"/>
      <c r="P760" s="1"/>
      <c r="Q760" s="1"/>
    </row>
    <row r="761" spans="1:17">
      <c r="A761" s="1"/>
      <c r="B761" s="1"/>
      <c r="C761" s="1"/>
      <c r="D761" s="1" t="s">
        <v>4974</v>
      </c>
      <c r="E761" s="1" t="s">
        <v>5199</v>
      </c>
      <c r="F761" s="1"/>
      <c r="G761" s="1"/>
      <c r="H761" s="1"/>
      <c r="J761" s="1"/>
      <c r="K761" s="1"/>
      <c r="L761" s="1"/>
      <c r="M761" s="1"/>
      <c r="N761" s="1"/>
      <c r="O761" s="1"/>
      <c r="P761" s="1"/>
      <c r="Q761" s="1"/>
    </row>
    <row r="762" spans="1:17">
      <c r="A762" s="1"/>
      <c r="B762" s="1"/>
      <c r="C762" s="1"/>
      <c r="D762" s="1" t="s">
        <v>5397</v>
      </c>
      <c r="E762" s="1" t="s">
        <v>1210</v>
      </c>
      <c r="F762" s="1"/>
      <c r="G762" s="1"/>
      <c r="H762" s="1"/>
      <c r="I762" s="1" t="s">
        <v>450</v>
      </c>
      <c r="J762" s="1"/>
      <c r="K762" s="1"/>
      <c r="L762" s="1"/>
      <c r="M762" s="1"/>
      <c r="N762" s="1"/>
      <c r="O762" s="1"/>
      <c r="P762" s="1"/>
      <c r="Q762" s="1"/>
    </row>
    <row r="763" spans="1:17">
      <c r="A763" s="1"/>
      <c r="B763" s="1"/>
      <c r="C763" s="1"/>
      <c r="D763" s="1" t="s">
        <v>5215</v>
      </c>
      <c r="E763" s="1" t="s">
        <v>1210</v>
      </c>
      <c r="F763" s="1"/>
      <c r="G763" s="1"/>
      <c r="H763" s="1"/>
      <c r="J763" s="1"/>
      <c r="K763" s="1"/>
      <c r="L763" s="1"/>
      <c r="M763" s="1"/>
      <c r="N763" s="1"/>
      <c r="O763" s="1"/>
      <c r="P763" s="1"/>
      <c r="Q763" s="1"/>
    </row>
    <row r="764" spans="1:17">
      <c r="A764" s="1"/>
      <c r="B764" s="1"/>
      <c r="C764" s="1"/>
      <c r="D764" s="1" t="s">
        <v>5213</v>
      </c>
      <c r="E764" s="1" t="s">
        <v>1210</v>
      </c>
      <c r="F764" s="1"/>
      <c r="G764" s="1"/>
      <c r="H764" s="1"/>
      <c r="I764" s="1" t="s">
        <v>5398</v>
      </c>
      <c r="J764" s="1"/>
      <c r="K764" s="1"/>
      <c r="L764" s="1"/>
      <c r="M764" s="1"/>
      <c r="N764" s="1"/>
      <c r="O764" s="1"/>
      <c r="P764" s="1"/>
      <c r="Q764" s="1"/>
    </row>
    <row r="765" spans="1:17">
      <c r="A765" s="1"/>
      <c r="B765" s="1" t="s">
        <v>2257</v>
      </c>
      <c r="C765" s="1" t="s">
        <v>2258</v>
      </c>
      <c r="D765" s="1" t="s">
        <v>5203</v>
      </c>
      <c r="E765" s="1" t="s">
        <v>5094</v>
      </c>
      <c r="F765" s="1">
        <v>1</v>
      </c>
      <c r="G765" s="1">
        <v>0.81</v>
      </c>
      <c r="H765" s="1">
        <v>2</v>
      </c>
      <c r="J765" s="1" t="s">
        <v>293</v>
      </c>
      <c r="K765" s="1" t="s">
        <v>2261</v>
      </c>
      <c r="L765" s="1">
        <v>17538719344</v>
      </c>
      <c r="M765" s="1" t="s">
        <v>2262</v>
      </c>
      <c r="N765" s="1" t="s">
        <v>2261</v>
      </c>
      <c r="O765" s="1" t="s">
        <v>2262</v>
      </c>
      <c r="P765" s="1">
        <v>17538719344</v>
      </c>
      <c r="Q765" s="1" t="s">
        <v>2263</v>
      </c>
    </row>
    <row r="766" spans="1:17">
      <c r="A766" s="1"/>
      <c r="B766" s="1"/>
      <c r="C766" s="1"/>
      <c r="D766" s="1" t="s">
        <v>5204</v>
      </c>
      <c r="E766" s="1" t="s">
        <v>2413</v>
      </c>
      <c r="F766" s="1"/>
      <c r="G766" s="1"/>
      <c r="H766" s="1"/>
      <c r="J766" s="1"/>
      <c r="K766" s="1"/>
      <c r="L766" s="1"/>
      <c r="M766" s="1"/>
      <c r="N766" s="1"/>
      <c r="O766" s="1"/>
      <c r="P766" s="1"/>
      <c r="Q766" s="1"/>
    </row>
    <row r="767" spans="1:17">
      <c r="A767" s="1"/>
      <c r="B767" s="1" t="s">
        <v>2265</v>
      </c>
      <c r="C767" s="1" t="s">
        <v>2266</v>
      </c>
      <c r="D767" s="1" t="s">
        <v>5043</v>
      </c>
      <c r="E767" s="1" t="s">
        <v>302</v>
      </c>
      <c r="F767" s="1">
        <v>1</v>
      </c>
      <c r="G767" s="1">
        <v>1.04</v>
      </c>
      <c r="H767" s="1">
        <v>1</v>
      </c>
      <c r="J767" s="1" t="s">
        <v>304</v>
      </c>
      <c r="K767" s="1" t="s">
        <v>2267</v>
      </c>
      <c r="L767" s="1">
        <v>18511490114</v>
      </c>
      <c r="M767" s="1" t="s">
        <v>2268</v>
      </c>
      <c r="N767" s="1" t="s">
        <v>2269</v>
      </c>
      <c r="O767" s="1" t="s">
        <v>2270</v>
      </c>
      <c r="P767" s="1">
        <v>18600010949</v>
      </c>
      <c r="Q767" s="1" t="s">
        <v>2271</v>
      </c>
    </row>
    <row r="768" spans="1:17">
      <c r="A768" s="1"/>
      <c r="B768" s="1" t="s">
        <v>2273</v>
      </c>
      <c r="C768" s="1" t="s">
        <v>2274</v>
      </c>
      <c r="D768" s="1" t="s">
        <v>5399</v>
      </c>
      <c r="E768" s="1" t="s">
        <v>2295</v>
      </c>
      <c r="F768" s="1">
        <v>1</v>
      </c>
      <c r="G768" s="1">
        <v>1.26</v>
      </c>
      <c r="H768" s="1">
        <v>7</v>
      </c>
      <c r="J768" s="1" t="s">
        <v>29</v>
      </c>
      <c r="K768" s="1" t="s">
        <v>2277</v>
      </c>
      <c r="L768" s="1">
        <v>13838009329</v>
      </c>
      <c r="M768" s="1" t="s">
        <v>2278</v>
      </c>
      <c r="N768" s="1" t="s">
        <v>2279</v>
      </c>
      <c r="O768" s="1" t="s">
        <v>2280</v>
      </c>
      <c r="P768" s="1">
        <v>15803339267</v>
      </c>
      <c r="Q768" s="1" t="s">
        <v>2281</v>
      </c>
    </row>
    <row r="769" spans="1:17">
      <c r="A769" s="1"/>
      <c r="B769" s="1"/>
      <c r="C769" s="1"/>
      <c r="D769" s="1" t="s">
        <v>5400</v>
      </c>
      <c r="E769" s="1" t="s">
        <v>2295</v>
      </c>
      <c r="F769" s="1"/>
      <c r="G769" s="1"/>
      <c r="H769" s="1"/>
      <c r="I769" s="1" t="s">
        <v>4970</v>
      </c>
      <c r="J769" s="1"/>
      <c r="K769" s="1"/>
      <c r="L769" s="1"/>
      <c r="M769" s="1"/>
      <c r="N769" s="1"/>
      <c r="O769" s="1"/>
      <c r="P769" s="1"/>
      <c r="Q769" s="1"/>
    </row>
    <row r="770" spans="1:17">
      <c r="A770" s="1"/>
      <c r="B770" s="1" t="s">
        <v>2283</v>
      </c>
      <c r="C770" s="1" t="s">
        <v>2284</v>
      </c>
      <c r="D770" s="1" t="s">
        <v>5203</v>
      </c>
      <c r="E770" s="1" t="s">
        <v>5094</v>
      </c>
      <c r="F770" s="1">
        <v>1</v>
      </c>
      <c r="G770" s="1">
        <v>0.81</v>
      </c>
      <c r="H770" s="1">
        <v>3</v>
      </c>
      <c r="J770" s="1" t="s">
        <v>293</v>
      </c>
      <c r="K770" s="1" t="s">
        <v>2287</v>
      </c>
      <c r="L770" s="1">
        <v>13663822882</v>
      </c>
      <c r="M770" s="1" t="s">
        <v>2288</v>
      </c>
      <c r="N770" s="1" t="s">
        <v>2289</v>
      </c>
      <c r="O770" s="1" t="s">
        <v>2288</v>
      </c>
      <c r="P770" s="1">
        <v>13663822882</v>
      </c>
      <c r="Q770" s="1" t="s">
        <v>2290</v>
      </c>
    </row>
    <row r="771" spans="1:17">
      <c r="A771" s="1"/>
      <c r="B771" s="1"/>
      <c r="C771" s="1"/>
      <c r="D771" s="1" t="s">
        <v>5060</v>
      </c>
      <c r="E771" s="1" t="s">
        <v>5200</v>
      </c>
      <c r="F771" s="1"/>
      <c r="G771" s="1"/>
      <c r="H771" s="1"/>
      <c r="J771" s="1"/>
      <c r="K771" s="1"/>
      <c r="L771" s="1"/>
      <c r="M771" s="1"/>
      <c r="N771" s="1"/>
      <c r="O771" s="1"/>
      <c r="P771" s="1"/>
      <c r="Q771" s="1"/>
    </row>
    <row r="772" spans="1:17">
      <c r="A772" s="1"/>
      <c r="B772" s="1" t="s">
        <v>2292</v>
      </c>
      <c r="C772" s="1" t="s">
        <v>2293</v>
      </c>
      <c r="D772" s="1" t="s">
        <v>5401</v>
      </c>
      <c r="E772" s="1" t="s">
        <v>2295</v>
      </c>
      <c r="F772" s="1">
        <v>1</v>
      </c>
      <c r="G772" s="1">
        <v>1.26</v>
      </c>
      <c r="H772" s="1">
        <v>3</v>
      </c>
      <c r="J772" s="1" t="s">
        <v>29</v>
      </c>
      <c r="K772" s="1" t="s">
        <v>2296</v>
      </c>
      <c r="L772" s="1">
        <v>15515545789</v>
      </c>
      <c r="M772" s="1" t="s">
        <v>2297</v>
      </c>
      <c r="N772" s="1" t="s">
        <v>2296</v>
      </c>
      <c r="O772" s="1" t="s">
        <v>2297</v>
      </c>
      <c r="P772" s="1">
        <v>15515545789</v>
      </c>
      <c r="Q772" s="1" t="s">
        <v>2298</v>
      </c>
    </row>
    <row r="773" spans="1:17">
      <c r="A773" s="1"/>
      <c r="B773" s="1" t="s">
        <v>2300</v>
      </c>
      <c r="C773" s="1" t="s">
        <v>2301</v>
      </c>
      <c r="D773" s="1" t="s">
        <v>5402</v>
      </c>
      <c r="E773" s="1" t="s">
        <v>302</v>
      </c>
      <c r="F773" s="1">
        <v>1</v>
      </c>
      <c r="G773" s="1">
        <v>0.81</v>
      </c>
      <c r="H773" s="1">
        <v>1</v>
      </c>
      <c r="J773" s="1" t="s">
        <v>304</v>
      </c>
      <c r="K773" s="1" t="s">
        <v>2303</v>
      </c>
      <c r="L773" s="1">
        <v>18004621825</v>
      </c>
      <c r="M773" s="1" t="s">
        <v>2304</v>
      </c>
      <c r="N773" s="1" t="s">
        <v>2305</v>
      </c>
      <c r="O773" s="1" t="s">
        <v>2304</v>
      </c>
      <c r="P773" s="1">
        <v>18004621825</v>
      </c>
      <c r="Q773" s="1" t="s">
        <v>2306</v>
      </c>
    </row>
    <row r="774" spans="1:17">
      <c r="A774" s="1"/>
      <c r="B774" s="1" t="s">
        <v>2308</v>
      </c>
      <c r="C774" s="1" t="s">
        <v>2309</v>
      </c>
      <c r="D774" s="1" t="s">
        <v>5403</v>
      </c>
      <c r="E774" s="1" t="s">
        <v>625</v>
      </c>
      <c r="F774" s="1">
        <v>1</v>
      </c>
      <c r="G774" s="1">
        <v>1.26</v>
      </c>
      <c r="H774" s="1">
        <v>11</v>
      </c>
      <c r="I774" s="1" t="s">
        <v>5050</v>
      </c>
      <c r="J774" s="1" t="s">
        <v>40</v>
      </c>
      <c r="K774" s="1" t="s">
        <v>1068</v>
      </c>
      <c r="L774" s="1">
        <v>18630403702</v>
      </c>
      <c r="M774" s="1" t="s">
        <v>1069</v>
      </c>
      <c r="N774" s="1" t="s">
        <v>1068</v>
      </c>
      <c r="O774" s="1" t="s">
        <v>2312</v>
      </c>
      <c r="P774" s="1">
        <v>15522380645</v>
      </c>
      <c r="Q774" s="1" t="s">
        <v>2313</v>
      </c>
    </row>
    <row r="775" spans="1:17">
      <c r="A775" s="1"/>
      <c r="B775" s="1"/>
      <c r="C775" s="1"/>
      <c r="D775" s="1" t="s">
        <v>5030</v>
      </c>
      <c r="E775" s="1" t="s">
        <v>625</v>
      </c>
      <c r="F775" s="1"/>
      <c r="G775" s="1"/>
      <c r="H775" s="1"/>
      <c r="I775" s="1" t="s">
        <v>4987</v>
      </c>
      <c r="J775" s="1"/>
      <c r="K775" s="1"/>
      <c r="L775" s="1"/>
      <c r="M775" s="1"/>
      <c r="N775" s="1"/>
      <c r="O775" s="1"/>
      <c r="P775" s="1"/>
      <c r="Q775" s="1"/>
    </row>
    <row r="776" spans="1:17">
      <c r="A776" s="1"/>
      <c r="B776" s="1"/>
      <c r="C776" s="1"/>
      <c r="D776" s="1" t="s">
        <v>5019</v>
      </c>
      <c r="E776" s="1" t="s">
        <v>625</v>
      </c>
      <c r="F776" s="1"/>
      <c r="G776" s="1"/>
      <c r="H776" s="1"/>
      <c r="I776" s="1" t="s">
        <v>4983</v>
      </c>
      <c r="J776" s="1"/>
      <c r="K776" s="1"/>
      <c r="L776" s="1"/>
      <c r="M776" s="1"/>
      <c r="N776" s="1"/>
      <c r="O776" s="1"/>
      <c r="P776" s="1"/>
      <c r="Q776" s="1"/>
    </row>
    <row r="777" spans="1:17">
      <c r="A777" s="1"/>
      <c r="B777" s="1"/>
      <c r="C777" s="1"/>
      <c r="D777" s="1" t="s">
        <v>5113</v>
      </c>
      <c r="E777" s="1" t="s">
        <v>625</v>
      </c>
      <c r="F777" s="1"/>
      <c r="G777" s="1"/>
      <c r="H777" s="1"/>
      <c r="I777" s="1" t="s">
        <v>4985</v>
      </c>
      <c r="J777" s="1"/>
      <c r="K777" s="1"/>
      <c r="L777" s="1"/>
      <c r="M777" s="1"/>
      <c r="N777" s="1"/>
      <c r="O777" s="1"/>
      <c r="P777" s="1"/>
      <c r="Q777" s="1"/>
    </row>
    <row r="778" spans="1:17">
      <c r="A778" s="1"/>
      <c r="B778" s="1"/>
      <c r="C778" s="1"/>
      <c r="D778" s="1" t="s">
        <v>5029</v>
      </c>
      <c r="E778" s="1" t="s">
        <v>625</v>
      </c>
      <c r="F778" s="1"/>
      <c r="G778" s="1"/>
      <c r="H778" s="1"/>
      <c r="I778" s="1" t="s">
        <v>4987</v>
      </c>
      <c r="J778" s="1"/>
      <c r="K778" s="1"/>
      <c r="L778" s="1"/>
      <c r="M778" s="1"/>
      <c r="N778" s="1"/>
      <c r="O778" s="1"/>
      <c r="P778" s="1"/>
      <c r="Q778" s="1"/>
    </row>
    <row r="779" spans="1:17">
      <c r="A779" s="1"/>
      <c r="B779" s="1"/>
      <c r="C779" s="1"/>
      <c r="D779" s="1" t="s">
        <v>4990</v>
      </c>
      <c r="E779" s="1" t="s">
        <v>625</v>
      </c>
      <c r="F779" s="1"/>
      <c r="G779" s="1"/>
      <c r="H779" s="1"/>
      <c r="J779" s="1"/>
      <c r="K779" s="1"/>
      <c r="L779" s="1"/>
      <c r="M779" s="1"/>
      <c r="N779" s="1"/>
      <c r="O779" s="1"/>
      <c r="P779" s="1"/>
      <c r="Q779" s="1"/>
    </row>
    <row r="780" spans="1:17">
      <c r="A780" s="1"/>
      <c r="B780" s="1"/>
      <c r="C780" s="1"/>
      <c r="D780" s="1" t="s">
        <v>5112</v>
      </c>
      <c r="E780" s="1" t="s">
        <v>625</v>
      </c>
      <c r="F780" s="1"/>
      <c r="G780" s="1"/>
      <c r="H780" s="1"/>
      <c r="J780" s="1"/>
      <c r="K780" s="1"/>
      <c r="L780" s="1"/>
      <c r="M780" s="1"/>
      <c r="N780" s="1"/>
      <c r="O780" s="1"/>
      <c r="P780" s="1"/>
      <c r="Q780" s="1"/>
    </row>
    <row r="781" spans="1:17">
      <c r="A781" s="1"/>
      <c r="B781" s="1"/>
      <c r="C781" s="1"/>
      <c r="D781" s="1" t="s">
        <v>5329</v>
      </c>
      <c r="E781" s="1" t="s">
        <v>625</v>
      </c>
      <c r="F781" s="1"/>
      <c r="G781" s="1"/>
      <c r="H781" s="1"/>
      <c r="J781" s="1"/>
      <c r="K781" s="1"/>
      <c r="L781" s="1"/>
      <c r="M781" s="1"/>
      <c r="N781" s="1"/>
      <c r="O781" s="1"/>
      <c r="P781" s="1"/>
      <c r="Q781" s="1"/>
    </row>
    <row r="782" spans="1:17">
      <c r="A782" s="1"/>
      <c r="B782" s="1" t="s">
        <v>2315</v>
      </c>
      <c r="C782" s="1" t="s">
        <v>2316</v>
      </c>
      <c r="D782" s="1" t="s">
        <v>5404</v>
      </c>
      <c r="E782" s="1" t="s">
        <v>420</v>
      </c>
      <c r="F782" s="1">
        <v>1</v>
      </c>
      <c r="G782" s="1">
        <v>0.35</v>
      </c>
      <c r="H782" s="1">
        <v>3</v>
      </c>
      <c r="I782" s="1" t="s">
        <v>4995</v>
      </c>
      <c r="J782" s="1" t="s">
        <v>40</v>
      </c>
      <c r="K782" s="1" t="s">
        <v>2319</v>
      </c>
      <c r="L782" s="1">
        <v>13519526895</v>
      </c>
      <c r="M782" s="1" t="s">
        <v>2320</v>
      </c>
      <c r="N782" s="1" t="s">
        <v>2321</v>
      </c>
      <c r="O782" s="1" t="s">
        <v>2320</v>
      </c>
      <c r="P782" s="1">
        <v>13519526895</v>
      </c>
      <c r="Q782" s="1" t="s">
        <v>2322</v>
      </c>
    </row>
    <row r="783" spans="1:17">
      <c r="A783" s="1"/>
      <c r="B783" s="1" t="s">
        <v>2324</v>
      </c>
      <c r="C783" s="1" t="s">
        <v>2325</v>
      </c>
      <c r="D783" s="1" t="s">
        <v>5327</v>
      </c>
      <c r="E783" s="1" t="s">
        <v>1084</v>
      </c>
      <c r="F783" s="1">
        <v>1</v>
      </c>
      <c r="G783" s="1">
        <v>0.81</v>
      </c>
      <c r="H783" s="1">
        <v>8</v>
      </c>
      <c r="I783" s="1" t="s">
        <v>5405</v>
      </c>
      <c r="J783" s="1" t="s">
        <v>40</v>
      </c>
      <c r="K783" s="1" t="s">
        <v>1086</v>
      </c>
      <c r="L783" s="1">
        <v>13882248118</v>
      </c>
      <c r="M783" s="1" t="s">
        <v>1087</v>
      </c>
      <c r="N783" s="1" t="s">
        <v>2328</v>
      </c>
      <c r="O783" s="1" t="s">
        <v>2329</v>
      </c>
      <c r="P783" s="1">
        <v>15884485418</v>
      </c>
      <c r="Q783" s="1" t="s">
        <v>2330</v>
      </c>
    </row>
    <row r="784" spans="1:17">
      <c r="A784" s="1"/>
      <c r="B784" s="1" t="s">
        <v>2332</v>
      </c>
      <c r="C784" s="1" t="s">
        <v>2333</v>
      </c>
      <c r="D784" s="1" t="s">
        <v>5020</v>
      </c>
      <c r="E784" s="1" t="s">
        <v>625</v>
      </c>
      <c r="F784" s="1">
        <v>1</v>
      </c>
      <c r="G784" s="1">
        <v>1.04</v>
      </c>
      <c r="H784" s="1">
        <v>11</v>
      </c>
      <c r="I784" s="1" t="s">
        <v>4985</v>
      </c>
      <c r="J784" s="1" t="s">
        <v>40</v>
      </c>
      <c r="K784" s="1" t="s">
        <v>2336</v>
      </c>
      <c r="L784" s="1">
        <v>13777129967</v>
      </c>
      <c r="M784" s="1" t="s">
        <v>2337</v>
      </c>
      <c r="N784" s="1" t="s">
        <v>2338</v>
      </c>
      <c r="O784" s="1" t="s">
        <v>2339</v>
      </c>
      <c r="P784" s="1">
        <v>15058050487</v>
      </c>
      <c r="Q784" s="1" t="s">
        <v>2340</v>
      </c>
    </row>
    <row r="785" spans="1:17">
      <c r="A785" s="1"/>
      <c r="B785" s="1"/>
      <c r="C785" s="1"/>
      <c r="D785" s="1" t="s">
        <v>5406</v>
      </c>
      <c r="E785" s="1" t="s">
        <v>625</v>
      </c>
      <c r="F785" s="1"/>
      <c r="G785" s="1"/>
      <c r="H785" s="1"/>
      <c r="I785" s="1" t="s">
        <v>4983</v>
      </c>
      <c r="J785" s="1"/>
      <c r="K785" s="1"/>
      <c r="L785" s="1"/>
      <c r="M785" s="1"/>
      <c r="N785" s="1"/>
      <c r="O785" s="1"/>
      <c r="P785" s="1"/>
      <c r="Q785" s="1"/>
    </row>
    <row r="786" spans="1:17">
      <c r="A786" s="1"/>
      <c r="B786" s="1"/>
      <c r="C786" s="1"/>
      <c r="D786" s="1" t="s">
        <v>5017</v>
      </c>
      <c r="E786" s="1" t="s">
        <v>625</v>
      </c>
      <c r="F786" s="1"/>
      <c r="G786" s="1"/>
      <c r="H786" s="1"/>
      <c r="I786" s="1" t="s">
        <v>4987</v>
      </c>
      <c r="J786" s="1"/>
      <c r="K786" s="1"/>
      <c r="L786" s="1"/>
      <c r="M786" s="1"/>
      <c r="N786" s="1"/>
      <c r="O786" s="1"/>
      <c r="P786" s="1"/>
      <c r="Q786" s="1"/>
    </row>
    <row r="787" spans="1:17">
      <c r="A787" s="1"/>
      <c r="B787" s="1"/>
      <c r="C787" s="1"/>
      <c r="D787" s="1" t="s">
        <v>5023</v>
      </c>
      <c r="E787" s="1" t="s">
        <v>625</v>
      </c>
      <c r="F787" s="1"/>
      <c r="G787" s="1"/>
      <c r="H787" s="1"/>
      <c r="I787" s="1" t="s">
        <v>4985</v>
      </c>
      <c r="J787" s="1"/>
      <c r="K787" s="1"/>
      <c r="L787" s="1"/>
      <c r="M787" s="1"/>
      <c r="N787" s="1"/>
      <c r="O787" s="1"/>
      <c r="P787" s="1"/>
      <c r="Q787" s="1"/>
    </row>
    <row r="788" spans="1:17">
      <c r="A788" s="1"/>
      <c r="B788" s="1"/>
      <c r="C788" s="1"/>
      <c r="D788" s="1" t="s">
        <v>5407</v>
      </c>
      <c r="E788" s="1" t="s">
        <v>625</v>
      </c>
      <c r="F788" s="1"/>
      <c r="G788" s="1"/>
      <c r="H788" s="1"/>
      <c r="I788" s="1" t="s">
        <v>5050</v>
      </c>
      <c r="J788" s="1"/>
      <c r="K788" s="1"/>
      <c r="L788" s="1"/>
      <c r="M788" s="1"/>
      <c r="N788" s="1"/>
      <c r="O788" s="1"/>
      <c r="P788" s="1"/>
      <c r="Q788" s="1"/>
    </row>
    <row r="789" spans="1:17">
      <c r="A789" s="1"/>
      <c r="B789" s="1"/>
      <c r="C789" s="1"/>
      <c r="D789" s="1" t="s">
        <v>5152</v>
      </c>
      <c r="E789" s="1" t="s">
        <v>625</v>
      </c>
      <c r="F789" s="1"/>
      <c r="G789" s="1"/>
      <c r="H789" s="1"/>
      <c r="I789" s="1" t="s">
        <v>4987</v>
      </c>
      <c r="J789" s="1"/>
      <c r="K789" s="1"/>
      <c r="L789" s="1"/>
      <c r="M789" s="1"/>
      <c r="N789" s="1"/>
      <c r="O789" s="1"/>
      <c r="P789" s="1"/>
      <c r="Q789" s="1"/>
    </row>
    <row r="790" spans="1:17">
      <c r="A790" s="1"/>
      <c r="B790" s="1" t="s">
        <v>2342</v>
      </c>
      <c r="C790" s="1" t="s">
        <v>2343</v>
      </c>
      <c r="D790" s="1" t="s">
        <v>5247</v>
      </c>
      <c r="E790" s="1" t="s">
        <v>420</v>
      </c>
      <c r="F790" s="1">
        <v>1</v>
      </c>
      <c r="G790" s="1">
        <v>0.81</v>
      </c>
      <c r="H790" s="1">
        <v>2</v>
      </c>
      <c r="I790" s="1" t="s">
        <v>2345</v>
      </c>
      <c r="J790" s="1" t="s">
        <v>29</v>
      </c>
      <c r="K790" s="1" t="s">
        <v>2346</v>
      </c>
      <c r="L790" s="1">
        <v>13500093199</v>
      </c>
      <c r="M790" s="1" t="s">
        <v>2347</v>
      </c>
      <c r="N790" s="1" t="s">
        <v>2348</v>
      </c>
      <c r="O790" s="1" t="s">
        <v>2347</v>
      </c>
      <c r="P790" s="1">
        <v>13500093199</v>
      </c>
      <c r="Q790" s="1" t="s">
        <v>2349</v>
      </c>
    </row>
    <row r="791" spans="1:17">
      <c r="A791" s="1"/>
      <c r="B791" s="1" t="s">
        <v>2351</v>
      </c>
      <c r="C791" s="1" t="s">
        <v>2352</v>
      </c>
      <c r="D791" s="1" t="s">
        <v>5408</v>
      </c>
      <c r="E791" s="1" t="s">
        <v>420</v>
      </c>
      <c r="F791" s="1">
        <v>1</v>
      </c>
      <c r="G791" s="1">
        <v>3.08</v>
      </c>
      <c r="H791" s="1">
        <v>4</v>
      </c>
      <c r="I791" s="1" t="s">
        <v>2354</v>
      </c>
      <c r="J791" s="1" t="s">
        <v>40</v>
      </c>
      <c r="K791" s="1" t="s">
        <v>2355</v>
      </c>
      <c r="L791" s="1">
        <v>13428810018</v>
      </c>
      <c r="M791" s="1" t="s">
        <v>2356</v>
      </c>
      <c r="N791" s="1" t="s">
        <v>2357</v>
      </c>
      <c r="O791" s="1" t="s">
        <v>2356</v>
      </c>
      <c r="P791" s="1">
        <v>13428810018</v>
      </c>
      <c r="Q791" s="1" t="s">
        <v>2358</v>
      </c>
    </row>
    <row r="792" spans="1:17">
      <c r="A792" s="1"/>
      <c r="B792" s="1" t="s">
        <v>2360</v>
      </c>
      <c r="C792" s="1" t="s">
        <v>2361</v>
      </c>
      <c r="D792" s="1" t="s">
        <v>5263</v>
      </c>
      <c r="E792" s="1" t="s">
        <v>625</v>
      </c>
      <c r="F792" s="1">
        <v>1</v>
      </c>
      <c r="G792" s="1">
        <v>1.26</v>
      </c>
      <c r="H792" s="1">
        <v>10</v>
      </c>
      <c r="I792" s="1" t="s">
        <v>5050</v>
      </c>
      <c r="J792" s="1" t="s">
        <v>40</v>
      </c>
      <c r="K792" s="1" t="s">
        <v>1122</v>
      </c>
      <c r="L792" s="1">
        <v>13817013878</v>
      </c>
      <c r="M792" s="1" t="s">
        <v>1123</v>
      </c>
      <c r="N792" s="1" t="s">
        <v>2364</v>
      </c>
      <c r="O792" s="1" t="s">
        <v>2365</v>
      </c>
      <c r="P792" s="1">
        <v>13795328170</v>
      </c>
      <c r="Q792" s="1" t="s">
        <v>2366</v>
      </c>
    </row>
    <row r="793" spans="1:17">
      <c r="A793" s="1"/>
      <c r="B793" s="1"/>
      <c r="C793" s="1"/>
      <c r="D793" s="1" t="s">
        <v>5409</v>
      </c>
      <c r="E793" s="1" t="s">
        <v>625</v>
      </c>
      <c r="F793" s="1"/>
      <c r="G793" s="1"/>
      <c r="H793" s="1"/>
      <c r="I793" s="1" t="s">
        <v>4987</v>
      </c>
      <c r="J793" s="1"/>
      <c r="K793" s="1"/>
      <c r="L793" s="1"/>
      <c r="M793" s="1"/>
      <c r="N793" s="1"/>
      <c r="O793" s="1"/>
      <c r="P793" s="1"/>
      <c r="Q793" s="1"/>
    </row>
    <row r="794" spans="1:17">
      <c r="A794" s="1"/>
      <c r="B794" s="1"/>
      <c r="C794" s="1"/>
      <c r="D794" s="1" t="s">
        <v>5019</v>
      </c>
      <c r="E794" s="1" t="s">
        <v>625</v>
      </c>
      <c r="F794" s="1"/>
      <c r="G794" s="1"/>
      <c r="H794" s="1"/>
      <c r="I794" s="1" t="s">
        <v>4983</v>
      </c>
      <c r="J794" s="1"/>
      <c r="K794" s="1"/>
      <c r="L794" s="1"/>
      <c r="M794" s="1"/>
      <c r="N794" s="1"/>
      <c r="O794" s="1"/>
      <c r="P794" s="1"/>
      <c r="Q794" s="1"/>
    </row>
    <row r="795" spans="1:17">
      <c r="A795" s="1"/>
      <c r="B795" s="1"/>
      <c r="C795" s="1"/>
      <c r="D795" s="1" t="s">
        <v>5070</v>
      </c>
      <c r="E795" s="1" t="s">
        <v>625</v>
      </c>
      <c r="F795" s="1"/>
      <c r="G795" s="1"/>
      <c r="H795" s="1"/>
      <c r="I795" s="1" t="s">
        <v>4987</v>
      </c>
      <c r="J795" s="1"/>
      <c r="K795" s="1"/>
      <c r="L795" s="1"/>
      <c r="M795" s="1"/>
      <c r="N795" s="1"/>
      <c r="O795" s="1"/>
      <c r="P795" s="1"/>
      <c r="Q795" s="1"/>
    </row>
    <row r="796" spans="1:17">
      <c r="A796" s="1"/>
      <c r="B796" s="1"/>
      <c r="C796" s="1"/>
      <c r="D796" s="1" t="s">
        <v>5410</v>
      </c>
      <c r="E796" s="1" t="s">
        <v>625</v>
      </c>
      <c r="F796" s="1"/>
      <c r="G796" s="1"/>
      <c r="H796" s="1"/>
      <c r="I796" s="1" t="s">
        <v>5411</v>
      </c>
      <c r="J796" s="1"/>
      <c r="K796" s="1"/>
      <c r="L796" s="1"/>
      <c r="M796" s="1"/>
      <c r="N796" s="1"/>
      <c r="O796" s="1"/>
      <c r="P796" s="1"/>
      <c r="Q796" s="1"/>
    </row>
    <row r="797" spans="1:17">
      <c r="A797" s="1"/>
      <c r="B797" s="1"/>
      <c r="C797" s="1"/>
      <c r="D797" s="1" t="s">
        <v>5009</v>
      </c>
      <c r="E797" s="1" t="s">
        <v>625</v>
      </c>
      <c r="F797" s="1"/>
      <c r="G797" s="1"/>
      <c r="H797" s="1"/>
      <c r="I797" s="1" t="s">
        <v>5412</v>
      </c>
      <c r="J797" s="1"/>
      <c r="K797" s="1"/>
      <c r="L797" s="1"/>
      <c r="M797" s="1"/>
      <c r="N797" s="1"/>
      <c r="O797" s="1"/>
      <c r="P797" s="1"/>
      <c r="Q797" s="1"/>
    </row>
    <row r="798" spans="1:17">
      <c r="A798" s="1"/>
      <c r="B798" s="1" t="s">
        <v>2368</v>
      </c>
      <c r="C798" s="1" t="s">
        <v>2369</v>
      </c>
      <c r="D798" s="1" t="s">
        <v>5232</v>
      </c>
      <c r="E798" s="1" t="s">
        <v>1131</v>
      </c>
      <c r="F798" s="1">
        <v>1</v>
      </c>
      <c r="G798" s="1">
        <v>2.85</v>
      </c>
      <c r="H798" s="1">
        <v>6</v>
      </c>
      <c r="I798" s="1" t="s">
        <v>1132</v>
      </c>
      <c r="J798" s="1" t="s">
        <v>293</v>
      </c>
      <c r="K798" s="1" t="s">
        <v>1133</v>
      </c>
      <c r="L798" s="1">
        <v>18722628063</v>
      </c>
      <c r="M798" s="1" t="s">
        <v>1134</v>
      </c>
      <c r="N798" s="1" t="s">
        <v>1133</v>
      </c>
      <c r="O798" s="1" t="s">
        <v>2370</v>
      </c>
      <c r="P798" s="1">
        <v>18232521213</v>
      </c>
      <c r="Q798" s="1" t="s">
        <v>2371</v>
      </c>
    </row>
    <row r="799" spans="1:17">
      <c r="A799" s="1"/>
      <c r="B799" s="1" t="s">
        <v>2373</v>
      </c>
      <c r="C799" s="1" t="s">
        <v>2374</v>
      </c>
      <c r="D799" s="1" t="s">
        <v>5233</v>
      </c>
      <c r="E799" s="1" t="s">
        <v>420</v>
      </c>
      <c r="F799" s="1">
        <v>1</v>
      </c>
      <c r="G799" s="1">
        <v>1.72</v>
      </c>
      <c r="H799" s="1">
        <v>14</v>
      </c>
      <c r="I799" s="1" t="s">
        <v>1142</v>
      </c>
      <c r="J799" s="1" t="s">
        <v>29</v>
      </c>
      <c r="K799" s="1" t="s">
        <v>1143</v>
      </c>
      <c r="L799" s="1">
        <v>13266533076</v>
      </c>
      <c r="M799" s="1" t="s">
        <v>1144</v>
      </c>
      <c r="N799" s="1" t="s">
        <v>2375</v>
      </c>
      <c r="O799" s="1" t="s">
        <v>2376</v>
      </c>
      <c r="P799" s="1">
        <v>13802263825</v>
      </c>
      <c r="Q799" s="1" t="s">
        <v>2377</v>
      </c>
    </row>
    <row r="800" spans="1:17">
      <c r="A800" s="1"/>
      <c r="B800" s="1" t="s">
        <v>2379</v>
      </c>
      <c r="C800" s="1" t="s">
        <v>2380</v>
      </c>
      <c r="D800" s="1" t="s">
        <v>5413</v>
      </c>
      <c r="E800" s="1" t="s">
        <v>625</v>
      </c>
      <c r="F800" s="1">
        <v>1</v>
      </c>
      <c r="G800" s="1">
        <v>0.57999999999999996</v>
      </c>
      <c r="H800" s="1">
        <v>12</v>
      </c>
      <c r="I800" s="1" t="s">
        <v>4987</v>
      </c>
      <c r="J800" s="1" t="s">
        <v>40</v>
      </c>
      <c r="K800" s="1" t="s">
        <v>1153</v>
      </c>
      <c r="L800" s="1">
        <v>13313625098</v>
      </c>
      <c r="M800" s="1" t="s">
        <v>1154</v>
      </c>
      <c r="N800" s="1" t="s">
        <v>2383</v>
      </c>
      <c r="O800" s="1" t="s">
        <v>2384</v>
      </c>
      <c r="P800" s="1">
        <v>13903651979</v>
      </c>
      <c r="Q800" s="1" t="s">
        <v>2385</v>
      </c>
    </row>
    <row r="801" spans="1:17">
      <c r="A801" s="1"/>
      <c r="B801" s="1"/>
      <c r="C801" s="1"/>
      <c r="D801" s="1" t="s">
        <v>5414</v>
      </c>
      <c r="E801" s="1" t="s">
        <v>625</v>
      </c>
      <c r="F801" s="1"/>
      <c r="G801" s="1"/>
      <c r="H801" s="1"/>
      <c r="I801" s="1" t="s">
        <v>4987</v>
      </c>
      <c r="J801" s="1"/>
      <c r="K801" s="1"/>
      <c r="L801" s="1"/>
      <c r="M801" s="1"/>
      <c r="N801" s="1"/>
      <c r="O801" s="1"/>
      <c r="P801" s="1"/>
      <c r="Q801" s="1"/>
    </row>
    <row r="802" spans="1:17">
      <c r="A802" s="1"/>
      <c r="B802" s="1"/>
      <c r="C802" s="1"/>
      <c r="D802" s="1" t="s">
        <v>5403</v>
      </c>
      <c r="E802" s="1" t="s">
        <v>625</v>
      </c>
      <c r="F802" s="1"/>
      <c r="G802" s="1"/>
      <c r="H802" s="1"/>
      <c r="I802" s="1" t="s">
        <v>5050</v>
      </c>
      <c r="J802" s="1"/>
      <c r="K802" s="1"/>
      <c r="L802" s="1"/>
      <c r="M802" s="1"/>
      <c r="N802" s="1"/>
      <c r="O802" s="1"/>
      <c r="P802" s="1"/>
      <c r="Q802" s="1"/>
    </row>
    <row r="803" spans="1:17">
      <c r="A803" s="1"/>
      <c r="B803" s="1"/>
      <c r="C803" s="1"/>
      <c r="D803" s="1" t="s">
        <v>5152</v>
      </c>
      <c r="E803" s="1" t="s">
        <v>625</v>
      </c>
      <c r="F803" s="1"/>
      <c r="G803" s="1"/>
      <c r="H803" s="1"/>
      <c r="I803" s="1" t="s">
        <v>4987</v>
      </c>
      <c r="J803" s="1"/>
      <c r="K803" s="1"/>
      <c r="L803" s="1"/>
      <c r="M803" s="1"/>
      <c r="N803" s="1"/>
      <c r="O803" s="1"/>
      <c r="P803" s="1"/>
      <c r="Q803" s="1"/>
    </row>
    <row r="804" spans="1:17">
      <c r="A804" s="1"/>
      <c r="B804" s="1"/>
      <c r="C804" s="1"/>
      <c r="D804" s="1" t="s">
        <v>5113</v>
      </c>
      <c r="E804" s="1" t="s">
        <v>625</v>
      </c>
      <c r="F804" s="1"/>
      <c r="G804" s="1"/>
      <c r="H804" s="1"/>
      <c r="I804" s="1" t="s">
        <v>5235</v>
      </c>
      <c r="J804" s="1"/>
      <c r="K804" s="1"/>
      <c r="L804" s="1"/>
      <c r="M804" s="1"/>
      <c r="N804" s="1"/>
      <c r="O804" s="1"/>
      <c r="P804" s="1"/>
      <c r="Q804" s="1"/>
    </row>
    <row r="805" spans="1:17">
      <c r="A805" s="1"/>
      <c r="B805" s="1" t="s">
        <v>2387</v>
      </c>
      <c r="C805" s="1" t="s">
        <v>2388</v>
      </c>
      <c r="D805" s="1" t="s">
        <v>4988</v>
      </c>
      <c r="E805" s="1" t="s">
        <v>625</v>
      </c>
      <c r="F805" s="1">
        <v>1</v>
      </c>
      <c r="G805" s="1">
        <v>2.4</v>
      </c>
      <c r="H805" s="1">
        <v>11</v>
      </c>
      <c r="I805" s="1" t="s">
        <v>4987</v>
      </c>
      <c r="J805" s="1" t="s">
        <v>40</v>
      </c>
      <c r="K805" s="1" t="s">
        <v>1068</v>
      </c>
      <c r="L805" s="1">
        <v>18630403702</v>
      </c>
      <c r="M805" s="1" t="s">
        <v>1069</v>
      </c>
      <c r="N805" s="1" t="s">
        <v>2391</v>
      </c>
      <c r="O805" s="1" t="s">
        <v>2392</v>
      </c>
      <c r="P805" s="1">
        <v>18722127206</v>
      </c>
      <c r="Q805" s="1" t="s">
        <v>2393</v>
      </c>
    </row>
    <row r="806" spans="1:17">
      <c r="A806" s="1"/>
      <c r="B806" s="1"/>
      <c r="C806" s="1"/>
      <c r="D806" s="1" t="s">
        <v>5036</v>
      </c>
      <c r="E806" s="1" t="s">
        <v>625</v>
      </c>
      <c r="F806" s="1"/>
      <c r="G806" s="1"/>
      <c r="H806" s="1"/>
      <c r="I806" s="1" t="s">
        <v>4983</v>
      </c>
      <c r="J806" s="1"/>
      <c r="K806" s="1"/>
      <c r="L806" s="1"/>
      <c r="M806" s="1"/>
      <c r="N806" s="1"/>
      <c r="O806" s="1"/>
      <c r="P806" s="1"/>
      <c r="Q806" s="1"/>
    </row>
    <row r="807" spans="1:17">
      <c r="A807" s="1"/>
      <c r="B807" s="1"/>
      <c r="C807" s="1"/>
      <c r="D807" s="1" t="s">
        <v>5130</v>
      </c>
      <c r="E807" s="1" t="s">
        <v>625</v>
      </c>
      <c r="F807" s="1"/>
      <c r="G807" s="1"/>
      <c r="H807" s="1"/>
      <c r="I807" s="1" t="s">
        <v>4983</v>
      </c>
      <c r="J807" s="1"/>
      <c r="K807" s="1"/>
      <c r="L807" s="1"/>
      <c r="M807" s="1"/>
      <c r="N807" s="1"/>
      <c r="O807" s="1"/>
      <c r="P807" s="1"/>
      <c r="Q807" s="1"/>
    </row>
    <row r="808" spans="1:17">
      <c r="A808" s="1"/>
      <c r="B808" s="1"/>
      <c r="C808" s="1"/>
      <c r="D808" s="1" t="s">
        <v>5084</v>
      </c>
      <c r="E808" s="1" t="s">
        <v>625</v>
      </c>
      <c r="F808" s="1"/>
      <c r="G808" s="1"/>
      <c r="H808" s="1"/>
      <c r="J808" s="1"/>
      <c r="K808" s="1"/>
      <c r="L808" s="1"/>
      <c r="M808" s="1"/>
      <c r="N808" s="1"/>
      <c r="O808" s="1"/>
      <c r="P808" s="1"/>
      <c r="Q808" s="1"/>
    </row>
    <row r="809" spans="1:17">
      <c r="A809" s="1"/>
      <c r="B809" s="1"/>
      <c r="C809" s="1"/>
      <c r="D809" s="1" t="s">
        <v>5415</v>
      </c>
      <c r="E809" s="1" t="s">
        <v>625</v>
      </c>
      <c r="F809" s="1"/>
      <c r="G809" s="1"/>
      <c r="H809" s="1"/>
      <c r="J809" s="1"/>
      <c r="K809" s="1"/>
      <c r="L809" s="1"/>
      <c r="M809" s="1"/>
      <c r="N809" s="1"/>
      <c r="O809" s="1"/>
      <c r="P809" s="1"/>
      <c r="Q809" s="1"/>
    </row>
    <row r="810" spans="1:17">
      <c r="A810" s="1"/>
      <c r="B810" s="1" t="s">
        <v>2395</v>
      </c>
      <c r="C810" s="1" t="s">
        <v>2396</v>
      </c>
      <c r="D810" s="1" t="s">
        <v>5416</v>
      </c>
      <c r="E810" s="1" t="s">
        <v>625</v>
      </c>
      <c r="F810" s="1">
        <v>1</v>
      </c>
      <c r="G810" s="1">
        <v>2.85</v>
      </c>
      <c r="H810" s="1">
        <v>10</v>
      </c>
      <c r="J810" s="1" t="s">
        <v>40</v>
      </c>
      <c r="K810" s="1" t="s">
        <v>1171</v>
      </c>
      <c r="L810" s="1">
        <v>13689911637</v>
      </c>
      <c r="M810" s="1" t="s">
        <v>1172</v>
      </c>
      <c r="N810" s="1" t="s">
        <v>2399</v>
      </c>
      <c r="O810" s="1" t="s">
        <v>2400</v>
      </c>
      <c r="P810" s="1">
        <v>18096849630</v>
      </c>
      <c r="Q810" s="1" t="s">
        <v>2401</v>
      </c>
    </row>
    <row r="811" spans="1:17">
      <c r="A811" s="1"/>
      <c r="B811" s="1"/>
      <c r="C811" s="1"/>
      <c r="D811" s="1" t="s">
        <v>5069</v>
      </c>
      <c r="E811" s="1" t="s">
        <v>625</v>
      </c>
      <c r="F811" s="1"/>
      <c r="G811" s="1"/>
      <c r="H811" s="1"/>
      <c r="J811" s="1"/>
      <c r="K811" s="1"/>
      <c r="L811" s="1"/>
      <c r="M811" s="1"/>
      <c r="N811" s="1"/>
      <c r="O811" s="1"/>
      <c r="P811" s="1"/>
      <c r="Q811" s="1"/>
    </row>
    <row r="812" spans="1:17">
      <c r="A812" s="1"/>
      <c r="B812" s="1"/>
      <c r="C812" s="1"/>
      <c r="D812" s="1" t="s">
        <v>5130</v>
      </c>
      <c r="E812" s="1" t="s">
        <v>625</v>
      </c>
      <c r="F812" s="1"/>
      <c r="G812" s="1"/>
      <c r="H812" s="1"/>
      <c r="I812" s="1" t="s">
        <v>4987</v>
      </c>
      <c r="J812" s="1"/>
      <c r="K812" s="1"/>
      <c r="L812" s="1"/>
      <c r="M812" s="1"/>
      <c r="N812" s="1"/>
      <c r="O812" s="1"/>
      <c r="P812" s="1"/>
      <c r="Q812" s="1"/>
    </row>
    <row r="813" spans="1:17">
      <c r="A813" s="1"/>
      <c r="B813" s="1"/>
      <c r="C813" s="1"/>
      <c r="D813" s="1" t="s">
        <v>5072</v>
      </c>
      <c r="E813" s="1" t="s">
        <v>625</v>
      </c>
      <c r="F813" s="1"/>
      <c r="G813" s="1"/>
      <c r="H813" s="1"/>
      <c r="I813" s="1" t="s">
        <v>4987</v>
      </c>
      <c r="J813" s="1"/>
      <c r="K813" s="1"/>
      <c r="L813" s="1"/>
      <c r="M813" s="1"/>
      <c r="N813" s="1"/>
      <c r="O813" s="1"/>
      <c r="P813" s="1"/>
      <c r="Q813" s="1"/>
    </row>
    <row r="814" spans="1:17">
      <c r="A814" s="1"/>
      <c r="B814" s="1"/>
      <c r="C814" s="1"/>
      <c r="D814" s="1" t="s">
        <v>5162</v>
      </c>
      <c r="E814" s="1" t="s">
        <v>625</v>
      </c>
      <c r="F814" s="1"/>
      <c r="G814" s="1"/>
      <c r="H814" s="1"/>
      <c r="I814" s="1" t="s">
        <v>4985</v>
      </c>
      <c r="J814" s="1"/>
      <c r="K814" s="1"/>
      <c r="L814" s="1"/>
      <c r="M814" s="1"/>
      <c r="N814" s="1"/>
      <c r="O814" s="1"/>
      <c r="P814" s="1"/>
      <c r="Q814" s="1"/>
    </row>
    <row r="815" spans="1:17">
      <c r="A815" s="1"/>
      <c r="B815" s="1"/>
      <c r="C815" s="1"/>
      <c r="D815" s="1" t="s">
        <v>5417</v>
      </c>
      <c r="E815" s="1" t="s">
        <v>625</v>
      </c>
      <c r="F815" s="1"/>
      <c r="G815" s="1"/>
      <c r="H815" s="1"/>
      <c r="I815" s="1" t="s">
        <v>4987</v>
      </c>
      <c r="J815" s="1"/>
      <c r="K815" s="1"/>
      <c r="L815" s="1"/>
      <c r="M815" s="1"/>
      <c r="N815" s="1"/>
      <c r="O815" s="1"/>
      <c r="P815" s="1"/>
      <c r="Q815" s="1"/>
    </row>
    <row r="816" spans="1:17">
      <c r="A816" s="1"/>
      <c r="B816" s="1" t="s">
        <v>2403</v>
      </c>
      <c r="C816" s="1" t="s">
        <v>2404</v>
      </c>
      <c r="D816" s="1" t="s">
        <v>5020</v>
      </c>
      <c r="E816" s="1" t="s">
        <v>625</v>
      </c>
      <c r="F816" s="1">
        <v>1</v>
      </c>
      <c r="G816" s="1">
        <v>1.04</v>
      </c>
      <c r="H816" s="1">
        <v>10</v>
      </c>
      <c r="J816" s="1" t="s">
        <v>40</v>
      </c>
      <c r="K816" s="1" t="s">
        <v>1181</v>
      </c>
      <c r="L816" s="1">
        <v>13321152741</v>
      </c>
      <c r="M816" s="1" t="s">
        <v>1182</v>
      </c>
      <c r="N816" s="1" t="s">
        <v>2406</v>
      </c>
      <c r="O816" s="1" t="s">
        <v>2407</v>
      </c>
      <c r="P816" s="1">
        <v>17701617598</v>
      </c>
      <c r="Q816" s="1" t="s">
        <v>2408</v>
      </c>
    </row>
    <row r="817" spans="1:17">
      <c r="A817" s="1"/>
      <c r="B817" s="1"/>
      <c r="C817" s="1"/>
      <c r="D817" s="1" t="s">
        <v>5130</v>
      </c>
      <c r="E817" s="1" t="s">
        <v>625</v>
      </c>
      <c r="F817" s="1"/>
      <c r="G817" s="1"/>
      <c r="H817" s="1"/>
      <c r="J817" s="1"/>
      <c r="K817" s="1"/>
      <c r="L817" s="1"/>
      <c r="M817" s="1"/>
      <c r="N817" s="1"/>
      <c r="O817" s="1"/>
      <c r="P817" s="1"/>
      <c r="Q817" s="1"/>
    </row>
    <row r="818" spans="1:17">
      <c r="A818" s="1"/>
      <c r="B818" s="1"/>
      <c r="C818" s="1"/>
      <c r="D818" s="1" t="s">
        <v>5263</v>
      </c>
      <c r="E818" s="1" t="s">
        <v>625</v>
      </c>
      <c r="F818" s="1"/>
      <c r="G818" s="1"/>
      <c r="H818" s="1"/>
      <c r="J818" s="1"/>
      <c r="K818" s="1"/>
      <c r="L818" s="1"/>
      <c r="M818" s="1"/>
      <c r="N818" s="1"/>
      <c r="O818" s="1"/>
      <c r="P818" s="1"/>
      <c r="Q818" s="1"/>
    </row>
    <row r="819" spans="1:17">
      <c r="A819" s="1"/>
      <c r="B819" s="1"/>
      <c r="C819" s="1"/>
      <c r="D819" s="1" t="s">
        <v>5418</v>
      </c>
      <c r="E819" s="1" t="s">
        <v>625</v>
      </c>
      <c r="F819" s="1"/>
      <c r="G819" s="1"/>
      <c r="H819" s="1"/>
      <c r="J819" s="1"/>
      <c r="K819" s="1"/>
      <c r="L819" s="1"/>
      <c r="M819" s="1"/>
      <c r="N819" s="1"/>
      <c r="O819" s="1"/>
      <c r="P819" s="1"/>
      <c r="Q819" s="1"/>
    </row>
    <row r="820" spans="1:17">
      <c r="A820" s="1"/>
      <c r="B820" s="1"/>
      <c r="C820" s="1"/>
      <c r="D820" s="1" t="s">
        <v>5419</v>
      </c>
      <c r="E820" s="1" t="s">
        <v>625</v>
      </c>
      <c r="F820" s="1"/>
      <c r="G820" s="1"/>
      <c r="H820" s="1"/>
      <c r="J820" s="1"/>
      <c r="K820" s="1"/>
      <c r="L820" s="1"/>
      <c r="M820" s="1"/>
      <c r="N820" s="1"/>
      <c r="O820" s="1"/>
      <c r="P820" s="1"/>
      <c r="Q820" s="1"/>
    </row>
    <row r="821" spans="1:17">
      <c r="A821" s="1"/>
      <c r="B821" s="1"/>
      <c r="C821" s="1"/>
      <c r="D821" s="1" t="s">
        <v>5245</v>
      </c>
      <c r="E821" s="1" t="s">
        <v>625</v>
      </c>
      <c r="F821" s="1"/>
      <c r="G821" s="1"/>
      <c r="H821" s="1"/>
      <c r="J821" s="1"/>
      <c r="K821" s="1"/>
      <c r="L821" s="1"/>
      <c r="M821" s="1"/>
      <c r="N821" s="1"/>
      <c r="O821" s="1"/>
      <c r="P821" s="1"/>
      <c r="Q821" s="1"/>
    </row>
    <row r="822" spans="1:17">
      <c r="A822" s="1"/>
      <c r="B822" s="1"/>
      <c r="C822" s="1"/>
      <c r="D822" s="1" t="s">
        <v>5403</v>
      </c>
      <c r="E822" s="1" t="s">
        <v>625</v>
      </c>
      <c r="F822" s="1"/>
      <c r="G822" s="1"/>
      <c r="H822" s="1"/>
      <c r="J822" s="1"/>
      <c r="K822" s="1"/>
      <c r="L822" s="1"/>
      <c r="M822" s="1"/>
      <c r="N822" s="1"/>
      <c r="O822" s="1"/>
      <c r="P822" s="1"/>
      <c r="Q822" s="1"/>
    </row>
    <row r="823" spans="1:17">
      <c r="A823" s="1"/>
      <c r="B823" s="1"/>
      <c r="C823" s="1"/>
      <c r="D823" s="1" t="s">
        <v>5017</v>
      </c>
      <c r="E823" s="1" t="s">
        <v>625</v>
      </c>
      <c r="F823" s="1"/>
      <c r="G823" s="1"/>
      <c r="H823" s="1"/>
      <c r="J823" s="1"/>
      <c r="K823" s="1"/>
      <c r="L823" s="1"/>
      <c r="M823" s="1"/>
      <c r="N823" s="1"/>
      <c r="O823" s="1"/>
      <c r="P823" s="1"/>
      <c r="Q823" s="1"/>
    </row>
    <row r="824" spans="1:17">
      <c r="A824" s="1"/>
      <c r="B824" s="1" t="s">
        <v>2410</v>
      </c>
      <c r="C824" s="1" t="s">
        <v>2411</v>
      </c>
      <c r="D824" s="1" t="s">
        <v>5420</v>
      </c>
      <c r="E824" s="1" t="s">
        <v>2413</v>
      </c>
      <c r="F824" s="1">
        <v>1</v>
      </c>
      <c r="G824" s="1">
        <v>3.31</v>
      </c>
      <c r="H824" s="1">
        <v>6</v>
      </c>
      <c r="J824" s="1" t="s">
        <v>29</v>
      </c>
      <c r="K824" s="1" t="s">
        <v>1191</v>
      </c>
      <c r="L824" s="1">
        <v>18382618053</v>
      </c>
      <c r="M824" s="1" t="s">
        <v>1192</v>
      </c>
      <c r="N824" s="1" t="s">
        <v>2414</v>
      </c>
      <c r="O824" s="1" t="s">
        <v>2415</v>
      </c>
      <c r="P824" s="1">
        <v>13649092128</v>
      </c>
      <c r="Q824" s="1" t="s">
        <v>2416</v>
      </c>
    </row>
    <row r="825" spans="1:17">
      <c r="A825" s="1"/>
      <c r="B825" s="1" t="s">
        <v>2418</v>
      </c>
      <c r="C825" s="1" t="s">
        <v>2419</v>
      </c>
      <c r="D825" s="1" t="s">
        <v>4984</v>
      </c>
      <c r="E825" s="1" t="s">
        <v>625</v>
      </c>
      <c r="F825" s="1">
        <v>1</v>
      </c>
      <c r="G825" s="1">
        <v>1.26</v>
      </c>
      <c r="H825" s="1">
        <v>12</v>
      </c>
      <c r="I825" s="1" t="s">
        <v>4985</v>
      </c>
      <c r="J825" s="1" t="s">
        <v>40</v>
      </c>
      <c r="K825" s="1" t="s">
        <v>1201</v>
      </c>
      <c r="L825" s="1">
        <v>13805356723</v>
      </c>
      <c r="M825" s="1" t="s">
        <v>1202</v>
      </c>
      <c r="N825" s="1" t="s">
        <v>2422</v>
      </c>
      <c r="O825" s="1" t="s">
        <v>2423</v>
      </c>
      <c r="P825" s="1">
        <v>18853569120</v>
      </c>
      <c r="Q825" s="1" t="s">
        <v>2424</v>
      </c>
    </row>
    <row r="826" spans="1:17">
      <c r="A826" s="1"/>
      <c r="B826" s="1"/>
      <c r="C826" s="1"/>
      <c r="D826" s="1" t="s">
        <v>5421</v>
      </c>
      <c r="E826" s="1" t="s">
        <v>625</v>
      </c>
      <c r="F826" s="1"/>
      <c r="G826" s="1"/>
      <c r="H826" s="1"/>
      <c r="I826" s="1" t="s">
        <v>4987</v>
      </c>
      <c r="J826" s="1"/>
      <c r="K826" s="1"/>
      <c r="L826" s="1"/>
      <c r="M826" s="1"/>
      <c r="N826" s="1"/>
      <c r="O826" s="1"/>
      <c r="P826" s="1"/>
      <c r="Q826" s="1"/>
    </row>
    <row r="827" spans="1:17">
      <c r="A827" s="1"/>
      <c r="B827" s="1"/>
      <c r="C827" s="1"/>
      <c r="D827" s="1" t="s">
        <v>5251</v>
      </c>
      <c r="E827" s="1" t="s">
        <v>625</v>
      </c>
      <c r="F827" s="1"/>
      <c r="G827" s="1"/>
      <c r="H827" s="1"/>
      <c r="I827" s="1" t="s">
        <v>4987</v>
      </c>
      <c r="J827" s="1"/>
      <c r="K827" s="1"/>
      <c r="L827" s="1"/>
      <c r="M827" s="1"/>
      <c r="N827" s="1"/>
      <c r="O827" s="1"/>
      <c r="P827" s="1"/>
      <c r="Q827" s="1"/>
    </row>
    <row r="828" spans="1:17">
      <c r="A828" s="1"/>
      <c r="B828" s="1" t="s">
        <v>2426</v>
      </c>
      <c r="C828" s="1" t="s">
        <v>2427</v>
      </c>
      <c r="D828" s="1" t="s">
        <v>5422</v>
      </c>
      <c r="E828" s="1" t="s">
        <v>5423</v>
      </c>
      <c r="F828" s="1">
        <v>1</v>
      </c>
      <c r="G828" s="1">
        <v>1.26</v>
      </c>
      <c r="H828" s="1">
        <v>18</v>
      </c>
      <c r="J828" s="1" t="s">
        <v>293</v>
      </c>
      <c r="K828" s="1" t="s">
        <v>1220</v>
      </c>
      <c r="L828" s="1">
        <v>17694885170</v>
      </c>
      <c r="M828" s="1" t="s">
        <v>1221</v>
      </c>
      <c r="N828" s="1" t="s">
        <v>2430</v>
      </c>
      <c r="O828" s="1" t="s">
        <v>2431</v>
      </c>
      <c r="P828" s="1">
        <v>13512051840</v>
      </c>
      <c r="Q828" s="1" t="s">
        <v>2432</v>
      </c>
    </row>
    <row r="829" spans="1:17">
      <c r="A829" s="1"/>
      <c r="B829" s="1"/>
      <c r="C829" s="1"/>
      <c r="D829" s="1" t="s">
        <v>5424</v>
      </c>
      <c r="E829" s="1" t="s">
        <v>5425</v>
      </c>
      <c r="F829" s="1"/>
      <c r="G829" s="1"/>
      <c r="H829" s="1"/>
      <c r="J829" s="1"/>
      <c r="K829" s="1"/>
      <c r="L829" s="1"/>
      <c r="M829" s="1"/>
      <c r="N829" s="1"/>
      <c r="O829" s="1"/>
      <c r="P829" s="1"/>
      <c r="Q829" s="1"/>
    </row>
    <row r="830" spans="1:17">
      <c r="A830" s="1"/>
      <c r="B830" s="1" t="s">
        <v>2434</v>
      </c>
      <c r="C830" s="1" t="s">
        <v>2435</v>
      </c>
      <c r="D830" s="1" t="s">
        <v>5426</v>
      </c>
      <c r="E830" s="1" t="s">
        <v>449</v>
      </c>
      <c r="F830" s="1">
        <v>1</v>
      </c>
      <c r="G830" s="1">
        <v>1.04</v>
      </c>
      <c r="H830" s="1">
        <v>9</v>
      </c>
      <c r="J830" s="1" t="s">
        <v>29</v>
      </c>
      <c r="K830" s="1" t="s">
        <v>1229</v>
      </c>
      <c r="L830" s="1">
        <v>18722622602</v>
      </c>
      <c r="M830" s="1" t="s">
        <v>1230</v>
      </c>
      <c r="N830" s="1" t="s">
        <v>1229</v>
      </c>
      <c r="O830" s="1" t="s">
        <v>2438</v>
      </c>
      <c r="P830" s="1">
        <v>13920736000</v>
      </c>
      <c r="Q830" s="1" t="s">
        <v>2439</v>
      </c>
    </row>
    <row r="831" spans="1:17">
      <c r="A831" s="1"/>
      <c r="B831" s="1"/>
      <c r="C831" s="1"/>
      <c r="D831" s="1" t="s">
        <v>5427</v>
      </c>
      <c r="E831" s="1" t="s">
        <v>449</v>
      </c>
      <c r="F831" s="1"/>
      <c r="G831" s="1"/>
      <c r="H831" s="1"/>
      <c r="J831" s="1"/>
      <c r="K831" s="1"/>
      <c r="L831" s="1"/>
      <c r="M831" s="1"/>
      <c r="N831" s="1"/>
      <c r="O831" s="1"/>
      <c r="P831" s="1"/>
      <c r="Q831" s="1"/>
    </row>
    <row r="832" spans="1:17">
      <c r="A832" s="1"/>
      <c r="B832" s="1"/>
      <c r="C832" s="1"/>
      <c r="D832" s="1" t="s">
        <v>5428</v>
      </c>
      <c r="E832" s="1" t="s">
        <v>449</v>
      </c>
      <c r="F832" s="1"/>
      <c r="G832" s="1"/>
      <c r="H832" s="1"/>
      <c r="J832" s="1"/>
      <c r="K832" s="1"/>
      <c r="L832" s="1"/>
      <c r="M832" s="1"/>
      <c r="N832" s="1"/>
      <c r="O832" s="1"/>
      <c r="P832" s="1"/>
      <c r="Q832" s="1"/>
    </row>
    <row r="833" spans="1:17">
      <c r="A833" s="1"/>
      <c r="B833" s="1"/>
      <c r="C833" s="1"/>
      <c r="D833" s="1" t="s">
        <v>5429</v>
      </c>
      <c r="E833" s="1" t="s">
        <v>2413</v>
      </c>
      <c r="F833" s="1"/>
      <c r="G833" s="1"/>
      <c r="H833" s="1"/>
      <c r="J833" s="1"/>
      <c r="K833" s="1"/>
      <c r="L833" s="1"/>
      <c r="M833" s="1"/>
      <c r="N833" s="1"/>
      <c r="O833" s="1"/>
      <c r="P833" s="1"/>
      <c r="Q833" s="1"/>
    </row>
    <row r="834" spans="1:17">
      <c r="A834" s="1"/>
      <c r="B834" s="1" t="s">
        <v>2441</v>
      </c>
      <c r="C834" s="1" t="s">
        <v>2442</v>
      </c>
      <c r="D834" s="1" t="s">
        <v>5259</v>
      </c>
      <c r="E834" s="1" t="s">
        <v>5260</v>
      </c>
      <c r="F834" s="1">
        <v>1</v>
      </c>
      <c r="G834" s="1">
        <v>0.81</v>
      </c>
      <c r="H834" s="1">
        <v>6</v>
      </c>
      <c r="J834" s="1" t="s">
        <v>29</v>
      </c>
      <c r="K834" s="1" t="s">
        <v>1211</v>
      </c>
      <c r="L834" s="1">
        <v>17695963119</v>
      </c>
      <c r="M834" s="1" t="s">
        <v>992</v>
      </c>
      <c r="N834" s="1" t="s">
        <v>2443</v>
      </c>
      <c r="O834" s="1" t="s">
        <v>2444</v>
      </c>
      <c r="P834" s="1">
        <v>15822008223</v>
      </c>
      <c r="Q834" s="1" t="s">
        <v>2445</v>
      </c>
    </row>
    <row r="835" spans="1:17">
      <c r="A835" s="1"/>
      <c r="B835" s="1"/>
      <c r="C835" s="1"/>
      <c r="D835" s="1" t="s">
        <v>5261</v>
      </c>
      <c r="E835" s="1" t="s">
        <v>5205</v>
      </c>
      <c r="F835" s="1"/>
      <c r="G835" s="1"/>
      <c r="H835" s="1"/>
      <c r="J835" s="1"/>
      <c r="K835" s="1"/>
      <c r="L835" s="1"/>
      <c r="M835" s="1"/>
      <c r="N835" s="1"/>
      <c r="O835" s="1"/>
      <c r="P835" s="1"/>
      <c r="Q835" s="1"/>
    </row>
    <row r="836" spans="1:17">
      <c r="A836" s="1"/>
      <c r="B836" s="1" t="s">
        <v>2447</v>
      </c>
      <c r="C836" s="1" t="s">
        <v>2448</v>
      </c>
      <c r="D836" s="1" t="s">
        <v>5430</v>
      </c>
      <c r="E836" s="1" t="s">
        <v>2450</v>
      </c>
      <c r="F836" s="1">
        <v>1</v>
      </c>
      <c r="G836" s="1">
        <v>1.72</v>
      </c>
      <c r="H836" s="1">
        <v>4</v>
      </c>
      <c r="J836" s="1" t="s">
        <v>29</v>
      </c>
      <c r="K836" s="1" t="s">
        <v>1239</v>
      </c>
      <c r="L836" s="1">
        <v>17694885170</v>
      </c>
      <c r="M836" s="1" t="s">
        <v>1230</v>
      </c>
      <c r="N836" s="1" t="s">
        <v>2451</v>
      </c>
      <c r="O836" s="1" t="s">
        <v>2452</v>
      </c>
      <c r="P836" s="1">
        <v>13920606078</v>
      </c>
      <c r="Q836" s="1" t="s">
        <v>2453</v>
      </c>
    </row>
    <row r="837" spans="1:17">
      <c r="A837" s="1"/>
      <c r="B837" s="1" t="s">
        <v>2455</v>
      </c>
      <c r="C837" s="1" t="s">
        <v>2456</v>
      </c>
      <c r="D837" s="1" t="s">
        <v>5104</v>
      </c>
      <c r="E837" s="1" t="s">
        <v>420</v>
      </c>
      <c r="F837" s="1">
        <v>1</v>
      </c>
      <c r="G837" s="1">
        <v>1.72</v>
      </c>
      <c r="H837" s="1">
        <v>11</v>
      </c>
      <c r="I837" s="1" t="s">
        <v>5105</v>
      </c>
      <c r="J837" s="1" t="s">
        <v>40</v>
      </c>
      <c r="K837" s="1" t="s">
        <v>1257</v>
      </c>
      <c r="L837" s="1">
        <v>18820285826</v>
      </c>
      <c r="M837" s="1" t="s">
        <v>1258</v>
      </c>
      <c r="N837" s="1" t="s">
        <v>1257</v>
      </c>
      <c r="O837" s="1" t="s">
        <v>2457</v>
      </c>
      <c r="P837" s="1">
        <v>13692181908</v>
      </c>
      <c r="Q837" s="1" t="s">
        <v>2458</v>
      </c>
    </row>
    <row r="838" spans="1:17">
      <c r="A838" s="1"/>
      <c r="B838" s="1"/>
      <c r="C838" s="1"/>
      <c r="D838" s="1" t="s">
        <v>5266</v>
      </c>
      <c r="E838" s="1" t="s">
        <v>420</v>
      </c>
      <c r="F838" s="1"/>
      <c r="G838" s="1"/>
      <c r="H838" s="1"/>
      <c r="I838" s="1" t="s">
        <v>164</v>
      </c>
      <c r="J838" s="1"/>
      <c r="K838" s="1"/>
      <c r="L838" s="1"/>
      <c r="M838" s="1"/>
      <c r="N838" s="1"/>
      <c r="O838" s="1"/>
      <c r="P838" s="1"/>
      <c r="Q838" s="1"/>
    </row>
    <row r="839" spans="1:17">
      <c r="A839" s="1"/>
      <c r="B839" s="1"/>
      <c r="C839" s="1"/>
      <c r="D839" s="1" t="s">
        <v>5149</v>
      </c>
      <c r="E839" s="1" t="s">
        <v>420</v>
      </c>
      <c r="F839" s="1"/>
      <c r="G839" s="1"/>
      <c r="H839" s="1"/>
      <c r="I839" s="1" t="s">
        <v>1142</v>
      </c>
      <c r="J839" s="1"/>
      <c r="K839" s="1"/>
      <c r="L839" s="1"/>
      <c r="M839" s="1"/>
      <c r="N839" s="1"/>
      <c r="O839" s="1"/>
      <c r="P839" s="1"/>
      <c r="Q839" s="1"/>
    </row>
    <row r="840" spans="1:17">
      <c r="A840" s="1"/>
      <c r="B840" s="1"/>
      <c r="C840" s="1"/>
      <c r="D840" s="1" t="s">
        <v>5267</v>
      </c>
      <c r="E840" s="1" t="s">
        <v>420</v>
      </c>
      <c r="F840" s="1"/>
      <c r="G840" s="1"/>
      <c r="H840" s="1"/>
      <c r="I840" s="1" t="s">
        <v>5111</v>
      </c>
      <c r="J840" s="1"/>
      <c r="K840" s="1"/>
      <c r="L840" s="1"/>
      <c r="M840" s="1"/>
      <c r="N840" s="1"/>
      <c r="O840" s="1"/>
      <c r="P840" s="1"/>
      <c r="Q840" s="1"/>
    </row>
    <row r="841" spans="1:17">
      <c r="A841" s="1"/>
      <c r="B841" s="1" t="s">
        <v>2460</v>
      </c>
      <c r="C841" s="1" t="s">
        <v>2461</v>
      </c>
      <c r="D841" s="1" t="s">
        <v>5044</v>
      </c>
      <c r="E841" s="1" t="s">
        <v>625</v>
      </c>
      <c r="F841" s="1">
        <v>1</v>
      </c>
      <c r="G841" s="1">
        <v>1.49</v>
      </c>
      <c r="H841" s="1">
        <v>11</v>
      </c>
      <c r="J841" s="1" t="s">
        <v>40</v>
      </c>
      <c r="K841" s="1" t="s">
        <v>1248</v>
      </c>
      <c r="L841" s="1">
        <v>13801375568</v>
      </c>
      <c r="M841" s="1" t="s">
        <v>2463</v>
      </c>
      <c r="N841" s="1" t="s">
        <v>1248</v>
      </c>
      <c r="O841" s="1" t="s">
        <v>2464</v>
      </c>
      <c r="P841" s="1">
        <v>13801308304</v>
      </c>
      <c r="Q841" s="1" t="s">
        <v>2465</v>
      </c>
    </row>
    <row r="842" spans="1:17">
      <c r="A842" s="1"/>
      <c r="B842" s="1"/>
      <c r="C842" s="1"/>
      <c r="D842" s="1" t="s">
        <v>5431</v>
      </c>
      <c r="E842" s="1" t="s">
        <v>625</v>
      </c>
      <c r="F842" s="1"/>
      <c r="G842" s="1"/>
      <c r="H842" s="1"/>
      <c r="J842" s="1"/>
      <c r="K842" s="1"/>
      <c r="L842" s="1"/>
      <c r="M842" s="1"/>
      <c r="N842" s="1"/>
      <c r="O842" s="1"/>
      <c r="P842" s="1"/>
      <c r="Q842" s="1"/>
    </row>
    <row r="843" spans="1:17">
      <c r="A843" s="1"/>
      <c r="B843" s="1"/>
      <c r="C843" s="1"/>
      <c r="D843" s="1" t="s">
        <v>5245</v>
      </c>
      <c r="E843" s="1" t="s">
        <v>625</v>
      </c>
      <c r="F843" s="1"/>
      <c r="G843" s="1"/>
      <c r="H843" s="1"/>
      <c r="J843" s="1"/>
      <c r="K843" s="1"/>
      <c r="L843" s="1"/>
      <c r="M843" s="1"/>
      <c r="N843" s="1"/>
      <c r="O843" s="1"/>
      <c r="P843" s="1"/>
      <c r="Q843" s="1"/>
    </row>
    <row r="844" spans="1:17">
      <c r="A844" s="1"/>
      <c r="B844" s="1"/>
      <c r="C844" s="1"/>
      <c r="D844" s="1" t="s">
        <v>5432</v>
      </c>
      <c r="E844" s="1" t="s">
        <v>625</v>
      </c>
      <c r="F844" s="1"/>
      <c r="G844" s="1"/>
      <c r="H844" s="1"/>
      <c r="J844" s="1"/>
      <c r="K844" s="1"/>
      <c r="L844" s="1"/>
      <c r="M844" s="1"/>
      <c r="N844" s="1"/>
      <c r="O844" s="1"/>
      <c r="P844" s="1"/>
      <c r="Q844" s="1"/>
    </row>
    <row r="845" spans="1:17">
      <c r="A845" s="1"/>
      <c r="B845" s="1"/>
      <c r="C845" s="1"/>
      <c r="D845" s="1" t="s">
        <v>5383</v>
      </c>
      <c r="E845" s="1" t="s">
        <v>625</v>
      </c>
      <c r="F845" s="1"/>
      <c r="G845" s="1"/>
      <c r="H845" s="1"/>
      <c r="J845" s="1"/>
      <c r="K845" s="1"/>
      <c r="L845" s="1"/>
      <c r="M845" s="1"/>
      <c r="N845" s="1"/>
      <c r="O845" s="1"/>
      <c r="P845" s="1"/>
      <c r="Q845" s="1"/>
    </row>
    <row r="846" spans="1:17">
      <c r="A846" s="1"/>
      <c r="B846" s="1"/>
      <c r="C846" s="1"/>
      <c r="D846" s="1" t="s">
        <v>5403</v>
      </c>
      <c r="E846" s="1" t="s">
        <v>625</v>
      </c>
      <c r="F846" s="1"/>
      <c r="G846" s="1"/>
      <c r="H846" s="1"/>
      <c r="J846" s="1"/>
      <c r="K846" s="1"/>
      <c r="L846" s="1"/>
      <c r="M846" s="1"/>
      <c r="N846" s="1"/>
      <c r="O846" s="1"/>
      <c r="P846" s="1"/>
      <c r="Q846" s="1"/>
    </row>
    <row r="847" spans="1:17">
      <c r="A847" s="1"/>
      <c r="B847" s="1" t="s">
        <v>2467</v>
      </c>
      <c r="C847" s="1" t="s">
        <v>2468</v>
      </c>
      <c r="D847" s="1" t="s">
        <v>5266</v>
      </c>
      <c r="E847" s="1" t="s">
        <v>420</v>
      </c>
      <c r="F847" s="1">
        <v>1</v>
      </c>
      <c r="G847" s="1">
        <v>1.2636363636363599</v>
      </c>
      <c r="H847" s="1">
        <v>10</v>
      </c>
      <c r="I847" s="1" t="s">
        <v>164</v>
      </c>
      <c r="J847" s="1" t="s">
        <v>29</v>
      </c>
      <c r="K847" s="1" t="s">
        <v>1266</v>
      </c>
      <c r="L847" s="1">
        <v>13611066495</v>
      </c>
      <c r="M847" s="1" t="s">
        <v>1267</v>
      </c>
      <c r="N847" s="1" t="s">
        <v>2469</v>
      </c>
      <c r="O847" s="1" t="s">
        <v>2470</v>
      </c>
      <c r="P847" s="1">
        <v>13581658922</v>
      </c>
      <c r="Q847" s="1" t="s">
        <v>2471</v>
      </c>
    </row>
    <row r="848" spans="1:17">
      <c r="A848" s="1"/>
      <c r="B848" s="1"/>
      <c r="C848" s="1"/>
      <c r="D848" s="1" t="s">
        <v>5268</v>
      </c>
      <c r="E848" s="1" t="s">
        <v>420</v>
      </c>
      <c r="F848" s="1"/>
      <c r="G848" s="1"/>
      <c r="H848" s="1"/>
      <c r="I848" s="1" t="s">
        <v>5269</v>
      </c>
      <c r="J848" s="1"/>
      <c r="K848" s="1"/>
      <c r="L848" s="1"/>
      <c r="M848" s="1"/>
      <c r="N848" s="1"/>
      <c r="O848" s="1"/>
      <c r="P848" s="1"/>
      <c r="Q848" s="1"/>
    </row>
    <row r="849" spans="1:17">
      <c r="A849" s="1"/>
      <c r="B849" s="1"/>
      <c r="C849" s="1"/>
      <c r="D849" s="1" t="s">
        <v>5270</v>
      </c>
      <c r="E849" s="1" t="s">
        <v>420</v>
      </c>
      <c r="F849" s="1"/>
      <c r="G849" s="1"/>
      <c r="H849" s="1"/>
      <c r="I849" s="1" t="s">
        <v>4963</v>
      </c>
      <c r="J849" s="1"/>
      <c r="K849" s="1"/>
      <c r="L849" s="1"/>
      <c r="M849" s="1"/>
      <c r="N849" s="1"/>
      <c r="O849" s="1"/>
      <c r="P849" s="1"/>
      <c r="Q849" s="1"/>
    </row>
    <row r="850" spans="1:17">
      <c r="A850" s="1"/>
      <c r="B850" s="1"/>
      <c r="C850" s="1"/>
      <c r="D850" s="1" t="s">
        <v>5271</v>
      </c>
      <c r="E850" s="1" t="s">
        <v>420</v>
      </c>
      <c r="F850" s="1"/>
      <c r="G850" s="1"/>
      <c r="H850" s="1"/>
      <c r="I850" s="1" t="s">
        <v>5272</v>
      </c>
      <c r="J850" s="1"/>
      <c r="K850" s="1"/>
      <c r="L850" s="1"/>
      <c r="M850" s="1"/>
      <c r="N850" s="1"/>
      <c r="O850" s="1"/>
      <c r="P850" s="1"/>
      <c r="Q850" s="1"/>
    </row>
    <row r="851" spans="1:17">
      <c r="A851" s="1"/>
      <c r="B851" s="1" t="s">
        <v>2473</v>
      </c>
      <c r="C851" s="1" t="s">
        <v>2474</v>
      </c>
      <c r="D851" s="1" t="s">
        <v>1274</v>
      </c>
      <c r="E851" s="1" t="s">
        <v>420</v>
      </c>
      <c r="F851" s="1">
        <v>1</v>
      </c>
      <c r="G851" s="1">
        <v>0.81</v>
      </c>
      <c r="H851" s="1">
        <v>2</v>
      </c>
      <c r="J851" s="1" t="s">
        <v>40</v>
      </c>
      <c r="K851" s="1" t="s">
        <v>1341</v>
      </c>
      <c r="L851" s="1">
        <v>13922769996</v>
      </c>
      <c r="M851" s="1" t="s">
        <v>1342</v>
      </c>
      <c r="N851" s="1" t="s">
        <v>2475</v>
      </c>
      <c r="O851" s="1" t="s">
        <v>2476</v>
      </c>
      <c r="P851" s="1">
        <v>13822551928</v>
      </c>
      <c r="Q851" s="1" t="s">
        <v>2477</v>
      </c>
    </row>
    <row r="852" spans="1:17">
      <c r="A852" s="1"/>
      <c r="B852" s="1" t="s">
        <v>2479</v>
      </c>
      <c r="C852" s="1" t="s">
        <v>2480</v>
      </c>
      <c r="D852" s="1" t="s">
        <v>1274</v>
      </c>
      <c r="E852" s="1" t="s">
        <v>420</v>
      </c>
      <c r="F852" s="1">
        <v>1</v>
      </c>
      <c r="G852" s="1">
        <v>0.81</v>
      </c>
      <c r="H852" s="1">
        <v>2</v>
      </c>
      <c r="J852" s="1" t="s">
        <v>40</v>
      </c>
      <c r="K852" s="1" t="s">
        <v>1275</v>
      </c>
      <c r="L852" s="1">
        <v>15672663259</v>
      </c>
      <c r="M852" s="1" t="s">
        <v>1276</v>
      </c>
      <c r="N852" s="1" t="s">
        <v>2481</v>
      </c>
      <c r="O852" s="1" t="s">
        <v>2482</v>
      </c>
      <c r="P852" s="1">
        <v>13420112898</v>
      </c>
      <c r="Q852" s="1" t="s">
        <v>2483</v>
      </c>
    </row>
    <row r="853" spans="1:17">
      <c r="A853" s="1"/>
      <c r="B853" s="1" t="s">
        <v>2485</v>
      </c>
      <c r="C853" s="1" t="s">
        <v>2486</v>
      </c>
      <c r="D853" s="1" t="s">
        <v>5276</v>
      </c>
      <c r="E853" s="1" t="s">
        <v>420</v>
      </c>
      <c r="F853" s="1">
        <v>1</v>
      </c>
      <c r="G853" s="1">
        <v>1.49</v>
      </c>
      <c r="H853" s="1">
        <v>10</v>
      </c>
      <c r="J853" s="1" t="s">
        <v>29</v>
      </c>
      <c r="K853" s="1" t="s">
        <v>1283</v>
      </c>
      <c r="L853" s="1">
        <v>18926224930</v>
      </c>
      <c r="M853" s="1" t="s">
        <v>1284</v>
      </c>
      <c r="N853" s="1" t="s">
        <v>1283</v>
      </c>
      <c r="O853" s="1" t="s">
        <v>2487</v>
      </c>
      <c r="P853" s="1">
        <v>15812314666</v>
      </c>
      <c r="Q853" s="1" t="s">
        <v>2488</v>
      </c>
    </row>
    <row r="854" spans="1:17">
      <c r="A854" s="1"/>
      <c r="B854" s="1"/>
      <c r="C854" s="1"/>
      <c r="D854" s="1" t="s">
        <v>5277</v>
      </c>
      <c r="E854" s="1" t="s">
        <v>420</v>
      </c>
      <c r="F854" s="1"/>
      <c r="G854" s="1"/>
      <c r="H854" s="1"/>
      <c r="J854" s="1"/>
      <c r="K854" s="1"/>
      <c r="L854" s="1"/>
      <c r="M854" s="1"/>
      <c r="N854" s="1"/>
      <c r="O854" s="1"/>
      <c r="P854" s="1"/>
      <c r="Q854" s="1"/>
    </row>
    <row r="855" spans="1:17">
      <c r="A855" s="1"/>
      <c r="B855" s="1" t="s">
        <v>2490</v>
      </c>
      <c r="C855" s="1" t="s">
        <v>2491</v>
      </c>
      <c r="D855" s="1" t="s">
        <v>5276</v>
      </c>
      <c r="E855" s="1" t="s">
        <v>420</v>
      </c>
      <c r="F855" s="1">
        <v>1</v>
      </c>
      <c r="G855" s="1">
        <v>1.49</v>
      </c>
      <c r="H855" s="1">
        <v>10</v>
      </c>
      <c r="J855" s="1" t="s">
        <v>29</v>
      </c>
      <c r="K855" s="1" t="s">
        <v>1275</v>
      </c>
      <c r="L855" s="1">
        <v>18926220287</v>
      </c>
      <c r="M855" s="1" t="s">
        <v>2492</v>
      </c>
      <c r="N855" s="1" t="s">
        <v>1275</v>
      </c>
      <c r="O855" s="1" t="s">
        <v>2493</v>
      </c>
      <c r="P855" s="1">
        <v>13727276826</v>
      </c>
      <c r="Q855" s="1" t="s">
        <v>2494</v>
      </c>
    </row>
    <row r="856" spans="1:17">
      <c r="A856" s="1"/>
      <c r="B856" s="1"/>
      <c r="C856" s="1"/>
      <c r="D856" s="1" t="s">
        <v>5277</v>
      </c>
      <c r="E856" s="1" t="s">
        <v>420</v>
      </c>
      <c r="F856" s="1"/>
      <c r="G856" s="1"/>
      <c r="H856" s="1"/>
      <c r="J856" s="1"/>
      <c r="K856" s="1"/>
      <c r="L856" s="1"/>
      <c r="M856" s="1"/>
      <c r="N856" s="1"/>
      <c r="O856" s="1"/>
      <c r="P856" s="1"/>
      <c r="Q856" s="1"/>
    </row>
    <row r="857" spans="1:17">
      <c r="A857" s="1"/>
      <c r="B857" s="1" t="s">
        <v>2496</v>
      </c>
      <c r="C857" s="1" t="s">
        <v>2497</v>
      </c>
      <c r="D857" s="1" t="s">
        <v>5276</v>
      </c>
      <c r="E857" s="1" t="s">
        <v>420</v>
      </c>
      <c r="F857" s="1">
        <v>1</v>
      </c>
      <c r="G857" s="1">
        <v>1.49</v>
      </c>
      <c r="H857" s="1">
        <v>10</v>
      </c>
      <c r="J857" s="1" t="s">
        <v>29</v>
      </c>
      <c r="K857" s="1" t="s">
        <v>1283</v>
      </c>
      <c r="L857" s="1">
        <v>17180669418</v>
      </c>
      <c r="M857" s="1" t="s">
        <v>2498</v>
      </c>
      <c r="N857" s="1" t="s">
        <v>2499</v>
      </c>
      <c r="O857" s="1" t="s">
        <v>2500</v>
      </c>
      <c r="P857" s="1">
        <v>13715605016</v>
      </c>
      <c r="Q857" s="1" t="s">
        <v>2501</v>
      </c>
    </row>
    <row r="858" spans="1:17">
      <c r="A858" s="1"/>
      <c r="B858" s="1"/>
      <c r="C858" s="1"/>
      <c r="D858" s="1" t="s">
        <v>5277</v>
      </c>
      <c r="E858" s="1" t="s">
        <v>420</v>
      </c>
      <c r="F858" s="1"/>
      <c r="G858" s="1"/>
      <c r="H858" s="1"/>
      <c r="J858" s="1"/>
      <c r="K858" s="1"/>
      <c r="L858" s="1"/>
      <c r="M858" s="1"/>
      <c r="N858" s="1"/>
      <c r="O858" s="1"/>
      <c r="P858" s="1"/>
      <c r="Q858" s="1"/>
    </row>
    <row r="859" spans="1:17">
      <c r="A859" s="1"/>
      <c r="B859" s="1" t="s">
        <v>2503</v>
      </c>
      <c r="C859" s="1" t="s">
        <v>2504</v>
      </c>
      <c r="D859" s="1" t="s">
        <v>5433</v>
      </c>
      <c r="E859" s="1" t="s">
        <v>420</v>
      </c>
      <c r="F859" s="1">
        <v>1</v>
      </c>
      <c r="G859" s="1">
        <v>1.04</v>
      </c>
      <c r="H859" s="1">
        <v>9</v>
      </c>
      <c r="J859" s="1" t="s">
        <v>29</v>
      </c>
      <c r="K859" s="1" t="s">
        <v>1341</v>
      </c>
      <c r="L859" s="1">
        <v>13922769996</v>
      </c>
      <c r="M859" s="1" t="s">
        <v>1342</v>
      </c>
      <c r="N859" s="1" t="s">
        <v>2506</v>
      </c>
      <c r="O859" s="1" t="s">
        <v>2507</v>
      </c>
      <c r="P859" s="1">
        <v>13729028847</v>
      </c>
      <c r="Q859" s="1" t="s">
        <v>2508</v>
      </c>
    </row>
    <row r="860" spans="1:17">
      <c r="A860" s="1"/>
      <c r="B860" s="1"/>
      <c r="C860" s="1"/>
      <c r="D860" s="1" t="s">
        <v>5434</v>
      </c>
      <c r="E860" s="1" t="s">
        <v>420</v>
      </c>
      <c r="F860" s="1"/>
      <c r="G860" s="1"/>
      <c r="H860" s="1"/>
      <c r="J860" s="1"/>
      <c r="K860" s="1"/>
      <c r="L860" s="1"/>
      <c r="M860" s="1"/>
      <c r="N860" s="1"/>
      <c r="O860" s="1"/>
      <c r="P860" s="1"/>
      <c r="Q860" s="1"/>
    </row>
    <row r="861" spans="1:17">
      <c r="A861" s="1"/>
      <c r="B861" s="1"/>
      <c r="C861" s="1"/>
      <c r="D861" s="1" t="s">
        <v>5435</v>
      </c>
      <c r="E861" s="1" t="s">
        <v>420</v>
      </c>
      <c r="F861" s="1"/>
      <c r="G861" s="1"/>
      <c r="H861" s="1"/>
      <c r="J861" s="1"/>
      <c r="K861" s="1"/>
      <c r="L861" s="1"/>
      <c r="M861" s="1"/>
      <c r="N861" s="1"/>
      <c r="O861" s="1"/>
      <c r="P861" s="1"/>
      <c r="Q861" s="1"/>
    </row>
    <row r="862" spans="1:17">
      <c r="A862" s="1"/>
      <c r="B862" s="1" t="s">
        <v>2510</v>
      </c>
      <c r="C862" s="1" t="s">
        <v>2511</v>
      </c>
      <c r="D862" s="1" t="s">
        <v>5141</v>
      </c>
      <c r="E862" s="1" t="s">
        <v>420</v>
      </c>
      <c r="F862" s="1">
        <v>1</v>
      </c>
      <c r="G862" s="1">
        <v>1.95</v>
      </c>
      <c r="H862" s="1">
        <v>14</v>
      </c>
      <c r="J862" s="1" t="s">
        <v>29</v>
      </c>
      <c r="K862" s="1" t="s">
        <v>1365</v>
      </c>
      <c r="L862" s="1">
        <v>18766077610</v>
      </c>
      <c r="M862" s="1" t="s">
        <v>1366</v>
      </c>
      <c r="N862" s="1" t="s">
        <v>1365</v>
      </c>
      <c r="O862" s="1" t="s">
        <v>2512</v>
      </c>
      <c r="P862" s="1">
        <v>17096832906</v>
      </c>
      <c r="Q862" s="1" t="s">
        <v>2513</v>
      </c>
    </row>
    <row r="863" spans="1:17">
      <c r="A863" s="1"/>
      <c r="B863" s="1"/>
      <c r="C863" s="1"/>
      <c r="D863" s="1" t="s">
        <v>5142</v>
      </c>
      <c r="E863" s="1" t="s">
        <v>420</v>
      </c>
      <c r="F863" s="1"/>
      <c r="G863" s="1"/>
      <c r="H863" s="1"/>
      <c r="J863" s="1"/>
      <c r="K863" s="1"/>
      <c r="L863" s="1"/>
      <c r="M863" s="1"/>
      <c r="N863" s="1"/>
      <c r="O863" s="1"/>
      <c r="P863" s="1"/>
      <c r="Q863" s="1"/>
    </row>
    <row r="864" spans="1:17">
      <c r="A864" s="1"/>
      <c r="B864" s="1" t="s">
        <v>2515</v>
      </c>
      <c r="C864" s="1" t="s">
        <v>2516</v>
      </c>
      <c r="D864" s="1" t="s">
        <v>5141</v>
      </c>
      <c r="E864" s="1" t="s">
        <v>420</v>
      </c>
      <c r="F864" s="1">
        <v>1</v>
      </c>
      <c r="G864" s="1">
        <v>1.95</v>
      </c>
      <c r="H864" s="1">
        <v>14</v>
      </c>
      <c r="J864" s="1" t="s">
        <v>29</v>
      </c>
      <c r="K864" s="1" t="s">
        <v>146</v>
      </c>
      <c r="L864" s="1">
        <v>15253420938</v>
      </c>
      <c r="M864" s="1" t="s">
        <v>147</v>
      </c>
      <c r="N864" s="1" t="s">
        <v>2517</v>
      </c>
      <c r="O864" s="1" t="s">
        <v>2518</v>
      </c>
      <c r="P864" s="1">
        <v>15805341296</v>
      </c>
      <c r="Q864" s="1" t="s">
        <v>2519</v>
      </c>
    </row>
    <row r="865" spans="1:17">
      <c r="A865" s="1"/>
      <c r="B865" s="1"/>
      <c r="C865" s="1"/>
      <c r="D865" s="1" t="s">
        <v>5142</v>
      </c>
      <c r="E865" s="1" t="s">
        <v>420</v>
      </c>
      <c r="F865" s="1"/>
      <c r="G865" s="1"/>
      <c r="H865" s="1"/>
      <c r="J865" s="1"/>
      <c r="K865" s="1"/>
      <c r="L865" s="1"/>
      <c r="M865" s="1"/>
      <c r="N865" s="1"/>
      <c r="O865" s="1"/>
      <c r="P865" s="1"/>
      <c r="Q865" s="1"/>
    </row>
    <row r="866" spans="1:17">
      <c r="A866" s="1"/>
      <c r="B866" s="1" t="s">
        <v>2521</v>
      </c>
      <c r="C866" s="1" t="s">
        <v>2522</v>
      </c>
      <c r="D866" s="1" t="s">
        <v>4991</v>
      </c>
      <c r="E866" s="1" t="s">
        <v>4992</v>
      </c>
      <c r="F866" s="1">
        <v>1</v>
      </c>
      <c r="G866" s="1">
        <v>1.72</v>
      </c>
      <c r="H866" s="1">
        <v>15</v>
      </c>
      <c r="I866" s="1" t="s">
        <v>164</v>
      </c>
      <c r="J866" s="1" t="s">
        <v>40</v>
      </c>
      <c r="K866" s="1" t="s">
        <v>345</v>
      </c>
      <c r="L866" s="1">
        <v>13840761783</v>
      </c>
      <c r="M866" s="1" t="s">
        <v>346</v>
      </c>
      <c r="N866" s="1" t="s">
        <v>2523</v>
      </c>
      <c r="O866" s="1" t="s">
        <v>2524</v>
      </c>
      <c r="P866" s="1">
        <v>18604271512</v>
      </c>
      <c r="Q866" s="1" t="s">
        <v>2525</v>
      </c>
    </row>
    <row r="867" spans="1:17">
      <c r="A867" s="1"/>
      <c r="B867" s="1"/>
      <c r="C867" s="1"/>
      <c r="D867" s="1" t="s">
        <v>4993</v>
      </c>
      <c r="E867" s="1" t="s">
        <v>4994</v>
      </c>
      <c r="F867" s="1"/>
      <c r="G867" s="1"/>
      <c r="H867" s="1"/>
      <c r="I867" s="1" t="s">
        <v>4995</v>
      </c>
      <c r="J867" s="1"/>
      <c r="K867" s="1"/>
      <c r="L867" s="1"/>
      <c r="M867" s="1"/>
      <c r="N867" s="1"/>
      <c r="O867" s="1"/>
      <c r="P867" s="1"/>
      <c r="Q867" s="1"/>
    </row>
    <row r="868" spans="1:17">
      <c r="A868" s="1"/>
      <c r="B868" s="1" t="s">
        <v>2527</v>
      </c>
      <c r="C868" s="1" t="s">
        <v>2528</v>
      </c>
      <c r="D868" s="1" t="s">
        <v>4991</v>
      </c>
      <c r="E868" s="1" t="s">
        <v>4992</v>
      </c>
      <c r="F868" s="1">
        <v>1</v>
      </c>
      <c r="G868" s="1">
        <v>1.72</v>
      </c>
      <c r="H868" s="1">
        <v>15</v>
      </c>
      <c r="I868" s="1" t="s">
        <v>164</v>
      </c>
      <c r="J868" s="1" t="s">
        <v>40</v>
      </c>
      <c r="K868" s="1" t="s">
        <v>1303</v>
      </c>
      <c r="L868" s="1">
        <v>13610961783</v>
      </c>
      <c r="M868" s="1" t="s">
        <v>1304</v>
      </c>
      <c r="N868" s="1" t="s">
        <v>2529</v>
      </c>
      <c r="O868" s="1" t="s">
        <v>2530</v>
      </c>
      <c r="P868" s="1">
        <v>18842668142</v>
      </c>
      <c r="Q868" s="1" t="s">
        <v>2531</v>
      </c>
    </row>
    <row r="869" spans="1:17">
      <c r="A869" s="1"/>
      <c r="B869" s="1"/>
      <c r="C869" s="1"/>
      <c r="D869" s="1" t="s">
        <v>4993</v>
      </c>
      <c r="E869" s="1" t="s">
        <v>4994</v>
      </c>
      <c r="F869" s="1"/>
      <c r="G869" s="1"/>
      <c r="H869" s="1"/>
      <c r="I869" s="1" t="s">
        <v>4995</v>
      </c>
      <c r="J869" s="1"/>
      <c r="K869" s="1"/>
      <c r="L869" s="1"/>
      <c r="M869" s="1"/>
      <c r="N869" s="1"/>
      <c r="O869" s="1"/>
      <c r="P869" s="1"/>
      <c r="Q869" s="1"/>
    </row>
    <row r="870" spans="1:17">
      <c r="A870" s="1"/>
      <c r="B870" s="1" t="s">
        <v>2533</v>
      </c>
      <c r="C870" s="1" t="s">
        <v>2534</v>
      </c>
      <c r="D870" s="1" t="s">
        <v>4996</v>
      </c>
      <c r="E870" s="1" t="s">
        <v>420</v>
      </c>
      <c r="F870" s="1">
        <v>1</v>
      </c>
      <c r="G870" s="1">
        <v>1.49</v>
      </c>
      <c r="H870" s="1">
        <v>11</v>
      </c>
      <c r="J870" s="1" t="s">
        <v>29</v>
      </c>
      <c r="K870" s="1" t="s">
        <v>2535</v>
      </c>
      <c r="L870" s="1">
        <v>18253443808</v>
      </c>
      <c r="M870" s="1" t="s">
        <v>2536</v>
      </c>
      <c r="N870" s="1" t="s">
        <v>2537</v>
      </c>
      <c r="O870" s="1" t="s">
        <v>2538</v>
      </c>
      <c r="P870" s="1">
        <v>13563660999</v>
      </c>
      <c r="Q870" s="1" t="s">
        <v>2539</v>
      </c>
    </row>
    <row r="871" spans="1:17">
      <c r="A871" s="1"/>
      <c r="B871" s="1"/>
      <c r="C871" s="1"/>
      <c r="D871" s="1" t="s">
        <v>4997</v>
      </c>
      <c r="E871" s="1" t="s">
        <v>420</v>
      </c>
      <c r="F871" s="1"/>
      <c r="G871" s="1"/>
      <c r="H871" s="1"/>
      <c r="J871" s="1"/>
      <c r="K871" s="1"/>
      <c r="L871" s="1"/>
      <c r="M871" s="1"/>
      <c r="N871" s="1"/>
      <c r="O871" s="1"/>
      <c r="P871" s="1"/>
      <c r="Q871" s="1"/>
    </row>
    <row r="872" spans="1:17">
      <c r="A872" s="1"/>
      <c r="B872" s="1"/>
      <c r="C872" s="1"/>
      <c r="D872" s="1" t="s">
        <v>4998</v>
      </c>
      <c r="E872" s="1" t="s">
        <v>420</v>
      </c>
      <c r="F872" s="1"/>
      <c r="G872" s="1"/>
      <c r="H872" s="1"/>
      <c r="J872" s="1"/>
      <c r="K872" s="1"/>
      <c r="L872" s="1"/>
      <c r="M872" s="1"/>
      <c r="N872" s="1"/>
      <c r="O872" s="1"/>
      <c r="P872" s="1"/>
      <c r="Q872" s="1"/>
    </row>
    <row r="873" spans="1:17">
      <c r="A873" s="1"/>
      <c r="B873" s="1"/>
      <c r="C873" s="1"/>
      <c r="D873" s="1" t="s">
        <v>4999</v>
      </c>
      <c r="E873" s="1" t="s">
        <v>420</v>
      </c>
      <c r="F873" s="1"/>
      <c r="G873" s="1"/>
      <c r="H873" s="1"/>
      <c r="J873" s="1"/>
      <c r="K873" s="1"/>
      <c r="L873" s="1"/>
      <c r="M873" s="1"/>
      <c r="N873" s="1"/>
      <c r="O873" s="1"/>
      <c r="P873" s="1"/>
      <c r="Q873" s="1"/>
    </row>
    <row r="874" spans="1:17">
      <c r="A874" s="1"/>
      <c r="B874" s="1"/>
      <c r="C874" s="1"/>
      <c r="D874" s="1" t="s">
        <v>5000</v>
      </c>
      <c r="E874" s="1" t="s">
        <v>420</v>
      </c>
      <c r="F874" s="1"/>
      <c r="G874" s="1"/>
      <c r="H874" s="1"/>
      <c r="J874" s="1"/>
      <c r="K874" s="1"/>
      <c r="L874" s="1"/>
      <c r="M874" s="1"/>
      <c r="N874" s="1"/>
      <c r="O874" s="1"/>
      <c r="P874" s="1"/>
      <c r="Q874" s="1"/>
    </row>
    <row r="875" spans="1:17">
      <c r="A875" s="1"/>
      <c r="B875" s="1"/>
      <c r="C875" s="1"/>
      <c r="D875" s="1" t="s">
        <v>5001</v>
      </c>
      <c r="E875" s="1" t="s">
        <v>420</v>
      </c>
      <c r="F875" s="1"/>
      <c r="G875" s="1"/>
      <c r="H875" s="1"/>
      <c r="J875" s="1"/>
      <c r="K875" s="1"/>
      <c r="L875" s="1"/>
      <c r="M875" s="1"/>
      <c r="N875" s="1"/>
      <c r="O875" s="1"/>
      <c r="P875" s="1"/>
      <c r="Q875" s="1"/>
    </row>
    <row r="876" spans="1:17">
      <c r="A876" s="1"/>
      <c r="B876" s="1"/>
      <c r="C876" s="1"/>
      <c r="D876" s="1" t="s">
        <v>5002</v>
      </c>
      <c r="E876" s="1" t="s">
        <v>420</v>
      </c>
      <c r="F876" s="1"/>
      <c r="G876" s="1"/>
      <c r="H876" s="1"/>
      <c r="J876" s="1"/>
      <c r="K876" s="1"/>
      <c r="L876" s="1"/>
      <c r="M876" s="1"/>
      <c r="N876" s="1"/>
      <c r="O876" s="1"/>
      <c r="P876" s="1"/>
      <c r="Q876" s="1"/>
    </row>
    <row r="877" spans="1:17">
      <c r="A877" s="1"/>
      <c r="B877" s="1" t="s">
        <v>2541</v>
      </c>
      <c r="C877" s="1" t="s">
        <v>2542</v>
      </c>
      <c r="D877" s="1" t="s">
        <v>4996</v>
      </c>
      <c r="E877" s="1" t="s">
        <v>420</v>
      </c>
      <c r="F877" s="1">
        <v>1</v>
      </c>
      <c r="G877" s="1">
        <v>1.49</v>
      </c>
      <c r="H877" s="1">
        <v>11</v>
      </c>
      <c r="J877" s="1" t="s">
        <v>29</v>
      </c>
      <c r="K877" s="1" t="s">
        <v>1869</v>
      </c>
      <c r="L877" s="1">
        <v>13853437295</v>
      </c>
      <c r="M877" s="1" t="s">
        <v>1870</v>
      </c>
      <c r="N877" s="1" t="s">
        <v>1869</v>
      </c>
      <c r="O877" s="1" t="s">
        <v>2543</v>
      </c>
      <c r="P877" s="1">
        <v>15263300900</v>
      </c>
      <c r="Q877" s="1" t="s">
        <v>2544</v>
      </c>
    </row>
    <row r="878" spans="1:17">
      <c r="A878" s="1"/>
      <c r="B878" s="1"/>
      <c r="C878" s="1"/>
      <c r="D878" s="1" t="s">
        <v>4997</v>
      </c>
      <c r="E878" s="1" t="s">
        <v>420</v>
      </c>
      <c r="F878" s="1"/>
      <c r="G878" s="1"/>
      <c r="H878" s="1"/>
      <c r="J878" s="1"/>
      <c r="K878" s="1"/>
      <c r="L878" s="1"/>
      <c r="M878" s="1"/>
      <c r="N878" s="1"/>
      <c r="O878" s="1"/>
      <c r="P878" s="1"/>
      <c r="Q878" s="1"/>
    </row>
    <row r="879" spans="1:17">
      <c r="A879" s="1"/>
      <c r="B879" s="1"/>
      <c r="C879" s="1"/>
      <c r="D879" s="1" t="s">
        <v>4998</v>
      </c>
      <c r="E879" s="1" t="s">
        <v>420</v>
      </c>
      <c r="F879" s="1"/>
      <c r="G879" s="1"/>
      <c r="H879" s="1"/>
      <c r="J879" s="1"/>
      <c r="K879" s="1"/>
      <c r="L879" s="1"/>
      <c r="M879" s="1"/>
      <c r="N879" s="1"/>
      <c r="O879" s="1"/>
      <c r="P879" s="1"/>
      <c r="Q879" s="1"/>
    </row>
    <row r="880" spans="1:17">
      <c r="A880" s="1"/>
      <c r="B880" s="1"/>
      <c r="C880" s="1"/>
      <c r="D880" s="1" t="s">
        <v>4999</v>
      </c>
      <c r="E880" s="1" t="s">
        <v>420</v>
      </c>
      <c r="F880" s="1"/>
      <c r="G880" s="1"/>
      <c r="H880" s="1"/>
      <c r="J880" s="1"/>
      <c r="K880" s="1"/>
      <c r="L880" s="1"/>
      <c r="M880" s="1"/>
      <c r="N880" s="1"/>
      <c r="O880" s="1"/>
      <c r="P880" s="1"/>
      <c r="Q880" s="1"/>
    </row>
    <row r="881" spans="1:17">
      <c r="A881" s="1"/>
      <c r="B881" s="1"/>
      <c r="C881" s="1"/>
      <c r="D881" s="1" t="s">
        <v>5000</v>
      </c>
      <c r="E881" s="1" t="s">
        <v>420</v>
      </c>
      <c r="F881" s="1"/>
      <c r="G881" s="1"/>
      <c r="H881" s="1"/>
      <c r="J881" s="1"/>
      <c r="K881" s="1"/>
      <c r="L881" s="1"/>
      <c r="M881" s="1"/>
      <c r="N881" s="1"/>
      <c r="O881" s="1"/>
      <c r="P881" s="1"/>
      <c r="Q881" s="1"/>
    </row>
    <row r="882" spans="1:17">
      <c r="A882" s="1"/>
      <c r="B882" s="1"/>
      <c r="C882" s="1"/>
      <c r="D882" s="1" t="s">
        <v>5001</v>
      </c>
      <c r="E882" s="1" t="s">
        <v>420</v>
      </c>
      <c r="F882" s="1"/>
      <c r="G882" s="1"/>
      <c r="H882" s="1"/>
      <c r="J882" s="1"/>
      <c r="K882" s="1"/>
      <c r="L882" s="1"/>
      <c r="M882" s="1"/>
      <c r="N882" s="1"/>
      <c r="O882" s="1"/>
      <c r="P882" s="1"/>
      <c r="Q882" s="1"/>
    </row>
    <row r="883" spans="1:17">
      <c r="A883" s="1"/>
      <c r="B883" s="1"/>
      <c r="C883" s="1"/>
      <c r="D883" s="1" t="s">
        <v>5002</v>
      </c>
      <c r="E883" s="1" t="s">
        <v>420</v>
      </c>
      <c r="F883" s="1"/>
      <c r="G883" s="1"/>
      <c r="H883" s="1"/>
      <c r="J883" s="1"/>
      <c r="K883" s="1"/>
      <c r="L883" s="1"/>
      <c r="M883" s="1"/>
      <c r="N883" s="1"/>
      <c r="O883" s="1"/>
      <c r="P883" s="1"/>
      <c r="Q883" s="1"/>
    </row>
    <row r="884" spans="1:17">
      <c r="A884" s="1"/>
      <c r="B884" s="1" t="s">
        <v>2546</v>
      </c>
      <c r="C884" s="1" t="s">
        <v>2547</v>
      </c>
      <c r="D884" s="1" t="s">
        <v>5436</v>
      </c>
      <c r="E884" s="1" t="s">
        <v>163</v>
      </c>
      <c r="F884" s="1">
        <v>1</v>
      </c>
      <c r="G884" s="1">
        <v>1.71818181818182</v>
      </c>
      <c r="H884" s="1">
        <v>4</v>
      </c>
      <c r="I884" s="1" t="s">
        <v>164</v>
      </c>
      <c r="J884" s="1" t="s">
        <v>29</v>
      </c>
      <c r="K884" s="1" t="s">
        <v>2549</v>
      </c>
      <c r="L884" s="1">
        <v>13951669460</v>
      </c>
      <c r="M884" s="1" t="s">
        <v>2550</v>
      </c>
      <c r="N884" s="1" t="s">
        <v>2551</v>
      </c>
      <c r="O884" s="1" t="s">
        <v>2552</v>
      </c>
      <c r="P884" s="1">
        <v>13912901234</v>
      </c>
      <c r="Q884" s="1" t="s">
        <v>2553</v>
      </c>
    </row>
    <row r="885" spans="1:17">
      <c r="A885" s="1"/>
      <c r="B885" s="1" t="s">
        <v>2555</v>
      </c>
      <c r="C885" s="1" t="s">
        <v>2556</v>
      </c>
      <c r="D885" s="1" t="s">
        <v>5437</v>
      </c>
      <c r="E885" s="1" t="s">
        <v>163</v>
      </c>
      <c r="F885" s="1">
        <v>1</v>
      </c>
      <c r="G885" s="1">
        <v>1.0363636363636399</v>
      </c>
      <c r="H885" s="1">
        <v>2</v>
      </c>
      <c r="I885" s="1" t="s">
        <v>164</v>
      </c>
      <c r="J885" s="1" t="s">
        <v>29</v>
      </c>
      <c r="K885" s="1" t="s">
        <v>2558</v>
      </c>
      <c r="L885" s="1">
        <v>13695828600</v>
      </c>
      <c r="M885" s="1" t="s">
        <v>2559</v>
      </c>
      <c r="N885" s="1" t="s">
        <v>2558</v>
      </c>
      <c r="O885" s="1" t="s">
        <v>2559</v>
      </c>
      <c r="P885" s="1">
        <v>13695828600</v>
      </c>
      <c r="Q885" s="1" t="s">
        <v>2560</v>
      </c>
    </row>
    <row r="886" spans="1:17">
      <c r="A886" s="1"/>
      <c r="B886" s="1" t="s">
        <v>2562</v>
      </c>
      <c r="C886" s="1" t="s">
        <v>2563</v>
      </c>
      <c r="D886" s="1" t="s">
        <v>5027</v>
      </c>
      <c r="E886" s="1" t="s">
        <v>625</v>
      </c>
      <c r="F886" s="1">
        <v>1</v>
      </c>
      <c r="G886" s="1">
        <v>1.49</v>
      </c>
      <c r="H886" s="1">
        <v>12</v>
      </c>
      <c r="J886" s="1" t="s">
        <v>40</v>
      </c>
      <c r="K886" s="1" t="s">
        <v>954</v>
      </c>
      <c r="L886" s="1">
        <v>13808869361</v>
      </c>
      <c r="M886" s="1" t="s">
        <v>955</v>
      </c>
      <c r="N886" s="1" t="s">
        <v>2564</v>
      </c>
      <c r="O886" s="1" t="s">
        <v>2565</v>
      </c>
      <c r="P886" s="1">
        <v>13928935005</v>
      </c>
      <c r="Q886" s="1" t="s">
        <v>2566</v>
      </c>
    </row>
    <row r="887" spans="1:17">
      <c r="A887" s="1"/>
      <c r="B887" s="1"/>
      <c r="C887" s="1"/>
      <c r="D887" s="1" t="s">
        <v>5028</v>
      </c>
      <c r="E887" s="1" t="s">
        <v>625</v>
      </c>
      <c r="F887" s="1"/>
      <c r="G887" s="1"/>
      <c r="H887" s="1"/>
      <c r="J887" s="1"/>
      <c r="K887" s="1"/>
      <c r="L887" s="1"/>
      <c r="M887" s="1"/>
      <c r="N887" s="1"/>
      <c r="O887" s="1"/>
      <c r="P887" s="1"/>
      <c r="Q887" s="1"/>
    </row>
    <row r="888" spans="1:17">
      <c r="A888" s="1"/>
      <c r="B888" s="1"/>
      <c r="C888" s="1"/>
      <c r="D888" s="1" t="s">
        <v>5015</v>
      </c>
      <c r="E888" s="1" t="s">
        <v>625</v>
      </c>
      <c r="F888" s="1"/>
      <c r="G888" s="1"/>
      <c r="H888" s="1"/>
      <c r="J888" s="1"/>
      <c r="K888" s="1"/>
      <c r="L888" s="1"/>
      <c r="M888" s="1"/>
      <c r="N888" s="1"/>
      <c r="O888" s="1"/>
      <c r="P888" s="1"/>
      <c r="Q888" s="1"/>
    </row>
    <row r="889" spans="1:17">
      <c r="A889" s="1"/>
      <c r="B889" s="1"/>
      <c r="C889" s="1"/>
      <c r="D889" s="1" t="s">
        <v>5029</v>
      </c>
      <c r="E889" s="1" t="s">
        <v>625</v>
      </c>
      <c r="F889" s="1"/>
      <c r="G889" s="1"/>
      <c r="H889" s="1"/>
      <c r="J889" s="1"/>
      <c r="K889" s="1"/>
      <c r="L889" s="1"/>
      <c r="M889" s="1"/>
      <c r="N889" s="1"/>
      <c r="O889" s="1"/>
      <c r="P889" s="1"/>
      <c r="Q889" s="1"/>
    </row>
    <row r="890" spans="1:17">
      <c r="A890" s="1"/>
      <c r="B890" s="1"/>
      <c r="C890" s="1"/>
      <c r="D890" s="1" t="s">
        <v>5030</v>
      </c>
      <c r="E890" s="1" t="s">
        <v>625</v>
      </c>
      <c r="F890" s="1"/>
      <c r="G890" s="1"/>
      <c r="H890" s="1"/>
      <c r="J890" s="1"/>
      <c r="K890" s="1"/>
      <c r="L890" s="1"/>
      <c r="M890" s="1"/>
      <c r="N890" s="1"/>
      <c r="O890" s="1"/>
      <c r="P890" s="1"/>
      <c r="Q890" s="1"/>
    </row>
    <row r="891" spans="1:17">
      <c r="A891" s="1"/>
      <c r="B891" s="1"/>
      <c r="C891" s="1"/>
      <c r="D891" s="1" t="s">
        <v>5026</v>
      </c>
      <c r="E891" s="1" t="s">
        <v>625</v>
      </c>
      <c r="F891" s="1"/>
      <c r="G891" s="1"/>
      <c r="H891" s="1"/>
      <c r="J891" s="1"/>
      <c r="K891" s="1"/>
      <c r="L891" s="1"/>
      <c r="M891" s="1"/>
      <c r="N891" s="1"/>
      <c r="O891" s="1"/>
      <c r="P891" s="1"/>
      <c r="Q891" s="1"/>
    </row>
    <row r="892" spans="1:17">
      <c r="A892" s="1"/>
      <c r="B892" s="1" t="s">
        <v>2568</v>
      </c>
      <c r="C892" s="1" t="s">
        <v>2569</v>
      </c>
      <c r="D892" s="1" t="s">
        <v>5020</v>
      </c>
      <c r="E892" s="1" t="s">
        <v>625</v>
      </c>
      <c r="F892" s="1">
        <v>1</v>
      </c>
      <c r="G892" s="1">
        <v>1.49</v>
      </c>
      <c r="H892" s="1">
        <v>13</v>
      </c>
      <c r="J892" s="1" t="s">
        <v>40</v>
      </c>
      <c r="K892" s="1" t="s">
        <v>2571</v>
      </c>
      <c r="L892" s="1">
        <v>13660050609</v>
      </c>
      <c r="M892" s="1" t="s">
        <v>2572</v>
      </c>
      <c r="N892" s="1" t="s">
        <v>2573</v>
      </c>
      <c r="O892" s="1" t="s">
        <v>2574</v>
      </c>
      <c r="P892" s="1">
        <v>13556104808</v>
      </c>
      <c r="Q892" s="1" t="s">
        <v>2575</v>
      </c>
    </row>
    <row r="893" spans="1:17">
      <c r="A893" s="1"/>
      <c r="B893" s="1"/>
      <c r="C893" s="1"/>
      <c r="D893" s="1" t="s">
        <v>5031</v>
      </c>
      <c r="E893" s="1" t="s">
        <v>625</v>
      </c>
      <c r="F893" s="1"/>
      <c r="G893" s="1"/>
      <c r="H893" s="1"/>
      <c r="J893" s="1"/>
      <c r="K893" s="1"/>
      <c r="L893" s="1"/>
      <c r="M893" s="1"/>
      <c r="N893" s="1"/>
      <c r="O893" s="1"/>
      <c r="P893" s="1"/>
      <c r="Q893" s="1"/>
    </row>
    <row r="894" spans="1:17">
      <c r="A894" s="1"/>
      <c r="B894" s="1"/>
      <c r="C894" s="1"/>
      <c r="D894" s="1" t="s">
        <v>5029</v>
      </c>
      <c r="E894" s="1" t="s">
        <v>625</v>
      </c>
      <c r="F894" s="1"/>
      <c r="G894" s="1"/>
      <c r="H894" s="1"/>
      <c r="J894" s="1"/>
      <c r="K894" s="1"/>
      <c r="L894" s="1"/>
      <c r="M894" s="1"/>
      <c r="N894" s="1"/>
      <c r="O894" s="1"/>
      <c r="P894" s="1"/>
      <c r="Q894" s="1"/>
    </row>
    <row r="895" spans="1:17">
      <c r="A895" s="1"/>
      <c r="B895" s="1"/>
      <c r="C895" s="1"/>
      <c r="D895" s="1" t="s">
        <v>5146</v>
      </c>
      <c r="E895" s="1" t="s">
        <v>625</v>
      </c>
      <c r="F895" s="1"/>
      <c r="G895" s="1"/>
      <c r="H895" s="1"/>
      <c r="J895" s="1"/>
      <c r="K895" s="1"/>
      <c r="L895" s="1"/>
      <c r="M895" s="1"/>
      <c r="N895" s="1"/>
      <c r="O895" s="1"/>
      <c r="P895" s="1"/>
      <c r="Q895" s="1"/>
    </row>
    <row r="896" spans="1:17">
      <c r="A896" s="1"/>
      <c r="B896" s="1"/>
      <c r="C896" s="1"/>
      <c r="D896" s="1" t="s">
        <v>5028</v>
      </c>
      <c r="E896" s="1" t="s">
        <v>625</v>
      </c>
      <c r="F896" s="1"/>
      <c r="G896" s="1"/>
      <c r="H896" s="1"/>
      <c r="J896" s="1"/>
      <c r="K896" s="1"/>
      <c r="L896" s="1"/>
      <c r="M896" s="1"/>
      <c r="N896" s="1"/>
      <c r="O896" s="1"/>
      <c r="P896" s="1"/>
      <c r="Q896" s="1"/>
    </row>
    <row r="897" spans="1:17">
      <c r="A897" s="1"/>
      <c r="B897" s="1"/>
      <c r="C897" s="1"/>
      <c r="D897" s="1" t="s">
        <v>5022</v>
      </c>
      <c r="E897" s="1" t="s">
        <v>625</v>
      </c>
      <c r="F897" s="1"/>
      <c r="G897" s="1"/>
      <c r="H897" s="1"/>
      <c r="J897" s="1"/>
      <c r="K897" s="1"/>
      <c r="L897" s="1"/>
      <c r="M897" s="1"/>
      <c r="N897" s="1"/>
      <c r="O897" s="1"/>
      <c r="P897" s="1"/>
      <c r="Q897" s="1"/>
    </row>
    <row r="898" spans="1:17">
      <c r="A898" s="1"/>
      <c r="B898" s="1" t="s">
        <v>2577</v>
      </c>
      <c r="C898" s="1" t="s">
        <v>2578</v>
      </c>
      <c r="D898" s="1" t="s">
        <v>5020</v>
      </c>
      <c r="E898" s="1" t="s">
        <v>625</v>
      </c>
      <c r="F898" s="1">
        <v>1</v>
      </c>
      <c r="G898" s="1">
        <v>1.49</v>
      </c>
      <c r="H898" s="1">
        <v>13</v>
      </c>
      <c r="J898" s="1" t="s">
        <v>40</v>
      </c>
      <c r="K898" s="1" t="s">
        <v>963</v>
      </c>
      <c r="L898" s="1">
        <v>13609093091</v>
      </c>
      <c r="M898" s="1" t="s">
        <v>964</v>
      </c>
      <c r="N898" s="1" t="s">
        <v>2579</v>
      </c>
      <c r="O898" s="1" t="s">
        <v>2580</v>
      </c>
      <c r="P898" s="1">
        <v>18680586635</v>
      </c>
      <c r="Q898" s="1" t="s">
        <v>2581</v>
      </c>
    </row>
    <row r="899" spans="1:17">
      <c r="A899" s="1"/>
      <c r="B899" s="1"/>
      <c r="C899" s="1"/>
      <c r="D899" s="1" t="s">
        <v>5031</v>
      </c>
      <c r="E899" s="1" t="s">
        <v>625</v>
      </c>
      <c r="F899" s="1"/>
      <c r="G899" s="1"/>
      <c r="H899" s="1"/>
      <c r="J899" s="1"/>
      <c r="K899" s="1"/>
      <c r="L899" s="1"/>
      <c r="M899" s="1"/>
      <c r="N899" s="1"/>
      <c r="O899" s="1"/>
      <c r="P899" s="1"/>
      <c r="Q899" s="1"/>
    </row>
    <row r="900" spans="1:17">
      <c r="A900" s="1"/>
      <c r="B900" s="1"/>
      <c r="C900" s="1"/>
      <c r="D900" s="1" t="s">
        <v>5032</v>
      </c>
      <c r="E900" s="1" t="s">
        <v>625</v>
      </c>
      <c r="F900" s="1"/>
      <c r="G900" s="1"/>
      <c r="H900" s="1"/>
      <c r="J900" s="1"/>
      <c r="K900" s="1"/>
      <c r="L900" s="1"/>
      <c r="M900" s="1"/>
      <c r="N900" s="1"/>
      <c r="O900" s="1"/>
      <c r="P900" s="1"/>
      <c r="Q900" s="1"/>
    </row>
    <row r="901" spans="1:17">
      <c r="A901" s="1"/>
      <c r="B901" s="1"/>
      <c r="C901" s="1"/>
      <c r="D901" s="1" t="s">
        <v>5033</v>
      </c>
      <c r="E901" s="1" t="s">
        <v>625</v>
      </c>
      <c r="F901" s="1"/>
      <c r="G901" s="1"/>
      <c r="H901" s="1"/>
      <c r="J901" s="1"/>
      <c r="K901" s="1"/>
      <c r="L901" s="1"/>
      <c r="M901" s="1"/>
      <c r="N901" s="1"/>
      <c r="O901" s="1"/>
      <c r="P901" s="1"/>
      <c r="Q901" s="1"/>
    </row>
    <row r="902" spans="1:17">
      <c r="A902" s="1"/>
      <c r="B902" s="1"/>
      <c r="C902" s="1"/>
      <c r="D902" s="1" t="s">
        <v>5034</v>
      </c>
      <c r="E902" s="1" t="s">
        <v>625</v>
      </c>
      <c r="F902" s="1"/>
      <c r="G902" s="1"/>
      <c r="H902" s="1"/>
      <c r="J902" s="1"/>
      <c r="K902" s="1"/>
      <c r="L902" s="1"/>
      <c r="M902" s="1"/>
      <c r="N902" s="1"/>
      <c r="O902" s="1"/>
      <c r="P902" s="1"/>
      <c r="Q902" s="1"/>
    </row>
    <row r="903" spans="1:17">
      <c r="A903" s="1"/>
      <c r="B903" s="1" t="s">
        <v>2583</v>
      </c>
      <c r="C903" s="1" t="s">
        <v>2584</v>
      </c>
      <c r="D903" s="1" t="s">
        <v>5044</v>
      </c>
      <c r="E903" s="1" t="s">
        <v>625</v>
      </c>
      <c r="F903" s="1">
        <v>1</v>
      </c>
      <c r="G903" s="1">
        <v>2.17</v>
      </c>
      <c r="H903" s="1">
        <v>9</v>
      </c>
      <c r="J903" s="1" t="s">
        <v>40</v>
      </c>
      <c r="K903" s="1" t="s">
        <v>2586</v>
      </c>
      <c r="L903" s="1">
        <v>18826088388</v>
      </c>
      <c r="M903" s="1" t="s">
        <v>223</v>
      </c>
      <c r="N903" s="1" t="s">
        <v>2587</v>
      </c>
      <c r="O903" s="1" t="s">
        <v>2588</v>
      </c>
      <c r="P903" s="1">
        <v>13631386343</v>
      </c>
      <c r="Q903" s="1" t="s">
        <v>2589</v>
      </c>
    </row>
    <row r="904" spans="1:17">
      <c r="A904" s="1"/>
      <c r="B904" s="1"/>
      <c r="C904" s="1"/>
      <c r="D904" s="1" t="s">
        <v>5438</v>
      </c>
      <c r="E904" s="1" t="s">
        <v>625</v>
      </c>
      <c r="F904" s="1"/>
      <c r="G904" s="1"/>
      <c r="H904" s="1"/>
      <c r="J904" s="1"/>
      <c r="K904" s="1"/>
      <c r="L904" s="1"/>
      <c r="M904" s="1"/>
      <c r="N904" s="1"/>
      <c r="O904" s="1"/>
      <c r="P904" s="1"/>
      <c r="Q904" s="1"/>
    </row>
    <row r="905" spans="1:17">
      <c r="A905" s="1"/>
      <c r="B905" s="1"/>
      <c r="C905" s="1"/>
      <c r="D905" s="1" t="s">
        <v>5190</v>
      </c>
      <c r="E905" s="1" t="s">
        <v>625</v>
      </c>
      <c r="F905" s="1"/>
      <c r="G905" s="1"/>
      <c r="H905" s="1"/>
      <c r="J905" s="1"/>
      <c r="K905" s="1"/>
      <c r="L905" s="1"/>
      <c r="M905" s="1"/>
      <c r="N905" s="1"/>
      <c r="O905" s="1"/>
      <c r="P905" s="1"/>
      <c r="Q905" s="1"/>
    </row>
    <row r="906" spans="1:17">
      <c r="A906" s="1"/>
      <c r="B906" s="1"/>
      <c r="C906" s="1"/>
      <c r="D906" s="1" t="s">
        <v>5096</v>
      </c>
      <c r="E906" s="1" t="s">
        <v>625</v>
      </c>
      <c r="F906" s="1"/>
      <c r="G906" s="1"/>
      <c r="H906" s="1"/>
      <c r="J906" s="1"/>
      <c r="K906" s="1"/>
      <c r="L906" s="1"/>
      <c r="M906" s="1"/>
      <c r="N906" s="1"/>
      <c r="O906" s="1"/>
      <c r="P906" s="1"/>
      <c r="Q906" s="1"/>
    </row>
    <row r="907" spans="1:17">
      <c r="A907" s="1"/>
      <c r="B907" s="1"/>
      <c r="C907" s="1"/>
      <c r="D907" s="1" t="s">
        <v>5439</v>
      </c>
      <c r="E907" s="1" t="s">
        <v>625</v>
      </c>
      <c r="F907" s="1"/>
      <c r="G907" s="1"/>
      <c r="H907" s="1"/>
      <c r="J907" s="1"/>
      <c r="K907" s="1"/>
      <c r="L907" s="1"/>
      <c r="M907" s="1"/>
      <c r="N907" s="1"/>
      <c r="O907" s="1"/>
      <c r="P907" s="1"/>
      <c r="Q907" s="1"/>
    </row>
    <row r="908" spans="1:17">
      <c r="A908" s="1"/>
      <c r="B908" s="1" t="s">
        <v>2591</v>
      </c>
      <c r="C908" s="1" t="s">
        <v>2592</v>
      </c>
      <c r="D908" s="1" t="s">
        <v>5085</v>
      </c>
      <c r="E908" s="1" t="s">
        <v>163</v>
      </c>
      <c r="F908" s="1">
        <v>1</v>
      </c>
      <c r="G908" s="1">
        <v>1.4909090909090901</v>
      </c>
      <c r="H908" s="1">
        <v>2</v>
      </c>
      <c r="J908" s="1" t="s">
        <v>29</v>
      </c>
      <c r="K908" s="1" t="s">
        <v>1461</v>
      </c>
      <c r="L908" s="1">
        <v>13003229793</v>
      </c>
      <c r="M908" s="1" t="s">
        <v>1462</v>
      </c>
      <c r="N908" s="1" t="s">
        <v>1461</v>
      </c>
      <c r="O908" s="1" t="s">
        <v>2594</v>
      </c>
      <c r="P908" s="1">
        <v>13564970508</v>
      </c>
      <c r="Q908" s="1" t="s">
        <v>2595</v>
      </c>
    </row>
    <row r="909" spans="1:17">
      <c r="A909" s="1"/>
      <c r="B909" s="1" t="s">
        <v>2597</v>
      </c>
      <c r="C909" s="1" t="s">
        <v>2598</v>
      </c>
      <c r="D909" s="1" t="s">
        <v>5004</v>
      </c>
      <c r="E909" s="1" t="s">
        <v>163</v>
      </c>
      <c r="F909" s="1">
        <v>1</v>
      </c>
      <c r="G909" s="1">
        <v>1.2636363636363599</v>
      </c>
      <c r="H909" s="1">
        <v>3</v>
      </c>
      <c r="J909" s="1" t="s">
        <v>29</v>
      </c>
      <c r="K909" s="1" t="s">
        <v>2599</v>
      </c>
      <c r="L909" s="1">
        <v>13787346627</v>
      </c>
      <c r="M909" s="1" t="s">
        <v>2600</v>
      </c>
      <c r="N909" s="1" t="s">
        <v>2599</v>
      </c>
      <c r="O909" s="1" t="s">
        <v>2601</v>
      </c>
      <c r="P909" s="1">
        <v>13973436165</v>
      </c>
      <c r="Q909" s="1" t="s">
        <v>2602</v>
      </c>
    </row>
    <row r="910" spans="1:17">
      <c r="A910" s="1"/>
      <c r="B910" s="1" t="s">
        <v>2604</v>
      </c>
      <c r="C910" s="1" t="s">
        <v>2605</v>
      </c>
      <c r="D910" s="1" t="s">
        <v>5004</v>
      </c>
      <c r="E910" s="1" t="s">
        <v>163</v>
      </c>
      <c r="F910" s="1">
        <v>1</v>
      </c>
      <c r="G910" s="1">
        <v>1.2636363636363599</v>
      </c>
      <c r="H910" s="1">
        <v>10</v>
      </c>
      <c r="J910" s="1" t="s">
        <v>29</v>
      </c>
      <c r="K910" s="1" t="s">
        <v>1469</v>
      </c>
      <c r="L910" s="1">
        <v>15862213019</v>
      </c>
      <c r="M910" s="1" t="s">
        <v>1470</v>
      </c>
      <c r="N910" s="1" t="s">
        <v>1469</v>
      </c>
      <c r="O910" s="1" t="s">
        <v>1470</v>
      </c>
      <c r="P910" s="1">
        <v>15862213019</v>
      </c>
      <c r="Q910" s="1" t="s">
        <v>2607</v>
      </c>
    </row>
    <row r="911" spans="1:17">
      <c r="A911" s="1"/>
      <c r="B911" s="1"/>
      <c r="C911" s="1"/>
      <c r="D911" s="1" t="s">
        <v>5280</v>
      </c>
      <c r="E911" s="1" t="s">
        <v>163</v>
      </c>
      <c r="F911" s="1"/>
      <c r="G911" s="1"/>
      <c r="H911" s="1"/>
      <c r="J911" s="1"/>
      <c r="K911" s="1"/>
      <c r="L911" s="1"/>
      <c r="M911" s="1"/>
      <c r="N911" s="1"/>
      <c r="O911" s="1"/>
      <c r="P911" s="1"/>
      <c r="Q911" s="1"/>
    </row>
    <row r="912" spans="1:17">
      <c r="A912" s="1"/>
      <c r="B912" s="1" t="s">
        <v>2609</v>
      </c>
      <c r="C912" s="1" t="s">
        <v>2610</v>
      </c>
      <c r="D912" s="1" t="s">
        <v>5281</v>
      </c>
      <c r="E912" s="1" t="s">
        <v>420</v>
      </c>
      <c r="F912" s="1">
        <v>1</v>
      </c>
      <c r="G912" s="1">
        <v>1.49</v>
      </c>
      <c r="H912" s="1">
        <v>14</v>
      </c>
      <c r="I912" s="1" t="s">
        <v>1142</v>
      </c>
      <c r="J912" s="1" t="s">
        <v>29</v>
      </c>
      <c r="K912" s="1" t="s">
        <v>1479</v>
      </c>
      <c r="L912" s="1">
        <v>13459103839</v>
      </c>
      <c r="M912" s="1" t="s">
        <v>1480</v>
      </c>
      <c r="N912" s="1" t="s">
        <v>2611</v>
      </c>
      <c r="O912" s="1" t="s">
        <v>2612</v>
      </c>
      <c r="P912" s="1">
        <v>18606338005</v>
      </c>
      <c r="Q912" s="1" t="s">
        <v>2613</v>
      </c>
    </row>
    <row r="913" spans="1:17">
      <c r="A913" s="1"/>
      <c r="B913" s="1"/>
      <c r="C913" s="1"/>
      <c r="D913" s="1" t="s">
        <v>5282</v>
      </c>
      <c r="E913" s="1" t="s">
        <v>420</v>
      </c>
      <c r="F913" s="1"/>
      <c r="G913" s="1"/>
      <c r="H913" s="1"/>
      <c r="I913" s="1" t="s">
        <v>4968</v>
      </c>
      <c r="J913" s="1"/>
      <c r="K913" s="1"/>
      <c r="L913" s="1"/>
      <c r="M913" s="1"/>
      <c r="N913" s="1"/>
      <c r="O913" s="1"/>
      <c r="P913" s="1"/>
      <c r="Q913" s="1"/>
    </row>
    <row r="914" spans="1:17">
      <c r="A914" s="1"/>
      <c r="B914" s="1"/>
      <c r="C914" s="1"/>
      <c r="D914" s="1" t="s">
        <v>5081</v>
      </c>
      <c r="E914" s="1" t="s">
        <v>420</v>
      </c>
      <c r="F914" s="1"/>
      <c r="G914" s="1"/>
      <c r="H914" s="1"/>
      <c r="I914" s="1" t="s">
        <v>4995</v>
      </c>
      <c r="J914" s="1"/>
      <c r="K914" s="1"/>
      <c r="L914" s="1"/>
      <c r="M914" s="1"/>
      <c r="N914" s="1"/>
      <c r="O914" s="1"/>
      <c r="P914" s="1"/>
      <c r="Q914" s="1"/>
    </row>
    <row r="915" spans="1:17">
      <c r="A915" s="1"/>
      <c r="B915" s="1"/>
      <c r="C915" s="1"/>
      <c r="D915" s="1" t="s">
        <v>5283</v>
      </c>
      <c r="E915" s="1" t="s">
        <v>420</v>
      </c>
      <c r="F915" s="1"/>
      <c r="G915" s="1"/>
      <c r="H915" s="1"/>
      <c r="I915" s="1" t="s">
        <v>5111</v>
      </c>
      <c r="J915" s="1"/>
      <c r="K915" s="1"/>
      <c r="L915" s="1"/>
      <c r="M915" s="1"/>
      <c r="N915" s="1"/>
      <c r="O915" s="1"/>
      <c r="P915" s="1"/>
      <c r="Q915" s="1"/>
    </row>
    <row r="916" spans="1:17">
      <c r="A916" s="1"/>
      <c r="B916" s="1" t="s">
        <v>2615</v>
      </c>
      <c r="C916" s="1" t="s">
        <v>2616</v>
      </c>
      <c r="D916" s="1" t="s">
        <v>5281</v>
      </c>
      <c r="E916" s="1" t="s">
        <v>420</v>
      </c>
      <c r="F916" s="1">
        <v>1</v>
      </c>
      <c r="G916" s="1">
        <v>1.49</v>
      </c>
      <c r="H916" s="1">
        <v>14</v>
      </c>
      <c r="I916" s="1" t="s">
        <v>1142</v>
      </c>
      <c r="J916" s="1" t="s">
        <v>29</v>
      </c>
      <c r="K916" s="1" t="s">
        <v>1487</v>
      </c>
      <c r="L916" s="1">
        <v>13455405061</v>
      </c>
      <c r="M916" s="1" t="s">
        <v>364</v>
      </c>
      <c r="N916" s="1" t="s">
        <v>2617</v>
      </c>
      <c r="O916" s="1" t="s">
        <v>2618</v>
      </c>
      <c r="P916" s="1">
        <v>15806338066</v>
      </c>
      <c r="Q916" s="1" t="s">
        <v>2619</v>
      </c>
    </row>
    <row r="917" spans="1:17">
      <c r="A917" s="1"/>
      <c r="B917" s="1"/>
      <c r="C917" s="1"/>
      <c r="D917" s="1" t="s">
        <v>5282</v>
      </c>
      <c r="E917" s="1" t="s">
        <v>420</v>
      </c>
      <c r="F917" s="1"/>
      <c r="G917" s="1"/>
      <c r="H917" s="1"/>
      <c r="I917" s="1" t="s">
        <v>4968</v>
      </c>
      <c r="J917" s="1"/>
      <c r="K917" s="1"/>
      <c r="L917" s="1"/>
      <c r="M917" s="1"/>
      <c r="N917" s="1"/>
      <c r="O917" s="1"/>
      <c r="P917" s="1"/>
      <c r="Q917" s="1"/>
    </row>
    <row r="918" spans="1:17">
      <c r="A918" s="1"/>
      <c r="B918" s="1"/>
      <c r="C918" s="1"/>
      <c r="D918" s="1" t="s">
        <v>5081</v>
      </c>
      <c r="E918" s="1" t="s">
        <v>420</v>
      </c>
      <c r="F918" s="1"/>
      <c r="G918" s="1"/>
      <c r="H918" s="1"/>
      <c r="I918" s="1" t="s">
        <v>4995</v>
      </c>
      <c r="J918" s="1"/>
      <c r="K918" s="1"/>
      <c r="L918" s="1"/>
      <c r="M918" s="1"/>
      <c r="N918" s="1"/>
      <c r="O918" s="1"/>
      <c r="P918" s="1"/>
      <c r="Q918" s="1"/>
    </row>
    <row r="919" spans="1:17">
      <c r="A919" s="1"/>
      <c r="B919" s="1"/>
      <c r="C919" s="1"/>
      <c r="D919" s="1" t="s">
        <v>5283</v>
      </c>
      <c r="E919" s="1" t="s">
        <v>420</v>
      </c>
      <c r="F919" s="1"/>
      <c r="G919" s="1"/>
      <c r="H919" s="1"/>
      <c r="I919" s="1" t="s">
        <v>5111</v>
      </c>
      <c r="J919" s="1"/>
      <c r="K919" s="1"/>
      <c r="L919" s="1"/>
      <c r="M919" s="1"/>
      <c r="N919" s="1"/>
      <c r="O919" s="1"/>
      <c r="P919" s="1"/>
      <c r="Q919" s="1"/>
    </row>
    <row r="920" spans="1:17">
      <c r="A920" s="1"/>
      <c r="B920" s="1" t="s">
        <v>2621</v>
      </c>
      <c r="C920" s="1" t="s">
        <v>2622</v>
      </c>
      <c r="D920" s="1" t="s">
        <v>5284</v>
      </c>
      <c r="E920" s="1" t="s">
        <v>420</v>
      </c>
      <c r="F920" s="1">
        <v>1</v>
      </c>
      <c r="G920" s="1">
        <v>1.49</v>
      </c>
      <c r="H920" s="1">
        <v>16</v>
      </c>
      <c r="I920" s="1" t="s">
        <v>1142</v>
      </c>
      <c r="J920" s="1" t="s">
        <v>29</v>
      </c>
      <c r="K920" s="1" t="s">
        <v>1496</v>
      </c>
      <c r="L920" s="1">
        <v>13635279948</v>
      </c>
      <c r="M920" s="1" t="s">
        <v>1497</v>
      </c>
      <c r="N920" s="1" t="s">
        <v>2623</v>
      </c>
      <c r="O920" s="1" t="s">
        <v>2624</v>
      </c>
      <c r="P920" s="1">
        <v>15806335866</v>
      </c>
      <c r="Q920" s="1" t="s">
        <v>2625</v>
      </c>
    </row>
    <row r="921" spans="1:17">
      <c r="A921" s="1"/>
      <c r="B921" s="1"/>
      <c r="C921" s="1"/>
      <c r="D921" s="1" t="s">
        <v>5285</v>
      </c>
      <c r="E921" s="1" t="s">
        <v>420</v>
      </c>
      <c r="F921" s="1"/>
      <c r="G921" s="1"/>
      <c r="H921" s="1"/>
      <c r="I921" s="1" t="s">
        <v>4968</v>
      </c>
      <c r="J921" s="1"/>
      <c r="K921" s="1"/>
      <c r="L921" s="1"/>
      <c r="M921" s="1"/>
      <c r="N921" s="1"/>
      <c r="O921" s="1"/>
      <c r="P921" s="1"/>
      <c r="Q921" s="1"/>
    </row>
    <row r="922" spans="1:17">
      <c r="A922" s="1"/>
      <c r="B922" s="1" t="s">
        <v>2627</v>
      </c>
      <c r="C922" s="1" t="s">
        <v>2628</v>
      </c>
      <c r="D922" s="1" t="s">
        <v>5288</v>
      </c>
      <c r="E922" s="1" t="s">
        <v>1514</v>
      </c>
      <c r="F922" s="1">
        <v>1</v>
      </c>
      <c r="G922" s="1">
        <v>3.08</v>
      </c>
      <c r="H922" s="1">
        <v>6</v>
      </c>
      <c r="J922" s="1" t="s">
        <v>293</v>
      </c>
      <c r="K922" s="1" t="s">
        <v>1515</v>
      </c>
      <c r="L922" s="1" t="s">
        <v>1516</v>
      </c>
      <c r="M922" s="1" t="s">
        <v>1517</v>
      </c>
      <c r="N922" s="1" t="s">
        <v>1515</v>
      </c>
      <c r="O922" s="1" t="s">
        <v>2629</v>
      </c>
      <c r="P922" s="1">
        <v>13091152721</v>
      </c>
      <c r="Q922" s="1" t="s">
        <v>2630</v>
      </c>
    </row>
    <row r="923" spans="1:17">
      <c r="A923" s="1"/>
      <c r="B923" s="1" t="s">
        <v>2632</v>
      </c>
      <c r="C923" s="1" t="s">
        <v>2633</v>
      </c>
      <c r="D923" s="1" t="s">
        <v>5288</v>
      </c>
      <c r="E923" s="1" t="s">
        <v>1514</v>
      </c>
      <c r="F923" s="1">
        <v>1</v>
      </c>
      <c r="G923" s="1">
        <v>3.08</v>
      </c>
      <c r="H923" s="1">
        <v>6</v>
      </c>
      <c r="J923" s="1" t="s">
        <v>293</v>
      </c>
      <c r="K923" s="1" t="s">
        <v>2634</v>
      </c>
      <c r="L923" s="1">
        <v>15032852111</v>
      </c>
      <c r="M923" s="1" t="s">
        <v>2635</v>
      </c>
      <c r="N923" s="1" t="s">
        <v>2636</v>
      </c>
      <c r="O923" s="1" t="s">
        <v>2637</v>
      </c>
      <c r="P923" s="1">
        <v>18631722410</v>
      </c>
      <c r="Q923" s="1" t="s">
        <v>2638</v>
      </c>
    </row>
    <row r="924" spans="1:17">
      <c r="A924" s="1"/>
      <c r="B924" s="1" t="s">
        <v>2640</v>
      </c>
      <c r="C924" s="1" t="s">
        <v>2641</v>
      </c>
      <c r="D924" s="1" t="s">
        <v>5289</v>
      </c>
      <c r="E924" s="1" t="s">
        <v>1552</v>
      </c>
      <c r="F924" s="1">
        <v>1</v>
      </c>
      <c r="G924" s="1">
        <v>1.49</v>
      </c>
      <c r="H924" s="1">
        <v>15</v>
      </c>
      <c r="I924" s="1" t="s">
        <v>4995</v>
      </c>
      <c r="J924" s="1" t="s">
        <v>40</v>
      </c>
      <c r="K924" s="1" t="s">
        <v>2642</v>
      </c>
      <c r="L924" s="1">
        <v>13050323110</v>
      </c>
      <c r="M924" s="1" t="s">
        <v>2643</v>
      </c>
      <c r="N924" s="1" t="s">
        <v>2644</v>
      </c>
      <c r="O924" s="1" t="s">
        <v>2645</v>
      </c>
      <c r="P924" s="1">
        <v>13009218779</v>
      </c>
      <c r="Q924" s="1" t="s">
        <v>2646</v>
      </c>
    </row>
    <row r="925" spans="1:17">
      <c r="A925" s="1"/>
      <c r="B925" s="1"/>
      <c r="C925" s="1"/>
      <c r="D925" s="1" t="s">
        <v>5290</v>
      </c>
      <c r="E925" s="1" t="s">
        <v>1552</v>
      </c>
      <c r="F925" s="1"/>
      <c r="G925" s="1"/>
      <c r="H925" s="1"/>
      <c r="I925" s="1" t="s">
        <v>5055</v>
      </c>
      <c r="J925" s="1"/>
      <c r="K925" s="1"/>
      <c r="L925" s="1"/>
      <c r="M925" s="1"/>
      <c r="N925" s="1"/>
      <c r="O925" s="1"/>
      <c r="P925" s="1"/>
      <c r="Q925" s="1"/>
    </row>
    <row r="926" spans="1:17">
      <c r="A926" s="1"/>
      <c r="B926" s="1" t="s">
        <v>2648</v>
      </c>
      <c r="C926" s="1" t="s">
        <v>2649</v>
      </c>
      <c r="D926" s="1" t="s">
        <v>5289</v>
      </c>
      <c r="E926" s="1" t="s">
        <v>1552</v>
      </c>
      <c r="F926" s="1">
        <v>1</v>
      </c>
      <c r="G926" s="1">
        <v>1.49</v>
      </c>
      <c r="H926" s="1">
        <v>15</v>
      </c>
      <c r="I926" s="1" t="s">
        <v>4995</v>
      </c>
      <c r="J926" s="1" t="s">
        <v>40</v>
      </c>
      <c r="K926" s="1" t="s">
        <v>2650</v>
      </c>
      <c r="L926" s="1">
        <v>18341271487</v>
      </c>
      <c r="M926" s="1" t="s">
        <v>2651</v>
      </c>
      <c r="N926" s="1" t="s">
        <v>2652</v>
      </c>
      <c r="O926" s="1" t="s">
        <v>2653</v>
      </c>
      <c r="P926" s="1">
        <v>13795090999</v>
      </c>
      <c r="Q926" s="1" t="s">
        <v>2654</v>
      </c>
    </row>
    <row r="927" spans="1:17">
      <c r="A927" s="1"/>
      <c r="B927" s="1"/>
      <c r="C927" s="1"/>
      <c r="D927" s="1" t="s">
        <v>5290</v>
      </c>
      <c r="E927" s="1" t="s">
        <v>1552</v>
      </c>
      <c r="F927" s="1"/>
      <c r="G927" s="1"/>
      <c r="H927" s="1"/>
      <c r="I927" s="1" t="s">
        <v>5055</v>
      </c>
      <c r="J927" s="1"/>
      <c r="K927" s="1"/>
      <c r="L927" s="1"/>
      <c r="M927" s="1"/>
      <c r="N927" s="1"/>
      <c r="O927" s="1"/>
      <c r="P927" s="1"/>
      <c r="Q927" s="1"/>
    </row>
    <row r="928" spans="1:17">
      <c r="A928" s="1"/>
      <c r="B928" s="1" t="s">
        <v>2656</v>
      </c>
      <c r="C928" s="1" t="s">
        <v>2657</v>
      </c>
      <c r="D928" s="1" t="s">
        <v>5296</v>
      </c>
      <c r="E928" s="1" t="s">
        <v>50</v>
      </c>
      <c r="F928" s="1">
        <v>1</v>
      </c>
      <c r="G928" s="1">
        <v>0.81</v>
      </c>
      <c r="H928" s="1">
        <v>16</v>
      </c>
      <c r="I928" s="1" t="s">
        <v>4963</v>
      </c>
      <c r="J928" s="1" t="s">
        <v>40</v>
      </c>
      <c r="K928" s="1" t="s">
        <v>2658</v>
      </c>
      <c r="L928" s="1">
        <v>13913529715</v>
      </c>
      <c r="M928" s="1" t="s">
        <v>2659</v>
      </c>
      <c r="N928" s="1" t="s">
        <v>2658</v>
      </c>
      <c r="O928" s="1" t="s">
        <v>2659</v>
      </c>
      <c r="P928" s="1">
        <v>13913529715</v>
      </c>
      <c r="Q928" s="1" t="s">
        <v>2660</v>
      </c>
    </row>
    <row r="929" spans="1:17">
      <c r="A929" s="1"/>
      <c r="B929" s="1" t="s">
        <v>2662</v>
      </c>
      <c r="C929" s="1" t="s">
        <v>2663</v>
      </c>
      <c r="D929" s="1" t="s">
        <v>5297</v>
      </c>
      <c r="E929" s="1" t="s">
        <v>50</v>
      </c>
      <c r="F929" s="1">
        <v>1</v>
      </c>
      <c r="G929" s="1">
        <v>0.81</v>
      </c>
      <c r="H929" s="1">
        <v>16</v>
      </c>
      <c r="J929" s="1" t="s">
        <v>40</v>
      </c>
      <c r="K929" s="1" t="s">
        <v>2664</v>
      </c>
      <c r="L929" s="1">
        <v>15862363551</v>
      </c>
      <c r="M929" s="1" t="s">
        <v>2665</v>
      </c>
      <c r="N929" s="1" t="s">
        <v>2666</v>
      </c>
      <c r="O929" s="1" t="s">
        <v>2665</v>
      </c>
      <c r="P929" s="1">
        <v>15862363551</v>
      </c>
      <c r="Q929" s="1" t="s">
        <v>2667</v>
      </c>
    </row>
    <row r="930" spans="1:17">
      <c r="A930" s="1"/>
      <c r="B930" s="1" t="s">
        <v>2669</v>
      </c>
      <c r="C930" s="1" t="s">
        <v>2670</v>
      </c>
      <c r="D930" s="1" t="s">
        <v>5440</v>
      </c>
      <c r="E930" s="1" t="s">
        <v>1594</v>
      </c>
      <c r="F930" s="1">
        <v>1</v>
      </c>
      <c r="G930" s="1">
        <v>0.81</v>
      </c>
      <c r="H930" s="1">
        <v>10</v>
      </c>
      <c r="I930" s="1" t="s">
        <v>4995</v>
      </c>
      <c r="J930" s="1" t="s">
        <v>40</v>
      </c>
      <c r="K930" s="1" t="s">
        <v>2672</v>
      </c>
      <c r="L930" s="1">
        <v>15833356129</v>
      </c>
      <c r="M930" s="1" t="s">
        <v>2673</v>
      </c>
      <c r="N930" s="1" t="s">
        <v>2674</v>
      </c>
      <c r="O930" s="1" t="s">
        <v>2673</v>
      </c>
      <c r="P930" s="1">
        <v>15833356129</v>
      </c>
      <c r="Q930" s="1" t="s">
        <v>2675</v>
      </c>
    </row>
    <row r="931" spans="1:17">
      <c r="A931" s="1"/>
      <c r="B931" s="1" t="s">
        <v>2677</v>
      </c>
      <c r="C931" s="1" t="s">
        <v>2678</v>
      </c>
      <c r="D931" s="1" t="s">
        <v>4967</v>
      </c>
      <c r="E931" s="1" t="s">
        <v>2413</v>
      </c>
      <c r="F931" s="1">
        <v>1</v>
      </c>
      <c r="G931" s="1">
        <v>0.81</v>
      </c>
      <c r="H931" s="1">
        <v>7</v>
      </c>
      <c r="I931" s="1" t="s">
        <v>4968</v>
      </c>
      <c r="J931" s="1" t="s">
        <v>29</v>
      </c>
      <c r="K931" s="1" t="s">
        <v>2142</v>
      </c>
      <c r="L931" s="1">
        <v>13910075819</v>
      </c>
      <c r="M931" s="1" t="s">
        <v>2680</v>
      </c>
      <c r="N931" s="1" t="s">
        <v>2681</v>
      </c>
      <c r="O931" s="1" t="s">
        <v>2682</v>
      </c>
      <c r="P931" s="1">
        <v>18622008360</v>
      </c>
      <c r="Q931" s="1" t="s">
        <v>2683</v>
      </c>
    </row>
    <row r="932" spans="1:17">
      <c r="A932" s="1"/>
      <c r="B932" s="1"/>
      <c r="C932" s="1"/>
      <c r="D932" s="1" t="s">
        <v>5441</v>
      </c>
      <c r="E932" s="1" t="s">
        <v>2413</v>
      </c>
      <c r="F932" s="1"/>
      <c r="G932" s="1"/>
      <c r="H932" s="1"/>
      <c r="I932" s="1" t="s">
        <v>4970</v>
      </c>
      <c r="J932" s="1"/>
      <c r="K932" s="1"/>
      <c r="L932" s="1"/>
      <c r="M932" s="1"/>
      <c r="N932" s="1"/>
      <c r="O932" s="1"/>
      <c r="P932" s="1"/>
      <c r="Q932" s="1"/>
    </row>
    <row r="933" spans="1:17">
      <c r="A933" s="1"/>
      <c r="B933" s="1" t="s">
        <v>2685</v>
      </c>
      <c r="C933" s="1" t="s">
        <v>2686</v>
      </c>
      <c r="D933" s="1" t="s">
        <v>5112</v>
      </c>
      <c r="E933" s="1" t="s">
        <v>2413</v>
      </c>
      <c r="F933" s="1">
        <v>1</v>
      </c>
      <c r="G933" s="1">
        <v>1.26</v>
      </c>
      <c r="H933" s="1">
        <v>10</v>
      </c>
      <c r="I933" s="1" t="s">
        <v>4972</v>
      </c>
      <c r="J933" s="1" t="s">
        <v>29</v>
      </c>
      <c r="K933" s="1" t="s">
        <v>2142</v>
      </c>
      <c r="L933" s="1">
        <v>13910075819</v>
      </c>
      <c r="M933" s="1" t="s">
        <v>2680</v>
      </c>
      <c r="N933" s="1" t="s">
        <v>2690</v>
      </c>
      <c r="O933" s="1" t="s">
        <v>2691</v>
      </c>
      <c r="P933" s="1">
        <v>13473643269</v>
      </c>
      <c r="Q933" s="1" t="s">
        <v>2692</v>
      </c>
    </row>
    <row r="934" spans="1:17">
      <c r="A934" s="1"/>
      <c r="B934" s="1"/>
      <c r="C934" s="1"/>
      <c r="D934" s="1" t="s">
        <v>5442</v>
      </c>
      <c r="E934" s="1" t="s">
        <v>2413</v>
      </c>
      <c r="F934" s="1"/>
      <c r="G934" s="1"/>
      <c r="H934" s="1"/>
      <c r="I934" s="1" t="s">
        <v>4968</v>
      </c>
      <c r="J934" s="1"/>
      <c r="K934" s="1"/>
      <c r="L934" s="1"/>
      <c r="M934" s="1"/>
      <c r="N934" s="1"/>
      <c r="O934" s="1"/>
      <c r="P934" s="1"/>
      <c r="Q934" s="1"/>
    </row>
    <row r="935" spans="1:17">
      <c r="A935" s="1"/>
      <c r="B935" s="1"/>
      <c r="C935" s="1"/>
      <c r="D935" s="1" t="s">
        <v>5007</v>
      </c>
      <c r="E935" s="1" t="s">
        <v>2413</v>
      </c>
      <c r="F935" s="1"/>
      <c r="G935" s="1"/>
      <c r="H935" s="1"/>
      <c r="I935" s="1" t="s">
        <v>5443</v>
      </c>
      <c r="J935" s="1"/>
      <c r="K935" s="1"/>
      <c r="L935" s="1"/>
      <c r="M935" s="1"/>
      <c r="N935" s="1"/>
      <c r="O935" s="1"/>
      <c r="P935" s="1"/>
      <c r="Q935" s="1"/>
    </row>
    <row r="936" spans="1:17">
      <c r="A936" s="1"/>
      <c r="B936" s="1"/>
      <c r="C936" s="1"/>
      <c r="D936" s="1" t="s">
        <v>5060</v>
      </c>
      <c r="E936" s="1" t="s">
        <v>5176</v>
      </c>
      <c r="F936" s="1"/>
      <c r="G936" s="1"/>
      <c r="H936" s="1"/>
      <c r="I936" s="1" t="s">
        <v>5173</v>
      </c>
      <c r="J936" s="1"/>
      <c r="K936" s="1"/>
      <c r="L936" s="1"/>
      <c r="M936" s="1"/>
      <c r="N936" s="1"/>
      <c r="O936" s="1"/>
      <c r="P936" s="1"/>
      <c r="Q936" s="1"/>
    </row>
    <row r="937" spans="1:17">
      <c r="A937" s="1"/>
      <c r="B937" s="1"/>
      <c r="C937" s="1"/>
      <c r="D937" s="1" t="s">
        <v>5178</v>
      </c>
      <c r="E937" s="1" t="s">
        <v>5176</v>
      </c>
      <c r="F937" s="1"/>
      <c r="G937" s="1"/>
      <c r="H937" s="1"/>
      <c r="I937" s="1" t="s">
        <v>5135</v>
      </c>
      <c r="J937" s="1"/>
      <c r="K937" s="1"/>
      <c r="L937" s="1"/>
      <c r="M937" s="1"/>
      <c r="N937" s="1"/>
      <c r="O937" s="1"/>
      <c r="P937" s="1"/>
      <c r="Q937" s="1"/>
    </row>
    <row r="938" spans="1:17">
      <c r="A938" s="1"/>
      <c r="B938" s="1"/>
      <c r="C938" s="1"/>
      <c r="D938" s="1" t="s">
        <v>5179</v>
      </c>
      <c r="E938" s="1" t="s">
        <v>5176</v>
      </c>
      <c r="F938" s="1"/>
      <c r="G938" s="1"/>
      <c r="H938" s="1"/>
      <c r="I938" s="1" t="s">
        <v>5444</v>
      </c>
      <c r="J938" s="1"/>
      <c r="K938" s="1"/>
      <c r="L938" s="1"/>
      <c r="M938" s="1"/>
      <c r="N938" s="1"/>
      <c r="O938" s="1"/>
      <c r="P938" s="1"/>
      <c r="Q938" s="1"/>
    </row>
    <row r="939" spans="1:17">
      <c r="A939" s="1"/>
      <c r="B939" s="1" t="s">
        <v>2694</v>
      </c>
      <c r="C939" s="1" t="s">
        <v>2695</v>
      </c>
      <c r="D939" s="1" t="s">
        <v>4967</v>
      </c>
      <c r="E939" s="1" t="s">
        <v>2413</v>
      </c>
      <c r="F939" s="1">
        <v>1</v>
      </c>
      <c r="G939" s="1">
        <v>0.81</v>
      </c>
      <c r="H939" s="1">
        <v>8</v>
      </c>
      <c r="I939" s="1" t="s">
        <v>4968</v>
      </c>
      <c r="J939" s="1" t="s">
        <v>29</v>
      </c>
      <c r="K939" s="1" t="s">
        <v>82</v>
      </c>
      <c r="L939" s="1">
        <v>15210622672</v>
      </c>
      <c r="M939" s="1" t="s">
        <v>83</v>
      </c>
      <c r="N939" s="1" t="s">
        <v>2696</v>
      </c>
      <c r="O939" s="1" t="s">
        <v>2697</v>
      </c>
      <c r="P939" s="1">
        <v>13703241128</v>
      </c>
      <c r="Q939" s="1" t="s">
        <v>2698</v>
      </c>
    </row>
    <row r="940" spans="1:17">
      <c r="A940" s="1"/>
      <c r="B940" s="1"/>
      <c r="C940" s="1"/>
      <c r="D940" s="1" t="s">
        <v>4969</v>
      </c>
      <c r="E940" s="1" t="s">
        <v>2413</v>
      </c>
      <c r="F940" s="1"/>
      <c r="G940" s="1"/>
      <c r="H940" s="1"/>
      <c r="I940" s="1" t="s">
        <v>4970</v>
      </c>
      <c r="J940" s="1"/>
      <c r="K940" s="1"/>
      <c r="L940" s="1"/>
      <c r="M940" s="1"/>
      <c r="N940" s="1"/>
      <c r="O940" s="1"/>
      <c r="P940" s="1"/>
      <c r="Q940" s="1"/>
    </row>
    <row r="941" spans="1:17">
      <c r="A941" s="1"/>
      <c r="B941" s="1" t="s">
        <v>2700</v>
      </c>
      <c r="C941" s="1" t="s">
        <v>2701</v>
      </c>
      <c r="D941" s="1" t="s">
        <v>5445</v>
      </c>
      <c r="E941" s="1" t="s">
        <v>625</v>
      </c>
      <c r="F941" s="1">
        <v>1</v>
      </c>
      <c r="G941" s="1">
        <v>1.95</v>
      </c>
      <c r="H941" s="1">
        <v>15</v>
      </c>
      <c r="I941" s="1" t="s">
        <v>4987</v>
      </c>
      <c r="J941" s="1" t="s">
        <v>40</v>
      </c>
      <c r="K941" s="1" t="s">
        <v>113</v>
      </c>
      <c r="L941" s="1">
        <v>15837581275</v>
      </c>
      <c r="M941" s="1" t="s">
        <v>114</v>
      </c>
      <c r="N941" s="1" t="s">
        <v>2704</v>
      </c>
      <c r="O941" s="1" t="s">
        <v>2705</v>
      </c>
      <c r="P941" s="1">
        <v>15003803652</v>
      </c>
      <c r="Q941" s="1" t="s">
        <v>2706</v>
      </c>
    </row>
    <row r="942" spans="1:17">
      <c r="A942" s="1"/>
      <c r="B942" s="1"/>
      <c r="C942" s="1"/>
      <c r="D942" s="1" t="s">
        <v>5446</v>
      </c>
      <c r="E942" s="1" t="s">
        <v>625</v>
      </c>
      <c r="F942" s="1"/>
      <c r="G942" s="1"/>
      <c r="H942" s="1"/>
      <c r="I942" s="1" t="s">
        <v>4985</v>
      </c>
      <c r="J942" s="1"/>
      <c r="K942" s="1"/>
      <c r="L942" s="1"/>
      <c r="M942" s="1"/>
      <c r="N942" s="1"/>
      <c r="O942" s="1"/>
      <c r="P942" s="1"/>
      <c r="Q942" s="1"/>
    </row>
    <row r="943" spans="1:17">
      <c r="A943" s="1"/>
      <c r="B943" s="1"/>
      <c r="C943" s="1"/>
      <c r="D943" s="1" t="s">
        <v>5153</v>
      </c>
      <c r="E943" s="1" t="s">
        <v>625</v>
      </c>
      <c r="F943" s="1"/>
      <c r="G943" s="1"/>
      <c r="H943" s="1"/>
      <c r="J943" s="1"/>
      <c r="K943" s="1"/>
      <c r="L943" s="1"/>
      <c r="M943" s="1"/>
      <c r="N943" s="1"/>
      <c r="O943" s="1"/>
      <c r="P943" s="1"/>
      <c r="Q943" s="1"/>
    </row>
    <row r="944" spans="1:17">
      <c r="A944" s="1"/>
      <c r="B944" s="1"/>
      <c r="C944" s="1"/>
      <c r="D944" s="1" t="s">
        <v>5023</v>
      </c>
      <c r="E944" s="1" t="s">
        <v>625</v>
      </c>
      <c r="F944" s="1"/>
      <c r="G944" s="1"/>
      <c r="H944" s="1"/>
      <c r="J944" s="1"/>
      <c r="K944" s="1"/>
      <c r="L944" s="1"/>
      <c r="M944" s="1"/>
      <c r="N944" s="1"/>
      <c r="O944" s="1"/>
      <c r="P944" s="1"/>
      <c r="Q944" s="1"/>
    </row>
    <row r="945" spans="1:17">
      <c r="A945" s="1"/>
      <c r="B945" s="1" t="s">
        <v>2708</v>
      </c>
      <c r="C945" s="1" t="s">
        <v>2709</v>
      </c>
      <c r="D945" s="1" t="s">
        <v>5308</v>
      </c>
      <c r="E945" s="1" t="s">
        <v>1633</v>
      </c>
      <c r="F945" s="1">
        <v>1</v>
      </c>
      <c r="G945" s="1">
        <v>0.81</v>
      </c>
      <c r="H945" s="1">
        <v>5</v>
      </c>
      <c r="I945" s="1" t="s">
        <v>1634</v>
      </c>
      <c r="J945" s="1" t="s">
        <v>29</v>
      </c>
      <c r="K945" s="1" t="s">
        <v>1635</v>
      </c>
      <c r="L945" s="1">
        <v>13541316114</v>
      </c>
      <c r="M945" s="1" t="s">
        <v>1636</v>
      </c>
      <c r="N945" s="1" t="s">
        <v>2710</v>
      </c>
      <c r="O945" s="1" t="s">
        <v>1636</v>
      </c>
      <c r="P945" s="1">
        <v>13541316114</v>
      </c>
      <c r="Q945" s="1" t="s">
        <v>2711</v>
      </c>
    </row>
    <row r="946" spans="1:17">
      <c r="A946" s="1"/>
      <c r="B946" s="1" t="s">
        <v>2713</v>
      </c>
      <c r="C946" s="1" t="s">
        <v>2714</v>
      </c>
      <c r="D946" s="1" t="s">
        <v>5308</v>
      </c>
      <c r="E946" s="1" t="s">
        <v>1633</v>
      </c>
      <c r="F946" s="1">
        <v>1</v>
      </c>
      <c r="G946" s="1">
        <v>0.81</v>
      </c>
      <c r="H946" s="1">
        <v>5</v>
      </c>
      <c r="I946" s="1" t="s">
        <v>1634</v>
      </c>
      <c r="J946" s="1" t="s">
        <v>29</v>
      </c>
      <c r="K946" s="1" t="s">
        <v>2715</v>
      </c>
      <c r="L946" s="1">
        <v>18500061258</v>
      </c>
      <c r="M946" s="1" t="s">
        <v>2716</v>
      </c>
      <c r="N946" s="1" t="s">
        <v>2717</v>
      </c>
      <c r="O946" s="1" t="s">
        <v>2716</v>
      </c>
      <c r="P946" s="1">
        <v>18500061258</v>
      </c>
      <c r="Q946" s="1" t="s">
        <v>2718</v>
      </c>
    </row>
    <row r="947" spans="1:17">
      <c r="A947" s="1"/>
      <c r="B947" s="1" t="s">
        <v>2720</v>
      </c>
      <c r="C947" s="1" t="s">
        <v>2721</v>
      </c>
      <c r="D947" s="1" t="s">
        <v>4989</v>
      </c>
      <c r="E947" s="1" t="s">
        <v>1633</v>
      </c>
      <c r="F947" s="1">
        <v>1</v>
      </c>
      <c r="G947" s="1">
        <v>0.81</v>
      </c>
      <c r="H947" s="1">
        <v>5</v>
      </c>
      <c r="I947" s="1" t="s">
        <v>1634</v>
      </c>
      <c r="J947" s="1" t="s">
        <v>29</v>
      </c>
      <c r="K947" s="1" t="s">
        <v>124</v>
      </c>
      <c r="L947" s="1">
        <v>15720962388</v>
      </c>
      <c r="M947" s="1" t="s">
        <v>125</v>
      </c>
      <c r="N947" s="1" t="s">
        <v>2722</v>
      </c>
      <c r="O947" s="1" t="s">
        <v>2723</v>
      </c>
      <c r="P947" s="1">
        <v>13635983612</v>
      </c>
      <c r="Q947" s="1" t="s">
        <v>2724</v>
      </c>
    </row>
    <row r="948" spans="1:17">
      <c r="A948" s="1"/>
      <c r="B948" s="1"/>
      <c r="C948" s="1"/>
      <c r="D948" s="1" t="s">
        <v>5009</v>
      </c>
      <c r="E948" s="1" t="s">
        <v>1633</v>
      </c>
      <c r="F948" s="1"/>
      <c r="G948" s="1"/>
      <c r="H948" s="1"/>
      <c r="I948" s="1" t="s">
        <v>5010</v>
      </c>
      <c r="J948" s="1"/>
      <c r="K948" s="1"/>
      <c r="L948" s="1"/>
      <c r="M948" s="1"/>
      <c r="N948" s="1"/>
      <c r="O948" s="1"/>
      <c r="P948" s="1"/>
      <c r="Q948" s="1"/>
    </row>
    <row r="949" spans="1:17">
      <c r="A949" s="1"/>
      <c r="B949" s="1"/>
      <c r="C949" s="1"/>
      <c r="D949" s="1" t="s">
        <v>5007</v>
      </c>
      <c r="E949" s="1" t="s">
        <v>1633</v>
      </c>
      <c r="F949" s="1"/>
      <c r="G949" s="1"/>
      <c r="H949" s="1"/>
      <c r="I949" s="1" t="s">
        <v>5008</v>
      </c>
      <c r="J949" s="1"/>
      <c r="K949" s="1"/>
      <c r="L949" s="1"/>
      <c r="M949" s="1"/>
      <c r="N949" s="1"/>
      <c r="O949" s="1"/>
      <c r="P949" s="1"/>
      <c r="Q949" s="1"/>
    </row>
    <row r="950" spans="1:17">
      <c r="A950" s="1"/>
      <c r="B950" s="1" t="s">
        <v>2726</v>
      </c>
      <c r="C950" s="1" t="s">
        <v>2727</v>
      </c>
      <c r="D950" s="1" t="s">
        <v>5014</v>
      </c>
      <c r="E950" s="1" t="s">
        <v>625</v>
      </c>
      <c r="F950" s="1">
        <v>1</v>
      </c>
      <c r="G950" s="1">
        <v>1.72</v>
      </c>
      <c r="H950" s="1">
        <v>11</v>
      </c>
      <c r="J950" s="1" t="s">
        <v>40</v>
      </c>
      <c r="K950" s="1" t="s">
        <v>1660</v>
      </c>
      <c r="L950" s="1">
        <v>13602446645</v>
      </c>
      <c r="M950" s="1" t="s">
        <v>1661</v>
      </c>
      <c r="N950" s="1" t="s">
        <v>1660</v>
      </c>
      <c r="O950" s="1" t="s">
        <v>2728</v>
      </c>
      <c r="P950" s="1">
        <v>15915838197</v>
      </c>
      <c r="Q950" s="1" t="s">
        <v>2729</v>
      </c>
    </row>
    <row r="951" spans="1:17">
      <c r="A951" s="1"/>
      <c r="B951" s="1"/>
      <c r="C951" s="1"/>
      <c r="D951" s="1" t="s">
        <v>5018</v>
      </c>
      <c r="E951" s="1" t="s">
        <v>625</v>
      </c>
      <c r="F951" s="1"/>
      <c r="G951" s="1"/>
      <c r="H951" s="1"/>
      <c r="J951" s="1"/>
      <c r="K951" s="1"/>
      <c r="L951" s="1"/>
      <c r="M951" s="1"/>
      <c r="N951" s="1"/>
      <c r="O951" s="1"/>
      <c r="P951" s="1"/>
      <c r="Q951" s="1"/>
    </row>
    <row r="952" spans="1:17">
      <c r="A952" s="1"/>
      <c r="B952" s="1"/>
      <c r="C952" s="1"/>
      <c r="D952" s="1" t="s">
        <v>5188</v>
      </c>
      <c r="E952" s="1" t="s">
        <v>625</v>
      </c>
      <c r="F952" s="1"/>
      <c r="G952" s="1"/>
      <c r="H952" s="1"/>
      <c r="J952" s="1"/>
      <c r="K952" s="1"/>
      <c r="L952" s="1"/>
      <c r="M952" s="1"/>
      <c r="N952" s="1"/>
      <c r="O952" s="1"/>
      <c r="P952" s="1"/>
      <c r="Q952" s="1"/>
    </row>
    <row r="953" spans="1:17">
      <c r="A953" s="1"/>
      <c r="B953" s="1"/>
      <c r="C953" s="1"/>
      <c r="D953" s="1" t="s">
        <v>5022</v>
      </c>
      <c r="E953" s="1" t="s">
        <v>625</v>
      </c>
      <c r="F953" s="1"/>
      <c r="G953" s="1"/>
      <c r="H953" s="1"/>
      <c r="J953" s="1"/>
      <c r="K953" s="1"/>
      <c r="L953" s="1"/>
      <c r="M953" s="1"/>
      <c r="N953" s="1"/>
      <c r="O953" s="1"/>
      <c r="P953" s="1"/>
      <c r="Q953" s="1"/>
    </row>
    <row r="954" spans="1:17">
      <c r="A954" s="1"/>
      <c r="B954" s="1"/>
      <c r="C954" s="1"/>
      <c r="D954" s="1" t="s">
        <v>5309</v>
      </c>
      <c r="E954" s="1" t="s">
        <v>625</v>
      </c>
      <c r="F954" s="1"/>
      <c r="G954" s="1"/>
      <c r="H954" s="1"/>
      <c r="J954" s="1"/>
      <c r="K954" s="1"/>
      <c r="L954" s="1"/>
      <c r="M954" s="1"/>
      <c r="N954" s="1"/>
      <c r="O954" s="1"/>
      <c r="P954" s="1"/>
      <c r="Q954" s="1"/>
    </row>
    <row r="955" spans="1:17">
      <c r="A955" s="1"/>
      <c r="B955" s="1" t="s">
        <v>2731</v>
      </c>
      <c r="C955" s="1" t="s">
        <v>2732</v>
      </c>
      <c r="D955" s="1" t="s">
        <v>5014</v>
      </c>
      <c r="E955" s="1" t="s">
        <v>625</v>
      </c>
      <c r="F955" s="1">
        <v>1</v>
      </c>
      <c r="G955" s="1">
        <v>1.72</v>
      </c>
      <c r="H955" s="1">
        <v>10</v>
      </c>
      <c r="J955" s="1" t="s">
        <v>40</v>
      </c>
      <c r="K955" s="1" t="s">
        <v>945</v>
      </c>
      <c r="L955" s="1">
        <v>13512756600</v>
      </c>
      <c r="M955" s="1" t="s">
        <v>946</v>
      </c>
      <c r="N955" s="1" t="s">
        <v>2733</v>
      </c>
      <c r="O955" s="1" t="s">
        <v>946</v>
      </c>
      <c r="P955" s="1">
        <v>13512756600</v>
      </c>
      <c r="Q955" s="1" t="s">
        <v>2734</v>
      </c>
    </row>
    <row r="956" spans="1:17">
      <c r="A956" s="1"/>
      <c r="B956" s="1"/>
      <c r="C956" s="1"/>
      <c r="D956" s="1" t="s">
        <v>5015</v>
      </c>
      <c r="E956" s="1" t="s">
        <v>625</v>
      </c>
      <c r="F956" s="1"/>
      <c r="G956" s="1"/>
      <c r="H956" s="1"/>
      <c r="J956" s="1"/>
      <c r="K956" s="1"/>
      <c r="L956" s="1"/>
      <c r="M956" s="1"/>
      <c r="N956" s="1"/>
      <c r="O956" s="1"/>
      <c r="P956" s="1"/>
      <c r="Q956" s="1"/>
    </row>
    <row r="957" spans="1:17">
      <c r="A957" s="1"/>
      <c r="B957" s="1"/>
      <c r="C957" s="1"/>
      <c r="D957" s="1" t="s">
        <v>5016</v>
      </c>
      <c r="E957" s="1" t="s">
        <v>625</v>
      </c>
      <c r="F957" s="1"/>
      <c r="G957" s="1"/>
      <c r="H957" s="1"/>
      <c r="J957" s="1"/>
      <c r="K957" s="1"/>
      <c r="L957" s="1"/>
      <c r="M957" s="1"/>
      <c r="N957" s="1"/>
      <c r="O957" s="1"/>
      <c r="P957" s="1"/>
      <c r="Q957" s="1"/>
    </row>
    <row r="958" spans="1:17">
      <c r="A958" s="1"/>
      <c r="B958" s="1"/>
      <c r="C958" s="1"/>
      <c r="D958" s="1" t="s">
        <v>5017</v>
      </c>
      <c r="E958" s="1" t="s">
        <v>625</v>
      </c>
      <c r="F958" s="1"/>
      <c r="G958" s="1"/>
      <c r="H958" s="1"/>
      <c r="J958" s="1"/>
      <c r="K958" s="1"/>
      <c r="L958" s="1"/>
      <c r="M958" s="1"/>
      <c r="N958" s="1"/>
      <c r="O958" s="1"/>
      <c r="P958" s="1"/>
      <c r="Q958" s="1"/>
    </row>
    <row r="959" spans="1:17">
      <c r="A959" s="1"/>
      <c r="B959" s="1"/>
      <c r="C959" s="1"/>
      <c r="D959" s="1" t="s">
        <v>5018</v>
      </c>
      <c r="E959" s="1" t="s">
        <v>625</v>
      </c>
      <c r="F959" s="1"/>
      <c r="G959" s="1"/>
      <c r="H959" s="1"/>
      <c r="J959" s="1"/>
      <c r="K959" s="1"/>
      <c r="L959" s="1"/>
      <c r="M959" s="1"/>
      <c r="N959" s="1"/>
      <c r="O959" s="1"/>
      <c r="P959" s="1"/>
      <c r="Q959" s="1"/>
    </row>
    <row r="960" spans="1:17">
      <c r="A960" s="1"/>
      <c r="B960" s="1"/>
      <c r="C960" s="1"/>
      <c r="D960" s="1" t="s">
        <v>5019</v>
      </c>
      <c r="E960" s="1" t="s">
        <v>625</v>
      </c>
      <c r="F960" s="1"/>
      <c r="G960" s="1"/>
      <c r="H960" s="1"/>
      <c r="J960" s="1"/>
      <c r="K960" s="1"/>
      <c r="L960" s="1"/>
      <c r="M960" s="1"/>
      <c r="N960" s="1"/>
      <c r="O960" s="1"/>
      <c r="P960" s="1"/>
      <c r="Q960" s="1"/>
    </row>
    <row r="961" spans="1:17">
      <c r="A961" s="1"/>
      <c r="B961" s="1" t="s">
        <v>2736</v>
      </c>
      <c r="C961" s="1" t="s">
        <v>2737</v>
      </c>
      <c r="D961" s="1" t="s">
        <v>5027</v>
      </c>
      <c r="E961" s="1" t="s">
        <v>625</v>
      </c>
      <c r="F961" s="1">
        <v>1</v>
      </c>
      <c r="G961" s="1">
        <v>1.49</v>
      </c>
      <c r="H961" s="1">
        <v>12</v>
      </c>
      <c r="J961" s="1" t="s">
        <v>40</v>
      </c>
      <c r="K961" s="1" t="s">
        <v>1673</v>
      </c>
      <c r="L961" s="1">
        <v>13560315011</v>
      </c>
      <c r="M961" s="1" t="s">
        <v>1674</v>
      </c>
      <c r="N961" s="1" t="s">
        <v>2738</v>
      </c>
      <c r="O961" s="1" t="s">
        <v>2739</v>
      </c>
      <c r="P961" s="1">
        <v>13250257869</v>
      </c>
      <c r="Q961" s="1" t="s">
        <v>2740</v>
      </c>
    </row>
    <row r="962" spans="1:17">
      <c r="A962" s="1"/>
      <c r="B962" s="1"/>
      <c r="C962" s="1"/>
      <c r="D962" s="1" t="s">
        <v>5028</v>
      </c>
      <c r="E962" s="1" t="s">
        <v>625</v>
      </c>
      <c r="F962" s="1"/>
      <c r="G962" s="1"/>
      <c r="H962" s="1"/>
      <c r="J962" s="1"/>
      <c r="K962" s="1"/>
      <c r="L962" s="1"/>
      <c r="M962" s="1"/>
      <c r="N962" s="1"/>
      <c r="O962" s="1"/>
      <c r="P962" s="1"/>
      <c r="Q962" s="1"/>
    </row>
    <row r="963" spans="1:17">
      <c r="A963" s="1"/>
      <c r="B963" s="1"/>
      <c r="C963" s="1"/>
      <c r="D963" s="1" t="s">
        <v>5015</v>
      </c>
      <c r="E963" s="1" t="s">
        <v>625</v>
      </c>
      <c r="F963" s="1"/>
      <c r="G963" s="1"/>
      <c r="H963" s="1"/>
      <c r="J963" s="1"/>
      <c r="K963" s="1"/>
      <c r="L963" s="1"/>
      <c r="M963" s="1"/>
      <c r="N963" s="1"/>
      <c r="O963" s="1"/>
      <c r="P963" s="1"/>
      <c r="Q963" s="1"/>
    </row>
    <row r="964" spans="1:17">
      <c r="A964" s="1"/>
      <c r="B964" s="1"/>
      <c r="C964" s="1"/>
      <c r="D964" s="1" t="s">
        <v>5029</v>
      </c>
      <c r="E964" s="1" t="s">
        <v>625</v>
      </c>
      <c r="F964" s="1"/>
      <c r="G964" s="1"/>
      <c r="H964" s="1"/>
      <c r="J964" s="1"/>
      <c r="K964" s="1"/>
      <c r="L964" s="1"/>
      <c r="M964" s="1"/>
      <c r="N964" s="1"/>
      <c r="O964" s="1"/>
      <c r="P964" s="1"/>
      <c r="Q964" s="1"/>
    </row>
    <row r="965" spans="1:17">
      <c r="A965" s="1"/>
      <c r="B965" s="1"/>
      <c r="C965" s="1"/>
      <c r="D965" s="1" t="s">
        <v>5030</v>
      </c>
      <c r="E965" s="1" t="s">
        <v>625</v>
      </c>
      <c r="F965" s="1"/>
      <c r="G965" s="1"/>
      <c r="H965" s="1"/>
      <c r="J965" s="1"/>
      <c r="K965" s="1"/>
      <c r="L965" s="1"/>
      <c r="M965" s="1"/>
      <c r="N965" s="1"/>
      <c r="O965" s="1"/>
      <c r="P965" s="1"/>
      <c r="Q965" s="1"/>
    </row>
    <row r="966" spans="1:17">
      <c r="A966" s="1"/>
      <c r="B966" s="1"/>
      <c r="C966" s="1"/>
      <c r="D966" s="1" t="s">
        <v>5026</v>
      </c>
      <c r="E966" s="1" t="s">
        <v>625</v>
      </c>
      <c r="F966" s="1"/>
      <c r="G966" s="1"/>
      <c r="H966" s="1"/>
      <c r="J966" s="1"/>
      <c r="K966" s="1"/>
      <c r="L966" s="1"/>
      <c r="M966" s="1"/>
      <c r="N966" s="1"/>
      <c r="O966" s="1"/>
      <c r="P966" s="1"/>
      <c r="Q966" s="1"/>
    </row>
    <row r="967" spans="1:17">
      <c r="A967" s="1"/>
      <c r="B967" s="1" t="s">
        <v>2742</v>
      </c>
      <c r="C967" s="1" t="s">
        <v>2743</v>
      </c>
      <c r="D967" s="1" t="s">
        <v>5141</v>
      </c>
      <c r="E967" s="1" t="s">
        <v>420</v>
      </c>
      <c r="F967" s="1">
        <v>1</v>
      </c>
      <c r="G967" s="1">
        <v>1.95</v>
      </c>
      <c r="H967" s="1">
        <v>14</v>
      </c>
      <c r="J967" s="1" t="s">
        <v>29</v>
      </c>
      <c r="K967" s="1" t="s">
        <v>154</v>
      </c>
      <c r="L967" s="1">
        <v>17091002252</v>
      </c>
      <c r="M967" s="1" t="s">
        <v>155</v>
      </c>
      <c r="N967" s="1" t="s">
        <v>154</v>
      </c>
      <c r="O967" s="1" t="s">
        <v>2744</v>
      </c>
      <c r="P967" s="1">
        <v>15650392001</v>
      </c>
      <c r="Q967" s="1" t="s">
        <v>2745</v>
      </c>
    </row>
    <row r="968" spans="1:17">
      <c r="A968" s="1"/>
      <c r="B968" s="1"/>
      <c r="C968" s="1"/>
      <c r="D968" s="1" t="s">
        <v>5142</v>
      </c>
      <c r="E968" s="1" t="s">
        <v>420</v>
      </c>
      <c r="F968" s="1"/>
      <c r="G968" s="1"/>
      <c r="H968" s="1"/>
      <c r="J968" s="1"/>
      <c r="K968" s="1"/>
      <c r="L968" s="1"/>
      <c r="M968" s="1"/>
      <c r="N968" s="1"/>
      <c r="O968" s="1"/>
      <c r="P968" s="1"/>
      <c r="Q968" s="1"/>
    </row>
    <row r="969" spans="1:17">
      <c r="A969" s="1"/>
      <c r="B969" s="1" t="s">
        <v>2747</v>
      </c>
      <c r="C969" s="1" t="s">
        <v>2748</v>
      </c>
      <c r="D969" s="1" t="s">
        <v>5141</v>
      </c>
      <c r="E969" s="1" t="s">
        <v>420</v>
      </c>
      <c r="F969" s="1">
        <v>1</v>
      </c>
      <c r="G969" s="1">
        <v>1.95</v>
      </c>
      <c r="H969" s="1">
        <v>14</v>
      </c>
      <c r="J969" s="1" t="s">
        <v>29</v>
      </c>
      <c r="K969" s="1" t="s">
        <v>1401</v>
      </c>
      <c r="L969" s="1">
        <v>18965022053</v>
      </c>
      <c r="M969" s="1" t="s">
        <v>1402</v>
      </c>
      <c r="N969" s="1" t="s">
        <v>2749</v>
      </c>
      <c r="O969" s="1" t="s">
        <v>2750</v>
      </c>
      <c r="P969" s="1">
        <v>18760440425</v>
      </c>
      <c r="Q969" s="1" t="s">
        <v>2751</v>
      </c>
    </row>
    <row r="970" spans="1:17">
      <c r="A970" s="1"/>
      <c r="B970" s="1"/>
      <c r="C970" s="1"/>
      <c r="D970" s="1" t="s">
        <v>5142</v>
      </c>
      <c r="E970" s="1" t="s">
        <v>420</v>
      </c>
      <c r="F970" s="1"/>
      <c r="G970" s="1"/>
      <c r="H970" s="1"/>
      <c r="J970" s="1"/>
      <c r="K970" s="1"/>
      <c r="L970" s="1"/>
      <c r="M970" s="1"/>
      <c r="N970" s="1"/>
      <c r="O970" s="1"/>
      <c r="P970" s="1"/>
      <c r="Q970" s="1"/>
    </row>
    <row r="971" spans="1:17">
      <c r="A971" s="1"/>
      <c r="B971" s="1" t="s">
        <v>2753</v>
      </c>
      <c r="C971" s="1" t="s">
        <v>2754</v>
      </c>
      <c r="D971" s="1" t="s">
        <v>5143</v>
      </c>
      <c r="E971" s="1" t="s">
        <v>720</v>
      </c>
      <c r="F971" s="1">
        <v>1</v>
      </c>
      <c r="G971" s="1">
        <v>1.49</v>
      </c>
      <c r="H971" s="1">
        <v>12</v>
      </c>
      <c r="I971" s="1" t="s">
        <v>721</v>
      </c>
      <c r="J971" s="1" t="s">
        <v>40</v>
      </c>
      <c r="K971" s="1" t="s">
        <v>722</v>
      </c>
      <c r="L971" s="1">
        <v>18123680919</v>
      </c>
      <c r="M971" s="1" t="s">
        <v>723</v>
      </c>
      <c r="N971" s="1" t="s">
        <v>2755</v>
      </c>
      <c r="O971" s="1" t="s">
        <v>723</v>
      </c>
      <c r="P971" s="1">
        <v>18123680919</v>
      </c>
      <c r="Q971" s="1" t="s">
        <v>2756</v>
      </c>
    </row>
    <row r="972" spans="1:17">
      <c r="A972" s="1"/>
      <c r="B972" s="1" t="s">
        <v>2758</v>
      </c>
      <c r="C972" s="1" t="s">
        <v>2759</v>
      </c>
      <c r="D972" s="1" t="s">
        <v>4991</v>
      </c>
      <c r="E972" s="1" t="s">
        <v>4992</v>
      </c>
      <c r="F972" s="1">
        <v>1</v>
      </c>
      <c r="G972" s="1">
        <v>1.72</v>
      </c>
      <c r="H972" s="1">
        <v>15</v>
      </c>
      <c r="I972" s="1" t="s">
        <v>164</v>
      </c>
      <c r="J972" s="1" t="s">
        <v>40</v>
      </c>
      <c r="K972" s="1" t="s">
        <v>1303</v>
      </c>
      <c r="L972" s="1">
        <v>13610961783</v>
      </c>
      <c r="M972" s="1" t="s">
        <v>1304</v>
      </c>
      <c r="N972" s="1" t="s">
        <v>2760</v>
      </c>
      <c r="O972" s="1" t="s">
        <v>2761</v>
      </c>
      <c r="P972" s="1">
        <v>13942876255</v>
      </c>
      <c r="Q972" s="1" t="s">
        <v>2762</v>
      </c>
    </row>
    <row r="973" spans="1:17">
      <c r="A973" s="1"/>
      <c r="B973" s="1"/>
      <c r="C973" s="1"/>
      <c r="D973" s="1" t="s">
        <v>4993</v>
      </c>
      <c r="E973" s="1" t="s">
        <v>4994</v>
      </c>
      <c r="F973" s="1"/>
      <c r="G973" s="1"/>
      <c r="H973" s="1"/>
      <c r="I973" s="1" t="s">
        <v>4995</v>
      </c>
      <c r="J973" s="1"/>
      <c r="K973" s="1"/>
      <c r="L973" s="1"/>
      <c r="M973" s="1"/>
      <c r="N973" s="1"/>
      <c r="O973" s="1"/>
      <c r="P973" s="1"/>
      <c r="Q973" s="1"/>
    </row>
    <row r="974" spans="1:17">
      <c r="A974" s="1"/>
      <c r="B974" s="1" t="s">
        <v>2764</v>
      </c>
      <c r="C974" s="1" t="s">
        <v>2765</v>
      </c>
      <c r="D974" s="1" t="s">
        <v>4991</v>
      </c>
      <c r="E974" s="1" t="s">
        <v>4992</v>
      </c>
      <c r="F974" s="1">
        <v>1</v>
      </c>
      <c r="G974" s="1">
        <v>1.72</v>
      </c>
      <c r="H974" s="1">
        <v>15</v>
      </c>
      <c r="I974" s="1" t="s">
        <v>164</v>
      </c>
      <c r="J974" s="1" t="s">
        <v>40</v>
      </c>
      <c r="K974" s="1" t="s">
        <v>135</v>
      </c>
      <c r="L974" s="1">
        <v>13610961783</v>
      </c>
      <c r="M974" s="1" t="s">
        <v>136</v>
      </c>
      <c r="N974" s="1" t="s">
        <v>2766</v>
      </c>
      <c r="O974" s="1" t="s">
        <v>136</v>
      </c>
      <c r="P974" s="1">
        <v>13610961783</v>
      </c>
      <c r="Q974" s="1" t="s">
        <v>2767</v>
      </c>
    </row>
    <row r="975" spans="1:17">
      <c r="A975" s="1"/>
      <c r="B975" s="1"/>
      <c r="C975" s="1"/>
      <c r="D975" s="1" t="s">
        <v>4993</v>
      </c>
      <c r="E975" s="1" t="s">
        <v>4994</v>
      </c>
      <c r="F975" s="1"/>
      <c r="G975" s="1"/>
      <c r="H975" s="1"/>
      <c r="I975" s="1" t="s">
        <v>4995</v>
      </c>
      <c r="J975" s="1"/>
      <c r="K975" s="1"/>
      <c r="L975" s="1"/>
      <c r="M975" s="1"/>
      <c r="N975" s="1"/>
      <c r="O975" s="1"/>
      <c r="P975" s="1"/>
      <c r="Q975" s="1"/>
    </row>
    <row r="976" spans="1:17">
      <c r="A976" s="1"/>
      <c r="B976" s="1" t="s">
        <v>2769</v>
      </c>
      <c r="C976" s="1" t="s">
        <v>2770</v>
      </c>
      <c r="D976" s="1" t="s">
        <v>5027</v>
      </c>
      <c r="E976" s="1" t="s">
        <v>625</v>
      </c>
      <c r="F976" s="1">
        <v>1</v>
      </c>
      <c r="G976" s="1">
        <v>1.49</v>
      </c>
      <c r="H976" s="1">
        <v>12</v>
      </c>
      <c r="J976" s="1" t="s">
        <v>40</v>
      </c>
      <c r="K976" s="1" t="s">
        <v>954</v>
      </c>
      <c r="L976" s="1">
        <v>13808869361</v>
      </c>
      <c r="M976" s="1" t="s">
        <v>955</v>
      </c>
      <c r="N976" s="1" t="s">
        <v>2771</v>
      </c>
      <c r="O976" s="1" t="s">
        <v>2772</v>
      </c>
      <c r="P976" s="1">
        <v>13802996380</v>
      </c>
      <c r="Q976" s="1" t="s">
        <v>2773</v>
      </c>
    </row>
    <row r="977" spans="1:17">
      <c r="A977" s="1"/>
      <c r="B977" s="1"/>
      <c r="C977" s="1"/>
      <c r="D977" s="1" t="s">
        <v>5028</v>
      </c>
      <c r="E977" s="1" t="s">
        <v>625</v>
      </c>
      <c r="F977" s="1"/>
      <c r="G977" s="1"/>
      <c r="H977" s="1"/>
      <c r="J977" s="1"/>
      <c r="K977" s="1"/>
      <c r="L977" s="1"/>
      <c r="M977" s="1"/>
      <c r="N977" s="1"/>
      <c r="O977" s="1"/>
      <c r="P977" s="1"/>
      <c r="Q977" s="1"/>
    </row>
    <row r="978" spans="1:17">
      <c r="A978" s="1"/>
      <c r="B978" s="1"/>
      <c r="C978" s="1"/>
      <c r="D978" s="1" t="s">
        <v>5015</v>
      </c>
      <c r="E978" s="1" t="s">
        <v>625</v>
      </c>
      <c r="F978" s="1"/>
      <c r="G978" s="1"/>
      <c r="H978" s="1"/>
      <c r="J978" s="1"/>
      <c r="K978" s="1"/>
      <c r="L978" s="1"/>
      <c r="M978" s="1"/>
      <c r="N978" s="1"/>
      <c r="O978" s="1"/>
      <c r="P978" s="1"/>
      <c r="Q978" s="1"/>
    </row>
    <row r="979" spans="1:17">
      <c r="A979" s="1"/>
      <c r="B979" s="1"/>
      <c r="C979" s="1"/>
      <c r="D979" s="1" t="s">
        <v>5029</v>
      </c>
      <c r="E979" s="1" t="s">
        <v>625</v>
      </c>
      <c r="F979" s="1"/>
      <c r="G979" s="1"/>
      <c r="H979" s="1"/>
      <c r="J979" s="1"/>
      <c r="K979" s="1"/>
      <c r="L979" s="1"/>
      <c r="M979" s="1"/>
      <c r="N979" s="1"/>
      <c r="O979" s="1"/>
      <c r="P979" s="1"/>
      <c r="Q979" s="1"/>
    </row>
    <row r="980" spans="1:17">
      <c r="A980" s="1"/>
      <c r="B980" s="1"/>
      <c r="C980" s="1"/>
      <c r="D980" s="1" t="s">
        <v>5030</v>
      </c>
      <c r="E980" s="1" t="s">
        <v>625</v>
      </c>
      <c r="F980" s="1"/>
      <c r="G980" s="1"/>
      <c r="H980" s="1"/>
      <c r="J980" s="1"/>
      <c r="K980" s="1"/>
      <c r="L980" s="1"/>
      <c r="M980" s="1"/>
      <c r="N980" s="1"/>
      <c r="O980" s="1"/>
      <c r="P980" s="1"/>
      <c r="Q980" s="1"/>
    </row>
    <row r="981" spans="1:17">
      <c r="A981" s="1"/>
      <c r="B981" s="1"/>
      <c r="C981" s="1"/>
      <c r="D981" s="1" t="s">
        <v>5026</v>
      </c>
      <c r="E981" s="1" t="s">
        <v>625</v>
      </c>
      <c r="F981" s="1"/>
      <c r="G981" s="1"/>
      <c r="H981" s="1"/>
      <c r="J981" s="1"/>
      <c r="K981" s="1"/>
      <c r="L981" s="1"/>
      <c r="M981" s="1"/>
      <c r="N981" s="1"/>
      <c r="O981" s="1"/>
      <c r="P981" s="1"/>
      <c r="Q981" s="1"/>
    </row>
    <row r="982" spans="1:17">
      <c r="A982" s="1"/>
      <c r="B982" s="1" t="s">
        <v>2775</v>
      </c>
      <c r="C982" s="1" t="s">
        <v>2776</v>
      </c>
      <c r="D982" s="1" t="s">
        <v>5020</v>
      </c>
      <c r="E982" s="1" t="s">
        <v>625</v>
      </c>
      <c r="F982" s="1">
        <v>1</v>
      </c>
      <c r="G982" s="1">
        <v>1.49</v>
      </c>
      <c r="H982" s="1">
        <v>13</v>
      </c>
      <c r="J982" s="1" t="s">
        <v>40</v>
      </c>
      <c r="K982" s="1" t="s">
        <v>2571</v>
      </c>
      <c r="L982" s="1">
        <v>13660050609</v>
      </c>
      <c r="M982" s="1" t="s">
        <v>2572</v>
      </c>
      <c r="N982" s="1" t="s">
        <v>2571</v>
      </c>
      <c r="O982" s="1" t="s">
        <v>2778</v>
      </c>
      <c r="P982" s="1">
        <v>13500026108</v>
      </c>
      <c r="Q982" s="1" t="s">
        <v>2779</v>
      </c>
    </row>
    <row r="983" spans="1:17">
      <c r="A983" s="1"/>
      <c r="B983" s="1"/>
      <c r="C983" s="1"/>
      <c r="D983" s="1" t="s">
        <v>5031</v>
      </c>
      <c r="E983" s="1" t="s">
        <v>625</v>
      </c>
      <c r="F983" s="1"/>
      <c r="G983" s="1"/>
      <c r="H983" s="1"/>
      <c r="J983" s="1"/>
      <c r="K983" s="1"/>
      <c r="L983" s="1"/>
      <c r="M983" s="1"/>
      <c r="N983" s="1"/>
      <c r="O983" s="1"/>
      <c r="P983" s="1"/>
      <c r="Q983" s="1"/>
    </row>
    <row r="984" spans="1:17">
      <c r="A984" s="1"/>
      <c r="B984" s="1"/>
      <c r="C984" s="1"/>
      <c r="D984" s="1" t="s">
        <v>5185</v>
      </c>
      <c r="E984" s="1" t="s">
        <v>625</v>
      </c>
      <c r="F984" s="1"/>
      <c r="G984" s="1"/>
      <c r="H984" s="1"/>
      <c r="J984" s="1"/>
      <c r="K984" s="1"/>
      <c r="L984" s="1"/>
      <c r="M984" s="1"/>
      <c r="N984" s="1"/>
      <c r="O984" s="1"/>
      <c r="P984" s="1"/>
      <c r="Q984" s="1"/>
    </row>
    <row r="985" spans="1:17">
      <c r="A985" s="1"/>
      <c r="B985" s="1"/>
      <c r="C985" s="1"/>
      <c r="D985" s="1" t="s">
        <v>5034</v>
      </c>
      <c r="E985" s="1" t="s">
        <v>625</v>
      </c>
      <c r="F985" s="1"/>
      <c r="G985" s="1"/>
      <c r="H985" s="1"/>
      <c r="J985" s="1"/>
      <c r="K985" s="1"/>
      <c r="L985" s="1"/>
      <c r="M985" s="1"/>
      <c r="N985" s="1"/>
      <c r="O985" s="1"/>
      <c r="P985" s="1"/>
      <c r="Q985" s="1"/>
    </row>
    <row r="986" spans="1:17">
      <c r="A986" s="1"/>
      <c r="B986" s="1"/>
      <c r="C986" s="1"/>
      <c r="D986" s="1" t="s">
        <v>5032</v>
      </c>
      <c r="E986" s="1" t="s">
        <v>625</v>
      </c>
      <c r="F986" s="1"/>
      <c r="G986" s="1"/>
      <c r="H986" s="1"/>
      <c r="J986" s="1"/>
      <c r="K986" s="1"/>
      <c r="L986" s="1"/>
      <c r="M986" s="1"/>
      <c r="N986" s="1"/>
      <c r="O986" s="1"/>
      <c r="P986" s="1"/>
      <c r="Q986" s="1"/>
    </row>
    <row r="987" spans="1:17">
      <c r="A987" s="1"/>
      <c r="B987" s="1" t="s">
        <v>2781</v>
      </c>
      <c r="C987" s="1" t="s">
        <v>2782</v>
      </c>
      <c r="D987" s="1" t="s">
        <v>5159</v>
      </c>
      <c r="E987" s="1" t="s">
        <v>625</v>
      </c>
      <c r="F987" s="1">
        <v>1</v>
      </c>
      <c r="G987" s="1">
        <v>1.72</v>
      </c>
      <c r="H987" s="1">
        <v>15</v>
      </c>
      <c r="J987" s="1" t="s">
        <v>40</v>
      </c>
      <c r="K987" s="1" t="s">
        <v>963</v>
      </c>
      <c r="L987" s="1">
        <v>13609093091</v>
      </c>
      <c r="M987" s="1" t="s">
        <v>964</v>
      </c>
      <c r="N987" s="1" t="s">
        <v>963</v>
      </c>
      <c r="O987" s="1" t="s">
        <v>2784</v>
      </c>
      <c r="P987" s="1">
        <v>18810533380</v>
      </c>
      <c r="Q987" s="1" t="s">
        <v>2785</v>
      </c>
    </row>
    <row r="988" spans="1:17">
      <c r="A988" s="1"/>
      <c r="B988" s="1"/>
      <c r="C988" s="1"/>
      <c r="D988" s="1" t="s">
        <v>5037</v>
      </c>
      <c r="E988" s="1" t="s">
        <v>625</v>
      </c>
      <c r="F988" s="1"/>
      <c r="G988" s="1"/>
      <c r="H988" s="1"/>
      <c r="J988" s="1"/>
      <c r="K988" s="1"/>
      <c r="L988" s="1"/>
      <c r="M988" s="1"/>
      <c r="N988" s="1"/>
      <c r="O988" s="1"/>
      <c r="P988" s="1"/>
      <c r="Q988" s="1"/>
    </row>
    <row r="989" spans="1:17">
      <c r="A989" s="1"/>
      <c r="B989" s="1"/>
      <c r="C989" s="1"/>
      <c r="D989" s="1" t="s">
        <v>5190</v>
      </c>
      <c r="E989" s="1" t="s">
        <v>625</v>
      </c>
      <c r="F989" s="1"/>
      <c r="G989" s="1"/>
      <c r="H989" s="1"/>
      <c r="J989" s="1"/>
      <c r="K989" s="1"/>
      <c r="L989" s="1"/>
      <c r="M989" s="1"/>
      <c r="N989" s="1"/>
      <c r="O989" s="1"/>
      <c r="P989" s="1"/>
      <c r="Q989" s="1"/>
    </row>
    <row r="990" spans="1:17">
      <c r="A990" s="1"/>
      <c r="B990" s="1"/>
      <c r="C990" s="1"/>
      <c r="D990" s="1" t="s">
        <v>5113</v>
      </c>
      <c r="E990" s="1" t="s">
        <v>625</v>
      </c>
      <c r="F990" s="1"/>
      <c r="G990" s="1"/>
      <c r="H990" s="1"/>
      <c r="J990" s="1"/>
      <c r="K990" s="1"/>
      <c r="L990" s="1"/>
      <c r="M990" s="1"/>
      <c r="N990" s="1"/>
      <c r="O990" s="1"/>
      <c r="P990" s="1"/>
      <c r="Q990" s="1"/>
    </row>
    <row r="991" spans="1:17">
      <c r="A991" s="1"/>
      <c r="B991" s="1"/>
      <c r="C991" s="1"/>
      <c r="D991" s="1" t="s">
        <v>5026</v>
      </c>
      <c r="E991" s="1" t="s">
        <v>625</v>
      </c>
      <c r="F991" s="1"/>
      <c r="G991" s="1"/>
      <c r="H991" s="1"/>
      <c r="J991" s="1"/>
      <c r="K991" s="1"/>
      <c r="L991" s="1"/>
      <c r="M991" s="1"/>
      <c r="N991" s="1"/>
      <c r="O991" s="1"/>
      <c r="P991" s="1"/>
      <c r="Q991" s="1"/>
    </row>
    <row r="992" spans="1:17">
      <c r="A992" s="1"/>
      <c r="B992" s="1" t="s">
        <v>2787</v>
      </c>
      <c r="C992" s="1" t="s">
        <v>2788</v>
      </c>
      <c r="D992" s="1" t="s">
        <v>5014</v>
      </c>
      <c r="E992" s="1" t="s">
        <v>625</v>
      </c>
      <c r="F992" s="1">
        <v>1</v>
      </c>
      <c r="G992" s="1">
        <v>2.4</v>
      </c>
      <c r="H992" s="1">
        <v>10</v>
      </c>
      <c r="J992" s="1" t="s">
        <v>40</v>
      </c>
      <c r="K992" s="1" t="s">
        <v>2586</v>
      </c>
      <c r="L992" s="1">
        <v>18826088388</v>
      </c>
      <c r="M992" s="1" t="s">
        <v>223</v>
      </c>
      <c r="N992" s="1" t="s">
        <v>2790</v>
      </c>
      <c r="O992" s="1" t="s">
        <v>2791</v>
      </c>
      <c r="P992" s="1">
        <v>13302885222</v>
      </c>
      <c r="Q992" s="1" t="s">
        <v>2792</v>
      </c>
    </row>
    <row r="993" spans="1:17">
      <c r="A993" s="1"/>
      <c r="B993" s="1"/>
      <c r="C993" s="1"/>
      <c r="D993" s="1" t="s">
        <v>5447</v>
      </c>
      <c r="E993" s="1" t="s">
        <v>625</v>
      </c>
      <c r="F993" s="1"/>
      <c r="G993" s="1"/>
      <c r="H993" s="1"/>
      <c r="J993" s="1"/>
      <c r="K993" s="1"/>
      <c r="L993" s="1"/>
      <c r="M993" s="1"/>
      <c r="N993" s="1"/>
      <c r="O993" s="1"/>
      <c r="P993" s="1"/>
      <c r="Q993" s="1"/>
    </row>
    <row r="994" spans="1:17">
      <c r="A994" s="1"/>
      <c r="B994" s="1"/>
      <c r="C994" s="1"/>
      <c r="D994" s="1" t="s">
        <v>5100</v>
      </c>
      <c r="E994" s="1" t="s">
        <v>625</v>
      </c>
      <c r="F994" s="1"/>
      <c r="G994" s="1"/>
      <c r="H994" s="1"/>
      <c r="J994" s="1"/>
      <c r="K994" s="1"/>
      <c r="L994" s="1"/>
      <c r="M994" s="1"/>
      <c r="N994" s="1"/>
      <c r="O994" s="1"/>
      <c r="P994" s="1"/>
      <c r="Q994" s="1"/>
    </row>
    <row r="995" spans="1:17">
      <c r="A995" s="1"/>
      <c r="B995" s="1" t="s">
        <v>2794</v>
      </c>
      <c r="C995" s="1" t="s">
        <v>2795</v>
      </c>
      <c r="D995" s="1" t="s">
        <v>5448</v>
      </c>
      <c r="E995" s="1" t="s">
        <v>625</v>
      </c>
      <c r="F995" s="1">
        <v>1</v>
      </c>
      <c r="G995" s="1">
        <v>1.26</v>
      </c>
      <c r="H995" s="1">
        <v>10</v>
      </c>
      <c r="J995" s="1" t="s">
        <v>40</v>
      </c>
      <c r="K995" s="1" t="s">
        <v>2797</v>
      </c>
      <c r="L995" s="1">
        <v>13903289707</v>
      </c>
      <c r="M995" s="1" t="s">
        <v>2798</v>
      </c>
      <c r="N995" s="1" t="s">
        <v>2799</v>
      </c>
      <c r="O995" s="1" t="s">
        <v>2798</v>
      </c>
      <c r="P995" s="1">
        <v>13903289707</v>
      </c>
      <c r="Q995" s="1" t="s">
        <v>2800</v>
      </c>
    </row>
    <row r="996" spans="1:17">
      <c r="A996" s="1"/>
      <c r="B996" s="1" t="s">
        <v>2802</v>
      </c>
      <c r="C996" s="1" t="s">
        <v>2803</v>
      </c>
      <c r="D996" s="1" t="s">
        <v>4988</v>
      </c>
      <c r="E996" s="1" t="s">
        <v>625</v>
      </c>
      <c r="F996" s="1">
        <v>1</v>
      </c>
      <c r="G996" s="1">
        <v>1.04</v>
      </c>
      <c r="H996" s="1">
        <v>12</v>
      </c>
      <c r="J996" s="1" t="s">
        <v>40</v>
      </c>
      <c r="K996" s="1" t="s">
        <v>2805</v>
      </c>
      <c r="L996" s="1">
        <v>17763969869</v>
      </c>
      <c r="M996" s="1" t="s">
        <v>2806</v>
      </c>
      <c r="N996" s="1" t="s">
        <v>2807</v>
      </c>
      <c r="O996" s="1" t="s">
        <v>2806</v>
      </c>
      <c r="P996" s="1">
        <v>17763969869</v>
      </c>
      <c r="Q996" s="1" t="s">
        <v>2808</v>
      </c>
    </row>
    <row r="997" spans="1:17">
      <c r="A997" s="1"/>
      <c r="B997" s="1"/>
      <c r="C997" s="1"/>
      <c r="D997" s="1" t="s">
        <v>4966</v>
      </c>
      <c r="E997" s="1" t="s">
        <v>625</v>
      </c>
      <c r="F997" s="1"/>
      <c r="G997" s="1"/>
      <c r="H997" s="1"/>
      <c r="J997" s="1"/>
      <c r="K997" s="1"/>
      <c r="L997" s="1"/>
      <c r="M997" s="1"/>
      <c r="N997" s="1"/>
      <c r="O997" s="1"/>
      <c r="P997" s="1"/>
      <c r="Q997" s="1"/>
    </row>
    <row r="998" spans="1:17">
      <c r="A998" s="1"/>
      <c r="B998" s="1"/>
      <c r="C998" s="1"/>
      <c r="D998" s="1" t="s">
        <v>5449</v>
      </c>
      <c r="E998" s="1" t="s">
        <v>625</v>
      </c>
      <c r="F998" s="1"/>
      <c r="G998" s="1"/>
      <c r="H998" s="1"/>
      <c r="J998" s="1"/>
      <c r="K998" s="1"/>
      <c r="L998" s="1"/>
      <c r="M998" s="1"/>
      <c r="N998" s="1"/>
      <c r="O998" s="1"/>
      <c r="P998" s="1"/>
      <c r="Q998" s="1"/>
    </row>
    <row r="999" spans="1:17">
      <c r="A999" s="1"/>
      <c r="B999" s="1" t="s">
        <v>2810</v>
      </c>
      <c r="C999" s="1" t="s">
        <v>2811</v>
      </c>
      <c r="D999" s="1" t="s">
        <v>5312</v>
      </c>
      <c r="E999" s="1" t="s">
        <v>2813</v>
      </c>
      <c r="F999" s="1">
        <v>1</v>
      </c>
      <c r="G999" s="1">
        <v>1.49</v>
      </c>
      <c r="H999" s="1">
        <v>1</v>
      </c>
      <c r="J999" s="1" t="s">
        <v>103</v>
      </c>
      <c r="K999" s="1" t="s">
        <v>2814</v>
      </c>
      <c r="L999" s="1">
        <v>18802102658</v>
      </c>
      <c r="M999" s="1" t="s">
        <v>2815</v>
      </c>
      <c r="N999" s="1" t="s">
        <v>2816</v>
      </c>
      <c r="O999" s="1" t="s">
        <v>2815</v>
      </c>
      <c r="P999" s="1">
        <v>18802102658</v>
      </c>
      <c r="Q999" s="1" t="s">
        <v>2817</v>
      </c>
    </row>
    <row r="1000" spans="1:17">
      <c r="A1000" s="1"/>
      <c r="B1000" s="1" t="s">
        <v>2819</v>
      </c>
      <c r="C1000" s="1" t="s">
        <v>2820</v>
      </c>
      <c r="D1000" s="1" t="s">
        <v>5044</v>
      </c>
      <c r="E1000" s="1" t="s">
        <v>625</v>
      </c>
      <c r="F1000" s="1">
        <v>1</v>
      </c>
      <c r="G1000" s="1">
        <v>1.04</v>
      </c>
      <c r="H1000" s="1">
        <v>6</v>
      </c>
      <c r="J1000" s="1" t="s">
        <v>40</v>
      </c>
      <c r="K1000" s="1" t="s">
        <v>2822</v>
      </c>
      <c r="L1000" s="1">
        <v>13902459079</v>
      </c>
      <c r="M1000" s="1" t="s">
        <v>2823</v>
      </c>
      <c r="N1000" s="1" t="s">
        <v>2824</v>
      </c>
      <c r="O1000" s="1" t="s">
        <v>2825</v>
      </c>
      <c r="P1000" s="1">
        <v>13310856425</v>
      </c>
      <c r="Q1000" s="1" t="s">
        <v>2826</v>
      </c>
    </row>
    <row r="1001" spans="1:17">
      <c r="A1001" s="1"/>
      <c r="B1001" s="1"/>
      <c r="C1001" s="1"/>
      <c r="D1001" s="1" t="s">
        <v>5152</v>
      </c>
      <c r="E1001" s="1" t="s">
        <v>625</v>
      </c>
      <c r="F1001" s="1"/>
      <c r="G1001" s="1"/>
      <c r="H1001" s="1"/>
      <c r="J1001" s="1"/>
      <c r="K1001" s="1"/>
      <c r="L1001" s="1"/>
      <c r="M1001" s="1"/>
      <c r="N1001" s="1"/>
      <c r="O1001" s="1"/>
      <c r="P1001" s="1"/>
      <c r="Q1001" s="1"/>
    </row>
    <row r="1002" spans="1:17">
      <c r="A1002" s="1"/>
      <c r="B1002" s="1"/>
      <c r="C1002" s="1"/>
      <c r="D1002" s="1" t="s">
        <v>5130</v>
      </c>
      <c r="E1002" s="1" t="s">
        <v>625</v>
      </c>
      <c r="F1002" s="1"/>
      <c r="G1002" s="1"/>
      <c r="H1002" s="1"/>
      <c r="J1002" s="1"/>
      <c r="K1002" s="1"/>
      <c r="L1002" s="1"/>
      <c r="M1002" s="1"/>
      <c r="N1002" s="1"/>
      <c r="O1002" s="1"/>
      <c r="P1002" s="1"/>
      <c r="Q1002" s="1"/>
    </row>
    <row r="1003" spans="1:17">
      <c r="A1003" s="1"/>
      <c r="B1003" s="1"/>
      <c r="C1003" s="1"/>
      <c r="D1003" s="1" t="s">
        <v>5017</v>
      </c>
      <c r="E1003" s="1" t="s">
        <v>625</v>
      </c>
      <c r="F1003" s="1"/>
      <c r="G1003" s="1"/>
      <c r="H1003" s="1"/>
      <c r="J1003" s="1"/>
      <c r="K1003" s="1"/>
      <c r="L1003" s="1"/>
      <c r="M1003" s="1"/>
      <c r="N1003" s="1"/>
      <c r="O1003" s="1"/>
      <c r="P1003" s="1"/>
      <c r="Q1003" s="1"/>
    </row>
    <row r="1004" spans="1:17">
      <c r="A1004" s="1"/>
      <c r="B1004" s="1"/>
      <c r="C1004" s="1"/>
      <c r="D1004" s="1" t="s">
        <v>5096</v>
      </c>
      <c r="E1004" s="1" t="s">
        <v>625</v>
      </c>
      <c r="F1004" s="1"/>
      <c r="G1004" s="1"/>
      <c r="H1004" s="1"/>
      <c r="J1004" s="1"/>
      <c r="K1004" s="1"/>
      <c r="L1004" s="1"/>
      <c r="M1004" s="1"/>
      <c r="N1004" s="1"/>
      <c r="O1004" s="1"/>
      <c r="P1004" s="1"/>
      <c r="Q1004" s="1"/>
    </row>
    <row r="1005" spans="1:17">
      <c r="A1005" s="1"/>
      <c r="B1005" s="1"/>
      <c r="C1005" s="1"/>
      <c r="D1005" s="1" t="s">
        <v>5023</v>
      </c>
      <c r="E1005" s="1" t="s">
        <v>625</v>
      </c>
      <c r="F1005" s="1"/>
      <c r="G1005" s="1"/>
      <c r="H1005" s="1"/>
      <c r="J1005" s="1"/>
      <c r="K1005" s="1"/>
      <c r="L1005" s="1"/>
      <c r="M1005" s="1"/>
      <c r="N1005" s="1"/>
      <c r="O1005" s="1"/>
      <c r="P1005" s="1"/>
      <c r="Q1005" s="1"/>
    </row>
    <row r="1006" spans="1:17">
      <c r="A1006" s="1"/>
      <c r="B1006" s="1" t="s">
        <v>2828</v>
      </c>
      <c r="C1006" s="1" t="s">
        <v>2829</v>
      </c>
      <c r="D1006" s="1" t="s">
        <v>5014</v>
      </c>
      <c r="E1006" s="1" t="s">
        <v>625</v>
      </c>
      <c r="F1006" s="1">
        <v>1</v>
      </c>
      <c r="G1006" s="1">
        <v>1.04</v>
      </c>
      <c r="H1006" s="1">
        <v>2</v>
      </c>
      <c r="I1006" s="1" t="s">
        <v>5048</v>
      </c>
      <c r="J1006" s="1" t="s">
        <v>40</v>
      </c>
      <c r="K1006" s="1" t="s">
        <v>2832</v>
      </c>
      <c r="L1006" s="1">
        <v>13612937458</v>
      </c>
      <c r="M1006" s="1" t="s">
        <v>2833</v>
      </c>
      <c r="N1006" s="1" t="s">
        <v>2834</v>
      </c>
      <c r="O1006" s="1" t="s">
        <v>2835</v>
      </c>
      <c r="P1006" s="1">
        <v>18023101010</v>
      </c>
      <c r="Q1006" s="1" t="s">
        <v>2836</v>
      </c>
    </row>
    <row r="1007" spans="1:17">
      <c r="A1007" s="1"/>
      <c r="B1007" s="1" t="s">
        <v>2838</v>
      </c>
      <c r="C1007" s="1" t="s">
        <v>2839</v>
      </c>
      <c r="D1007" s="1" t="s">
        <v>5146</v>
      </c>
      <c r="E1007" s="1" t="s">
        <v>625</v>
      </c>
      <c r="F1007" s="1">
        <v>1</v>
      </c>
      <c r="G1007" s="1">
        <v>1.04</v>
      </c>
      <c r="H1007" s="1">
        <v>5</v>
      </c>
      <c r="I1007" s="1" t="s">
        <v>5101</v>
      </c>
      <c r="J1007" s="1" t="s">
        <v>40</v>
      </c>
      <c r="K1007" s="1" t="s">
        <v>832</v>
      </c>
      <c r="L1007" s="1">
        <v>13957852776</v>
      </c>
      <c r="M1007" s="1" t="s">
        <v>833</v>
      </c>
      <c r="N1007" s="1" t="s">
        <v>2842</v>
      </c>
      <c r="O1007" s="1" t="s">
        <v>2843</v>
      </c>
      <c r="P1007" s="1">
        <v>13859995588</v>
      </c>
      <c r="Q1007" s="1" t="s">
        <v>2844</v>
      </c>
    </row>
    <row r="1008" spans="1:17">
      <c r="A1008" s="1"/>
      <c r="B1008" s="1"/>
      <c r="C1008" s="1"/>
      <c r="D1008" s="1" t="s">
        <v>5014</v>
      </c>
      <c r="E1008" s="1" t="s">
        <v>625</v>
      </c>
      <c r="F1008" s="1"/>
      <c r="G1008" s="1"/>
      <c r="H1008" s="1"/>
      <c r="I1008" s="1" t="s">
        <v>5048</v>
      </c>
      <c r="J1008" s="1"/>
      <c r="K1008" s="1"/>
      <c r="L1008" s="1"/>
      <c r="M1008" s="1"/>
      <c r="N1008" s="1"/>
      <c r="O1008" s="1"/>
      <c r="P1008" s="1"/>
      <c r="Q1008" s="1"/>
    </row>
    <row r="1009" spans="1:17">
      <c r="A1009" s="1"/>
      <c r="B1009" s="1" t="s">
        <v>2846</v>
      </c>
      <c r="C1009" s="1" t="s">
        <v>2847</v>
      </c>
      <c r="D1009" s="1" t="s">
        <v>5322</v>
      </c>
      <c r="E1009" s="1" t="s">
        <v>3963</v>
      </c>
      <c r="F1009" s="1">
        <v>1</v>
      </c>
      <c r="G1009" s="1">
        <v>2.4</v>
      </c>
      <c r="H1009" s="1">
        <v>12</v>
      </c>
      <c r="I1009" s="1" t="s">
        <v>3964</v>
      </c>
      <c r="J1009" s="1" t="s">
        <v>40</v>
      </c>
      <c r="K1009" s="1" t="s">
        <v>71</v>
      </c>
      <c r="L1009" s="1">
        <v>13539989686</v>
      </c>
      <c r="M1009" s="1" t="s">
        <v>2850</v>
      </c>
      <c r="N1009" s="1" t="s">
        <v>71</v>
      </c>
      <c r="O1009" s="1" t="s">
        <v>2850</v>
      </c>
      <c r="P1009" s="1">
        <v>13539989686</v>
      </c>
      <c r="Q1009" s="1" t="s">
        <v>2851</v>
      </c>
    </row>
    <row r="1010" spans="1:17">
      <c r="A1010" s="1"/>
      <c r="B1010" s="1"/>
      <c r="C1010" s="1"/>
      <c r="D1010" s="1" t="s">
        <v>5127</v>
      </c>
      <c r="E1010" s="1" t="s">
        <v>3963</v>
      </c>
      <c r="F1010" s="1"/>
      <c r="G1010" s="1"/>
      <c r="H1010" s="1"/>
      <c r="I1010" s="1" t="s">
        <v>4995</v>
      </c>
      <c r="J1010" s="1"/>
      <c r="K1010" s="1"/>
      <c r="L1010" s="1"/>
      <c r="M1010" s="1"/>
      <c r="N1010" s="1"/>
      <c r="O1010" s="1"/>
      <c r="P1010" s="1"/>
      <c r="Q1010" s="1"/>
    </row>
    <row r="1011" spans="1:17">
      <c r="A1011" s="1"/>
      <c r="B1011" s="1" t="s">
        <v>2853</v>
      </c>
      <c r="C1011" s="1" t="s">
        <v>2854</v>
      </c>
      <c r="D1011" s="1" t="s">
        <v>5324</v>
      </c>
      <c r="E1011" s="1" t="s">
        <v>625</v>
      </c>
      <c r="F1011" s="1">
        <v>1</v>
      </c>
      <c r="G1011" s="1">
        <v>1.49</v>
      </c>
      <c r="H1011" s="1">
        <v>3</v>
      </c>
      <c r="J1011" s="1" t="s">
        <v>40</v>
      </c>
      <c r="K1011" s="1" t="s">
        <v>392</v>
      </c>
      <c r="L1011" s="1">
        <v>18918016978</v>
      </c>
      <c r="M1011" s="1" t="s">
        <v>393</v>
      </c>
      <c r="N1011" s="1" t="s">
        <v>392</v>
      </c>
      <c r="O1011" s="1" t="s">
        <v>2855</v>
      </c>
      <c r="P1011" s="1">
        <v>18616517353</v>
      </c>
      <c r="Q1011" s="1" t="s">
        <v>2856</v>
      </c>
    </row>
    <row r="1012" spans="1:17">
      <c r="A1012" s="1"/>
      <c r="B1012" s="1" t="s">
        <v>2858</v>
      </c>
      <c r="C1012" s="1" t="s">
        <v>2859</v>
      </c>
      <c r="D1012" s="1" t="s">
        <v>5450</v>
      </c>
      <c r="E1012" s="1" t="s">
        <v>420</v>
      </c>
      <c r="F1012" s="1">
        <v>1</v>
      </c>
      <c r="G1012" s="1">
        <v>3.08</v>
      </c>
      <c r="H1012" s="1">
        <v>6</v>
      </c>
      <c r="J1012" s="1" t="s">
        <v>293</v>
      </c>
      <c r="K1012" s="1" t="s">
        <v>1745</v>
      </c>
      <c r="L1012" s="1">
        <v>13953750669</v>
      </c>
      <c r="M1012" s="1" t="s">
        <v>1746</v>
      </c>
      <c r="N1012" s="1" t="s">
        <v>1745</v>
      </c>
      <c r="O1012" s="1" t="s">
        <v>1746</v>
      </c>
      <c r="P1012" s="1">
        <v>13953750669</v>
      </c>
      <c r="Q1012" s="1" t="s">
        <v>2861</v>
      </c>
    </row>
    <row r="1013" spans="1:17">
      <c r="A1013" s="1"/>
      <c r="B1013" s="1"/>
      <c r="C1013" s="1"/>
      <c r="D1013" s="1" t="s">
        <v>5451</v>
      </c>
      <c r="E1013" s="1" t="s">
        <v>420</v>
      </c>
      <c r="F1013" s="1"/>
      <c r="G1013" s="1"/>
      <c r="H1013" s="1"/>
      <c r="J1013" s="1"/>
      <c r="K1013" s="1"/>
      <c r="L1013" s="1"/>
      <c r="M1013" s="1"/>
      <c r="N1013" s="1"/>
      <c r="O1013" s="1"/>
      <c r="P1013" s="1"/>
      <c r="Q1013" s="1"/>
    </row>
    <row r="1014" spans="1:17">
      <c r="A1014" s="1"/>
      <c r="B1014" s="1"/>
      <c r="C1014" s="1"/>
      <c r="D1014" s="1" t="s">
        <v>5222</v>
      </c>
      <c r="E1014" s="1" t="s">
        <v>420</v>
      </c>
      <c r="F1014" s="1"/>
      <c r="G1014" s="1"/>
      <c r="H1014" s="1"/>
      <c r="J1014" s="1"/>
      <c r="K1014" s="1"/>
      <c r="L1014" s="1"/>
      <c r="M1014" s="1"/>
      <c r="N1014" s="1"/>
      <c r="O1014" s="1"/>
      <c r="P1014" s="1"/>
      <c r="Q1014" s="1"/>
    </row>
    <row r="1015" spans="1:17">
      <c r="A1015" s="1"/>
      <c r="B1015" s="1" t="s">
        <v>2863</v>
      </c>
      <c r="C1015" s="1" t="s">
        <v>2864</v>
      </c>
      <c r="D1015" s="1" t="s">
        <v>5044</v>
      </c>
      <c r="E1015" s="1" t="s">
        <v>625</v>
      </c>
      <c r="F1015" s="1">
        <v>1</v>
      </c>
      <c r="G1015" s="1">
        <v>1.26</v>
      </c>
      <c r="H1015" s="1">
        <v>11</v>
      </c>
      <c r="J1015" s="1" t="s">
        <v>40</v>
      </c>
      <c r="K1015" s="1" t="s">
        <v>1754</v>
      </c>
      <c r="L1015" s="1">
        <v>13003387219</v>
      </c>
      <c r="M1015" s="1" t="s">
        <v>1755</v>
      </c>
      <c r="N1015" s="1" t="s">
        <v>2866</v>
      </c>
      <c r="O1015" s="1" t="s">
        <v>2867</v>
      </c>
      <c r="P1015" s="1">
        <v>13961826200</v>
      </c>
      <c r="Q1015" s="1" t="s">
        <v>2868</v>
      </c>
    </row>
    <row r="1016" spans="1:17">
      <c r="A1016" s="1"/>
      <c r="B1016" s="1"/>
      <c r="C1016" s="1"/>
      <c r="D1016" s="1" t="s">
        <v>5072</v>
      </c>
      <c r="E1016" s="1" t="s">
        <v>625</v>
      </c>
      <c r="F1016" s="1"/>
      <c r="G1016" s="1"/>
      <c r="H1016" s="1"/>
      <c r="J1016" s="1"/>
      <c r="K1016" s="1"/>
      <c r="L1016" s="1"/>
      <c r="M1016" s="1"/>
      <c r="N1016" s="1"/>
      <c r="O1016" s="1"/>
      <c r="P1016" s="1"/>
      <c r="Q1016" s="1"/>
    </row>
    <row r="1017" spans="1:17">
      <c r="A1017" s="1"/>
      <c r="B1017" s="1"/>
      <c r="C1017" s="1"/>
      <c r="D1017" s="1" t="s">
        <v>5113</v>
      </c>
      <c r="E1017" s="1" t="s">
        <v>625</v>
      </c>
      <c r="F1017" s="1"/>
      <c r="G1017" s="1"/>
      <c r="H1017" s="1"/>
      <c r="J1017" s="1"/>
      <c r="K1017" s="1"/>
      <c r="L1017" s="1"/>
      <c r="M1017" s="1"/>
      <c r="N1017" s="1"/>
      <c r="O1017" s="1"/>
      <c r="P1017" s="1"/>
      <c r="Q1017" s="1"/>
    </row>
    <row r="1018" spans="1:17">
      <c r="A1018" s="1"/>
      <c r="B1018" s="1"/>
      <c r="C1018" s="1"/>
      <c r="D1018" s="1" t="s">
        <v>5029</v>
      </c>
      <c r="E1018" s="1" t="s">
        <v>625</v>
      </c>
      <c r="F1018" s="1"/>
      <c r="G1018" s="1"/>
      <c r="H1018" s="1"/>
      <c r="J1018" s="1"/>
      <c r="K1018" s="1"/>
      <c r="L1018" s="1"/>
      <c r="M1018" s="1"/>
      <c r="N1018" s="1"/>
      <c r="O1018" s="1"/>
      <c r="P1018" s="1"/>
      <c r="Q1018" s="1"/>
    </row>
    <row r="1019" spans="1:17">
      <c r="A1019" s="1"/>
      <c r="B1019" s="1"/>
      <c r="C1019" s="1"/>
      <c r="D1019" s="1" t="s">
        <v>5452</v>
      </c>
      <c r="E1019" s="1" t="s">
        <v>625</v>
      </c>
      <c r="F1019" s="1"/>
      <c r="G1019" s="1"/>
      <c r="H1019" s="1"/>
      <c r="J1019" s="1"/>
      <c r="K1019" s="1"/>
      <c r="L1019" s="1"/>
      <c r="M1019" s="1"/>
      <c r="N1019" s="1"/>
      <c r="O1019" s="1"/>
      <c r="P1019" s="1"/>
      <c r="Q1019" s="1"/>
    </row>
    <row r="1020" spans="1:17">
      <c r="A1020" s="1"/>
      <c r="B1020" s="1"/>
      <c r="C1020" s="1"/>
      <c r="D1020" s="1" t="s">
        <v>5113</v>
      </c>
      <c r="E1020" s="1" t="s">
        <v>625</v>
      </c>
      <c r="F1020" s="1"/>
      <c r="G1020" s="1"/>
      <c r="H1020" s="1"/>
      <c r="J1020" s="1"/>
      <c r="K1020" s="1"/>
      <c r="L1020" s="1"/>
      <c r="M1020" s="1"/>
      <c r="N1020" s="1"/>
      <c r="O1020" s="1"/>
      <c r="P1020" s="1"/>
      <c r="Q1020" s="1"/>
    </row>
    <row r="1021" spans="1:17">
      <c r="A1021" s="1"/>
      <c r="B1021" s="1" t="s">
        <v>2870</v>
      </c>
      <c r="C1021" s="1" t="s">
        <v>2871</v>
      </c>
      <c r="D1021" s="1" t="s">
        <v>5078</v>
      </c>
      <c r="E1021" s="1" t="s">
        <v>449</v>
      </c>
      <c r="F1021" s="1">
        <v>1</v>
      </c>
      <c r="G1021" s="1">
        <v>0.81</v>
      </c>
      <c r="H1021" s="1">
        <v>2</v>
      </c>
      <c r="I1021" s="1" t="s">
        <v>4972</v>
      </c>
      <c r="J1021" s="1" t="s">
        <v>29</v>
      </c>
      <c r="K1021" s="1" t="s">
        <v>2875</v>
      </c>
      <c r="L1021" s="1">
        <v>13507981171</v>
      </c>
      <c r="M1021" s="1" t="s">
        <v>2876</v>
      </c>
      <c r="N1021" s="1" t="s">
        <v>2877</v>
      </c>
      <c r="O1021" s="1" t="s">
        <v>2876</v>
      </c>
      <c r="P1021" s="1">
        <v>13507981171</v>
      </c>
      <c r="Q1021" s="1" t="s">
        <v>2878</v>
      </c>
    </row>
    <row r="1022" spans="1:17">
      <c r="A1022" s="1"/>
      <c r="B1022" s="1"/>
      <c r="C1022" s="1"/>
      <c r="D1022" s="1" t="s">
        <v>5076</v>
      </c>
      <c r="E1022" s="1" t="s">
        <v>449</v>
      </c>
      <c r="F1022" s="1"/>
      <c r="G1022" s="1"/>
      <c r="H1022" s="1"/>
      <c r="I1022" s="1" t="s">
        <v>5453</v>
      </c>
      <c r="J1022" s="1"/>
      <c r="K1022" s="1"/>
      <c r="L1022" s="1"/>
      <c r="M1022" s="1"/>
      <c r="N1022" s="1"/>
      <c r="O1022" s="1"/>
      <c r="P1022" s="1"/>
      <c r="Q1022" s="1"/>
    </row>
    <row r="1023" spans="1:17">
      <c r="A1023" s="1"/>
      <c r="B1023" s="1" t="s">
        <v>2880</v>
      </c>
      <c r="C1023" s="1" t="s">
        <v>2881</v>
      </c>
      <c r="D1023" s="1" t="s">
        <v>5083</v>
      </c>
      <c r="E1023" s="1" t="s">
        <v>420</v>
      </c>
      <c r="F1023" s="1">
        <v>1</v>
      </c>
      <c r="G1023" s="1">
        <v>1.26</v>
      </c>
      <c r="H1023" s="1">
        <v>10</v>
      </c>
      <c r="J1023" s="1" t="s">
        <v>29</v>
      </c>
      <c r="K1023" s="1" t="s">
        <v>1773</v>
      </c>
      <c r="L1023" s="1">
        <v>13916274801</v>
      </c>
      <c r="M1023" s="1" t="s">
        <v>1774</v>
      </c>
      <c r="N1023" s="1" t="s">
        <v>1773</v>
      </c>
      <c r="O1023" s="1" t="s">
        <v>2883</v>
      </c>
      <c r="P1023" s="1">
        <v>13501643756</v>
      </c>
      <c r="Q1023" s="1" t="s">
        <v>2884</v>
      </c>
    </row>
    <row r="1024" spans="1:17">
      <c r="A1024" s="1"/>
      <c r="B1024" s="1"/>
      <c r="C1024" s="1"/>
      <c r="D1024" s="1" t="s">
        <v>5332</v>
      </c>
      <c r="E1024" s="1" t="s">
        <v>420</v>
      </c>
      <c r="F1024" s="1"/>
      <c r="G1024" s="1"/>
      <c r="H1024" s="1"/>
      <c r="J1024" s="1"/>
      <c r="K1024" s="1"/>
      <c r="L1024" s="1"/>
      <c r="M1024" s="1"/>
      <c r="N1024" s="1"/>
      <c r="O1024" s="1"/>
      <c r="P1024" s="1"/>
      <c r="Q1024" s="1"/>
    </row>
    <row r="1025" spans="1:17">
      <c r="A1025" s="1"/>
      <c r="B1025" s="1"/>
      <c r="C1025" s="1"/>
      <c r="D1025" s="1" t="s">
        <v>5454</v>
      </c>
      <c r="E1025" s="1" t="s">
        <v>420</v>
      </c>
      <c r="F1025" s="1"/>
      <c r="G1025" s="1"/>
      <c r="H1025" s="1"/>
      <c r="J1025" s="1"/>
      <c r="K1025" s="1"/>
      <c r="L1025" s="1"/>
      <c r="M1025" s="1"/>
      <c r="N1025" s="1"/>
      <c r="O1025" s="1"/>
      <c r="P1025" s="1"/>
      <c r="Q1025" s="1"/>
    </row>
    <row r="1026" spans="1:17">
      <c r="A1026" s="1"/>
      <c r="B1026" s="1"/>
      <c r="C1026" s="1"/>
      <c r="D1026" s="1" t="s">
        <v>5355</v>
      </c>
      <c r="E1026" s="1" t="s">
        <v>420</v>
      </c>
      <c r="F1026" s="1"/>
      <c r="G1026" s="1"/>
      <c r="H1026" s="1"/>
      <c r="J1026" s="1"/>
      <c r="K1026" s="1"/>
      <c r="L1026" s="1"/>
      <c r="M1026" s="1"/>
      <c r="N1026" s="1"/>
      <c r="O1026" s="1"/>
      <c r="P1026" s="1"/>
      <c r="Q1026" s="1"/>
    </row>
    <row r="1027" spans="1:17">
      <c r="A1027" s="1"/>
      <c r="B1027" s="1"/>
      <c r="C1027" s="1"/>
      <c r="D1027" s="1" t="s">
        <v>5085</v>
      </c>
      <c r="E1027" s="1" t="s">
        <v>420</v>
      </c>
      <c r="F1027" s="1"/>
      <c r="G1027" s="1"/>
      <c r="H1027" s="1"/>
      <c r="J1027" s="1"/>
      <c r="K1027" s="1"/>
      <c r="L1027" s="1"/>
      <c r="M1027" s="1"/>
      <c r="N1027" s="1"/>
      <c r="O1027" s="1"/>
      <c r="P1027" s="1"/>
      <c r="Q1027" s="1"/>
    </row>
    <row r="1028" spans="1:17">
      <c r="A1028" s="1"/>
      <c r="B1028" s="1" t="s">
        <v>2886</v>
      </c>
      <c r="C1028" s="1" t="s">
        <v>2887</v>
      </c>
      <c r="D1028" s="1" t="s">
        <v>4965</v>
      </c>
      <c r="E1028" s="1" t="s">
        <v>625</v>
      </c>
      <c r="F1028" s="1">
        <v>1</v>
      </c>
      <c r="G1028" s="1">
        <v>1.04</v>
      </c>
      <c r="H1028" s="1">
        <v>12</v>
      </c>
      <c r="I1028" s="1" t="s">
        <v>4987</v>
      </c>
      <c r="J1028" s="1" t="s">
        <v>40</v>
      </c>
      <c r="K1028" s="1" t="s">
        <v>2890</v>
      </c>
      <c r="L1028" s="1">
        <v>13888168809</v>
      </c>
      <c r="M1028" s="1" t="s">
        <v>2891</v>
      </c>
      <c r="N1028" s="1" t="s">
        <v>2890</v>
      </c>
      <c r="O1028" s="1" t="s">
        <v>2891</v>
      </c>
      <c r="P1028" s="1">
        <v>13888168809</v>
      </c>
      <c r="Q1028" s="1" t="s">
        <v>2892</v>
      </c>
    </row>
    <row r="1029" spans="1:17">
      <c r="A1029" s="1"/>
      <c r="B1029" s="1"/>
      <c r="C1029" s="1"/>
      <c r="D1029" s="1" t="s">
        <v>5099</v>
      </c>
      <c r="E1029" s="1" t="s">
        <v>625</v>
      </c>
      <c r="F1029" s="1"/>
      <c r="G1029" s="1"/>
      <c r="H1029" s="1"/>
      <c r="I1029" s="1" t="s">
        <v>4987</v>
      </c>
      <c r="J1029" s="1"/>
      <c r="K1029" s="1"/>
      <c r="L1029" s="1"/>
      <c r="M1029" s="1"/>
      <c r="N1029" s="1"/>
      <c r="O1029" s="1"/>
      <c r="P1029" s="1"/>
      <c r="Q1029" s="1"/>
    </row>
    <row r="1030" spans="1:17">
      <c r="A1030" s="1"/>
      <c r="B1030" s="1" t="s">
        <v>2894</v>
      </c>
      <c r="C1030" s="1" t="s">
        <v>2895</v>
      </c>
      <c r="D1030" s="1" t="s">
        <v>5391</v>
      </c>
      <c r="E1030" s="1" t="s">
        <v>625</v>
      </c>
      <c r="F1030" s="1">
        <v>1</v>
      </c>
      <c r="G1030" s="1">
        <v>0.57999999999999996</v>
      </c>
      <c r="H1030" s="1">
        <v>12</v>
      </c>
      <c r="I1030" s="1" t="s">
        <v>5050</v>
      </c>
      <c r="J1030" s="1" t="s">
        <v>40</v>
      </c>
      <c r="K1030" s="1" t="s">
        <v>2898</v>
      </c>
      <c r="L1030" s="1">
        <v>13920778344</v>
      </c>
      <c r="M1030" s="1" t="s">
        <v>2899</v>
      </c>
      <c r="N1030" s="1" t="s">
        <v>2898</v>
      </c>
      <c r="O1030" s="1" t="s">
        <v>2899</v>
      </c>
      <c r="P1030" s="1">
        <v>13920778344</v>
      </c>
      <c r="Q1030" s="1" t="s">
        <v>2900</v>
      </c>
    </row>
    <row r="1031" spans="1:17">
      <c r="A1031" s="1"/>
      <c r="B1031" s="1"/>
      <c r="C1031" s="1"/>
      <c r="D1031" s="1" t="s">
        <v>5455</v>
      </c>
      <c r="E1031" s="1" t="s">
        <v>625</v>
      </c>
      <c r="F1031" s="1"/>
      <c r="G1031" s="1"/>
      <c r="H1031" s="1"/>
      <c r="I1031" s="1" t="s">
        <v>4987</v>
      </c>
      <c r="J1031" s="1"/>
      <c r="K1031" s="1"/>
      <c r="L1031" s="1"/>
      <c r="M1031" s="1"/>
      <c r="N1031" s="1"/>
      <c r="O1031" s="1"/>
      <c r="P1031" s="1"/>
      <c r="Q1031" s="1"/>
    </row>
    <row r="1032" spans="1:17">
      <c r="A1032" s="1"/>
      <c r="B1032" s="1" t="s">
        <v>2902</v>
      </c>
      <c r="C1032" s="1" t="s">
        <v>2903</v>
      </c>
      <c r="D1032" s="1" t="s">
        <v>5407</v>
      </c>
      <c r="E1032" s="1" t="s">
        <v>625</v>
      </c>
      <c r="F1032" s="1">
        <v>1</v>
      </c>
      <c r="G1032" s="1">
        <v>1.26</v>
      </c>
      <c r="H1032" s="1">
        <v>12</v>
      </c>
      <c r="I1032" s="1" t="s">
        <v>5050</v>
      </c>
      <c r="J1032" s="1" t="s">
        <v>40</v>
      </c>
      <c r="K1032" s="1" t="s">
        <v>2906</v>
      </c>
      <c r="L1032" s="1">
        <v>15912146261</v>
      </c>
      <c r="M1032" s="1" t="s">
        <v>441</v>
      </c>
      <c r="N1032" s="1" t="s">
        <v>2906</v>
      </c>
      <c r="O1032" s="1" t="s">
        <v>2907</v>
      </c>
      <c r="P1032" s="1">
        <v>18908899199</v>
      </c>
      <c r="Q1032" s="1" t="s">
        <v>2908</v>
      </c>
    </row>
    <row r="1033" spans="1:17">
      <c r="A1033" s="1"/>
      <c r="B1033" s="1"/>
      <c r="C1033" s="1"/>
      <c r="D1033" s="1" t="s">
        <v>5456</v>
      </c>
      <c r="E1033" s="1" t="s">
        <v>625</v>
      </c>
      <c r="F1033" s="1"/>
      <c r="G1033" s="1"/>
      <c r="H1033" s="1"/>
      <c r="I1033" s="1" t="s">
        <v>5457</v>
      </c>
      <c r="J1033" s="1"/>
      <c r="K1033" s="1"/>
      <c r="L1033" s="1"/>
      <c r="M1033" s="1"/>
      <c r="N1033" s="1"/>
      <c r="O1033" s="1"/>
      <c r="P1033" s="1"/>
      <c r="Q1033" s="1"/>
    </row>
    <row r="1034" spans="1:17">
      <c r="A1034" s="1"/>
      <c r="B1034" s="1"/>
      <c r="C1034" s="1"/>
      <c r="D1034" s="1" t="s">
        <v>5181</v>
      </c>
      <c r="E1034" s="1" t="s">
        <v>625</v>
      </c>
      <c r="F1034" s="1"/>
      <c r="G1034" s="1"/>
      <c r="H1034" s="1"/>
      <c r="I1034" s="1" t="s">
        <v>5101</v>
      </c>
      <c r="J1034" s="1"/>
      <c r="K1034" s="1"/>
      <c r="L1034" s="1"/>
      <c r="M1034" s="1"/>
      <c r="N1034" s="1"/>
      <c r="O1034" s="1"/>
      <c r="P1034" s="1"/>
      <c r="Q1034" s="1"/>
    </row>
    <row r="1035" spans="1:17">
      <c r="A1035" s="1"/>
      <c r="B1035" s="1" t="s">
        <v>2910</v>
      </c>
      <c r="C1035" s="1" t="s">
        <v>2911</v>
      </c>
      <c r="D1035" s="1" t="s">
        <v>5041</v>
      </c>
      <c r="E1035" s="1" t="s">
        <v>292</v>
      </c>
      <c r="F1035" s="1">
        <v>1</v>
      </c>
      <c r="G1035" s="1">
        <v>1.04</v>
      </c>
      <c r="H1035" s="1">
        <v>1</v>
      </c>
      <c r="J1035" s="1" t="s">
        <v>293</v>
      </c>
      <c r="K1035" s="1" t="s">
        <v>2912</v>
      </c>
      <c r="L1035" s="1">
        <v>17708569992</v>
      </c>
      <c r="M1035" s="1" t="s">
        <v>2913</v>
      </c>
      <c r="N1035" s="1" t="s">
        <v>2914</v>
      </c>
      <c r="O1035" s="1" t="s">
        <v>2913</v>
      </c>
      <c r="P1035" s="1">
        <v>17708569992</v>
      </c>
      <c r="Q1035" s="1" t="s">
        <v>2915</v>
      </c>
    </row>
    <row r="1036" spans="1:17">
      <c r="A1036" s="1"/>
      <c r="B1036" s="1" t="s">
        <v>2917</v>
      </c>
      <c r="C1036" s="1" t="s">
        <v>2918</v>
      </c>
      <c r="D1036" s="1" t="s">
        <v>5458</v>
      </c>
      <c r="E1036" s="1" t="s">
        <v>2920</v>
      </c>
      <c r="F1036" s="1">
        <v>1</v>
      </c>
      <c r="G1036" s="1">
        <v>0.81</v>
      </c>
      <c r="H1036" s="1">
        <v>1</v>
      </c>
      <c r="J1036" s="1" t="s">
        <v>304</v>
      </c>
      <c r="K1036" s="1" t="s">
        <v>2921</v>
      </c>
      <c r="L1036" s="1">
        <v>18610876113</v>
      </c>
      <c r="M1036" s="1" t="s">
        <v>2922</v>
      </c>
      <c r="N1036" s="1" t="s">
        <v>2921</v>
      </c>
      <c r="O1036" s="1" t="s">
        <v>2922</v>
      </c>
      <c r="P1036" s="1">
        <v>18610876113</v>
      </c>
      <c r="Q1036" s="1" t="s">
        <v>2923</v>
      </c>
    </row>
    <row r="1037" spans="1:17">
      <c r="A1037" s="1"/>
      <c r="B1037" s="1" t="s">
        <v>2925</v>
      </c>
      <c r="C1037" s="1" t="s">
        <v>2926</v>
      </c>
      <c r="D1037" s="1" t="s">
        <v>5341</v>
      </c>
      <c r="E1037" s="1" t="s">
        <v>2920</v>
      </c>
      <c r="F1037" s="1">
        <v>1</v>
      </c>
      <c r="G1037" s="1">
        <v>0.35</v>
      </c>
      <c r="H1037" s="1">
        <v>3</v>
      </c>
      <c r="J1037" s="1" t="s">
        <v>103</v>
      </c>
      <c r="K1037" s="1" t="s">
        <v>2928</v>
      </c>
      <c r="L1037" s="1">
        <v>18503751010</v>
      </c>
      <c r="M1037" s="1" t="s">
        <v>2929</v>
      </c>
      <c r="N1037" s="1" t="s">
        <v>2928</v>
      </c>
      <c r="O1037" s="1" t="s">
        <v>2929</v>
      </c>
      <c r="P1037" s="1">
        <v>18503751010</v>
      </c>
      <c r="Q1037" s="1" t="s">
        <v>2930</v>
      </c>
    </row>
    <row r="1038" spans="1:17">
      <c r="A1038" s="1"/>
      <c r="B1038" s="1"/>
      <c r="C1038" s="1"/>
      <c r="D1038" s="1" t="s">
        <v>4977</v>
      </c>
      <c r="E1038" s="1" t="s">
        <v>2920</v>
      </c>
      <c r="F1038" s="1"/>
      <c r="G1038" s="1"/>
      <c r="H1038" s="1"/>
      <c r="J1038" s="1"/>
      <c r="K1038" s="1"/>
      <c r="L1038" s="1"/>
      <c r="M1038" s="1"/>
      <c r="N1038" s="1"/>
      <c r="O1038" s="1"/>
      <c r="P1038" s="1"/>
      <c r="Q1038" s="1"/>
    </row>
    <row r="1039" spans="1:17">
      <c r="A1039" s="1"/>
      <c r="B1039" s="1"/>
      <c r="C1039" s="1"/>
      <c r="D1039" s="1" t="s">
        <v>5347</v>
      </c>
      <c r="E1039" s="1" t="s">
        <v>2920</v>
      </c>
      <c r="F1039" s="1"/>
      <c r="G1039" s="1"/>
      <c r="H1039" s="1"/>
      <c r="J1039" s="1"/>
      <c r="K1039" s="1"/>
      <c r="L1039" s="1"/>
      <c r="M1039" s="1"/>
      <c r="N1039" s="1"/>
      <c r="O1039" s="1"/>
      <c r="P1039" s="1"/>
      <c r="Q1039" s="1"/>
    </row>
    <row r="1040" spans="1:17">
      <c r="A1040" s="1"/>
      <c r="B1040" s="1" t="s">
        <v>2932</v>
      </c>
      <c r="C1040" s="1" t="s">
        <v>2933</v>
      </c>
      <c r="D1040" s="1" t="s">
        <v>5091</v>
      </c>
      <c r="E1040" s="1" t="s">
        <v>2920</v>
      </c>
      <c r="F1040" s="1">
        <v>1</v>
      </c>
      <c r="G1040" s="1">
        <v>0.81</v>
      </c>
      <c r="H1040" s="1">
        <v>5</v>
      </c>
      <c r="J1040" s="1" t="s">
        <v>103</v>
      </c>
      <c r="K1040" s="1" t="s">
        <v>2935</v>
      </c>
      <c r="L1040" s="1">
        <v>13570987021</v>
      </c>
      <c r="M1040" s="1" t="s">
        <v>2936</v>
      </c>
      <c r="N1040" s="1" t="s">
        <v>2935</v>
      </c>
      <c r="O1040" s="1" t="s">
        <v>2936</v>
      </c>
      <c r="P1040" s="1">
        <v>13570987021</v>
      </c>
      <c r="Q1040" s="1" t="s">
        <v>2937</v>
      </c>
    </row>
    <row r="1041" spans="1:17">
      <c r="A1041" s="1"/>
      <c r="B1041" s="1"/>
      <c r="C1041" s="1"/>
      <c r="D1041" s="1" t="s">
        <v>5459</v>
      </c>
      <c r="E1041" s="1" t="s">
        <v>2920</v>
      </c>
      <c r="F1041" s="1"/>
      <c r="G1041" s="1"/>
      <c r="H1041" s="1"/>
      <c r="J1041" s="1"/>
      <c r="K1041" s="1"/>
      <c r="L1041" s="1"/>
      <c r="M1041" s="1"/>
      <c r="N1041" s="1"/>
      <c r="O1041" s="1"/>
      <c r="P1041" s="1"/>
      <c r="Q1041" s="1"/>
    </row>
    <row r="1042" spans="1:17">
      <c r="A1042" s="1"/>
      <c r="B1042" s="1"/>
      <c r="C1042" s="1"/>
      <c r="D1042" s="1" t="s">
        <v>5347</v>
      </c>
      <c r="E1042" s="1" t="s">
        <v>2920</v>
      </c>
      <c r="F1042" s="1"/>
      <c r="G1042" s="1"/>
      <c r="H1042" s="1"/>
      <c r="J1042" s="1"/>
      <c r="K1042" s="1"/>
      <c r="L1042" s="1"/>
      <c r="M1042" s="1"/>
      <c r="N1042" s="1"/>
      <c r="O1042" s="1"/>
      <c r="P1042" s="1"/>
      <c r="Q1042" s="1"/>
    </row>
    <row r="1043" spans="1:17">
      <c r="A1043" s="1"/>
      <c r="B1043" s="1" t="s">
        <v>2939</v>
      </c>
      <c r="C1043" s="1" t="s">
        <v>2940</v>
      </c>
      <c r="D1043" s="1" t="s">
        <v>5091</v>
      </c>
      <c r="E1043" s="1" t="s">
        <v>2920</v>
      </c>
      <c r="F1043" s="1">
        <v>1</v>
      </c>
      <c r="G1043" s="1">
        <v>0.81</v>
      </c>
      <c r="H1043" s="1">
        <v>4</v>
      </c>
      <c r="J1043" s="1" t="s">
        <v>103</v>
      </c>
      <c r="K1043" s="1" t="s">
        <v>2942</v>
      </c>
      <c r="L1043" s="1">
        <v>13308000822</v>
      </c>
      <c r="M1043" s="1" t="s">
        <v>2943</v>
      </c>
      <c r="N1043" s="1" t="s">
        <v>2944</v>
      </c>
      <c r="O1043" s="1" t="s">
        <v>2943</v>
      </c>
      <c r="P1043" s="1">
        <v>13308000822</v>
      </c>
      <c r="Q1043" s="1" t="s">
        <v>2945</v>
      </c>
    </row>
    <row r="1044" spans="1:17">
      <c r="A1044" s="1"/>
      <c r="B1044" s="1"/>
      <c r="C1044" s="1"/>
      <c r="D1044" s="1" t="s">
        <v>5341</v>
      </c>
      <c r="E1044" s="1" t="s">
        <v>2920</v>
      </c>
      <c r="F1044" s="1"/>
      <c r="G1044" s="1"/>
      <c r="H1044" s="1"/>
      <c r="J1044" s="1"/>
      <c r="K1044" s="1"/>
      <c r="L1044" s="1"/>
      <c r="M1044" s="1"/>
      <c r="N1044" s="1"/>
      <c r="O1044" s="1"/>
      <c r="P1044" s="1"/>
      <c r="Q1044" s="1"/>
    </row>
    <row r="1045" spans="1:17">
      <c r="A1045" s="1"/>
      <c r="B1045" s="1"/>
      <c r="C1045" s="1"/>
      <c r="D1045" s="1" t="s">
        <v>4977</v>
      </c>
      <c r="E1045" s="1" t="s">
        <v>2920</v>
      </c>
      <c r="F1045" s="1"/>
      <c r="G1045" s="1"/>
      <c r="H1045" s="1"/>
      <c r="J1045" s="1"/>
      <c r="K1045" s="1"/>
      <c r="L1045" s="1"/>
      <c r="M1045" s="1"/>
      <c r="N1045" s="1"/>
      <c r="O1045" s="1"/>
      <c r="P1045" s="1"/>
      <c r="Q1045" s="1"/>
    </row>
    <row r="1046" spans="1:17">
      <c r="A1046" s="1"/>
      <c r="B1046" s="1"/>
      <c r="C1046" s="1"/>
      <c r="D1046" s="1" t="s">
        <v>5347</v>
      </c>
      <c r="E1046" s="1" t="s">
        <v>2920</v>
      </c>
      <c r="F1046" s="1"/>
      <c r="G1046" s="1"/>
      <c r="H1046" s="1"/>
      <c r="J1046" s="1"/>
      <c r="K1046" s="1"/>
      <c r="L1046" s="1"/>
      <c r="M1046" s="1"/>
      <c r="N1046" s="1"/>
      <c r="O1046" s="1"/>
      <c r="P1046" s="1"/>
      <c r="Q1046" s="1"/>
    </row>
    <row r="1047" spans="1:17">
      <c r="A1047" s="1"/>
      <c r="B1047" s="1" t="s">
        <v>2947</v>
      </c>
      <c r="C1047" s="1" t="s">
        <v>2948</v>
      </c>
      <c r="D1047" s="1" t="s">
        <v>5289</v>
      </c>
      <c r="E1047" s="1" t="s">
        <v>1552</v>
      </c>
      <c r="F1047" s="1">
        <v>1</v>
      </c>
      <c r="G1047" s="1">
        <v>1.49</v>
      </c>
      <c r="H1047" s="1">
        <v>15</v>
      </c>
      <c r="I1047" s="1" t="s">
        <v>4995</v>
      </c>
      <c r="J1047" s="1" t="s">
        <v>40</v>
      </c>
      <c r="K1047" s="1" t="s">
        <v>2949</v>
      </c>
      <c r="L1047" s="1">
        <v>16609167957</v>
      </c>
      <c r="M1047" s="1" t="s">
        <v>2950</v>
      </c>
      <c r="N1047" s="1" t="s">
        <v>2951</v>
      </c>
      <c r="O1047" s="1" t="s">
        <v>2950</v>
      </c>
      <c r="P1047" s="1">
        <v>16609167957</v>
      </c>
      <c r="Q1047" s="1" t="s">
        <v>2952</v>
      </c>
    </row>
    <row r="1048" spans="1:17">
      <c r="A1048" s="1"/>
      <c r="B1048" s="1"/>
      <c r="C1048" s="1"/>
      <c r="D1048" s="1" t="s">
        <v>5291</v>
      </c>
      <c r="E1048" s="1" t="s">
        <v>1552</v>
      </c>
      <c r="F1048" s="1"/>
      <c r="G1048" s="1"/>
      <c r="H1048" s="1"/>
      <c r="I1048" s="1" t="s">
        <v>5055</v>
      </c>
      <c r="J1048" s="1"/>
      <c r="K1048" s="1"/>
      <c r="L1048" s="1"/>
      <c r="M1048" s="1"/>
      <c r="N1048" s="1"/>
      <c r="O1048" s="1"/>
      <c r="P1048" s="1"/>
      <c r="Q1048" s="1"/>
    </row>
    <row r="1049" spans="1:17">
      <c r="A1049" s="1"/>
      <c r="B1049" s="1" t="s">
        <v>2954</v>
      </c>
      <c r="C1049" s="1" t="s">
        <v>2955</v>
      </c>
      <c r="D1049" s="1" t="s">
        <v>1551</v>
      </c>
      <c r="E1049" s="1" t="s">
        <v>1552</v>
      </c>
      <c r="F1049" s="1">
        <v>1</v>
      </c>
      <c r="G1049" s="1">
        <v>1.95</v>
      </c>
      <c r="H1049" s="1">
        <v>15</v>
      </c>
      <c r="I1049" s="1" t="s">
        <v>5055</v>
      </c>
      <c r="J1049" s="1" t="s">
        <v>40</v>
      </c>
      <c r="K1049" s="1" t="s">
        <v>2956</v>
      </c>
      <c r="L1049" s="1">
        <v>13050379788</v>
      </c>
      <c r="M1049" s="1" t="s">
        <v>2957</v>
      </c>
      <c r="N1049" s="1" t="s">
        <v>2958</v>
      </c>
      <c r="O1049" s="1" t="s">
        <v>2959</v>
      </c>
      <c r="P1049" s="1">
        <v>15004156612</v>
      </c>
      <c r="Q1049" s="1" t="s">
        <v>2960</v>
      </c>
    </row>
    <row r="1050" spans="1:17">
      <c r="A1050" s="1"/>
      <c r="B1050" s="1" t="s">
        <v>2962</v>
      </c>
      <c r="C1050" s="1" t="s">
        <v>2963</v>
      </c>
      <c r="D1050" s="1" t="s">
        <v>5460</v>
      </c>
      <c r="E1050" s="1" t="s">
        <v>1552</v>
      </c>
      <c r="F1050" s="1">
        <v>1</v>
      </c>
      <c r="G1050" s="1">
        <v>1.26</v>
      </c>
      <c r="H1050" s="1">
        <v>15</v>
      </c>
      <c r="I1050" s="1" t="s">
        <v>4995</v>
      </c>
      <c r="J1050" s="1" t="s">
        <v>40</v>
      </c>
      <c r="K1050" s="1" t="s">
        <v>2956</v>
      </c>
      <c r="L1050" s="1">
        <v>13050379788</v>
      </c>
      <c r="M1050" s="1" t="s">
        <v>2957</v>
      </c>
      <c r="N1050" s="1" t="s">
        <v>2956</v>
      </c>
      <c r="O1050" s="1" t="s">
        <v>2967</v>
      </c>
      <c r="P1050" s="1">
        <v>13941535202</v>
      </c>
      <c r="Q1050" s="1" t="s">
        <v>2968</v>
      </c>
    </row>
    <row r="1051" spans="1:17">
      <c r="A1051" s="1"/>
      <c r="B1051" s="1"/>
      <c r="C1051" s="1"/>
      <c r="D1051" s="1" t="s">
        <v>5291</v>
      </c>
      <c r="E1051" s="1" t="s">
        <v>1552</v>
      </c>
      <c r="F1051" s="1"/>
      <c r="G1051" s="1"/>
      <c r="H1051" s="1"/>
      <c r="I1051" s="1" t="s">
        <v>5055</v>
      </c>
      <c r="J1051" s="1"/>
      <c r="K1051" s="1"/>
      <c r="L1051" s="1"/>
      <c r="M1051" s="1"/>
      <c r="N1051" s="1"/>
      <c r="O1051" s="1"/>
      <c r="P1051" s="1"/>
      <c r="Q1051" s="1"/>
    </row>
    <row r="1052" spans="1:17">
      <c r="A1052" s="1"/>
      <c r="B1052" s="1"/>
      <c r="C1052" s="1"/>
      <c r="D1052" s="1" t="s">
        <v>5461</v>
      </c>
      <c r="E1052" s="1" t="s">
        <v>1552</v>
      </c>
      <c r="F1052" s="1"/>
      <c r="G1052" s="1"/>
      <c r="H1052" s="1"/>
      <c r="I1052" s="1" t="s">
        <v>5055</v>
      </c>
      <c r="J1052" s="1"/>
      <c r="K1052" s="1"/>
      <c r="L1052" s="1"/>
      <c r="M1052" s="1"/>
      <c r="N1052" s="1"/>
      <c r="O1052" s="1"/>
      <c r="P1052" s="1"/>
      <c r="Q1052" s="1"/>
    </row>
    <row r="1053" spans="1:17">
      <c r="A1053" s="1"/>
      <c r="B1053" s="1" t="s">
        <v>2970</v>
      </c>
      <c r="C1053" s="1" t="s">
        <v>2971</v>
      </c>
      <c r="D1053" s="1" t="s">
        <v>5462</v>
      </c>
      <c r="E1053" s="1" t="s">
        <v>5463</v>
      </c>
      <c r="F1053" s="1">
        <v>1</v>
      </c>
      <c r="G1053" s="1">
        <v>2.63</v>
      </c>
      <c r="H1053" s="1">
        <v>13</v>
      </c>
      <c r="J1053" s="1" t="s">
        <v>40</v>
      </c>
      <c r="K1053" s="1" t="s">
        <v>1571</v>
      </c>
      <c r="L1053" s="1">
        <v>18603577666</v>
      </c>
      <c r="M1053" s="1" t="s">
        <v>1572</v>
      </c>
      <c r="N1053" s="1" t="s">
        <v>2974</v>
      </c>
      <c r="O1053" s="1" t="s">
        <v>1572</v>
      </c>
      <c r="P1053" s="1">
        <v>18603577666</v>
      </c>
      <c r="Q1053" s="1" t="s">
        <v>2975</v>
      </c>
    </row>
    <row r="1054" spans="1:17">
      <c r="A1054" s="1"/>
      <c r="B1054" s="1"/>
      <c r="C1054" s="1"/>
      <c r="D1054" s="1" t="s">
        <v>4960</v>
      </c>
      <c r="E1054" s="1" t="s">
        <v>5463</v>
      </c>
      <c r="F1054" s="1"/>
      <c r="G1054" s="1"/>
      <c r="H1054" s="1"/>
      <c r="J1054" s="1"/>
      <c r="K1054" s="1"/>
      <c r="L1054" s="1"/>
      <c r="M1054" s="1"/>
      <c r="N1054" s="1"/>
      <c r="O1054" s="1"/>
      <c r="P1054" s="1"/>
      <c r="Q1054" s="1"/>
    </row>
    <row r="1055" spans="1:17">
      <c r="A1055" s="1"/>
      <c r="B1055" s="1"/>
      <c r="C1055" s="1"/>
      <c r="D1055" s="1" t="s">
        <v>5072</v>
      </c>
      <c r="E1055" s="1" t="s">
        <v>5464</v>
      </c>
      <c r="F1055" s="1"/>
      <c r="G1055" s="1"/>
      <c r="H1055" s="1"/>
      <c r="J1055" s="1"/>
      <c r="K1055" s="1"/>
      <c r="L1055" s="1"/>
      <c r="M1055" s="1"/>
      <c r="N1055" s="1"/>
      <c r="O1055" s="1"/>
      <c r="P1055" s="1"/>
      <c r="Q1055" s="1"/>
    </row>
    <row r="1056" spans="1:17">
      <c r="A1056" s="1"/>
      <c r="B1056" s="1" t="s">
        <v>2977</v>
      </c>
      <c r="C1056" s="1" t="s">
        <v>2978</v>
      </c>
      <c r="D1056" s="1" t="s">
        <v>5041</v>
      </c>
      <c r="E1056" s="1" t="s">
        <v>292</v>
      </c>
      <c r="F1056" s="1">
        <v>1</v>
      </c>
      <c r="G1056" s="1">
        <v>0.81</v>
      </c>
      <c r="H1056" s="1">
        <v>1</v>
      </c>
      <c r="J1056" s="1" t="s">
        <v>293</v>
      </c>
      <c r="K1056" s="1" t="s">
        <v>2979</v>
      </c>
      <c r="L1056" s="1">
        <v>15928276248</v>
      </c>
      <c r="M1056" s="1" t="s">
        <v>2980</v>
      </c>
      <c r="N1056" s="1" t="s">
        <v>2981</v>
      </c>
      <c r="O1056" s="1" t="s">
        <v>2980</v>
      </c>
      <c r="P1056" s="1">
        <v>15928276248</v>
      </c>
      <c r="Q1056" s="1" t="s">
        <v>2982</v>
      </c>
    </row>
    <row r="1057" spans="1:17">
      <c r="A1057" s="1"/>
      <c r="B1057" s="1" t="s">
        <v>2984</v>
      </c>
      <c r="C1057" s="1" t="s">
        <v>2985</v>
      </c>
      <c r="D1057" s="1" t="s">
        <v>5041</v>
      </c>
      <c r="E1057" s="1" t="s">
        <v>292</v>
      </c>
      <c r="F1057" s="1">
        <v>1</v>
      </c>
      <c r="G1057" s="1">
        <v>0.81</v>
      </c>
      <c r="H1057" s="1">
        <v>1</v>
      </c>
      <c r="J1057" s="1" t="s">
        <v>293</v>
      </c>
      <c r="K1057" s="1" t="s">
        <v>2986</v>
      </c>
      <c r="L1057" s="1">
        <v>13424983243</v>
      </c>
      <c r="M1057" s="1" t="s">
        <v>2987</v>
      </c>
      <c r="N1057" s="1" t="s">
        <v>2988</v>
      </c>
      <c r="O1057" s="1" t="s">
        <v>2987</v>
      </c>
      <c r="P1057" s="1">
        <v>13424983243</v>
      </c>
      <c r="Q1057" s="1" t="s">
        <v>2989</v>
      </c>
    </row>
    <row r="1058" spans="1:17">
      <c r="A1058" s="1"/>
      <c r="B1058" s="1" t="s">
        <v>2991</v>
      </c>
      <c r="C1058" s="1" t="s">
        <v>2992</v>
      </c>
      <c r="D1058" s="1" t="s">
        <v>5465</v>
      </c>
      <c r="E1058" s="1" t="s">
        <v>5466</v>
      </c>
      <c r="F1058" s="1">
        <v>1</v>
      </c>
      <c r="G1058" s="1">
        <v>1.04</v>
      </c>
      <c r="H1058" s="1">
        <v>3</v>
      </c>
      <c r="J1058" s="1" t="s">
        <v>293</v>
      </c>
      <c r="K1058" s="1" t="s">
        <v>1815</v>
      </c>
      <c r="L1058" s="1">
        <v>18989912818</v>
      </c>
      <c r="M1058" s="1" t="s">
        <v>2995</v>
      </c>
      <c r="N1058" s="1" t="s">
        <v>1815</v>
      </c>
      <c r="O1058" s="1" t="s">
        <v>2995</v>
      </c>
      <c r="P1058" s="1">
        <v>18989912818</v>
      </c>
      <c r="Q1058" s="1" t="s">
        <v>2996</v>
      </c>
    </row>
    <row r="1059" spans="1:17">
      <c r="A1059" s="1"/>
      <c r="B1059" s="1"/>
      <c r="C1059" s="1"/>
      <c r="D1059" s="1" t="s">
        <v>5085</v>
      </c>
      <c r="E1059" s="1" t="s">
        <v>5077</v>
      </c>
      <c r="F1059" s="1"/>
      <c r="G1059" s="1"/>
      <c r="H1059" s="1"/>
      <c r="J1059" s="1"/>
      <c r="K1059" s="1"/>
      <c r="L1059" s="1"/>
      <c r="M1059" s="1"/>
      <c r="N1059" s="1"/>
      <c r="O1059" s="1"/>
      <c r="P1059" s="1"/>
      <c r="Q1059" s="1"/>
    </row>
    <row r="1060" spans="1:17">
      <c r="A1060" s="1"/>
      <c r="B1060" s="1" t="s">
        <v>2998</v>
      </c>
      <c r="C1060" s="1" t="s">
        <v>2999</v>
      </c>
      <c r="D1060" s="1" t="s">
        <v>5041</v>
      </c>
      <c r="E1060" s="1" t="s">
        <v>292</v>
      </c>
      <c r="F1060" s="1">
        <v>1</v>
      </c>
      <c r="G1060" s="1">
        <v>1.04</v>
      </c>
      <c r="H1060" s="1">
        <v>1</v>
      </c>
      <c r="J1060" s="1" t="s">
        <v>293</v>
      </c>
      <c r="K1060" s="1" t="s">
        <v>3000</v>
      </c>
      <c r="L1060" s="1">
        <v>13992663666</v>
      </c>
      <c r="M1060" s="1" t="s">
        <v>3001</v>
      </c>
      <c r="N1060" s="1" t="s">
        <v>3000</v>
      </c>
      <c r="O1060" s="1" t="s">
        <v>3001</v>
      </c>
      <c r="P1060" s="1">
        <v>13992663666</v>
      </c>
      <c r="Q1060" s="1" t="s">
        <v>3002</v>
      </c>
    </row>
    <row r="1061" spans="1:17">
      <c r="A1061" s="1"/>
      <c r="B1061" s="1" t="s">
        <v>3004</v>
      </c>
      <c r="C1061" s="1" t="s">
        <v>3005</v>
      </c>
      <c r="D1061" s="1" t="s">
        <v>5023</v>
      </c>
      <c r="E1061" s="1" t="s">
        <v>625</v>
      </c>
      <c r="F1061" s="1">
        <v>1</v>
      </c>
      <c r="G1061" s="1">
        <v>1.26</v>
      </c>
      <c r="H1061" s="1">
        <v>6</v>
      </c>
      <c r="J1061" s="1" t="s">
        <v>40</v>
      </c>
      <c r="K1061" s="1" t="s">
        <v>3008</v>
      </c>
      <c r="L1061" s="1">
        <v>15921321269</v>
      </c>
      <c r="M1061" s="1" t="s">
        <v>3009</v>
      </c>
      <c r="N1061" s="1" t="s">
        <v>3008</v>
      </c>
      <c r="O1061" s="1" t="s">
        <v>3009</v>
      </c>
      <c r="P1061" s="1">
        <v>15921321269</v>
      </c>
      <c r="Q1061" s="1" t="s">
        <v>3010</v>
      </c>
    </row>
    <row r="1062" spans="1:17">
      <c r="A1062" s="1"/>
      <c r="B1062" s="1"/>
      <c r="C1062" s="1"/>
      <c r="D1062" s="1" t="s">
        <v>5017</v>
      </c>
      <c r="E1062" s="1" t="s">
        <v>625</v>
      </c>
      <c r="F1062" s="1"/>
      <c r="G1062" s="1"/>
      <c r="H1062" s="1"/>
      <c r="I1062" s="1" t="s">
        <v>5386</v>
      </c>
      <c r="J1062" s="1"/>
      <c r="K1062" s="1"/>
      <c r="L1062" s="1"/>
      <c r="M1062" s="1"/>
      <c r="N1062" s="1"/>
      <c r="O1062" s="1"/>
      <c r="P1062" s="1"/>
      <c r="Q1062" s="1"/>
    </row>
    <row r="1063" spans="1:17">
      <c r="A1063" s="1"/>
      <c r="B1063" s="1"/>
      <c r="C1063" s="1"/>
      <c r="D1063" s="1" t="s">
        <v>5024</v>
      </c>
      <c r="E1063" s="1" t="s">
        <v>625</v>
      </c>
      <c r="F1063" s="1"/>
      <c r="G1063" s="1"/>
      <c r="H1063" s="1"/>
      <c r="J1063" s="1"/>
      <c r="K1063" s="1"/>
      <c r="L1063" s="1"/>
      <c r="M1063" s="1"/>
      <c r="N1063" s="1"/>
      <c r="O1063" s="1"/>
      <c r="P1063" s="1"/>
      <c r="Q1063" s="1"/>
    </row>
    <row r="1064" spans="1:17">
      <c r="A1064" s="1"/>
      <c r="B1064" s="1"/>
      <c r="C1064" s="1"/>
      <c r="D1064" s="1" t="s">
        <v>5096</v>
      </c>
      <c r="E1064" s="1" t="s">
        <v>625</v>
      </c>
      <c r="F1064" s="1"/>
      <c r="G1064" s="1"/>
      <c r="H1064" s="1"/>
      <c r="J1064" s="1"/>
      <c r="K1064" s="1"/>
      <c r="L1064" s="1"/>
      <c r="M1064" s="1"/>
      <c r="N1064" s="1"/>
      <c r="O1064" s="1"/>
      <c r="P1064" s="1"/>
      <c r="Q1064" s="1"/>
    </row>
    <row r="1065" spans="1:17">
      <c r="A1065" s="1"/>
      <c r="B1065" s="1"/>
      <c r="C1065" s="1"/>
      <c r="D1065" s="1" t="s">
        <v>5044</v>
      </c>
      <c r="E1065" s="1" t="s">
        <v>625</v>
      </c>
      <c r="F1065" s="1"/>
      <c r="G1065" s="1"/>
      <c r="H1065" s="1"/>
      <c r="J1065" s="1"/>
      <c r="K1065" s="1"/>
      <c r="L1065" s="1"/>
      <c r="M1065" s="1"/>
      <c r="N1065" s="1"/>
      <c r="O1065" s="1"/>
      <c r="P1065" s="1"/>
      <c r="Q1065" s="1"/>
    </row>
    <row r="1066" spans="1:17">
      <c r="A1066" s="1"/>
      <c r="B1066" s="1" t="s">
        <v>3012</v>
      </c>
      <c r="C1066" s="1" t="s">
        <v>3013</v>
      </c>
      <c r="D1066" s="1" t="s">
        <v>5467</v>
      </c>
      <c r="E1066" s="1" t="s">
        <v>625</v>
      </c>
      <c r="F1066" s="1">
        <v>1</v>
      </c>
      <c r="G1066" s="1">
        <v>1.04</v>
      </c>
      <c r="H1066" s="1">
        <v>13</v>
      </c>
      <c r="I1066" s="1" t="s">
        <v>4987</v>
      </c>
      <c r="J1066" s="1" t="s">
        <v>40</v>
      </c>
      <c r="K1066" s="1" t="s">
        <v>3016</v>
      </c>
      <c r="L1066" s="1">
        <v>13501183378</v>
      </c>
      <c r="M1066" s="1" t="s">
        <v>3017</v>
      </c>
      <c r="N1066" s="1" t="s">
        <v>3016</v>
      </c>
      <c r="O1066" s="1" t="s">
        <v>3017</v>
      </c>
      <c r="P1066" s="1">
        <v>13501183378</v>
      </c>
      <c r="Q1066" s="1" t="s">
        <v>3018</v>
      </c>
    </row>
    <row r="1067" spans="1:17">
      <c r="A1067" s="1"/>
      <c r="B1067" s="1"/>
      <c r="C1067" s="1"/>
      <c r="D1067" s="1" t="s">
        <v>4966</v>
      </c>
      <c r="E1067" s="1" t="s">
        <v>625</v>
      </c>
      <c r="F1067" s="1"/>
      <c r="G1067" s="1"/>
      <c r="H1067" s="1"/>
      <c r="I1067" s="1" t="s">
        <v>4987</v>
      </c>
      <c r="J1067" s="1"/>
      <c r="K1067" s="1"/>
      <c r="L1067" s="1"/>
      <c r="M1067" s="1"/>
      <c r="N1067" s="1"/>
      <c r="O1067" s="1"/>
      <c r="P1067" s="1"/>
      <c r="Q1067" s="1"/>
    </row>
    <row r="1068" spans="1:17">
      <c r="A1068" s="1"/>
      <c r="B1068" s="1"/>
      <c r="C1068" s="1"/>
      <c r="D1068" s="1" t="s">
        <v>5017</v>
      </c>
      <c r="E1068" s="1" t="s">
        <v>625</v>
      </c>
      <c r="F1068" s="1"/>
      <c r="G1068" s="1"/>
      <c r="H1068" s="1"/>
      <c r="I1068" s="1" t="s">
        <v>4987</v>
      </c>
      <c r="J1068" s="1"/>
      <c r="K1068" s="1"/>
      <c r="L1068" s="1"/>
      <c r="M1068" s="1"/>
      <c r="N1068" s="1"/>
      <c r="O1068" s="1"/>
      <c r="P1068" s="1"/>
      <c r="Q1068" s="1"/>
    </row>
    <row r="1069" spans="1:17">
      <c r="A1069" s="1"/>
      <c r="B1069" s="1" t="s">
        <v>3020</v>
      </c>
      <c r="C1069" s="1" t="s">
        <v>3021</v>
      </c>
      <c r="D1069" s="1" t="s">
        <v>5072</v>
      </c>
      <c r="E1069" s="1" t="s">
        <v>625</v>
      </c>
      <c r="F1069" s="1">
        <v>1</v>
      </c>
      <c r="G1069" s="1">
        <v>1.04</v>
      </c>
      <c r="H1069" s="1">
        <v>8</v>
      </c>
      <c r="I1069" s="1" t="s">
        <v>4987</v>
      </c>
      <c r="J1069" s="1" t="s">
        <v>40</v>
      </c>
      <c r="K1069" s="1" t="s">
        <v>3024</v>
      </c>
      <c r="L1069" s="1">
        <v>18204852066</v>
      </c>
      <c r="M1069" s="1" t="s">
        <v>3025</v>
      </c>
      <c r="N1069" s="1" t="s">
        <v>3024</v>
      </c>
      <c r="O1069" s="1" t="s">
        <v>3025</v>
      </c>
      <c r="P1069" s="1">
        <v>18204852066</v>
      </c>
      <c r="Q1069" s="1" t="s">
        <v>3026</v>
      </c>
    </row>
    <row r="1070" spans="1:17">
      <c r="A1070" s="1"/>
      <c r="B1070" s="1"/>
      <c r="C1070" s="1"/>
      <c r="D1070" s="1" t="s">
        <v>5130</v>
      </c>
      <c r="E1070" s="1" t="s">
        <v>625</v>
      </c>
      <c r="F1070" s="1"/>
      <c r="G1070" s="1"/>
      <c r="H1070" s="1"/>
      <c r="I1070" s="1" t="s">
        <v>4983</v>
      </c>
      <c r="J1070" s="1"/>
      <c r="K1070" s="1"/>
      <c r="L1070" s="1"/>
      <c r="M1070" s="1"/>
      <c r="N1070" s="1"/>
      <c r="O1070" s="1"/>
      <c r="P1070" s="1"/>
      <c r="Q1070" s="1"/>
    </row>
    <row r="1071" spans="1:17">
      <c r="A1071" s="1"/>
      <c r="B1071" s="1"/>
      <c r="C1071" s="1"/>
      <c r="D1071" s="1" t="s">
        <v>5217</v>
      </c>
      <c r="E1071" s="1" t="s">
        <v>625</v>
      </c>
      <c r="F1071" s="1"/>
      <c r="G1071" s="1"/>
      <c r="H1071" s="1"/>
      <c r="I1071" s="1" t="s">
        <v>4985</v>
      </c>
      <c r="J1071" s="1"/>
      <c r="K1071" s="1"/>
      <c r="L1071" s="1"/>
      <c r="M1071" s="1"/>
      <c r="N1071" s="1"/>
      <c r="O1071" s="1"/>
      <c r="P1071" s="1"/>
      <c r="Q1071" s="1"/>
    </row>
    <row r="1072" spans="1:17">
      <c r="A1072" s="1"/>
      <c r="B1072" s="1"/>
      <c r="C1072" s="1"/>
      <c r="D1072" s="1" t="s">
        <v>5163</v>
      </c>
      <c r="E1072" s="1" t="s">
        <v>625</v>
      </c>
      <c r="F1072" s="1"/>
      <c r="G1072" s="1"/>
      <c r="H1072" s="1"/>
      <c r="I1072" s="1" t="s">
        <v>5050</v>
      </c>
      <c r="J1072" s="1"/>
      <c r="K1072" s="1"/>
      <c r="L1072" s="1"/>
      <c r="M1072" s="1"/>
      <c r="N1072" s="1"/>
      <c r="O1072" s="1"/>
      <c r="P1072" s="1"/>
      <c r="Q1072" s="1"/>
    </row>
    <row r="1073" spans="1:17">
      <c r="A1073" s="1"/>
      <c r="B1073" s="1" t="s">
        <v>3028</v>
      </c>
      <c r="C1073" s="1" t="s">
        <v>3029</v>
      </c>
      <c r="D1073" s="1" t="s">
        <v>5468</v>
      </c>
      <c r="E1073" s="1" t="s">
        <v>420</v>
      </c>
      <c r="F1073" s="1">
        <v>1</v>
      </c>
      <c r="G1073" s="1">
        <v>1.72</v>
      </c>
      <c r="H1073" s="1">
        <v>6</v>
      </c>
      <c r="I1073" s="1" t="s">
        <v>5469</v>
      </c>
      <c r="J1073" s="1" t="s">
        <v>29</v>
      </c>
      <c r="K1073" s="1" t="s">
        <v>562</v>
      </c>
      <c r="L1073" s="1">
        <v>13760676033</v>
      </c>
      <c r="M1073" s="1" t="s">
        <v>563</v>
      </c>
      <c r="N1073" s="1" t="s">
        <v>3032</v>
      </c>
      <c r="O1073" s="1" t="s">
        <v>563</v>
      </c>
      <c r="P1073" s="1">
        <v>13760676033</v>
      </c>
      <c r="Q1073" s="1" t="s">
        <v>3033</v>
      </c>
    </row>
    <row r="1074" spans="1:17">
      <c r="A1074" s="1"/>
      <c r="B1074" s="1"/>
      <c r="C1074" s="1"/>
      <c r="D1074" s="1" t="s">
        <v>5470</v>
      </c>
      <c r="E1074" s="1" t="s">
        <v>420</v>
      </c>
      <c r="F1074" s="1"/>
      <c r="G1074" s="1"/>
      <c r="H1074" s="1"/>
      <c r="I1074" s="1" t="s">
        <v>1142</v>
      </c>
      <c r="J1074" s="1"/>
      <c r="K1074" s="1"/>
      <c r="L1074" s="1"/>
      <c r="M1074" s="1"/>
      <c r="N1074" s="1"/>
      <c r="O1074" s="1"/>
      <c r="P1074" s="1"/>
      <c r="Q1074" s="1"/>
    </row>
    <row r="1075" spans="1:17">
      <c r="A1075" s="1"/>
      <c r="B1075" s="1" t="s">
        <v>3035</v>
      </c>
      <c r="C1075" s="1" t="s">
        <v>3036</v>
      </c>
      <c r="D1075" s="1" t="s">
        <v>4952</v>
      </c>
      <c r="E1075" s="1" t="s">
        <v>1210</v>
      </c>
      <c r="F1075" s="1">
        <v>1</v>
      </c>
      <c r="G1075" s="1">
        <v>1.72</v>
      </c>
      <c r="H1075" s="1">
        <v>7</v>
      </c>
      <c r="I1075" s="1" t="s">
        <v>164</v>
      </c>
      <c r="J1075" s="1" t="s">
        <v>29</v>
      </c>
      <c r="K1075" s="1" t="s">
        <v>3040</v>
      </c>
      <c r="L1075" s="1">
        <v>13566689579</v>
      </c>
      <c r="M1075" s="1" t="s">
        <v>3041</v>
      </c>
      <c r="N1075" s="1" t="s">
        <v>3040</v>
      </c>
      <c r="O1075" s="1" t="s">
        <v>3041</v>
      </c>
      <c r="P1075" s="1">
        <v>13566689579</v>
      </c>
      <c r="Q1075" s="1" t="s">
        <v>3042</v>
      </c>
    </row>
    <row r="1076" spans="1:17">
      <c r="A1076" s="1"/>
      <c r="B1076" s="1"/>
      <c r="C1076" s="1"/>
      <c r="D1076" s="1" t="s">
        <v>5085</v>
      </c>
      <c r="E1076" s="1" t="s">
        <v>1210</v>
      </c>
      <c r="F1076" s="1"/>
      <c r="G1076" s="1"/>
      <c r="H1076" s="1"/>
      <c r="I1076" s="1" t="s">
        <v>5111</v>
      </c>
      <c r="J1076" s="1"/>
      <c r="K1076" s="1"/>
      <c r="L1076" s="1"/>
      <c r="M1076" s="1"/>
      <c r="N1076" s="1"/>
      <c r="O1076" s="1"/>
      <c r="P1076" s="1"/>
      <c r="Q1076" s="1"/>
    </row>
    <row r="1077" spans="1:17">
      <c r="A1077" s="1"/>
      <c r="B1077" s="1"/>
      <c r="C1077" s="1"/>
      <c r="D1077" s="1" t="s">
        <v>5336</v>
      </c>
      <c r="E1077" s="1" t="s">
        <v>1210</v>
      </c>
      <c r="F1077" s="1"/>
      <c r="G1077" s="1"/>
      <c r="H1077" s="1"/>
      <c r="I1077" s="1" t="s">
        <v>164</v>
      </c>
      <c r="J1077" s="1"/>
      <c r="K1077" s="1"/>
      <c r="L1077" s="1"/>
      <c r="M1077" s="1"/>
      <c r="N1077" s="1"/>
      <c r="O1077" s="1"/>
      <c r="P1077" s="1"/>
      <c r="Q1077" s="1"/>
    </row>
    <row r="1078" spans="1:17">
      <c r="A1078" s="1"/>
      <c r="B1078" s="1"/>
      <c r="C1078" s="1"/>
      <c r="D1078" s="1" t="s">
        <v>5171</v>
      </c>
      <c r="E1078" s="1" t="s">
        <v>449</v>
      </c>
      <c r="F1078" s="1"/>
      <c r="G1078" s="1"/>
      <c r="H1078" s="1"/>
      <c r="I1078" s="1" t="s">
        <v>1132</v>
      </c>
      <c r="J1078" s="1"/>
      <c r="K1078" s="1"/>
      <c r="L1078" s="1"/>
      <c r="M1078" s="1"/>
      <c r="N1078" s="1"/>
      <c r="O1078" s="1"/>
      <c r="P1078" s="1"/>
      <c r="Q1078" s="1"/>
    </row>
    <row r="1079" spans="1:17">
      <c r="A1079" s="1"/>
      <c r="B1079" s="1"/>
      <c r="C1079" s="1"/>
      <c r="D1079" s="1" t="s">
        <v>5396</v>
      </c>
      <c r="E1079" s="1" t="s">
        <v>2413</v>
      </c>
      <c r="F1079" s="1"/>
      <c r="G1079" s="1"/>
      <c r="H1079" s="1"/>
      <c r="I1079" s="1" t="s">
        <v>5443</v>
      </c>
      <c r="J1079" s="1"/>
      <c r="K1079" s="1"/>
      <c r="L1079" s="1"/>
      <c r="M1079" s="1"/>
      <c r="N1079" s="1"/>
      <c r="O1079" s="1"/>
      <c r="P1079" s="1"/>
      <c r="Q1079" s="1"/>
    </row>
    <row r="1080" spans="1:17">
      <c r="A1080" s="1"/>
      <c r="B1080" s="1" t="s">
        <v>3044</v>
      </c>
      <c r="C1080" s="1" t="s">
        <v>3045</v>
      </c>
      <c r="D1080" s="1" t="s">
        <v>5019</v>
      </c>
      <c r="E1080" s="1" t="s">
        <v>625</v>
      </c>
      <c r="F1080" s="1">
        <v>1</v>
      </c>
      <c r="G1080" s="1">
        <v>1.72</v>
      </c>
      <c r="H1080" s="1">
        <v>12</v>
      </c>
      <c r="I1080" s="1" t="s">
        <v>4985</v>
      </c>
      <c r="J1080" s="1" t="s">
        <v>40</v>
      </c>
      <c r="K1080" s="1" t="s">
        <v>3048</v>
      </c>
      <c r="L1080" s="1">
        <v>13922274738</v>
      </c>
      <c r="M1080" s="1" t="s">
        <v>3049</v>
      </c>
      <c r="N1080" s="1" t="s">
        <v>3048</v>
      </c>
      <c r="O1080" s="1" t="s">
        <v>3049</v>
      </c>
      <c r="P1080" s="1">
        <v>13922274738</v>
      </c>
      <c r="Q1080" s="1" t="s">
        <v>3050</v>
      </c>
    </row>
    <row r="1081" spans="1:17">
      <c r="A1081" s="1"/>
      <c r="B1081" s="1"/>
      <c r="C1081" s="1"/>
      <c r="D1081" s="1" t="s">
        <v>5072</v>
      </c>
      <c r="E1081" s="1" t="s">
        <v>625</v>
      </c>
      <c r="F1081" s="1"/>
      <c r="G1081" s="1"/>
      <c r="H1081" s="1"/>
      <c r="I1081" s="1" t="s">
        <v>4987</v>
      </c>
      <c r="J1081" s="1"/>
      <c r="K1081" s="1"/>
      <c r="L1081" s="1"/>
      <c r="M1081" s="1"/>
      <c r="N1081" s="1"/>
      <c r="O1081" s="1"/>
      <c r="P1081" s="1"/>
      <c r="Q1081" s="1"/>
    </row>
    <row r="1082" spans="1:17">
      <c r="A1082" s="1"/>
      <c r="B1082" s="1"/>
      <c r="C1082" s="1"/>
      <c r="D1082" s="1" t="s">
        <v>5031</v>
      </c>
      <c r="E1082" s="1" t="s">
        <v>625</v>
      </c>
      <c r="F1082" s="1"/>
      <c r="G1082" s="1"/>
      <c r="H1082" s="1"/>
      <c r="I1082" s="1" t="s">
        <v>4985</v>
      </c>
      <c r="J1082" s="1"/>
      <c r="K1082" s="1"/>
      <c r="L1082" s="1"/>
      <c r="M1082" s="1"/>
      <c r="N1082" s="1"/>
      <c r="O1082" s="1"/>
      <c r="P1082" s="1"/>
      <c r="Q1082" s="1"/>
    </row>
    <row r="1083" spans="1:17">
      <c r="A1083" s="1"/>
      <c r="B1083" s="1"/>
      <c r="C1083" s="1"/>
      <c r="D1083" s="1" t="s">
        <v>5234</v>
      </c>
      <c r="E1083" s="1" t="s">
        <v>625</v>
      </c>
      <c r="F1083" s="1"/>
      <c r="G1083" s="1"/>
      <c r="H1083" s="1"/>
      <c r="I1083" s="1" t="s">
        <v>4985</v>
      </c>
      <c r="J1083" s="1"/>
      <c r="K1083" s="1"/>
      <c r="L1083" s="1"/>
      <c r="M1083" s="1"/>
      <c r="N1083" s="1"/>
      <c r="O1083" s="1"/>
      <c r="P1083" s="1"/>
      <c r="Q1083" s="1"/>
    </row>
    <row r="1084" spans="1:17">
      <c r="A1084" s="1"/>
      <c r="B1084" s="1"/>
      <c r="C1084" s="1"/>
      <c r="D1084" s="1" t="s">
        <v>5103</v>
      </c>
      <c r="E1084" s="1" t="s">
        <v>625</v>
      </c>
      <c r="F1084" s="1"/>
      <c r="G1084" s="1"/>
      <c r="H1084" s="1"/>
      <c r="I1084" s="1" t="s">
        <v>4987</v>
      </c>
      <c r="J1084" s="1"/>
      <c r="K1084" s="1"/>
      <c r="L1084" s="1"/>
      <c r="M1084" s="1"/>
      <c r="N1084" s="1"/>
      <c r="O1084" s="1"/>
      <c r="P1084" s="1"/>
      <c r="Q1084" s="1"/>
    </row>
    <row r="1085" spans="1:17">
      <c r="A1085" s="1"/>
      <c r="B1085" s="1" t="s">
        <v>3052</v>
      </c>
      <c r="C1085" s="1" t="s">
        <v>3053</v>
      </c>
      <c r="D1085" s="1" t="s">
        <v>5081</v>
      </c>
      <c r="E1085" s="1" t="s">
        <v>420</v>
      </c>
      <c r="F1085" s="1">
        <v>1</v>
      </c>
      <c r="G1085" s="1">
        <v>0.57999999999999996</v>
      </c>
      <c r="H1085" s="1">
        <v>3</v>
      </c>
      <c r="J1085" s="1" t="s">
        <v>29</v>
      </c>
      <c r="K1085" s="1" t="s">
        <v>3054</v>
      </c>
      <c r="L1085" s="1">
        <v>13681089032</v>
      </c>
      <c r="M1085" s="1" t="s">
        <v>3055</v>
      </c>
      <c r="N1085" s="1" t="s">
        <v>3054</v>
      </c>
      <c r="O1085" s="1" t="s">
        <v>3055</v>
      </c>
      <c r="P1085" s="1">
        <v>13681089032</v>
      </c>
      <c r="Q1085" s="1" t="s">
        <v>3056</v>
      </c>
    </row>
    <row r="1086" spans="1:17">
      <c r="A1086" s="1"/>
      <c r="B1086" s="1"/>
      <c r="C1086" s="1"/>
      <c r="D1086" s="1" t="s">
        <v>4952</v>
      </c>
      <c r="E1086" s="1" t="s">
        <v>420</v>
      </c>
      <c r="F1086" s="1"/>
      <c r="G1086" s="1"/>
      <c r="H1086" s="1"/>
      <c r="J1086" s="1"/>
      <c r="K1086" s="1"/>
      <c r="L1086" s="1"/>
      <c r="M1086" s="1"/>
      <c r="N1086" s="1"/>
      <c r="O1086" s="1"/>
      <c r="P1086" s="1"/>
      <c r="Q1086" s="1"/>
    </row>
    <row r="1087" spans="1:17">
      <c r="A1087" s="1"/>
      <c r="B1087" s="1" t="s">
        <v>3058</v>
      </c>
      <c r="C1087" s="1" t="s">
        <v>3059</v>
      </c>
      <c r="D1087" s="1" t="s">
        <v>5471</v>
      </c>
      <c r="E1087" s="1" t="s">
        <v>420</v>
      </c>
      <c r="F1087" s="1">
        <v>1</v>
      </c>
      <c r="G1087" s="1">
        <v>1.49</v>
      </c>
      <c r="H1087" s="1">
        <v>8</v>
      </c>
      <c r="J1087" s="1" t="s">
        <v>40</v>
      </c>
      <c r="K1087" s="1" t="s">
        <v>1963</v>
      </c>
      <c r="L1087" s="1">
        <v>13661097422</v>
      </c>
      <c r="M1087" s="1" t="s">
        <v>1964</v>
      </c>
      <c r="N1087" s="1" t="s">
        <v>1963</v>
      </c>
      <c r="O1087" s="1" t="s">
        <v>3061</v>
      </c>
      <c r="P1087" s="1">
        <v>13910365689</v>
      </c>
      <c r="Q1087" s="1" t="s">
        <v>3062</v>
      </c>
    </row>
    <row r="1088" spans="1:17">
      <c r="A1088" s="1"/>
      <c r="B1088" s="1"/>
      <c r="C1088" s="1"/>
      <c r="D1088" s="1" t="s">
        <v>5039</v>
      </c>
      <c r="E1088" s="1" t="s">
        <v>420</v>
      </c>
      <c r="F1088" s="1"/>
      <c r="G1088" s="1"/>
      <c r="H1088" s="1"/>
      <c r="J1088" s="1"/>
      <c r="K1088" s="1"/>
      <c r="L1088" s="1"/>
      <c r="M1088" s="1"/>
      <c r="N1088" s="1"/>
      <c r="O1088" s="1"/>
      <c r="P1088" s="1"/>
      <c r="Q1088" s="1"/>
    </row>
    <row r="1089" spans="1:17">
      <c r="A1089" s="1"/>
      <c r="B1089" s="1"/>
      <c r="C1089" s="1"/>
      <c r="D1089" s="1" t="s">
        <v>5112</v>
      </c>
      <c r="E1089" s="1" t="s">
        <v>420</v>
      </c>
      <c r="F1089" s="1"/>
      <c r="G1089" s="1"/>
      <c r="H1089" s="1"/>
      <c r="J1089" s="1"/>
      <c r="K1089" s="1"/>
      <c r="L1089" s="1"/>
      <c r="M1089" s="1"/>
      <c r="N1089" s="1"/>
      <c r="O1089" s="1"/>
      <c r="P1089" s="1"/>
      <c r="Q1089" s="1"/>
    </row>
    <row r="1090" spans="1:17">
      <c r="A1090" s="1"/>
      <c r="B1090" s="1"/>
      <c r="C1090" s="1"/>
      <c r="D1090" s="1" t="s">
        <v>5472</v>
      </c>
      <c r="E1090" s="1" t="s">
        <v>420</v>
      </c>
      <c r="F1090" s="1"/>
      <c r="G1090" s="1"/>
      <c r="H1090" s="1"/>
      <c r="J1090" s="1"/>
      <c r="K1090" s="1"/>
      <c r="L1090" s="1"/>
      <c r="M1090" s="1"/>
      <c r="N1090" s="1"/>
      <c r="O1090" s="1"/>
      <c r="P1090" s="1"/>
      <c r="Q1090" s="1"/>
    </row>
    <row r="1091" spans="1:17">
      <c r="A1091" s="1"/>
      <c r="B1091" s="1" t="s">
        <v>3064</v>
      </c>
      <c r="C1091" s="1" t="s">
        <v>3065</v>
      </c>
      <c r="D1091" s="1" t="s">
        <v>5473</v>
      </c>
      <c r="E1091" s="1" t="s">
        <v>2413</v>
      </c>
      <c r="F1091" s="1">
        <v>1</v>
      </c>
      <c r="G1091" s="1">
        <v>0.74</v>
      </c>
      <c r="H1091" s="1">
        <v>15</v>
      </c>
      <c r="I1091" s="1" t="s">
        <v>4970</v>
      </c>
      <c r="J1091" s="1" t="s">
        <v>29</v>
      </c>
      <c r="K1091" s="1" t="s">
        <v>3069</v>
      </c>
      <c r="L1091" s="1">
        <v>17526867788</v>
      </c>
      <c r="M1091" s="1" t="s">
        <v>1230</v>
      </c>
      <c r="N1091" s="1" t="s">
        <v>3070</v>
      </c>
      <c r="O1091" s="1" t="s">
        <v>3071</v>
      </c>
      <c r="P1091" s="1">
        <v>13821813490</v>
      </c>
      <c r="Q1091" s="1" t="s">
        <v>3072</v>
      </c>
    </row>
    <row r="1092" spans="1:17">
      <c r="A1092" s="1"/>
      <c r="B1092" s="1"/>
      <c r="C1092" s="1"/>
      <c r="D1092" s="1" t="s">
        <v>5474</v>
      </c>
      <c r="E1092" s="1" t="s">
        <v>1210</v>
      </c>
      <c r="F1092" s="1"/>
      <c r="G1092" s="1"/>
      <c r="H1092" s="1"/>
      <c r="I1092" s="1" t="s">
        <v>1634</v>
      </c>
      <c r="J1092" s="1"/>
      <c r="K1092" s="1"/>
      <c r="L1092" s="1"/>
      <c r="M1092" s="1"/>
      <c r="N1092" s="1"/>
      <c r="O1092" s="1"/>
      <c r="P1092" s="1"/>
      <c r="Q1092" s="1"/>
    </row>
    <row r="1093" spans="1:17">
      <c r="A1093" s="1"/>
      <c r="B1093" s="1"/>
      <c r="C1093" s="1"/>
      <c r="D1093" s="1" t="s">
        <v>5283</v>
      </c>
      <c r="E1093" s="1" t="s">
        <v>449</v>
      </c>
      <c r="F1093" s="1"/>
      <c r="G1093" s="1"/>
      <c r="H1093" s="1"/>
      <c r="I1093" s="1" t="s">
        <v>450</v>
      </c>
      <c r="J1093" s="1"/>
      <c r="K1093" s="1"/>
      <c r="L1093" s="1"/>
      <c r="M1093" s="1"/>
      <c r="N1093" s="1"/>
      <c r="O1093" s="1"/>
      <c r="P1093" s="1"/>
      <c r="Q1093" s="1"/>
    </row>
    <row r="1094" spans="1:17">
      <c r="A1094" s="1"/>
      <c r="B1094" s="1"/>
      <c r="C1094" s="1"/>
      <c r="D1094" s="1" t="s">
        <v>5475</v>
      </c>
      <c r="E1094" s="1" t="s">
        <v>449</v>
      </c>
      <c r="F1094" s="1"/>
      <c r="G1094" s="1"/>
      <c r="H1094" s="1"/>
      <c r="J1094" s="1"/>
      <c r="K1094" s="1"/>
      <c r="L1094" s="1"/>
      <c r="M1094" s="1"/>
      <c r="N1094" s="1"/>
      <c r="O1094" s="1"/>
      <c r="P1094" s="1"/>
      <c r="Q1094" s="1"/>
    </row>
    <row r="1095" spans="1:17">
      <c r="A1095" s="1"/>
      <c r="B1095" s="1" t="s">
        <v>3074</v>
      </c>
      <c r="C1095" s="1" t="s">
        <v>3075</v>
      </c>
      <c r="D1095" s="1" t="s">
        <v>5360</v>
      </c>
      <c r="E1095" s="1" t="s">
        <v>743</v>
      </c>
      <c r="F1095" s="1">
        <v>1</v>
      </c>
      <c r="G1095" s="1">
        <v>1.49</v>
      </c>
      <c r="H1095" s="1">
        <v>1</v>
      </c>
      <c r="J1095" s="1" t="s">
        <v>293</v>
      </c>
      <c r="K1095" s="1" t="s">
        <v>3076</v>
      </c>
      <c r="L1095" s="1">
        <v>18211101501</v>
      </c>
      <c r="M1095" s="1" t="s">
        <v>3077</v>
      </c>
      <c r="N1095" s="1" t="s">
        <v>3078</v>
      </c>
      <c r="O1095" s="1" t="s">
        <v>3077</v>
      </c>
      <c r="P1095" s="1">
        <v>18211101501</v>
      </c>
      <c r="Q1095" s="1" t="s">
        <v>3079</v>
      </c>
    </row>
    <row r="1096" spans="1:17">
      <c r="A1096" s="1"/>
      <c r="B1096" s="1" t="s">
        <v>3081</v>
      </c>
      <c r="C1096" s="1" t="s">
        <v>3082</v>
      </c>
      <c r="D1096" s="1" t="s">
        <v>5196</v>
      </c>
      <c r="E1096" s="1" t="s">
        <v>687</v>
      </c>
      <c r="F1096" s="1">
        <v>1</v>
      </c>
      <c r="G1096" s="1">
        <v>0.81</v>
      </c>
      <c r="H1096" s="1">
        <v>4</v>
      </c>
      <c r="J1096" s="1" t="s">
        <v>293</v>
      </c>
      <c r="K1096" s="1" t="s">
        <v>3086</v>
      </c>
      <c r="L1096" s="1">
        <v>15080609972</v>
      </c>
      <c r="M1096" s="1" t="s">
        <v>3087</v>
      </c>
      <c r="N1096" s="1" t="s">
        <v>3088</v>
      </c>
      <c r="O1096" s="1" t="s">
        <v>3089</v>
      </c>
      <c r="P1096" s="1">
        <v>18569076228</v>
      </c>
      <c r="Q1096" s="1" t="s">
        <v>3090</v>
      </c>
    </row>
    <row r="1097" spans="1:17">
      <c r="A1097" s="1"/>
      <c r="B1097" s="1"/>
      <c r="C1097" s="1"/>
      <c r="D1097" s="1" t="s">
        <v>5393</v>
      </c>
      <c r="E1097" s="1" t="s">
        <v>1210</v>
      </c>
      <c r="F1097" s="1"/>
      <c r="G1097" s="1"/>
      <c r="H1097" s="1"/>
      <c r="I1097" s="1" t="s">
        <v>4995</v>
      </c>
      <c r="J1097" s="1"/>
      <c r="K1097" s="1"/>
      <c r="L1097" s="1"/>
      <c r="M1097" s="1"/>
      <c r="N1097" s="1"/>
      <c r="O1097" s="1"/>
      <c r="P1097" s="1"/>
      <c r="Q1097" s="1"/>
    </row>
    <row r="1098" spans="1:17">
      <c r="A1098" s="1"/>
      <c r="B1098" s="1" t="s">
        <v>3092</v>
      </c>
      <c r="C1098" s="1" t="s">
        <v>3093</v>
      </c>
      <c r="D1098" s="1" t="s">
        <v>5014</v>
      </c>
      <c r="E1098" s="1" t="s">
        <v>625</v>
      </c>
      <c r="F1098" s="1">
        <v>1</v>
      </c>
      <c r="G1098" s="1">
        <v>1.72</v>
      </c>
      <c r="H1098" s="1">
        <v>9</v>
      </c>
      <c r="I1098" s="1" t="s">
        <v>5048</v>
      </c>
      <c r="J1098" s="1" t="s">
        <v>40</v>
      </c>
      <c r="K1098" s="1" t="s">
        <v>3096</v>
      </c>
      <c r="L1098" s="1">
        <v>13601294381</v>
      </c>
      <c r="M1098" s="1" t="s">
        <v>3097</v>
      </c>
      <c r="N1098" s="1" t="s">
        <v>3096</v>
      </c>
      <c r="O1098" s="1" t="s">
        <v>3097</v>
      </c>
      <c r="P1098" s="1">
        <v>13601294381</v>
      </c>
      <c r="Q1098" s="1" t="s">
        <v>3098</v>
      </c>
    </row>
    <row r="1099" spans="1:17">
      <c r="A1099" s="1"/>
      <c r="B1099" s="1"/>
      <c r="C1099" s="1"/>
      <c r="D1099" s="1" t="s">
        <v>5023</v>
      </c>
      <c r="E1099" s="1" t="s">
        <v>625</v>
      </c>
      <c r="F1099" s="1"/>
      <c r="G1099" s="1"/>
      <c r="H1099" s="1"/>
      <c r="I1099" s="1" t="s">
        <v>5476</v>
      </c>
      <c r="J1099" s="1"/>
      <c r="K1099" s="1"/>
      <c r="L1099" s="1"/>
      <c r="M1099" s="1"/>
      <c r="N1099" s="1"/>
      <c r="O1099" s="1"/>
      <c r="P1099" s="1"/>
      <c r="Q1099" s="1"/>
    </row>
    <row r="1100" spans="1:17">
      <c r="A1100" s="1"/>
      <c r="B1100" s="1"/>
      <c r="C1100" s="1"/>
      <c r="D1100" s="1" t="s">
        <v>5146</v>
      </c>
      <c r="E1100" s="1" t="s">
        <v>625</v>
      </c>
      <c r="F1100" s="1"/>
      <c r="G1100" s="1"/>
      <c r="H1100" s="1"/>
      <c r="I1100" s="1" t="s">
        <v>5101</v>
      </c>
      <c r="J1100" s="1"/>
      <c r="K1100" s="1"/>
      <c r="L1100" s="1"/>
      <c r="M1100" s="1"/>
      <c r="N1100" s="1"/>
      <c r="O1100" s="1"/>
      <c r="P1100" s="1"/>
      <c r="Q1100" s="1"/>
    </row>
    <row r="1101" spans="1:17">
      <c r="A1101" s="1"/>
      <c r="B1101" s="1"/>
      <c r="C1101" s="1"/>
      <c r="D1101" s="1" t="s">
        <v>5477</v>
      </c>
      <c r="E1101" s="1" t="s">
        <v>625</v>
      </c>
      <c r="F1101" s="1"/>
      <c r="G1101" s="1"/>
      <c r="H1101" s="1"/>
      <c r="I1101" s="1" t="s">
        <v>5478</v>
      </c>
      <c r="J1101" s="1"/>
      <c r="K1101" s="1"/>
      <c r="L1101" s="1"/>
      <c r="M1101" s="1"/>
      <c r="N1101" s="1"/>
      <c r="O1101" s="1"/>
      <c r="P1101" s="1"/>
      <c r="Q1101" s="1"/>
    </row>
    <row r="1102" spans="1:17">
      <c r="A1102" s="1"/>
      <c r="B1102" s="1"/>
      <c r="C1102" s="1"/>
      <c r="D1102" s="1" t="s">
        <v>5128</v>
      </c>
      <c r="E1102" s="1" t="s">
        <v>625</v>
      </c>
      <c r="F1102" s="1"/>
      <c r="G1102" s="1"/>
      <c r="H1102" s="1"/>
      <c r="I1102" s="1" t="s">
        <v>4987</v>
      </c>
      <c r="J1102" s="1"/>
      <c r="K1102" s="1"/>
      <c r="L1102" s="1"/>
      <c r="M1102" s="1"/>
      <c r="N1102" s="1"/>
      <c r="O1102" s="1"/>
      <c r="P1102" s="1"/>
      <c r="Q1102" s="1"/>
    </row>
    <row r="1103" spans="1:17">
      <c r="A1103" s="1"/>
      <c r="B1103" s="1"/>
      <c r="C1103" s="1"/>
      <c r="D1103" s="1" t="s">
        <v>5363</v>
      </c>
      <c r="E1103" s="1" t="s">
        <v>625</v>
      </c>
      <c r="F1103" s="1"/>
      <c r="G1103" s="1"/>
      <c r="H1103" s="1"/>
      <c r="I1103" s="1" t="s">
        <v>4963</v>
      </c>
      <c r="J1103" s="1"/>
      <c r="K1103" s="1"/>
      <c r="L1103" s="1"/>
      <c r="M1103" s="1"/>
      <c r="N1103" s="1"/>
      <c r="O1103" s="1"/>
      <c r="P1103" s="1"/>
      <c r="Q1103" s="1"/>
    </row>
    <row r="1104" spans="1:17">
      <c r="A1104" s="1"/>
      <c r="B1104" s="1" t="s">
        <v>3100</v>
      </c>
      <c r="C1104" s="1" t="s">
        <v>3101</v>
      </c>
      <c r="D1104" s="1" t="s">
        <v>5479</v>
      </c>
      <c r="E1104" s="1" t="s">
        <v>625</v>
      </c>
      <c r="F1104" s="1">
        <v>1</v>
      </c>
      <c r="G1104" s="1">
        <v>1.49</v>
      </c>
      <c r="H1104" s="1">
        <v>10</v>
      </c>
      <c r="I1104" s="1" t="s">
        <v>4985</v>
      </c>
      <c r="J1104" s="1" t="s">
        <v>40</v>
      </c>
      <c r="K1104" s="1" t="s">
        <v>3104</v>
      </c>
      <c r="L1104" s="1">
        <v>18612378200</v>
      </c>
      <c r="M1104" s="1" t="s">
        <v>3105</v>
      </c>
      <c r="N1104" s="1" t="s">
        <v>3104</v>
      </c>
      <c r="O1104" s="1" t="s">
        <v>3105</v>
      </c>
      <c r="P1104" s="1">
        <v>18612378200</v>
      </c>
      <c r="Q1104" s="1" t="s">
        <v>3106</v>
      </c>
    </row>
    <row r="1105" spans="1:17">
      <c r="A1105" s="1"/>
      <c r="B1105" s="1"/>
      <c r="C1105" s="1"/>
      <c r="D1105" s="1" t="s">
        <v>5029</v>
      </c>
      <c r="E1105" s="1" t="s">
        <v>625</v>
      </c>
      <c r="F1105" s="1"/>
      <c r="G1105" s="1"/>
      <c r="H1105" s="1"/>
      <c r="I1105" s="1" t="s">
        <v>4987</v>
      </c>
      <c r="J1105" s="1"/>
      <c r="K1105" s="1"/>
      <c r="L1105" s="1"/>
      <c r="M1105" s="1"/>
      <c r="N1105" s="1"/>
      <c r="O1105" s="1"/>
      <c r="P1105" s="1"/>
      <c r="Q1105" s="1"/>
    </row>
    <row r="1106" spans="1:17">
      <c r="A1106" s="1"/>
      <c r="B1106" s="1"/>
      <c r="C1106" s="1"/>
      <c r="D1106" s="1" t="s">
        <v>5128</v>
      </c>
      <c r="E1106" s="1" t="s">
        <v>625</v>
      </c>
      <c r="F1106" s="1"/>
      <c r="G1106" s="1"/>
      <c r="H1106" s="1"/>
      <c r="I1106" s="1" t="s">
        <v>4987</v>
      </c>
      <c r="J1106" s="1"/>
      <c r="K1106" s="1"/>
      <c r="L1106" s="1"/>
      <c r="M1106" s="1"/>
      <c r="N1106" s="1"/>
      <c r="O1106" s="1"/>
      <c r="P1106" s="1"/>
      <c r="Q1106" s="1"/>
    </row>
    <row r="1107" spans="1:17">
      <c r="A1107" s="1"/>
      <c r="B1107" s="1"/>
      <c r="C1107" s="1"/>
      <c r="D1107" s="1" t="s">
        <v>5030</v>
      </c>
      <c r="E1107" s="1" t="s">
        <v>625</v>
      </c>
      <c r="F1107" s="1"/>
      <c r="G1107" s="1"/>
      <c r="H1107" s="1"/>
      <c r="I1107" s="1" t="s">
        <v>4987</v>
      </c>
      <c r="J1107" s="1"/>
      <c r="K1107" s="1"/>
      <c r="L1107" s="1"/>
      <c r="M1107" s="1"/>
      <c r="N1107" s="1"/>
      <c r="O1107" s="1"/>
      <c r="P1107" s="1"/>
      <c r="Q1107" s="1"/>
    </row>
    <row r="1108" spans="1:17">
      <c r="A1108" s="1"/>
      <c r="B1108" s="1"/>
      <c r="C1108" s="1"/>
      <c r="D1108" s="1" t="s">
        <v>5130</v>
      </c>
      <c r="E1108" s="1" t="s">
        <v>625</v>
      </c>
      <c r="F1108" s="1"/>
      <c r="G1108" s="1"/>
      <c r="H1108" s="1"/>
      <c r="I1108" s="1" t="s">
        <v>4983</v>
      </c>
      <c r="J1108" s="1"/>
      <c r="K1108" s="1"/>
      <c r="L1108" s="1"/>
      <c r="M1108" s="1"/>
      <c r="N1108" s="1"/>
      <c r="O1108" s="1"/>
      <c r="P1108" s="1"/>
      <c r="Q1108" s="1"/>
    </row>
    <row r="1109" spans="1:17">
      <c r="A1109" s="1"/>
      <c r="B1109" s="1"/>
      <c r="C1109" s="1"/>
      <c r="D1109" s="1" t="s">
        <v>5016</v>
      </c>
      <c r="E1109" s="1" t="s">
        <v>625</v>
      </c>
      <c r="F1109" s="1"/>
      <c r="G1109" s="1"/>
      <c r="H1109" s="1"/>
      <c r="I1109" s="1" t="s">
        <v>4985</v>
      </c>
      <c r="J1109" s="1"/>
      <c r="K1109" s="1"/>
      <c r="L1109" s="1"/>
      <c r="M1109" s="1"/>
      <c r="N1109" s="1"/>
      <c r="O1109" s="1"/>
      <c r="P1109" s="1"/>
      <c r="Q1109" s="1"/>
    </row>
    <row r="1110" spans="1:17">
      <c r="A1110" s="1"/>
      <c r="B1110" s="1"/>
      <c r="C1110" s="1"/>
      <c r="D1110" s="1" t="s">
        <v>5018</v>
      </c>
      <c r="E1110" s="1" t="s">
        <v>625</v>
      </c>
      <c r="F1110" s="1"/>
      <c r="G1110" s="1"/>
      <c r="H1110" s="1"/>
      <c r="I1110" s="1" t="s">
        <v>5476</v>
      </c>
      <c r="J1110" s="1"/>
      <c r="K1110" s="1"/>
      <c r="L1110" s="1"/>
      <c r="M1110" s="1"/>
      <c r="N1110" s="1"/>
      <c r="O1110" s="1"/>
      <c r="P1110" s="1"/>
      <c r="Q1110" s="1"/>
    </row>
    <row r="1111" spans="1:17">
      <c r="A1111" s="1"/>
      <c r="B1111" s="1" t="s">
        <v>3108</v>
      </c>
      <c r="C1111" s="1" t="s">
        <v>3109</v>
      </c>
      <c r="D1111" s="1" t="s">
        <v>5480</v>
      </c>
      <c r="E1111" s="1" t="s">
        <v>625</v>
      </c>
      <c r="F1111" s="1">
        <v>1</v>
      </c>
      <c r="G1111" s="1">
        <v>0.81</v>
      </c>
      <c r="H1111" s="1">
        <v>9</v>
      </c>
      <c r="J1111" s="1" t="s">
        <v>40</v>
      </c>
      <c r="K1111" s="1" t="s">
        <v>3111</v>
      </c>
      <c r="L1111" s="1">
        <v>18921628904</v>
      </c>
      <c r="M1111" s="1" t="s">
        <v>3112</v>
      </c>
      <c r="N1111" s="1" t="s">
        <v>3113</v>
      </c>
      <c r="O1111" s="1" t="s">
        <v>3114</v>
      </c>
      <c r="P1111" s="1">
        <v>13801590621</v>
      </c>
      <c r="Q1111" s="1" t="s">
        <v>3115</v>
      </c>
    </row>
    <row r="1112" spans="1:17">
      <c r="A1112" s="1"/>
      <c r="B1112" s="1" t="s">
        <v>3117</v>
      </c>
      <c r="C1112" s="1" t="s">
        <v>3118</v>
      </c>
      <c r="D1112" s="1" t="s">
        <v>5481</v>
      </c>
      <c r="E1112" s="1" t="s">
        <v>625</v>
      </c>
      <c r="F1112" s="1">
        <v>1</v>
      </c>
      <c r="G1112" s="1">
        <v>1.04</v>
      </c>
      <c r="H1112" s="1">
        <v>10</v>
      </c>
      <c r="J1112" s="1" t="s">
        <v>40</v>
      </c>
      <c r="K1112" s="1" t="s">
        <v>3111</v>
      </c>
      <c r="L1112" s="1">
        <v>18921628904</v>
      </c>
      <c r="M1112" s="1" t="s">
        <v>3112</v>
      </c>
      <c r="N1112" s="1" t="s">
        <v>3120</v>
      </c>
      <c r="O1112" s="1" t="s">
        <v>3121</v>
      </c>
      <c r="P1112" s="1">
        <v>13912302656</v>
      </c>
      <c r="Q1112" s="1" t="s">
        <v>3122</v>
      </c>
    </row>
    <row r="1113" spans="1:17">
      <c r="A1113" s="1"/>
      <c r="B1113" s="1"/>
      <c r="C1113" s="1"/>
      <c r="D1113" s="1" t="s">
        <v>5236</v>
      </c>
      <c r="E1113" s="1" t="s">
        <v>625</v>
      </c>
      <c r="F1113" s="1"/>
      <c r="G1113" s="1"/>
      <c r="H1113" s="1"/>
      <c r="J1113" s="1"/>
      <c r="K1113" s="1"/>
      <c r="L1113" s="1"/>
      <c r="M1113" s="1"/>
      <c r="N1113" s="1"/>
      <c r="O1113" s="1"/>
      <c r="P1113" s="1"/>
      <c r="Q1113" s="1"/>
    </row>
    <row r="1114" spans="1:17">
      <c r="A1114" s="1"/>
      <c r="B1114" s="1"/>
      <c r="C1114" s="1"/>
      <c r="D1114" s="1" t="s">
        <v>5015</v>
      </c>
      <c r="E1114" s="1" t="s">
        <v>625</v>
      </c>
      <c r="F1114" s="1"/>
      <c r="G1114" s="1"/>
      <c r="H1114" s="1"/>
      <c r="J1114" s="1"/>
      <c r="K1114" s="1"/>
      <c r="L1114" s="1"/>
      <c r="M1114" s="1"/>
      <c r="N1114" s="1"/>
      <c r="O1114" s="1"/>
      <c r="P1114" s="1"/>
      <c r="Q1114" s="1"/>
    </row>
    <row r="1115" spans="1:17">
      <c r="A1115" s="1"/>
      <c r="B1115" s="1" t="s">
        <v>3124</v>
      </c>
      <c r="C1115" s="1" t="s">
        <v>3125</v>
      </c>
      <c r="D1115" s="1" t="s">
        <v>5076</v>
      </c>
      <c r="E1115" s="1" t="s">
        <v>5206</v>
      </c>
      <c r="F1115" s="1">
        <v>1</v>
      </c>
      <c r="G1115" s="1">
        <v>1.26</v>
      </c>
      <c r="H1115" s="1">
        <v>7</v>
      </c>
      <c r="J1115" s="1" t="s">
        <v>29</v>
      </c>
      <c r="K1115" s="1" t="s">
        <v>2043</v>
      </c>
      <c r="L1115" s="1">
        <v>13824680321</v>
      </c>
      <c r="M1115" s="1" t="s">
        <v>3128</v>
      </c>
      <c r="N1115" s="1" t="s">
        <v>3129</v>
      </c>
      <c r="O1115" s="1" t="s">
        <v>3128</v>
      </c>
      <c r="P1115" s="1">
        <v>13824680321</v>
      </c>
      <c r="Q1115" s="1" t="s">
        <v>3130</v>
      </c>
    </row>
    <row r="1116" spans="1:17">
      <c r="A1116" s="1"/>
      <c r="B1116" s="1"/>
      <c r="C1116" s="1"/>
      <c r="D1116" s="1" t="s">
        <v>5076</v>
      </c>
      <c r="E1116" s="1" t="s">
        <v>2413</v>
      </c>
      <c r="F1116" s="1"/>
      <c r="G1116" s="1"/>
      <c r="H1116" s="1"/>
      <c r="J1116" s="1"/>
      <c r="K1116" s="1"/>
      <c r="L1116" s="1"/>
      <c r="M1116" s="1"/>
      <c r="N1116" s="1"/>
      <c r="O1116" s="1"/>
      <c r="P1116" s="1"/>
      <c r="Q1116" s="1"/>
    </row>
    <row r="1117" spans="1:17">
      <c r="A1117" s="1"/>
      <c r="B1117" s="1"/>
      <c r="C1117" s="1"/>
      <c r="D1117" s="1" t="s">
        <v>5482</v>
      </c>
      <c r="E1117" s="1" t="s">
        <v>2413</v>
      </c>
      <c r="F1117" s="1"/>
      <c r="G1117" s="1"/>
      <c r="H1117" s="1"/>
      <c r="J1117" s="1"/>
      <c r="K1117" s="1"/>
      <c r="L1117" s="1"/>
      <c r="M1117" s="1"/>
      <c r="N1117" s="1"/>
      <c r="O1117" s="1"/>
      <c r="P1117" s="1"/>
      <c r="Q1117" s="1"/>
    </row>
    <row r="1118" spans="1:17">
      <c r="A1118" s="1"/>
      <c r="B1118" s="1"/>
      <c r="C1118" s="1"/>
      <c r="D1118" s="1" t="s">
        <v>5365</v>
      </c>
      <c r="E1118" s="1" t="s">
        <v>2413</v>
      </c>
      <c r="F1118" s="1"/>
      <c r="G1118" s="1"/>
      <c r="H1118" s="1"/>
      <c r="J1118" s="1"/>
      <c r="K1118" s="1"/>
      <c r="L1118" s="1"/>
      <c r="M1118" s="1"/>
      <c r="N1118" s="1"/>
      <c r="O1118" s="1"/>
      <c r="P1118" s="1"/>
      <c r="Q1118" s="1"/>
    </row>
    <row r="1119" spans="1:17">
      <c r="A1119" s="1"/>
      <c r="B1119" s="1" t="s">
        <v>3132</v>
      </c>
      <c r="C1119" s="1" t="s">
        <v>3133</v>
      </c>
      <c r="D1119" s="1" t="s">
        <v>5346</v>
      </c>
      <c r="E1119" s="1" t="s">
        <v>2920</v>
      </c>
      <c r="F1119" s="1">
        <v>1</v>
      </c>
      <c r="G1119" s="1">
        <v>0.35</v>
      </c>
      <c r="H1119" s="1">
        <v>2</v>
      </c>
      <c r="J1119" s="1" t="s">
        <v>103</v>
      </c>
      <c r="K1119" s="1" t="s">
        <v>3135</v>
      </c>
      <c r="L1119" s="1">
        <v>13535056510</v>
      </c>
      <c r="M1119" s="1" t="s">
        <v>3136</v>
      </c>
      <c r="N1119" s="1" t="s">
        <v>3137</v>
      </c>
      <c r="O1119" s="1" t="s">
        <v>3136</v>
      </c>
      <c r="P1119" s="1">
        <v>13535056510</v>
      </c>
      <c r="Q1119" s="1" t="s">
        <v>3138</v>
      </c>
    </row>
    <row r="1120" spans="1:17">
      <c r="A1120" s="1"/>
      <c r="B1120" s="1" t="s">
        <v>3140</v>
      </c>
      <c r="C1120" s="1" t="s">
        <v>3141</v>
      </c>
      <c r="D1120" s="1" t="s">
        <v>5136</v>
      </c>
      <c r="E1120" s="1" t="s">
        <v>2920</v>
      </c>
      <c r="F1120" s="1">
        <v>1</v>
      </c>
      <c r="G1120" s="1">
        <v>1.04</v>
      </c>
      <c r="H1120" s="1">
        <v>5</v>
      </c>
      <c r="J1120" s="1" t="s">
        <v>103</v>
      </c>
      <c r="K1120" s="1" t="s">
        <v>1878</v>
      </c>
      <c r="L1120" s="1">
        <v>13574113564</v>
      </c>
      <c r="M1120" s="1" t="s">
        <v>1879</v>
      </c>
      <c r="N1120" s="1" t="s">
        <v>1878</v>
      </c>
      <c r="O1120" s="1" t="s">
        <v>1879</v>
      </c>
      <c r="P1120" s="1">
        <v>13574113564</v>
      </c>
      <c r="Q1120" s="1" t="s">
        <v>3143</v>
      </c>
    </row>
    <row r="1121" spans="1:17">
      <c r="A1121" s="1"/>
      <c r="B1121" s="1"/>
      <c r="C1121" s="1"/>
      <c r="D1121" s="1" t="s">
        <v>5483</v>
      </c>
      <c r="E1121" s="1" t="s">
        <v>2920</v>
      </c>
      <c r="F1121" s="1"/>
      <c r="G1121" s="1"/>
      <c r="H1121" s="1"/>
      <c r="J1121" s="1"/>
      <c r="K1121" s="1"/>
      <c r="L1121" s="1"/>
      <c r="M1121" s="1"/>
      <c r="N1121" s="1"/>
      <c r="O1121" s="1"/>
      <c r="P1121" s="1"/>
      <c r="Q1121" s="1"/>
    </row>
    <row r="1122" spans="1:17">
      <c r="A1122" s="1"/>
      <c r="B1122" s="1" t="s">
        <v>3145</v>
      </c>
      <c r="C1122" s="1" t="s">
        <v>3146</v>
      </c>
      <c r="D1122" s="1" t="s">
        <v>5393</v>
      </c>
      <c r="E1122" s="1" t="s">
        <v>1210</v>
      </c>
      <c r="F1122" s="1">
        <v>1</v>
      </c>
      <c r="G1122" s="1">
        <v>1.26</v>
      </c>
      <c r="H1122" s="1">
        <v>7</v>
      </c>
      <c r="I1122" s="1" t="s">
        <v>4995</v>
      </c>
      <c r="J1122" s="1" t="s">
        <v>29</v>
      </c>
      <c r="K1122" s="1" t="s">
        <v>3150</v>
      </c>
      <c r="L1122" s="1">
        <v>13969103407</v>
      </c>
      <c r="M1122" s="1" t="s">
        <v>3151</v>
      </c>
      <c r="N1122" s="1" t="s">
        <v>3152</v>
      </c>
      <c r="O1122" s="1" t="s">
        <v>3153</v>
      </c>
      <c r="P1122" s="1">
        <v>15098956666</v>
      </c>
      <c r="Q1122" s="1" t="s">
        <v>3154</v>
      </c>
    </row>
    <row r="1123" spans="1:17">
      <c r="A1123" s="1"/>
      <c r="B1123" s="1"/>
      <c r="C1123" s="1"/>
      <c r="D1123" s="1" t="s">
        <v>5280</v>
      </c>
      <c r="E1123" s="1" t="s">
        <v>1210</v>
      </c>
      <c r="F1123" s="1"/>
      <c r="G1123" s="1"/>
      <c r="H1123" s="1"/>
      <c r="I1123" s="1" t="s">
        <v>4995</v>
      </c>
      <c r="J1123" s="1"/>
      <c r="K1123" s="1"/>
      <c r="L1123" s="1"/>
      <c r="M1123" s="1"/>
      <c r="N1123" s="1"/>
      <c r="O1123" s="1"/>
      <c r="P1123" s="1"/>
      <c r="Q1123" s="1"/>
    </row>
    <row r="1124" spans="1:17">
      <c r="A1124" s="1"/>
      <c r="B1124" s="1"/>
      <c r="C1124" s="1"/>
      <c r="D1124" s="1" t="s">
        <v>5484</v>
      </c>
      <c r="E1124" s="1" t="s">
        <v>5485</v>
      </c>
      <c r="F1124" s="1"/>
      <c r="G1124" s="1"/>
      <c r="H1124" s="1"/>
      <c r="I1124" s="1" t="s">
        <v>5486</v>
      </c>
      <c r="J1124" s="1"/>
      <c r="K1124" s="1"/>
      <c r="L1124" s="1"/>
      <c r="M1124" s="1"/>
      <c r="N1124" s="1"/>
      <c r="O1124" s="1"/>
      <c r="P1124" s="1"/>
      <c r="Q1124" s="1"/>
    </row>
    <row r="1125" spans="1:17">
      <c r="A1125" s="1"/>
      <c r="B1125" s="1"/>
      <c r="C1125" s="1"/>
      <c r="D1125" s="1" t="s">
        <v>5484</v>
      </c>
      <c r="E1125" s="1" t="s">
        <v>5487</v>
      </c>
      <c r="F1125" s="1"/>
      <c r="G1125" s="1"/>
      <c r="H1125" s="1"/>
      <c r="I1125" s="1" t="s">
        <v>5488</v>
      </c>
      <c r="J1125" s="1"/>
      <c r="K1125" s="1"/>
      <c r="L1125" s="1"/>
      <c r="M1125" s="1"/>
      <c r="N1125" s="1"/>
      <c r="O1125" s="1"/>
      <c r="P1125" s="1"/>
      <c r="Q1125" s="1"/>
    </row>
    <row r="1126" spans="1:17">
      <c r="A1126" s="1"/>
      <c r="B1126" s="1"/>
      <c r="C1126" s="1"/>
      <c r="D1126" s="1" t="s">
        <v>5091</v>
      </c>
      <c r="E1126" s="1" t="s">
        <v>5063</v>
      </c>
      <c r="F1126" s="1"/>
      <c r="G1126" s="1"/>
      <c r="H1126" s="1"/>
      <c r="J1126" s="1"/>
      <c r="K1126" s="1"/>
      <c r="L1126" s="1"/>
      <c r="M1126" s="1"/>
      <c r="N1126" s="1"/>
      <c r="O1126" s="1"/>
      <c r="P1126" s="1"/>
      <c r="Q1126" s="1"/>
    </row>
    <row r="1127" spans="1:17">
      <c r="A1127" s="1"/>
      <c r="B1127" s="1" t="s">
        <v>3156</v>
      </c>
      <c r="C1127" s="1" t="s">
        <v>3157</v>
      </c>
      <c r="D1127" s="1" t="s">
        <v>5489</v>
      </c>
      <c r="E1127" s="1" t="s">
        <v>696</v>
      </c>
      <c r="F1127" s="1">
        <v>1</v>
      </c>
      <c r="G1127" s="1">
        <v>1.72</v>
      </c>
      <c r="H1127" s="1">
        <v>15</v>
      </c>
      <c r="J1127" s="1" t="s">
        <v>29</v>
      </c>
      <c r="K1127" s="1" t="s">
        <v>697</v>
      </c>
      <c r="L1127" s="1">
        <v>13635290903</v>
      </c>
      <c r="M1127" s="1" t="s">
        <v>698</v>
      </c>
      <c r="N1127" s="1" t="s">
        <v>697</v>
      </c>
      <c r="O1127" s="1" t="s">
        <v>3160</v>
      </c>
      <c r="P1127" s="1">
        <v>13706989652</v>
      </c>
      <c r="Q1127" s="1" t="s">
        <v>3161</v>
      </c>
    </row>
    <row r="1128" spans="1:17">
      <c r="A1128" s="1"/>
      <c r="B1128" s="1"/>
      <c r="C1128" s="1"/>
      <c r="D1128" s="1" t="s">
        <v>5490</v>
      </c>
      <c r="E1128" s="1" t="s">
        <v>696</v>
      </c>
      <c r="F1128" s="1"/>
      <c r="G1128" s="1"/>
      <c r="H1128" s="1"/>
      <c r="J1128" s="1"/>
      <c r="K1128" s="1"/>
      <c r="L1128" s="1"/>
      <c r="M1128" s="1"/>
      <c r="N1128" s="1"/>
      <c r="O1128" s="1"/>
      <c r="P1128" s="1"/>
      <c r="Q1128" s="1"/>
    </row>
    <row r="1129" spans="1:17">
      <c r="A1129" s="1"/>
      <c r="B1129" s="1" t="s">
        <v>3163</v>
      </c>
      <c r="C1129" s="1" t="s">
        <v>3164</v>
      </c>
      <c r="D1129" s="1" t="s">
        <v>5076</v>
      </c>
      <c r="E1129" s="1" t="s">
        <v>2413</v>
      </c>
      <c r="F1129" s="1">
        <v>1</v>
      </c>
      <c r="G1129" s="1">
        <v>0.81</v>
      </c>
      <c r="H1129" s="1">
        <v>3</v>
      </c>
      <c r="I1129" s="1" t="s">
        <v>450</v>
      </c>
      <c r="J1129" s="1" t="s">
        <v>29</v>
      </c>
      <c r="K1129" s="1" t="s">
        <v>3168</v>
      </c>
      <c r="L1129" s="1">
        <v>13786667118</v>
      </c>
      <c r="M1129" s="1" t="s">
        <v>3169</v>
      </c>
      <c r="N1129" s="1" t="s">
        <v>3168</v>
      </c>
      <c r="O1129" s="1" t="s">
        <v>3169</v>
      </c>
      <c r="P1129" s="1">
        <v>13786667118</v>
      </c>
      <c r="Q1129" s="1" t="s">
        <v>3170</v>
      </c>
    </row>
    <row r="1130" spans="1:17">
      <c r="A1130" s="1"/>
      <c r="B1130" s="1"/>
      <c r="C1130" s="1"/>
      <c r="D1130" s="1" t="s">
        <v>5491</v>
      </c>
      <c r="E1130" s="1" t="s">
        <v>5260</v>
      </c>
      <c r="F1130" s="1"/>
      <c r="G1130" s="1"/>
      <c r="H1130" s="1"/>
      <c r="I1130" s="1" t="s">
        <v>5111</v>
      </c>
      <c r="J1130" s="1"/>
      <c r="K1130" s="1"/>
      <c r="L1130" s="1"/>
      <c r="M1130" s="1"/>
      <c r="N1130" s="1"/>
      <c r="O1130" s="1"/>
      <c r="P1130" s="1"/>
      <c r="Q1130" s="1"/>
    </row>
    <row r="1131" spans="1:17">
      <c r="A1131" s="1"/>
      <c r="B1131" s="1" t="s">
        <v>3172</v>
      </c>
      <c r="C1131" s="1" t="s">
        <v>3173</v>
      </c>
      <c r="D1131" s="1" t="s">
        <v>5492</v>
      </c>
      <c r="E1131" s="1" t="s">
        <v>625</v>
      </c>
      <c r="F1131" s="1">
        <v>1</v>
      </c>
      <c r="G1131" s="1">
        <v>1.72</v>
      </c>
      <c r="H1131" s="1">
        <v>10</v>
      </c>
      <c r="I1131" s="1" t="s">
        <v>4985</v>
      </c>
      <c r="J1131" s="1" t="s">
        <v>40</v>
      </c>
      <c r="K1131" s="1" t="s">
        <v>752</v>
      </c>
      <c r="L1131" s="1">
        <v>18958811267</v>
      </c>
      <c r="M1131" s="1" t="s">
        <v>753</v>
      </c>
      <c r="N1131" s="1" t="s">
        <v>3176</v>
      </c>
      <c r="O1131" s="1" t="s">
        <v>3177</v>
      </c>
      <c r="P1131" s="1">
        <v>13587983336</v>
      </c>
      <c r="Q1131" s="1" t="s">
        <v>3178</v>
      </c>
    </row>
    <row r="1132" spans="1:17">
      <c r="A1132" s="1"/>
      <c r="B1132" s="1" t="s">
        <v>3180</v>
      </c>
      <c r="C1132" s="1" t="s">
        <v>3181</v>
      </c>
      <c r="D1132" s="1" t="s">
        <v>5493</v>
      </c>
      <c r="E1132" s="1" t="s">
        <v>1633</v>
      </c>
      <c r="F1132" s="1">
        <v>1</v>
      </c>
      <c r="G1132" s="1">
        <v>0.81</v>
      </c>
      <c r="H1132" s="1">
        <v>6</v>
      </c>
      <c r="I1132" s="1" t="s">
        <v>1634</v>
      </c>
      <c r="J1132" s="1" t="s">
        <v>29</v>
      </c>
      <c r="K1132" s="1" t="s">
        <v>3184</v>
      </c>
      <c r="L1132" s="1">
        <v>13903460303</v>
      </c>
      <c r="M1132" s="1" t="s">
        <v>3185</v>
      </c>
      <c r="N1132" s="1" t="s">
        <v>3186</v>
      </c>
      <c r="O1132" s="1" t="s">
        <v>3187</v>
      </c>
      <c r="P1132" s="1">
        <v>18503512661</v>
      </c>
      <c r="Q1132" s="1" t="s">
        <v>3188</v>
      </c>
    </row>
    <row r="1133" spans="1:17">
      <c r="A1133" s="1"/>
      <c r="B1133" s="1"/>
      <c r="C1133" s="1"/>
      <c r="D1133" s="1" t="s">
        <v>5494</v>
      </c>
      <c r="E1133" s="1" t="s">
        <v>1633</v>
      </c>
      <c r="F1133" s="1"/>
      <c r="G1133" s="1"/>
      <c r="H1133" s="1"/>
      <c r="I1133" s="1" t="s">
        <v>5008</v>
      </c>
      <c r="J1133" s="1"/>
      <c r="K1133" s="1"/>
      <c r="L1133" s="1"/>
      <c r="M1133" s="1"/>
      <c r="N1133" s="1"/>
      <c r="O1133" s="1"/>
      <c r="P1133" s="1"/>
      <c r="Q1133" s="1"/>
    </row>
    <row r="1134" spans="1:17">
      <c r="A1134" s="1"/>
      <c r="B1134" s="1"/>
      <c r="C1134" s="1"/>
      <c r="D1134" s="1" t="s">
        <v>5495</v>
      </c>
      <c r="E1134" s="1" t="s">
        <v>1633</v>
      </c>
      <c r="F1134" s="1"/>
      <c r="G1134" s="1"/>
      <c r="H1134" s="1"/>
      <c r="I1134" s="1" t="s">
        <v>1142</v>
      </c>
      <c r="J1134" s="1"/>
      <c r="K1134" s="1"/>
      <c r="L1134" s="1"/>
      <c r="M1134" s="1"/>
      <c r="N1134" s="1"/>
      <c r="O1134" s="1"/>
      <c r="P1134" s="1"/>
      <c r="Q1134" s="1"/>
    </row>
    <row r="1135" spans="1:17">
      <c r="A1135" s="1"/>
      <c r="B1135" s="1" t="s">
        <v>3190</v>
      </c>
      <c r="C1135" s="1" t="s">
        <v>3191</v>
      </c>
      <c r="D1135" s="1" t="s">
        <v>5131</v>
      </c>
      <c r="E1135" s="1" t="s">
        <v>625</v>
      </c>
      <c r="F1135" s="1">
        <v>1</v>
      </c>
      <c r="G1135" s="1">
        <v>2.17</v>
      </c>
      <c r="H1135" s="1">
        <v>3</v>
      </c>
      <c r="I1135" s="1" t="s">
        <v>5132</v>
      </c>
      <c r="J1135" s="1" t="s">
        <v>40</v>
      </c>
      <c r="K1135" s="1" t="s">
        <v>660</v>
      </c>
      <c r="L1135" s="1">
        <v>13135347968</v>
      </c>
      <c r="M1135" s="1" t="s">
        <v>661</v>
      </c>
      <c r="N1135" s="1" t="s">
        <v>3193</v>
      </c>
      <c r="O1135" s="1" t="s">
        <v>3194</v>
      </c>
      <c r="P1135" s="1">
        <v>13973445534</v>
      </c>
      <c r="Q1135" s="1" t="s">
        <v>3195</v>
      </c>
    </row>
    <row r="1136" spans="1:17">
      <c r="A1136" s="1"/>
      <c r="B1136" s="1"/>
      <c r="C1136" s="1"/>
      <c r="D1136" s="1" t="s">
        <v>5019</v>
      </c>
      <c r="E1136" s="1" t="s">
        <v>625</v>
      </c>
      <c r="F1136" s="1"/>
      <c r="G1136" s="1"/>
      <c r="H1136" s="1"/>
      <c r="J1136" s="1"/>
      <c r="K1136" s="1"/>
      <c r="L1136" s="1"/>
      <c r="M1136" s="1"/>
      <c r="N1136" s="1"/>
      <c r="O1136" s="1"/>
      <c r="P1136" s="1"/>
      <c r="Q1136" s="1"/>
    </row>
    <row r="1137" spans="1:17">
      <c r="A1137" s="1"/>
      <c r="B1137" s="1" t="s">
        <v>3197</v>
      </c>
      <c r="C1137" s="1" t="s">
        <v>3198</v>
      </c>
      <c r="D1137" s="1" t="s">
        <v>5014</v>
      </c>
      <c r="E1137" s="1" t="s">
        <v>625</v>
      </c>
      <c r="F1137" s="1">
        <v>1</v>
      </c>
      <c r="G1137" s="1">
        <v>1.04</v>
      </c>
      <c r="H1137" s="1">
        <v>4</v>
      </c>
      <c r="J1137" s="1" t="s">
        <v>40</v>
      </c>
      <c r="K1137" s="1" t="s">
        <v>2060</v>
      </c>
      <c r="L1137" s="1">
        <v>13878572611</v>
      </c>
      <c r="M1137" s="1" t="s">
        <v>2061</v>
      </c>
      <c r="N1137" s="1" t="s">
        <v>3199</v>
      </c>
      <c r="O1137" s="1" t="s">
        <v>2061</v>
      </c>
      <c r="P1137" s="1">
        <v>13878572611</v>
      </c>
      <c r="Q1137" s="1" t="s">
        <v>3200</v>
      </c>
    </row>
    <row r="1138" spans="1:17">
      <c r="A1138" s="1"/>
      <c r="B1138" s="1"/>
      <c r="C1138" s="1"/>
      <c r="D1138" s="1" t="s">
        <v>5018</v>
      </c>
      <c r="E1138" s="1" t="s">
        <v>625</v>
      </c>
      <c r="F1138" s="1"/>
      <c r="G1138" s="1"/>
      <c r="H1138" s="1"/>
      <c r="J1138" s="1"/>
      <c r="K1138" s="1"/>
      <c r="L1138" s="1"/>
      <c r="M1138" s="1"/>
      <c r="N1138" s="1"/>
      <c r="O1138" s="1"/>
      <c r="P1138" s="1"/>
      <c r="Q1138" s="1"/>
    </row>
    <row r="1139" spans="1:17">
      <c r="A1139" s="1"/>
      <c r="B1139" s="1" t="s">
        <v>3202</v>
      </c>
      <c r="C1139" s="1" t="s">
        <v>3203</v>
      </c>
      <c r="D1139" s="1" t="s">
        <v>5496</v>
      </c>
      <c r="E1139" s="1" t="s">
        <v>1210</v>
      </c>
      <c r="F1139" s="1">
        <v>1</v>
      </c>
      <c r="G1139" s="1">
        <v>2.17</v>
      </c>
      <c r="H1139" s="1">
        <v>5</v>
      </c>
      <c r="I1139" s="1" t="s">
        <v>164</v>
      </c>
      <c r="J1139" s="1" t="s">
        <v>29</v>
      </c>
      <c r="K1139" s="1" t="s">
        <v>2070</v>
      </c>
      <c r="L1139" s="1">
        <v>15806214222</v>
      </c>
      <c r="M1139" s="1" t="s">
        <v>2071</v>
      </c>
      <c r="N1139" s="1" t="s">
        <v>3205</v>
      </c>
      <c r="O1139" s="1" t="s">
        <v>2071</v>
      </c>
      <c r="P1139" s="1">
        <v>15806214222</v>
      </c>
      <c r="Q1139" s="1" t="s">
        <v>3206</v>
      </c>
    </row>
    <row r="1140" spans="1:17">
      <c r="A1140" s="1"/>
      <c r="B1140" s="1" t="s">
        <v>3208</v>
      </c>
      <c r="C1140" s="1" t="s">
        <v>3209</v>
      </c>
      <c r="D1140" s="1" t="s">
        <v>5497</v>
      </c>
      <c r="E1140" s="1" t="s">
        <v>625</v>
      </c>
      <c r="F1140" s="1">
        <v>1</v>
      </c>
      <c r="G1140" s="1">
        <v>1.95</v>
      </c>
      <c r="H1140" s="1">
        <v>10</v>
      </c>
      <c r="I1140" s="1" t="s">
        <v>4985</v>
      </c>
      <c r="J1140" s="1" t="s">
        <v>40</v>
      </c>
      <c r="K1140" s="1" t="s">
        <v>803</v>
      </c>
      <c r="L1140" s="1">
        <v>13905157909</v>
      </c>
      <c r="M1140" s="1" t="s">
        <v>804</v>
      </c>
      <c r="N1140" s="1" t="s">
        <v>3211</v>
      </c>
      <c r="O1140" s="1" t="s">
        <v>3212</v>
      </c>
      <c r="P1140" s="1">
        <v>13770500190</v>
      </c>
      <c r="Q1140" s="1" t="s">
        <v>3213</v>
      </c>
    </row>
    <row r="1141" spans="1:17">
      <c r="A1141" s="1"/>
      <c r="B1141" s="1" t="s">
        <v>3215</v>
      </c>
      <c r="C1141" s="1" t="s">
        <v>3216</v>
      </c>
      <c r="D1141" s="1" t="s">
        <v>5498</v>
      </c>
      <c r="E1141" s="1" t="s">
        <v>625</v>
      </c>
      <c r="F1141" s="1">
        <v>1</v>
      </c>
      <c r="G1141" s="1">
        <v>1.26</v>
      </c>
      <c r="H1141" s="1">
        <v>13</v>
      </c>
      <c r="I1141" s="1" t="s">
        <v>4987</v>
      </c>
      <c r="J1141" s="1" t="s">
        <v>40</v>
      </c>
      <c r="K1141" s="1" t="s">
        <v>812</v>
      </c>
      <c r="L1141" s="1">
        <v>13601026293</v>
      </c>
      <c r="M1141" s="1" t="s">
        <v>813</v>
      </c>
      <c r="N1141" s="1" t="s">
        <v>812</v>
      </c>
      <c r="O1141" s="1" t="s">
        <v>3218</v>
      </c>
      <c r="P1141" s="1">
        <v>18668080997</v>
      </c>
      <c r="Q1141" s="1" t="s">
        <v>3219</v>
      </c>
    </row>
    <row r="1142" spans="1:17">
      <c r="A1142" s="1"/>
      <c r="B1142" s="1"/>
      <c r="C1142" s="1"/>
      <c r="D1142" s="1" t="s">
        <v>5335</v>
      </c>
      <c r="E1142" s="1" t="s">
        <v>625</v>
      </c>
      <c r="F1142" s="1"/>
      <c r="G1142" s="1"/>
      <c r="H1142" s="1"/>
      <c r="I1142" s="1" t="s">
        <v>4987</v>
      </c>
      <c r="J1142" s="1"/>
      <c r="K1142" s="1"/>
      <c r="L1142" s="1"/>
      <c r="M1142" s="1"/>
      <c r="N1142" s="1"/>
      <c r="O1142" s="1"/>
      <c r="P1142" s="1"/>
      <c r="Q1142" s="1"/>
    </row>
    <row r="1143" spans="1:17">
      <c r="A1143" s="1"/>
      <c r="B1143" s="1" t="s">
        <v>3221</v>
      </c>
      <c r="C1143" s="1" t="s">
        <v>3222</v>
      </c>
      <c r="D1143" s="1" t="s">
        <v>5499</v>
      </c>
      <c r="E1143" s="1" t="s">
        <v>5500</v>
      </c>
      <c r="F1143" s="1">
        <v>1</v>
      </c>
      <c r="G1143" s="1">
        <v>1.04</v>
      </c>
      <c r="H1143" s="1">
        <v>8</v>
      </c>
      <c r="J1143" s="1" t="s">
        <v>29</v>
      </c>
      <c r="K1143" s="1" t="s">
        <v>3226</v>
      </c>
      <c r="L1143" s="1">
        <v>14709956766</v>
      </c>
      <c r="M1143" s="1" t="s">
        <v>3227</v>
      </c>
      <c r="N1143" s="1" t="s">
        <v>3228</v>
      </c>
      <c r="O1143" s="1" t="s">
        <v>3227</v>
      </c>
      <c r="P1143" s="1">
        <v>14709956766</v>
      </c>
      <c r="Q1143" s="1" t="s">
        <v>3229</v>
      </c>
    </row>
    <row r="1144" spans="1:17">
      <c r="A1144" s="1"/>
      <c r="B1144" s="1"/>
      <c r="C1144" s="1"/>
      <c r="D1144" s="1" t="s">
        <v>5501</v>
      </c>
      <c r="E1144" s="1" t="s">
        <v>5500</v>
      </c>
      <c r="F1144" s="1"/>
      <c r="G1144" s="1"/>
      <c r="H1144" s="1"/>
      <c r="I1144" s="1" t="s">
        <v>5013</v>
      </c>
      <c r="J1144" s="1"/>
      <c r="K1144" s="1"/>
      <c r="L1144" s="1"/>
      <c r="M1144" s="1"/>
      <c r="N1144" s="1"/>
      <c r="O1144" s="1"/>
      <c r="P1144" s="1"/>
      <c r="Q1144" s="1"/>
    </row>
    <row r="1145" spans="1:17">
      <c r="A1145" s="1"/>
      <c r="B1145" s="1"/>
      <c r="C1145" s="1"/>
      <c r="D1145" s="1" t="s">
        <v>5502</v>
      </c>
      <c r="E1145" s="1" t="s">
        <v>5500</v>
      </c>
      <c r="F1145" s="1"/>
      <c r="G1145" s="1"/>
      <c r="H1145" s="1"/>
      <c r="J1145" s="1"/>
      <c r="K1145" s="1"/>
      <c r="L1145" s="1"/>
      <c r="M1145" s="1"/>
      <c r="N1145" s="1"/>
      <c r="O1145" s="1"/>
      <c r="P1145" s="1"/>
      <c r="Q1145" s="1"/>
    </row>
    <row r="1146" spans="1:17">
      <c r="A1146" s="1"/>
      <c r="B1146" s="1"/>
      <c r="C1146" s="1"/>
      <c r="D1146" s="1" t="s">
        <v>5502</v>
      </c>
      <c r="E1146" s="1" t="s">
        <v>5500</v>
      </c>
      <c r="F1146" s="1"/>
      <c r="G1146" s="1"/>
      <c r="H1146" s="1"/>
      <c r="J1146" s="1"/>
      <c r="K1146" s="1"/>
      <c r="L1146" s="1"/>
      <c r="M1146" s="1"/>
      <c r="N1146" s="1"/>
      <c r="O1146" s="1"/>
      <c r="P1146" s="1"/>
      <c r="Q1146" s="1"/>
    </row>
    <row r="1147" spans="1:17">
      <c r="A1147" s="1"/>
      <c r="B1147" s="1"/>
      <c r="C1147" s="1"/>
      <c r="D1147" s="1" t="s">
        <v>5336</v>
      </c>
      <c r="E1147" s="1" t="s">
        <v>5500</v>
      </c>
      <c r="F1147" s="1"/>
      <c r="G1147" s="1"/>
      <c r="H1147" s="1"/>
      <c r="J1147" s="1"/>
      <c r="K1147" s="1"/>
      <c r="L1147" s="1"/>
      <c r="M1147" s="1"/>
      <c r="N1147" s="1"/>
      <c r="O1147" s="1"/>
      <c r="P1147" s="1"/>
      <c r="Q1147" s="1"/>
    </row>
    <row r="1148" spans="1:17">
      <c r="A1148" s="1"/>
      <c r="B1148" s="1"/>
      <c r="C1148" s="1"/>
      <c r="D1148" s="1" t="s">
        <v>5174</v>
      </c>
      <c r="E1148" s="1" t="s">
        <v>420</v>
      </c>
      <c r="F1148" s="1"/>
      <c r="G1148" s="1"/>
      <c r="H1148" s="1"/>
      <c r="J1148" s="1"/>
      <c r="K1148" s="1"/>
      <c r="L1148" s="1"/>
      <c r="M1148" s="1"/>
      <c r="N1148" s="1"/>
      <c r="O1148" s="1"/>
      <c r="P1148" s="1"/>
      <c r="Q1148" s="1"/>
    </row>
    <row r="1149" spans="1:17">
      <c r="A1149" s="1"/>
      <c r="B1149" s="1"/>
      <c r="C1149" s="1"/>
      <c r="D1149" s="1" t="s">
        <v>5437</v>
      </c>
      <c r="E1149" s="1" t="s">
        <v>420</v>
      </c>
      <c r="F1149" s="1"/>
      <c r="G1149" s="1"/>
      <c r="H1149" s="1"/>
      <c r="J1149" s="1"/>
      <c r="K1149" s="1"/>
      <c r="L1149" s="1"/>
      <c r="M1149" s="1"/>
      <c r="N1149" s="1"/>
      <c r="O1149" s="1"/>
      <c r="P1149" s="1"/>
      <c r="Q1149" s="1"/>
    </row>
    <row r="1150" spans="1:17">
      <c r="A1150" s="1"/>
      <c r="B1150" s="1" t="s">
        <v>3231</v>
      </c>
      <c r="C1150" s="1" t="s">
        <v>3232</v>
      </c>
      <c r="D1150" s="1" t="s">
        <v>5027</v>
      </c>
      <c r="E1150" s="1" t="s">
        <v>625</v>
      </c>
      <c r="F1150" s="1">
        <v>1</v>
      </c>
      <c r="G1150" s="1">
        <v>1.49</v>
      </c>
      <c r="H1150" s="1">
        <v>12</v>
      </c>
      <c r="J1150" s="1" t="s">
        <v>40</v>
      </c>
      <c r="K1150" s="1" t="s">
        <v>252</v>
      </c>
      <c r="L1150" s="1">
        <v>13662476777</v>
      </c>
      <c r="M1150" s="1" t="s">
        <v>253</v>
      </c>
      <c r="N1150" s="1" t="s">
        <v>252</v>
      </c>
      <c r="O1150" s="1" t="s">
        <v>3233</v>
      </c>
      <c r="P1150" s="1">
        <v>13923117252</v>
      </c>
      <c r="Q1150" s="1" t="s">
        <v>3234</v>
      </c>
    </row>
    <row r="1151" spans="1:17">
      <c r="A1151" s="1"/>
      <c r="B1151" s="1"/>
      <c r="C1151" s="1"/>
      <c r="D1151" s="1" t="s">
        <v>5028</v>
      </c>
      <c r="E1151" s="1" t="s">
        <v>625</v>
      </c>
      <c r="F1151" s="1"/>
      <c r="G1151" s="1"/>
      <c r="H1151" s="1"/>
      <c r="J1151" s="1"/>
      <c r="K1151" s="1"/>
      <c r="L1151" s="1"/>
      <c r="M1151" s="1"/>
      <c r="N1151" s="1"/>
      <c r="O1151" s="1"/>
      <c r="P1151" s="1"/>
      <c r="Q1151" s="1"/>
    </row>
    <row r="1152" spans="1:17">
      <c r="A1152" s="1"/>
      <c r="B1152" s="1"/>
      <c r="C1152" s="1"/>
      <c r="D1152" s="1" t="s">
        <v>5015</v>
      </c>
      <c r="E1152" s="1" t="s">
        <v>625</v>
      </c>
      <c r="F1152" s="1"/>
      <c r="G1152" s="1"/>
      <c r="H1152" s="1"/>
      <c r="J1152" s="1"/>
      <c r="K1152" s="1"/>
      <c r="L1152" s="1"/>
      <c r="M1152" s="1"/>
      <c r="N1152" s="1"/>
      <c r="O1152" s="1"/>
      <c r="P1152" s="1"/>
      <c r="Q1152" s="1"/>
    </row>
    <row r="1153" spans="1:17">
      <c r="A1153" s="1"/>
      <c r="B1153" s="1"/>
      <c r="C1153" s="1"/>
      <c r="D1153" s="1" t="s">
        <v>5029</v>
      </c>
      <c r="E1153" s="1" t="s">
        <v>625</v>
      </c>
      <c r="F1153" s="1"/>
      <c r="G1153" s="1"/>
      <c r="H1153" s="1"/>
      <c r="J1153" s="1"/>
      <c r="K1153" s="1"/>
      <c r="L1153" s="1"/>
      <c r="M1153" s="1"/>
      <c r="N1153" s="1"/>
      <c r="O1153" s="1"/>
      <c r="P1153" s="1"/>
      <c r="Q1153" s="1"/>
    </row>
    <row r="1154" spans="1:17">
      <c r="A1154" s="1"/>
      <c r="B1154" s="1"/>
      <c r="C1154" s="1"/>
      <c r="D1154" s="1" t="s">
        <v>5030</v>
      </c>
      <c r="E1154" s="1" t="s">
        <v>625</v>
      </c>
      <c r="F1154" s="1"/>
      <c r="G1154" s="1"/>
      <c r="H1154" s="1"/>
      <c r="J1154" s="1"/>
      <c r="K1154" s="1"/>
      <c r="L1154" s="1"/>
      <c r="M1154" s="1"/>
      <c r="N1154" s="1"/>
      <c r="O1154" s="1"/>
      <c r="P1154" s="1"/>
      <c r="Q1154" s="1"/>
    </row>
    <row r="1155" spans="1:17">
      <c r="A1155" s="1"/>
      <c r="B1155" s="1"/>
      <c r="C1155" s="1"/>
      <c r="D1155" s="1" t="s">
        <v>5026</v>
      </c>
      <c r="E1155" s="1" t="s">
        <v>625</v>
      </c>
      <c r="F1155" s="1"/>
      <c r="G1155" s="1"/>
      <c r="H1155" s="1"/>
      <c r="J1155" s="1"/>
      <c r="K1155" s="1"/>
      <c r="L1155" s="1"/>
      <c r="M1155" s="1"/>
      <c r="N1155" s="1"/>
      <c r="O1155" s="1"/>
      <c r="P1155" s="1"/>
      <c r="Q1155" s="1"/>
    </row>
    <row r="1156" spans="1:17">
      <c r="A1156" s="1"/>
      <c r="B1156" s="1" t="s">
        <v>3236</v>
      </c>
      <c r="C1156" s="1" t="s">
        <v>3237</v>
      </c>
      <c r="D1156" s="1" t="s">
        <v>5020</v>
      </c>
      <c r="E1156" s="1" t="s">
        <v>625</v>
      </c>
      <c r="F1156" s="1">
        <v>1</v>
      </c>
      <c r="G1156" s="1">
        <v>1.49</v>
      </c>
      <c r="H1156" s="1">
        <v>13</v>
      </c>
      <c r="J1156" s="1" t="s">
        <v>40</v>
      </c>
      <c r="K1156" s="1" t="s">
        <v>263</v>
      </c>
      <c r="L1156" s="1">
        <v>13710770402</v>
      </c>
      <c r="M1156" s="1" t="s">
        <v>264</v>
      </c>
      <c r="N1156" s="1" t="s">
        <v>263</v>
      </c>
      <c r="O1156" s="1" t="s">
        <v>3238</v>
      </c>
      <c r="P1156" s="1">
        <v>18680582402</v>
      </c>
      <c r="Q1156" s="1" t="s">
        <v>3239</v>
      </c>
    </row>
    <row r="1157" spans="1:17">
      <c r="A1157" s="1"/>
      <c r="B1157" s="1"/>
      <c r="C1157" s="1"/>
      <c r="D1157" s="1" t="s">
        <v>5031</v>
      </c>
      <c r="E1157" s="1" t="s">
        <v>625</v>
      </c>
      <c r="F1157" s="1"/>
      <c r="G1157" s="1"/>
      <c r="H1157" s="1"/>
      <c r="J1157" s="1"/>
      <c r="K1157" s="1"/>
      <c r="L1157" s="1"/>
      <c r="M1157" s="1"/>
      <c r="N1157" s="1"/>
      <c r="O1157" s="1"/>
      <c r="P1157" s="1"/>
      <c r="Q1157" s="1"/>
    </row>
    <row r="1158" spans="1:17">
      <c r="A1158" s="1"/>
      <c r="B1158" s="1"/>
      <c r="C1158" s="1"/>
      <c r="D1158" s="1" t="s">
        <v>5032</v>
      </c>
      <c r="E1158" s="1" t="s">
        <v>625</v>
      </c>
      <c r="F1158" s="1"/>
      <c r="G1158" s="1"/>
      <c r="H1158" s="1"/>
      <c r="J1158" s="1"/>
      <c r="K1158" s="1"/>
      <c r="L1158" s="1"/>
      <c r="M1158" s="1"/>
      <c r="N1158" s="1"/>
      <c r="O1158" s="1"/>
      <c r="P1158" s="1"/>
      <c r="Q1158" s="1"/>
    </row>
    <row r="1159" spans="1:17">
      <c r="A1159" s="1"/>
      <c r="B1159" s="1"/>
      <c r="C1159" s="1"/>
      <c r="D1159" s="1" t="s">
        <v>5033</v>
      </c>
      <c r="E1159" s="1" t="s">
        <v>625</v>
      </c>
      <c r="F1159" s="1"/>
      <c r="G1159" s="1"/>
      <c r="H1159" s="1"/>
      <c r="J1159" s="1"/>
      <c r="K1159" s="1"/>
      <c r="L1159" s="1"/>
      <c r="M1159" s="1"/>
      <c r="N1159" s="1"/>
      <c r="O1159" s="1"/>
      <c r="P1159" s="1"/>
      <c r="Q1159" s="1"/>
    </row>
    <row r="1160" spans="1:17">
      <c r="A1160" s="1"/>
      <c r="B1160" s="1"/>
      <c r="C1160" s="1"/>
      <c r="D1160" s="1" t="s">
        <v>5034</v>
      </c>
      <c r="E1160" s="1" t="s">
        <v>625</v>
      </c>
      <c r="F1160" s="1"/>
      <c r="G1160" s="1"/>
      <c r="H1160" s="1"/>
      <c r="J1160" s="1"/>
      <c r="K1160" s="1"/>
      <c r="L1160" s="1"/>
      <c r="M1160" s="1"/>
      <c r="N1160" s="1"/>
      <c r="O1160" s="1"/>
      <c r="P1160" s="1"/>
      <c r="Q1160" s="1"/>
    </row>
    <row r="1161" spans="1:17">
      <c r="A1161" s="1"/>
      <c r="B1161" s="1" t="s">
        <v>3241</v>
      </c>
      <c r="C1161" s="1" t="s">
        <v>3242</v>
      </c>
      <c r="D1161" s="1" t="s">
        <v>5024</v>
      </c>
      <c r="E1161" s="1" t="s">
        <v>625</v>
      </c>
      <c r="F1161" s="1">
        <v>1</v>
      </c>
      <c r="G1161" s="1">
        <v>1.95</v>
      </c>
      <c r="H1161" s="1">
        <v>15</v>
      </c>
      <c r="J1161" s="1" t="s">
        <v>40</v>
      </c>
      <c r="K1161" s="1" t="s">
        <v>272</v>
      </c>
      <c r="L1161" s="1">
        <v>13928780807</v>
      </c>
      <c r="M1161" s="1" t="s">
        <v>273</v>
      </c>
      <c r="N1161" s="1" t="s">
        <v>3244</v>
      </c>
      <c r="O1161" s="1" t="s">
        <v>3245</v>
      </c>
      <c r="P1161" s="1">
        <v>18938822062</v>
      </c>
      <c r="Q1161" s="1" t="s">
        <v>3246</v>
      </c>
    </row>
    <row r="1162" spans="1:17">
      <c r="A1162" s="1"/>
      <c r="B1162" s="1"/>
      <c r="C1162" s="1"/>
      <c r="D1162" s="1" t="s">
        <v>4988</v>
      </c>
      <c r="E1162" s="1" t="s">
        <v>625</v>
      </c>
      <c r="F1162" s="1"/>
      <c r="G1162" s="1"/>
      <c r="H1162" s="1"/>
      <c r="J1162" s="1"/>
      <c r="K1162" s="1"/>
      <c r="L1162" s="1"/>
      <c r="M1162" s="1"/>
      <c r="N1162" s="1"/>
      <c r="O1162" s="1"/>
      <c r="P1162" s="1"/>
      <c r="Q1162" s="1"/>
    </row>
    <row r="1163" spans="1:17">
      <c r="A1163" s="1"/>
      <c r="B1163" s="1"/>
      <c r="C1163" s="1"/>
      <c r="D1163" s="1" t="s">
        <v>5252</v>
      </c>
      <c r="E1163" s="1" t="s">
        <v>625</v>
      </c>
      <c r="F1163" s="1"/>
      <c r="G1163" s="1"/>
      <c r="H1163" s="1"/>
      <c r="J1163" s="1"/>
      <c r="K1163" s="1"/>
      <c r="L1163" s="1"/>
      <c r="M1163" s="1"/>
      <c r="N1163" s="1"/>
      <c r="O1163" s="1"/>
      <c r="P1163" s="1"/>
      <c r="Q1163" s="1"/>
    </row>
    <row r="1164" spans="1:17">
      <c r="A1164" s="1"/>
      <c r="B1164" s="1"/>
      <c r="C1164" s="1"/>
      <c r="D1164" s="1" t="s">
        <v>5037</v>
      </c>
      <c r="E1164" s="1" t="s">
        <v>625</v>
      </c>
      <c r="F1164" s="1"/>
      <c r="G1164" s="1"/>
      <c r="H1164" s="1"/>
      <c r="J1164" s="1"/>
      <c r="K1164" s="1"/>
      <c r="L1164" s="1"/>
      <c r="M1164" s="1"/>
      <c r="N1164" s="1"/>
      <c r="O1164" s="1"/>
      <c r="P1164" s="1"/>
      <c r="Q1164" s="1"/>
    </row>
    <row r="1165" spans="1:17">
      <c r="A1165" s="1"/>
      <c r="B1165" s="1"/>
      <c r="C1165" s="1"/>
      <c r="D1165" s="1" t="s">
        <v>5022</v>
      </c>
      <c r="E1165" s="1" t="s">
        <v>625</v>
      </c>
      <c r="F1165" s="1"/>
      <c r="G1165" s="1"/>
      <c r="H1165" s="1"/>
      <c r="J1165" s="1"/>
      <c r="K1165" s="1"/>
      <c r="L1165" s="1"/>
      <c r="M1165" s="1"/>
      <c r="N1165" s="1"/>
      <c r="O1165" s="1"/>
      <c r="P1165" s="1"/>
      <c r="Q1165" s="1"/>
    </row>
    <row r="1166" spans="1:17">
      <c r="A1166" s="1"/>
      <c r="B1166" s="1" t="s">
        <v>3248</v>
      </c>
      <c r="C1166" s="1" t="s">
        <v>3249</v>
      </c>
      <c r="D1166" s="1" t="s">
        <v>5098</v>
      </c>
      <c r="E1166" s="1" t="s">
        <v>625</v>
      </c>
      <c r="F1166" s="1">
        <v>1</v>
      </c>
      <c r="G1166" s="1">
        <v>0.81</v>
      </c>
      <c r="H1166" s="1">
        <v>8</v>
      </c>
      <c r="I1166" s="1" t="s">
        <v>4983</v>
      </c>
      <c r="J1166" s="1" t="s">
        <v>40</v>
      </c>
      <c r="K1166" s="1" t="s">
        <v>2832</v>
      </c>
      <c r="L1166" s="1">
        <v>13612937458</v>
      </c>
      <c r="M1166" s="1" t="s">
        <v>2833</v>
      </c>
      <c r="N1166" s="1" t="s">
        <v>2832</v>
      </c>
      <c r="O1166" s="1" t="s">
        <v>2833</v>
      </c>
      <c r="P1166" s="1">
        <v>13612937458</v>
      </c>
      <c r="Q1166" s="1" t="s">
        <v>3252</v>
      </c>
    </row>
    <row r="1167" spans="1:17">
      <c r="A1167" s="1"/>
      <c r="B1167" s="1"/>
      <c r="C1167" s="1"/>
      <c r="D1167" s="1" t="s">
        <v>5163</v>
      </c>
      <c r="E1167" s="1" t="s">
        <v>625</v>
      </c>
      <c r="F1167" s="1"/>
      <c r="G1167" s="1"/>
      <c r="H1167" s="1"/>
      <c r="I1167" s="1" t="s">
        <v>5050</v>
      </c>
      <c r="J1167" s="1"/>
      <c r="K1167" s="1"/>
      <c r="L1167" s="1"/>
      <c r="M1167" s="1"/>
      <c r="N1167" s="1"/>
      <c r="O1167" s="1"/>
      <c r="P1167" s="1"/>
      <c r="Q1167" s="1"/>
    </row>
    <row r="1168" spans="1:17">
      <c r="A1168" s="1"/>
      <c r="B1168" s="1"/>
      <c r="C1168" s="1"/>
      <c r="D1168" s="1" t="s">
        <v>5096</v>
      </c>
      <c r="E1168" s="1" t="s">
        <v>625</v>
      </c>
      <c r="F1168" s="1"/>
      <c r="G1168" s="1"/>
      <c r="H1168" s="1"/>
      <c r="I1168" s="1" t="s">
        <v>4983</v>
      </c>
      <c r="J1168" s="1"/>
      <c r="K1168" s="1"/>
      <c r="L1168" s="1"/>
      <c r="M1168" s="1"/>
      <c r="N1168" s="1"/>
      <c r="O1168" s="1"/>
      <c r="P1168" s="1"/>
      <c r="Q1168" s="1"/>
    </row>
    <row r="1169" spans="1:17">
      <c r="A1169" s="1"/>
      <c r="B1169" s="1"/>
      <c r="C1169" s="1"/>
      <c r="D1169" s="1" t="s">
        <v>5103</v>
      </c>
      <c r="E1169" s="1" t="s">
        <v>625</v>
      </c>
      <c r="F1169" s="1"/>
      <c r="G1169" s="1"/>
      <c r="H1169" s="1"/>
      <c r="I1169" s="1" t="s">
        <v>4987</v>
      </c>
      <c r="J1169" s="1"/>
      <c r="K1169" s="1"/>
      <c r="L1169" s="1"/>
      <c r="M1169" s="1"/>
      <c r="N1169" s="1"/>
      <c r="O1169" s="1"/>
      <c r="P1169" s="1"/>
      <c r="Q1169" s="1"/>
    </row>
    <row r="1170" spans="1:17">
      <c r="A1170" s="1"/>
      <c r="B1170" s="1" t="s">
        <v>3254</v>
      </c>
      <c r="C1170" s="1" t="s">
        <v>3255</v>
      </c>
      <c r="D1170" s="1" t="s">
        <v>4984</v>
      </c>
      <c r="E1170" s="1" t="s">
        <v>625</v>
      </c>
      <c r="F1170" s="1">
        <v>1</v>
      </c>
      <c r="G1170" s="1">
        <v>1.49</v>
      </c>
      <c r="H1170" s="1">
        <v>12</v>
      </c>
      <c r="I1170" s="1" t="s">
        <v>4985</v>
      </c>
      <c r="J1170" s="1" t="s">
        <v>40</v>
      </c>
      <c r="K1170" s="1" t="s">
        <v>2109</v>
      </c>
      <c r="L1170" s="1">
        <v>13555827588</v>
      </c>
      <c r="M1170" s="1" t="s">
        <v>2110</v>
      </c>
      <c r="N1170" s="1" t="s">
        <v>3257</v>
      </c>
      <c r="O1170" s="1" t="s">
        <v>3258</v>
      </c>
      <c r="P1170" s="1">
        <v>13840175050</v>
      </c>
      <c r="Q1170" s="1" t="s">
        <v>3259</v>
      </c>
    </row>
    <row r="1171" spans="1:17">
      <c r="A1171" s="1"/>
      <c r="B1171" s="1"/>
      <c r="C1171" s="1"/>
      <c r="D1171" s="1" t="s">
        <v>5317</v>
      </c>
      <c r="E1171" s="1" t="s">
        <v>625</v>
      </c>
      <c r="F1171" s="1"/>
      <c r="G1171" s="1"/>
      <c r="H1171" s="1"/>
      <c r="I1171" s="1" t="s">
        <v>4987</v>
      </c>
      <c r="J1171" s="1"/>
      <c r="K1171" s="1"/>
      <c r="L1171" s="1"/>
      <c r="M1171" s="1"/>
      <c r="N1171" s="1"/>
      <c r="O1171" s="1"/>
      <c r="P1171" s="1"/>
      <c r="Q1171" s="1"/>
    </row>
    <row r="1172" spans="1:17">
      <c r="A1172" s="1"/>
      <c r="B1172" s="1"/>
      <c r="C1172" s="1"/>
      <c r="D1172" s="1" t="s">
        <v>5072</v>
      </c>
      <c r="E1172" s="1" t="s">
        <v>625</v>
      </c>
      <c r="F1172" s="1"/>
      <c r="G1172" s="1"/>
      <c r="H1172" s="1"/>
      <c r="I1172" s="1" t="s">
        <v>4987</v>
      </c>
      <c r="J1172" s="1"/>
      <c r="K1172" s="1"/>
      <c r="L1172" s="1"/>
      <c r="M1172" s="1"/>
      <c r="N1172" s="1"/>
      <c r="O1172" s="1"/>
      <c r="P1172" s="1"/>
      <c r="Q1172" s="1"/>
    </row>
    <row r="1173" spans="1:17">
      <c r="A1173" s="1"/>
      <c r="B1173" s="1" t="s">
        <v>3261</v>
      </c>
      <c r="C1173" s="1" t="s">
        <v>3262</v>
      </c>
      <c r="D1173" s="1" t="s">
        <v>5018</v>
      </c>
      <c r="E1173" s="1" t="s">
        <v>625</v>
      </c>
      <c r="F1173" s="1">
        <v>1</v>
      </c>
      <c r="G1173" s="1">
        <v>1.26</v>
      </c>
      <c r="H1173" s="1">
        <v>12</v>
      </c>
      <c r="I1173" s="1" t="s">
        <v>5101</v>
      </c>
      <c r="J1173" s="1" t="s">
        <v>40</v>
      </c>
      <c r="K1173" s="1" t="s">
        <v>331</v>
      </c>
      <c r="L1173" s="1">
        <v>13906685749</v>
      </c>
      <c r="M1173" s="1" t="s">
        <v>332</v>
      </c>
      <c r="N1173" s="1" t="s">
        <v>331</v>
      </c>
      <c r="O1173" s="1" t="s">
        <v>3265</v>
      </c>
      <c r="P1173" s="1">
        <v>18057450020</v>
      </c>
      <c r="Q1173" s="1" t="s">
        <v>3266</v>
      </c>
    </row>
    <row r="1174" spans="1:17">
      <c r="A1174" s="1"/>
      <c r="B1174" s="1"/>
      <c r="C1174" s="1"/>
      <c r="D1174" s="1" t="s">
        <v>5503</v>
      </c>
      <c r="E1174" s="1" t="s">
        <v>625</v>
      </c>
      <c r="F1174" s="1"/>
      <c r="G1174" s="1"/>
      <c r="H1174" s="1"/>
      <c r="I1174" s="1" t="s">
        <v>4987</v>
      </c>
      <c r="J1174" s="1"/>
      <c r="K1174" s="1"/>
      <c r="L1174" s="1"/>
      <c r="M1174" s="1"/>
      <c r="N1174" s="1"/>
      <c r="O1174" s="1"/>
      <c r="P1174" s="1"/>
      <c r="Q1174" s="1"/>
    </row>
    <row r="1175" spans="1:17">
      <c r="A1175" s="1"/>
      <c r="B1175" s="1"/>
      <c r="C1175" s="1"/>
      <c r="D1175" s="1" t="s">
        <v>5044</v>
      </c>
      <c r="E1175" s="1" t="s">
        <v>625</v>
      </c>
      <c r="F1175" s="1"/>
      <c r="G1175" s="1"/>
      <c r="H1175" s="1"/>
      <c r="I1175" s="1" t="s">
        <v>5048</v>
      </c>
      <c r="J1175" s="1"/>
      <c r="K1175" s="1"/>
      <c r="L1175" s="1"/>
      <c r="M1175" s="1"/>
      <c r="N1175" s="1"/>
      <c r="O1175" s="1"/>
      <c r="P1175" s="1"/>
      <c r="Q1175" s="1"/>
    </row>
    <row r="1176" spans="1:17">
      <c r="A1176" s="1"/>
      <c r="B1176" s="1"/>
      <c r="C1176" s="1"/>
      <c r="D1176" s="1" t="s">
        <v>5504</v>
      </c>
      <c r="E1176" s="1" t="s">
        <v>625</v>
      </c>
      <c r="F1176" s="1"/>
      <c r="G1176" s="1"/>
      <c r="H1176" s="1"/>
      <c r="I1176" s="1" t="s">
        <v>4983</v>
      </c>
      <c r="J1176" s="1"/>
      <c r="K1176" s="1"/>
      <c r="L1176" s="1"/>
      <c r="M1176" s="1"/>
      <c r="N1176" s="1"/>
      <c r="O1176" s="1"/>
      <c r="P1176" s="1"/>
      <c r="Q1176" s="1"/>
    </row>
    <row r="1177" spans="1:17">
      <c r="A1177" s="1"/>
      <c r="B1177" s="1" t="s">
        <v>3268</v>
      </c>
      <c r="C1177" s="1" t="s">
        <v>3269</v>
      </c>
      <c r="D1177" s="1" t="s">
        <v>5505</v>
      </c>
      <c r="E1177" s="1" t="s">
        <v>5506</v>
      </c>
      <c r="F1177" s="1">
        <v>1</v>
      </c>
      <c r="G1177" s="1">
        <v>1.49</v>
      </c>
      <c r="H1177" s="1">
        <v>4</v>
      </c>
      <c r="J1177" s="1" t="s">
        <v>103</v>
      </c>
      <c r="K1177" s="1" t="s">
        <v>2126</v>
      </c>
      <c r="L1177" s="1">
        <v>13321158080</v>
      </c>
      <c r="M1177" s="1" t="s">
        <v>2127</v>
      </c>
      <c r="N1177" s="1" t="s">
        <v>3272</v>
      </c>
      <c r="O1177" s="1" t="s">
        <v>2127</v>
      </c>
      <c r="P1177" s="1">
        <v>13321158080</v>
      </c>
      <c r="Q1177" s="1" t="s">
        <v>3273</v>
      </c>
    </row>
    <row r="1178" spans="1:17">
      <c r="A1178" s="1"/>
      <c r="B1178" s="1"/>
      <c r="C1178" s="1"/>
      <c r="D1178" s="1" t="s">
        <v>5376</v>
      </c>
      <c r="E1178" s="1" t="s">
        <v>5377</v>
      </c>
      <c r="F1178" s="1"/>
      <c r="G1178" s="1"/>
      <c r="H1178" s="1"/>
      <c r="J1178" s="1"/>
      <c r="K1178" s="1"/>
      <c r="L1178" s="1"/>
      <c r="M1178" s="1"/>
      <c r="N1178" s="1"/>
      <c r="O1178" s="1"/>
      <c r="P1178" s="1"/>
      <c r="Q1178" s="1"/>
    </row>
    <row r="1179" spans="1:17">
      <c r="A1179" s="1"/>
      <c r="B1179" s="1" t="s">
        <v>3275</v>
      </c>
      <c r="C1179" s="1" t="s">
        <v>3276</v>
      </c>
      <c r="D1179" s="1" t="s">
        <v>5507</v>
      </c>
      <c r="E1179" s="1" t="s">
        <v>625</v>
      </c>
      <c r="F1179" s="1">
        <v>1</v>
      </c>
      <c r="G1179" s="1">
        <v>0.35</v>
      </c>
      <c r="H1179" s="1">
        <v>5</v>
      </c>
      <c r="I1179" s="1" t="s">
        <v>4987</v>
      </c>
      <c r="J1179" s="1" t="s">
        <v>40</v>
      </c>
      <c r="K1179" s="1" t="s">
        <v>3278</v>
      </c>
      <c r="L1179" s="1">
        <v>13931522304</v>
      </c>
      <c r="M1179" s="1" t="s">
        <v>3279</v>
      </c>
      <c r="N1179" s="1" t="s">
        <v>3280</v>
      </c>
      <c r="O1179" s="1" t="s">
        <v>3279</v>
      </c>
      <c r="P1179" s="1">
        <v>13931522304</v>
      </c>
      <c r="Q1179" s="1" t="s">
        <v>3281</v>
      </c>
    </row>
    <row r="1180" spans="1:17">
      <c r="A1180" s="1"/>
      <c r="B1180" s="1"/>
      <c r="C1180" s="1"/>
      <c r="D1180" s="1" t="s">
        <v>5383</v>
      </c>
      <c r="E1180" s="1" t="s">
        <v>625</v>
      </c>
      <c r="F1180" s="1"/>
      <c r="G1180" s="1"/>
      <c r="H1180" s="1"/>
      <c r="I1180" s="1" t="s">
        <v>4987</v>
      </c>
      <c r="J1180" s="1"/>
      <c r="K1180" s="1"/>
      <c r="L1180" s="1"/>
      <c r="M1180" s="1"/>
      <c r="N1180" s="1"/>
      <c r="O1180" s="1"/>
      <c r="P1180" s="1"/>
      <c r="Q1180" s="1"/>
    </row>
    <row r="1181" spans="1:17">
      <c r="A1181" s="1"/>
      <c r="B1181" s="1" t="s">
        <v>3283</v>
      </c>
      <c r="C1181" s="1" t="s">
        <v>3284</v>
      </c>
      <c r="D1181" s="1" t="s">
        <v>5007</v>
      </c>
      <c r="E1181" s="1" t="s">
        <v>2413</v>
      </c>
      <c r="F1181" s="1">
        <v>1</v>
      </c>
      <c r="G1181" s="1">
        <v>0.81</v>
      </c>
      <c r="H1181" s="1">
        <v>14</v>
      </c>
      <c r="I1181" s="1" t="s">
        <v>5443</v>
      </c>
      <c r="J1181" s="1" t="s">
        <v>29</v>
      </c>
      <c r="K1181" s="1" t="s">
        <v>2142</v>
      </c>
      <c r="L1181" s="1">
        <v>13671107288</v>
      </c>
      <c r="M1181" s="1" t="s">
        <v>880</v>
      </c>
      <c r="N1181" s="1" t="s">
        <v>3288</v>
      </c>
      <c r="O1181" s="1" t="s">
        <v>3289</v>
      </c>
      <c r="P1181" s="1">
        <v>13910166175</v>
      </c>
      <c r="Q1181" s="1" t="s">
        <v>3290</v>
      </c>
    </row>
    <row r="1182" spans="1:17">
      <c r="A1182" s="1"/>
      <c r="B1182" s="1"/>
      <c r="C1182" s="1"/>
      <c r="D1182" s="1" t="s">
        <v>5508</v>
      </c>
      <c r="E1182" s="1" t="s">
        <v>2413</v>
      </c>
      <c r="F1182" s="1"/>
      <c r="G1182" s="1"/>
      <c r="H1182" s="1"/>
      <c r="I1182" s="1" t="s">
        <v>1634</v>
      </c>
      <c r="J1182" s="1"/>
      <c r="K1182" s="1"/>
      <c r="L1182" s="1"/>
      <c r="M1182" s="1"/>
      <c r="N1182" s="1"/>
      <c r="O1182" s="1"/>
      <c r="P1182" s="1"/>
      <c r="Q1182" s="1"/>
    </row>
    <row r="1183" spans="1:17">
      <c r="A1183" s="1"/>
      <c r="B1183" s="1"/>
      <c r="C1183" s="1"/>
      <c r="D1183" s="1" t="s">
        <v>5509</v>
      </c>
      <c r="E1183" s="1" t="s">
        <v>2413</v>
      </c>
      <c r="F1183" s="1"/>
      <c r="G1183" s="1"/>
      <c r="H1183" s="1"/>
      <c r="I1183" s="1" t="s">
        <v>4970</v>
      </c>
      <c r="J1183" s="1"/>
      <c r="K1183" s="1"/>
      <c r="L1183" s="1"/>
      <c r="M1183" s="1"/>
      <c r="N1183" s="1"/>
      <c r="O1183" s="1"/>
      <c r="P1183" s="1"/>
      <c r="Q1183" s="1"/>
    </row>
    <row r="1184" spans="1:17">
      <c r="A1184" s="1"/>
      <c r="B1184" s="1" t="s">
        <v>3292</v>
      </c>
      <c r="C1184" s="1" t="s">
        <v>3293</v>
      </c>
      <c r="D1184" s="1" t="s">
        <v>5510</v>
      </c>
      <c r="E1184" s="1" t="s">
        <v>5511</v>
      </c>
      <c r="F1184" s="1">
        <v>1</v>
      </c>
      <c r="G1184" s="1">
        <v>0.81</v>
      </c>
      <c r="H1184" s="1">
        <v>11</v>
      </c>
      <c r="J1184" s="1" t="s">
        <v>103</v>
      </c>
      <c r="K1184" s="1" t="s">
        <v>1231</v>
      </c>
      <c r="L1184" s="1">
        <v>13671107288</v>
      </c>
      <c r="M1184" s="1" t="s">
        <v>880</v>
      </c>
      <c r="N1184" s="1" t="s">
        <v>3296</v>
      </c>
      <c r="O1184" s="1" t="s">
        <v>3297</v>
      </c>
      <c r="P1184" s="1">
        <v>15110273187</v>
      </c>
      <c r="Q1184" s="1" t="s">
        <v>3298</v>
      </c>
    </row>
    <row r="1185" spans="1:17">
      <c r="A1185" s="1"/>
      <c r="B1185" s="1"/>
      <c r="C1185" s="1"/>
      <c r="D1185" s="1" t="s">
        <v>5512</v>
      </c>
      <c r="E1185" s="1" t="s">
        <v>5511</v>
      </c>
      <c r="F1185" s="1"/>
      <c r="G1185" s="1"/>
      <c r="H1185" s="1"/>
      <c r="J1185" s="1"/>
      <c r="K1185" s="1"/>
      <c r="L1185" s="1"/>
      <c r="M1185" s="1"/>
      <c r="N1185" s="1"/>
      <c r="O1185" s="1"/>
      <c r="P1185" s="1"/>
      <c r="Q1185" s="1"/>
    </row>
    <row r="1186" spans="1:17">
      <c r="A1186" s="1"/>
      <c r="B1186" s="1" t="s">
        <v>3300</v>
      </c>
      <c r="C1186" s="1" t="s">
        <v>3301</v>
      </c>
      <c r="D1186" s="1" t="s">
        <v>5513</v>
      </c>
      <c r="E1186" s="1" t="s">
        <v>5176</v>
      </c>
      <c r="F1186" s="1">
        <v>1</v>
      </c>
      <c r="G1186" s="1">
        <v>1.72</v>
      </c>
      <c r="H1186" s="1">
        <v>18</v>
      </c>
      <c r="I1186" s="1" t="s">
        <v>5173</v>
      </c>
      <c r="J1186" s="1" t="s">
        <v>29</v>
      </c>
      <c r="K1186" s="1" t="s">
        <v>890</v>
      </c>
      <c r="L1186" s="1">
        <v>18733631372</v>
      </c>
      <c r="M1186" s="1" t="s">
        <v>880</v>
      </c>
      <c r="N1186" s="1" t="s">
        <v>890</v>
      </c>
      <c r="O1186" s="1" t="s">
        <v>3305</v>
      </c>
      <c r="P1186" s="1">
        <v>18611998811</v>
      </c>
      <c r="Q1186" s="1" t="s">
        <v>3306</v>
      </c>
    </row>
    <row r="1187" spans="1:17">
      <c r="A1187" s="1"/>
      <c r="B1187" s="1"/>
      <c r="C1187" s="1"/>
      <c r="D1187" s="1" t="s">
        <v>5514</v>
      </c>
      <c r="E1187" s="1" t="s">
        <v>5176</v>
      </c>
      <c r="F1187" s="1"/>
      <c r="G1187" s="1"/>
      <c r="H1187" s="1"/>
      <c r="I1187" s="1" t="s">
        <v>5380</v>
      </c>
      <c r="J1187" s="1"/>
      <c r="K1187" s="1"/>
      <c r="L1187" s="1"/>
      <c r="M1187" s="1"/>
      <c r="N1187" s="1"/>
      <c r="O1187" s="1"/>
      <c r="P1187" s="1"/>
      <c r="Q1187" s="1"/>
    </row>
    <row r="1188" spans="1:17">
      <c r="A1188" s="1"/>
      <c r="B1188" s="1"/>
      <c r="C1188" s="1"/>
      <c r="D1188" s="1" t="s">
        <v>5515</v>
      </c>
      <c r="E1188" s="1" t="s">
        <v>5176</v>
      </c>
      <c r="F1188" s="1"/>
      <c r="G1188" s="1"/>
      <c r="H1188" s="1"/>
      <c r="I1188" s="1" t="s">
        <v>5180</v>
      </c>
      <c r="J1188" s="1"/>
      <c r="K1188" s="1"/>
      <c r="L1188" s="1"/>
      <c r="M1188" s="1"/>
      <c r="N1188" s="1"/>
      <c r="O1188" s="1"/>
      <c r="P1188" s="1"/>
      <c r="Q1188" s="1"/>
    </row>
    <row r="1189" spans="1:17">
      <c r="A1189" s="1"/>
      <c r="B1189" s="1"/>
      <c r="C1189" s="1"/>
      <c r="D1189" s="1" t="s">
        <v>5171</v>
      </c>
      <c r="E1189" s="1" t="s">
        <v>2413</v>
      </c>
      <c r="F1189" s="1"/>
      <c r="G1189" s="1"/>
      <c r="H1189" s="1"/>
      <c r="I1189" s="1" t="s">
        <v>4972</v>
      </c>
      <c r="J1189" s="1"/>
      <c r="K1189" s="1"/>
      <c r="L1189" s="1"/>
      <c r="M1189" s="1"/>
      <c r="N1189" s="1"/>
      <c r="O1189" s="1"/>
      <c r="P1189" s="1"/>
      <c r="Q1189" s="1"/>
    </row>
    <row r="1190" spans="1:17">
      <c r="A1190" s="1"/>
      <c r="B1190" s="1"/>
      <c r="C1190" s="1"/>
      <c r="D1190" s="1" t="s">
        <v>5516</v>
      </c>
      <c r="E1190" s="1" t="s">
        <v>2413</v>
      </c>
      <c r="F1190" s="1"/>
      <c r="G1190" s="1"/>
      <c r="H1190" s="1"/>
      <c r="I1190" s="1" t="s">
        <v>4970</v>
      </c>
      <c r="J1190" s="1"/>
      <c r="K1190" s="1"/>
      <c r="L1190" s="1"/>
      <c r="M1190" s="1"/>
      <c r="N1190" s="1"/>
      <c r="O1190" s="1"/>
      <c r="P1190" s="1"/>
      <c r="Q1190" s="1"/>
    </row>
    <row r="1191" spans="1:17">
      <c r="A1191" s="1"/>
      <c r="B1191" s="1" t="s">
        <v>3308</v>
      </c>
      <c r="C1191" s="1" t="s">
        <v>3309</v>
      </c>
      <c r="D1191" s="1" t="s">
        <v>5007</v>
      </c>
      <c r="E1191" s="1" t="s">
        <v>5209</v>
      </c>
      <c r="F1191" s="1">
        <v>1</v>
      </c>
      <c r="G1191" s="1">
        <v>0.81</v>
      </c>
      <c r="H1191" s="1">
        <v>2</v>
      </c>
      <c r="J1191" s="1" t="s">
        <v>29</v>
      </c>
      <c r="K1191" s="1" t="s">
        <v>3312</v>
      </c>
      <c r="L1191" s="1">
        <v>13522690924</v>
      </c>
      <c r="M1191" s="1" t="s">
        <v>3313</v>
      </c>
      <c r="N1191" s="1" t="s">
        <v>3312</v>
      </c>
      <c r="O1191" s="1" t="s">
        <v>3313</v>
      </c>
      <c r="P1191" s="1">
        <v>13522690924</v>
      </c>
      <c r="Q1191" s="1" t="s">
        <v>3314</v>
      </c>
    </row>
    <row r="1192" spans="1:17">
      <c r="A1192" s="1"/>
      <c r="B1192" s="1"/>
      <c r="C1192" s="1"/>
      <c r="D1192" s="1" t="s">
        <v>5087</v>
      </c>
      <c r="E1192" s="1" t="s">
        <v>2069</v>
      </c>
      <c r="F1192" s="1"/>
      <c r="G1192" s="1"/>
      <c r="H1192" s="1"/>
      <c r="J1192" s="1"/>
      <c r="K1192" s="1"/>
      <c r="L1192" s="1"/>
      <c r="M1192" s="1"/>
      <c r="N1192" s="1"/>
      <c r="O1192" s="1"/>
      <c r="P1192" s="1"/>
      <c r="Q1192" s="1"/>
    </row>
    <row r="1193" spans="1:17">
      <c r="A1193" s="1"/>
      <c r="B1193" s="1" t="s">
        <v>3316</v>
      </c>
      <c r="C1193" s="1" t="s">
        <v>3317</v>
      </c>
      <c r="D1193" s="1" t="s">
        <v>5182</v>
      </c>
      <c r="E1193" s="1" t="s">
        <v>625</v>
      </c>
      <c r="F1193" s="1">
        <v>1</v>
      </c>
      <c r="G1193" s="1">
        <v>1.49</v>
      </c>
      <c r="H1193" s="1">
        <v>3</v>
      </c>
      <c r="J1193" s="1" t="s">
        <v>40</v>
      </c>
      <c r="K1193" s="1" t="s">
        <v>3318</v>
      </c>
      <c r="L1193" s="1">
        <v>15900779722</v>
      </c>
      <c r="M1193" s="1" t="s">
        <v>3319</v>
      </c>
      <c r="N1193" s="1" t="s">
        <v>3320</v>
      </c>
      <c r="O1193" s="1" t="s">
        <v>3319</v>
      </c>
      <c r="P1193" s="1">
        <v>15900779722</v>
      </c>
      <c r="Q1193" s="1" t="s">
        <v>3321</v>
      </c>
    </row>
    <row r="1194" spans="1:17">
      <c r="A1194" s="1"/>
      <c r="B1194" s="1" t="s">
        <v>3323</v>
      </c>
      <c r="C1194" s="1" t="s">
        <v>3324</v>
      </c>
      <c r="D1194" s="1" t="s">
        <v>5415</v>
      </c>
      <c r="E1194" s="1" t="s">
        <v>420</v>
      </c>
      <c r="F1194" s="1">
        <v>1</v>
      </c>
      <c r="G1194" s="1">
        <v>1.72</v>
      </c>
      <c r="H1194" s="1">
        <v>8</v>
      </c>
      <c r="J1194" s="1" t="s">
        <v>40</v>
      </c>
      <c r="K1194" s="1" t="s">
        <v>3326</v>
      </c>
      <c r="L1194" s="1">
        <v>13593136016</v>
      </c>
      <c r="M1194" s="1" t="s">
        <v>3327</v>
      </c>
      <c r="N1194" s="1" t="s">
        <v>3328</v>
      </c>
      <c r="O1194" s="1" t="s">
        <v>3327</v>
      </c>
      <c r="P1194" s="1">
        <v>13593136016</v>
      </c>
      <c r="Q1194" s="1" t="s">
        <v>3329</v>
      </c>
    </row>
    <row r="1195" spans="1:17">
      <c r="A1195" s="1"/>
      <c r="B1195" s="1"/>
      <c r="C1195" s="1"/>
      <c r="D1195" s="1" t="s">
        <v>5032</v>
      </c>
      <c r="E1195" s="1" t="s">
        <v>420</v>
      </c>
      <c r="F1195" s="1"/>
      <c r="G1195" s="1"/>
      <c r="H1195" s="1"/>
      <c r="J1195" s="1"/>
      <c r="K1195" s="1"/>
      <c r="L1195" s="1"/>
      <c r="M1195" s="1"/>
      <c r="N1195" s="1"/>
      <c r="O1195" s="1"/>
      <c r="P1195" s="1"/>
      <c r="Q1195" s="1"/>
    </row>
    <row r="1196" spans="1:17">
      <c r="A1196" s="1"/>
      <c r="B1196" s="1"/>
      <c r="C1196" s="1"/>
      <c r="D1196" s="1" t="s">
        <v>5368</v>
      </c>
      <c r="E1196" s="1" t="s">
        <v>420</v>
      </c>
      <c r="F1196" s="1"/>
      <c r="G1196" s="1"/>
      <c r="H1196" s="1"/>
      <c r="J1196" s="1"/>
      <c r="K1196" s="1"/>
      <c r="L1196" s="1"/>
      <c r="M1196" s="1"/>
      <c r="N1196" s="1"/>
      <c r="O1196" s="1"/>
      <c r="P1196" s="1"/>
      <c r="Q1196" s="1"/>
    </row>
    <row r="1197" spans="1:17">
      <c r="A1197" s="1"/>
      <c r="B1197" s="1" t="s">
        <v>3331</v>
      </c>
      <c r="C1197" s="1" t="s">
        <v>3332</v>
      </c>
      <c r="D1197" s="1" t="s">
        <v>5189</v>
      </c>
      <c r="E1197" s="1" t="s">
        <v>625</v>
      </c>
      <c r="F1197" s="1">
        <v>1</v>
      </c>
      <c r="G1197" s="1">
        <v>2.17</v>
      </c>
      <c r="H1197" s="1">
        <v>15</v>
      </c>
      <c r="J1197" s="1" t="s">
        <v>40</v>
      </c>
      <c r="K1197" s="1" t="s">
        <v>3334</v>
      </c>
      <c r="L1197" s="1">
        <v>13798150707</v>
      </c>
      <c r="M1197" s="1" t="s">
        <v>3335</v>
      </c>
      <c r="N1197" s="1" t="s">
        <v>3336</v>
      </c>
      <c r="O1197" s="1" t="s">
        <v>3337</v>
      </c>
      <c r="P1197" s="1">
        <v>15013061362</v>
      </c>
      <c r="Q1197" s="1" t="s">
        <v>3338</v>
      </c>
    </row>
    <row r="1198" spans="1:17">
      <c r="A1198" s="1"/>
      <c r="B1198" s="1"/>
      <c r="C1198" s="1"/>
      <c r="D1198" s="1" t="s">
        <v>5185</v>
      </c>
      <c r="E1198" s="1" t="s">
        <v>625</v>
      </c>
      <c r="F1198" s="1"/>
      <c r="G1198" s="1"/>
      <c r="H1198" s="1"/>
      <c r="J1198" s="1"/>
      <c r="K1198" s="1"/>
      <c r="L1198" s="1"/>
      <c r="M1198" s="1"/>
      <c r="N1198" s="1"/>
      <c r="O1198" s="1"/>
      <c r="P1198" s="1"/>
      <c r="Q1198" s="1"/>
    </row>
    <row r="1199" spans="1:17">
      <c r="A1199" s="1"/>
      <c r="B1199" s="1"/>
      <c r="C1199" s="1"/>
      <c r="D1199" s="1" t="s">
        <v>5187</v>
      </c>
      <c r="E1199" s="1" t="s">
        <v>625</v>
      </c>
      <c r="F1199" s="1"/>
      <c r="G1199" s="1"/>
      <c r="H1199" s="1"/>
      <c r="J1199" s="1"/>
      <c r="K1199" s="1"/>
      <c r="L1199" s="1"/>
      <c r="M1199" s="1"/>
      <c r="N1199" s="1"/>
      <c r="O1199" s="1"/>
      <c r="P1199" s="1"/>
      <c r="Q1199" s="1"/>
    </row>
    <row r="1200" spans="1:17">
      <c r="A1200" s="1"/>
      <c r="B1200" s="1"/>
      <c r="C1200" s="1"/>
      <c r="D1200" s="1" t="s">
        <v>5035</v>
      </c>
      <c r="E1200" s="1" t="s">
        <v>625</v>
      </c>
      <c r="F1200" s="1"/>
      <c r="G1200" s="1"/>
      <c r="H1200" s="1"/>
      <c r="J1200" s="1"/>
      <c r="K1200" s="1"/>
      <c r="L1200" s="1"/>
      <c r="M1200" s="1"/>
      <c r="N1200" s="1"/>
      <c r="O1200" s="1"/>
      <c r="P1200" s="1"/>
      <c r="Q1200" s="1"/>
    </row>
    <row r="1201" spans="1:17">
      <c r="A1201" s="1"/>
      <c r="B1201" s="1" t="s">
        <v>3340</v>
      </c>
      <c r="C1201" s="1" t="s">
        <v>3341</v>
      </c>
      <c r="D1201" s="1" t="s">
        <v>4984</v>
      </c>
      <c r="E1201" s="1" t="s">
        <v>625</v>
      </c>
      <c r="F1201" s="1">
        <v>1</v>
      </c>
      <c r="G1201" s="1">
        <v>1.72</v>
      </c>
      <c r="H1201" s="1">
        <v>15</v>
      </c>
      <c r="J1201" s="1" t="s">
        <v>40</v>
      </c>
      <c r="K1201" s="1" t="s">
        <v>1660</v>
      </c>
      <c r="L1201" s="1">
        <v>13602446645</v>
      </c>
      <c r="M1201" s="1" t="s">
        <v>1661</v>
      </c>
      <c r="N1201" s="1" t="s">
        <v>3343</v>
      </c>
      <c r="O1201" s="1" t="s">
        <v>3344</v>
      </c>
      <c r="P1201" s="1">
        <v>13602220880</v>
      </c>
      <c r="Q1201" s="1" t="s">
        <v>3345</v>
      </c>
    </row>
    <row r="1202" spans="1:17">
      <c r="A1202" s="1"/>
      <c r="B1202" s="1"/>
      <c r="C1202" s="1"/>
      <c r="D1202" s="1" t="s">
        <v>5024</v>
      </c>
      <c r="E1202" s="1" t="s">
        <v>625</v>
      </c>
      <c r="F1202" s="1"/>
      <c r="G1202" s="1"/>
      <c r="H1202" s="1"/>
      <c r="J1202" s="1"/>
      <c r="K1202" s="1"/>
      <c r="L1202" s="1"/>
      <c r="M1202" s="1"/>
      <c r="N1202" s="1"/>
      <c r="O1202" s="1"/>
      <c r="P1202" s="1"/>
      <c r="Q1202" s="1"/>
    </row>
    <row r="1203" spans="1:17">
      <c r="A1203" s="1"/>
      <c r="B1203" s="1"/>
      <c r="C1203" s="1"/>
      <c r="D1203" s="1" t="s">
        <v>5029</v>
      </c>
      <c r="E1203" s="1" t="s">
        <v>625</v>
      </c>
      <c r="F1203" s="1"/>
      <c r="G1203" s="1"/>
      <c r="H1203" s="1"/>
      <c r="J1203" s="1"/>
      <c r="K1203" s="1"/>
      <c r="L1203" s="1"/>
      <c r="M1203" s="1"/>
      <c r="N1203" s="1"/>
      <c r="O1203" s="1"/>
      <c r="P1203" s="1"/>
      <c r="Q1203" s="1"/>
    </row>
    <row r="1204" spans="1:17">
      <c r="A1204" s="1"/>
      <c r="B1204" s="1"/>
      <c r="C1204" s="1"/>
      <c r="D1204" s="1" t="s">
        <v>5449</v>
      </c>
      <c r="E1204" s="1" t="s">
        <v>625</v>
      </c>
      <c r="F1204" s="1"/>
      <c r="G1204" s="1"/>
      <c r="H1204" s="1"/>
      <c r="J1204" s="1"/>
      <c r="K1204" s="1"/>
      <c r="L1204" s="1"/>
      <c r="M1204" s="1"/>
      <c r="N1204" s="1"/>
      <c r="O1204" s="1"/>
      <c r="P1204" s="1"/>
      <c r="Q1204" s="1"/>
    </row>
    <row r="1205" spans="1:17">
      <c r="A1205" s="1"/>
      <c r="B1205" s="1"/>
      <c r="C1205" s="1"/>
      <c r="D1205" s="1" t="s">
        <v>5187</v>
      </c>
      <c r="E1205" s="1" t="s">
        <v>625</v>
      </c>
      <c r="F1205" s="1"/>
      <c r="G1205" s="1"/>
      <c r="H1205" s="1"/>
      <c r="J1205" s="1"/>
      <c r="K1205" s="1"/>
      <c r="L1205" s="1"/>
      <c r="M1205" s="1"/>
      <c r="N1205" s="1"/>
      <c r="O1205" s="1"/>
      <c r="P1205" s="1"/>
      <c r="Q1205" s="1"/>
    </row>
    <row r="1206" spans="1:17">
      <c r="A1206" s="1"/>
      <c r="B1206" s="1" t="s">
        <v>3347</v>
      </c>
      <c r="C1206" s="1" t="s">
        <v>3348</v>
      </c>
      <c r="D1206" s="1" t="s">
        <v>4984</v>
      </c>
      <c r="E1206" s="1" t="s">
        <v>625</v>
      </c>
      <c r="F1206" s="1">
        <v>1</v>
      </c>
      <c r="G1206" s="1">
        <v>2.17</v>
      </c>
      <c r="H1206" s="1">
        <v>14</v>
      </c>
      <c r="J1206" s="1" t="s">
        <v>40</v>
      </c>
      <c r="K1206" s="1" t="s">
        <v>3350</v>
      </c>
      <c r="L1206" s="1">
        <v>13557116855</v>
      </c>
      <c r="M1206" s="1" t="s">
        <v>3351</v>
      </c>
      <c r="N1206" s="1" t="s">
        <v>3352</v>
      </c>
      <c r="O1206" s="1" t="s">
        <v>3351</v>
      </c>
      <c r="P1206" s="1">
        <v>13557116855</v>
      </c>
      <c r="Q1206" s="1" t="s">
        <v>3353</v>
      </c>
    </row>
    <row r="1207" spans="1:17">
      <c r="A1207" s="1"/>
      <c r="B1207" s="1"/>
      <c r="C1207" s="1"/>
      <c r="D1207" s="1" t="s">
        <v>5035</v>
      </c>
      <c r="E1207" s="1" t="s">
        <v>625</v>
      </c>
      <c r="F1207" s="1"/>
      <c r="G1207" s="1"/>
      <c r="H1207" s="1"/>
      <c r="J1207" s="1"/>
      <c r="K1207" s="1"/>
      <c r="L1207" s="1"/>
      <c r="M1207" s="1"/>
      <c r="N1207" s="1"/>
      <c r="O1207" s="1"/>
      <c r="P1207" s="1"/>
      <c r="Q1207" s="1"/>
    </row>
    <row r="1208" spans="1:17">
      <c r="A1208" s="1"/>
      <c r="B1208" s="1"/>
      <c r="C1208" s="1"/>
      <c r="D1208" s="1" t="s">
        <v>5252</v>
      </c>
      <c r="E1208" s="1" t="s">
        <v>625</v>
      </c>
      <c r="F1208" s="1"/>
      <c r="G1208" s="1"/>
      <c r="H1208" s="1"/>
      <c r="J1208" s="1"/>
      <c r="K1208" s="1"/>
      <c r="L1208" s="1"/>
      <c r="M1208" s="1"/>
      <c r="N1208" s="1"/>
      <c r="O1208" s="1"/>
      <c r="P1208" s="1"/>
      <c r="Q1208" s="1"/>
    </row>
    <row r="1209" spans="1:17">
      <c r="A1209" s="1"/>
      <c r="B1209" s="1"/>
      <c r="C1209" s="1"/>
      <c r="D1209" s="1" t="s">
        <v>5517</v>
      </c>
      <c r="E1209" s="1" t="s">
        <v>625</v>
      </c>
      <c r="F1209" s="1"/>
      <c r="G1209" s="1"/>
      <c r="H1209" s="1"/>
      <c r="J1209" s="1"/>
      <c r="K1209" s="1"/>
      <c r="L1209" s="1"/>
      <c r="M1209" s="1"/>
      <c r="N1209" s="1"/>
      <c r="O1209" s="1"/>
      <c r="P1209" s="1"/>
      <c r="Q1209" s="1"/>
    </row>
    <row r="1210" spans="1:17">
      <c r="A1210" s="1"/>
      <c r="B1210" s="1" t="s">
        <v>3355</v>
      </c>
      <c r="C1210" s="1" t="s">
        <v>3356</v>
      </c>
      <c r="D1210" s="1" t="s">
        <v>5518</v>
      </c>
      <c r="E1210" s="1" t="s">
        <v>5519</v>
      </c>
      <c r="F1210" s="1">
        <v>1</v>
      </c>
      <c r="G1210" s="1">
        <v>1.49</v>
      </c>
      <c r="H1210" s="1">
        <v>9</v>
      </c>
      <c r="J1210" s="1" t="s">
        <v>29</v>
      </c>
      <c r="K1210" s="1" t="s">
        <v>3086</v>
      </c>
      <c r="L1210" s="1">
        <v>15080609972</v>
      </c>
      <c r="M1210" s="1" t="s">
        <v>3087</v>
      </c>
      <c r="N1210" s="1" t="s">
        <v>3360</v>
      </c>
      <c r="O1210" s="1" t="s">
        <v>3361</v>
      </c>
      <c r="P1210" s="1">
        <v>13507431623</v>
      </c>
      <c r="Q1210" s="1" t="s">
        <v>3362</v>
      </c>
    </row>
    <row r="1211" spans="1:17">
      <c r="A1211" s="1"/>
      <c r="B1211" s="1"/>
      <c r="C1211" s="1"/>
      <c r="D1211" s="1" t="s">
        <v>5520</v>
      </c>
      <c r="E1211" s="1" t="s">
        <v>5206</v>
      </c>
      <c r="F1211" s="1"/>
      <c r="G1211" s="1"/>
      <c r="H1211" s="1"/>
      <c r="I1211" s="1" t="s">
        <v>5521</v>
      </c>
      <c r="J1211" s="1"/>
      <c r="K1211" s="1"/>
      <c r="L1211" s="1"/>
      <c r="M1211" s="1"/>
      <c r="N1211" s="1"/>
      <c r="O1211" s="1"/>
      <c r="P1211" s="1"/>
      <c r="Q1211" s="1"/>
    </row>
    <row r="1212" spans="1:17">
      <c r="A1212" s="1"/>
      <c r="B1212" s="1"/>
      <c r="C1212" s="1"/>
      <c r="D1212" s="1" t="s">
        <v>5346</v>
      </c>
      <c r="E1212" s="1" t="s">
        <v>4054</v>
      </c>
      <c r="F1212" s="1"/>
      <c r="G1212" s="1"/>
      <c r="H1212" s="1"/>
      <c r="J1212" s="1"/>
      <c r="K1212" s="1"/>
      <c r="L1212" s="1"/>
      <c r="M1212" s="1"/>
      <c r="N1212" s="1"/>
      <c r="O1212" s="1"/>
      <c r="P1212" s="1"/>
      <c r="Q1212" s="1"/>
    </row>
    <row r="1213" spans="1:17">
      <c r="A1213" s="1"/>
      <c r="B1213" s="1"/>
      <c r="C1213" s="1"/>
      <c r="D1213" s="1" t="s">
        <v>5009</v>
      </c>
      <c r="E1213" s="1" t="s">
        <v>5522</v>
      </c>
      <c r="F1213" s="1"/>
      <c r="G1213" s="1"/>
      <c r="H1213" s="1"/>
      <c r="I1213" s="1" t="s">
        <v>5523</v>
      </c>
      <c r="J1213" s="1"/>
      <c r="K1213" s="1"/>
      <c r="L1213" s="1"/>
      <c r="M1213" s="1"/>
      <c r="N1213" s="1"/>
      <c r="O1213" s="1"/>
      <c r="P1213" s="1"/>
      <c r="Q1213" s="1"/>
    </row>
    <row r="1214" spans="1:17">
      <c r="A1214" s="1"/>
      <c r="B1214" s="1"/>
      <c r="C1214" s="1"/>
      <c r="D1214" s="1" t="s">
        <v>5524</v>
      </c>
      <c r="E1214" s="1" t="s">
        <v>4976</v>
      </c>
      <c r="F1214" s="1"/>
      <c r="G1214" s="1"/>
      <c r="H1214" s="1"/>
      <c r="J1214" s="1"/>
      <c r="K1214" s="1"/>
      <c r="L1214" s="1"/>
      <c r="M1214" s="1"/>
      <c r="N1214" s="1"/>
      <c r="O1214" s="1"/>
      <c r="P1214" s="1"/>
      <c r="Q1214" s="1"/>
    </row>
    <row r="1215" spans="1:17">
      <c r="A1215" s="1"/>
      <c r="B1215" s="1"/>
      <c r="C1215" s="1"/>
      <c r="D1215" s="1" t="s">
        <v>5076</v>
      </c>
      <c r="E1215" s="1" t="s">
        <v>2413</v>
      </c>
      <c r="F1215" s="1"/>
      <c r="G1215" s="1"/>
      <c r="H1215" s="1"/>
      <c r="I1215" s="1" t="s">
        <v>450</v>
      </c>
      <c r="J1215" s="1"/>
      <c r="K1215" s="1"/>
      <c r="L1215" s="1"/>
      <c r="M1215" s="1"/>
      <c r="N1215" s="1"/>
      <c r="O1215" s="1"/>
      <c r="P1215" s="1"/>
      <c r="Q1215" s="1"/>
    </row>
    <row r="1216" spans="1:17">
      <c r="A1216" s="1"/>
      <c r="B1216" s="1" t="s">
        <v>3364</v>
      </c>
      <c r="C1216" s="1" t="s">
        <v>3365</v>
      </c>
      <c r="D1216" s="1" t="s">
        <v>5009</v>
      </c>
      <c r="E1216" s="1" t="s">
        <v>5522</v>
      </c>
      <c r="F1216" s="1">
        <v>1</v>
      </c>
      <c r="G1216" s="1">
        <v>1.26</v>
      </c>
      <c r="H1216" s="1">
        <v>11</v>
      </c>
      <c r="J1216" s="1" t="s">
        <v>29</v>
      </c>
      <c r="K1216" s="1" t="s">
        <v>991</v>
      </c>
      <c r="L1216" s="1">
        <v>17695963119</v>
      </c>
      <c r="M1216" s="1" t="s">
        <v>992</v>
      </c>
      <c r="N1216" s="1" t="s">
        <v>3369</v>
      </c>
      <c r="O1216" s="1" t="s">
        <v>3370</v>
      </c>
      <c r="P1216" s="1">
        <v>13512965036</v>
      </c>
      <c r="Q1216" s="1" t="s">
        <v>3371</v>
      </c>
    </row>
    <row r="1217" spans="1:17">
      <c r="A1217" s="1"/>
      <c r="B1217" s="1"/>
      <c r="C1217" s="1"/>
      <c r="D1217" s="1" t="s">
        <v>5125</v>
      </c>
      <c r="E1217" s="1" t="s">
        <v>1210</v>
      </c>
      <c r="F1217" s="1"/>
      <c r="G1217" s="1"/>
      <c r="H1217" s="1"/>
      <c r="J1217" s="1"/>
      <c r="K1217" s="1"/>
      <c r="L1217" s="1"/>
      <c r="M1217" s="1"/>
      <c r="N1217" s="1"/>
      <c r="O1217" s="1"/>
      <c r="P1217" s="1"/>
      <c r="Q1217" s="1"/>
    </row>
    <row r="1218" spans="1:17">
      <c r="A1218" s="1"/>
      <c r="B1218" s="1"/>
      <c r="C1218" s="1"/>
      <c r="D1218" s="1" t="s">
        <v>5336</v>
      </c>
      <c r="E1218" s="1" t="s">
        <v>1210</v>
      </c>
      <c r="F1218" s="1"/>
      <c r="G1218" s="1"/>
      <c r="H1218" s="1"/>
      <c r="J1218" s="1"/>
      <c r="K1218" s="1"/>
      <c r="L1218" s="1"/>
      <c r="M1218" s="1"/>
      <c r="N1218" s="1"/>
      <c r="O1218" s="1"/>
      <c r="P1218" s="1"/>
      <c r="Q1218" s="1"/>
    </row>
    <row r="1219" spans="1:17">
      <c r="A1219" s="1"/>
      <c r="B1219" s="1"/>
      <c r="C1219" s="1"/>
      <c r="D1219" s="1" t="s">
        <v>5525</v>
      </c>
      <c r="E1219" s="1" t="s">
        <v>2413</v>
      </c>
      <c r="F1219" s="1"/>
      <c r="G1219" s="1"/>
      <c r="H1219" s="1"/>
      <c r="I1219" s="1" t="s">
        <v>4970</v>
      </c>
      <c r="J1219" s="1"/>
      <c r="K1219" s="1"/>
      <c r="L1219" s="1"/>
      <c r="M1219" s="1"/>
      <c r="N1219" s="1"/>
      <c r="O1219" s="1"/>
      <c r="P1219" s="1"/>
      <c r="Q1219" s="1"/>
    </row>
    <row r="1220" spans="1:17">
      <c r="A1220" s="1"/>
      <c r="B1220" s="1"/>
      <c r="C1220" s="1"/>
      <c r="D1220" s="1" t="s">
        <v>5526</v>
      </c>
      <c r="E1220" s="1" t="s">
        <v>5206</v>
      </c>
      <c r="F1220" s="1"/>
      <c r="G1220" s="1"/>
      <c r="H1220" s="1"/>
      <c r="J1220" s="1"/>
      <c r="K1220" s="1"/>
      <c r="L1220" s="1"/>
      <c r="M1220" s="1"/>
      <c r="N1220" s="1"/>
      <c r="O1220" s="1"/>
      <c r="P1220" s="1"/>
      <c r="Q1220" s="1"/>
    </row>
    <row r="1221" spans="1:17">
      <c r="A1221" s="1"/>
      <c r="B1221" s="1" t="s">
        <v>3373</v>
      </c>
      <c r="C1221" s="1" t="s">
        <v>3374</v>
      </c>
      <c r="D1221" s="1" t="s">
        <v>5043</v>
      </c>
      <c r="E1221" s="1" t="s">
        <v>465</v>
      </c>
      <c r="F1221" s="1">
        <v>1</v>
      </c>
      <c r="G1221" s="1">
        <v>1.04</v>
      </c>
      <c r="H1221" s="1">
        <v>1</v>
      </c>
      <c r="J1221" s="1" t="s">
        <v>304</v>
      </c>
      <c r="K1221" s="1" t="s">
        <v>3375</v>
      </c>
      <c r="L1221" s="1">
        <v>18538286679</v>
      </c>
      <c r="M1221" s="1" t="s">
        <v>3376</v>
      </c>
      <c r="N1221" s="1" t="s">
        <v>3377</v>
      </c>
      <c r="O1221" s="1" t="s">
        <v>3378</v>
      </c>
      <c r="P1221" s="1">
        <v>18695911366</v>
      </c>
      <c r="Q1221" s="1" t="s">
        <v>3379</v>
      </c>
    </row>
    <row r="1222" spans="1:17">
      <c r="A1222" s="1"/>
      <c r="B1222" s="1" t="s">
        <v>3381</v>
      </c>
      <c r="C1222" s="1" t="s">
        <v>3382</v>
      </c>
      <c r="D1222" s="1" t="s">
        <v>5203</v>
      </c>
      <c r="E1222" s="1" t="s">
        <v>5094</v>
      </c>
      <c r="F1222" s="1">
        <v>1</v>
      </c>
      <c r="G1222" s="1">
        <v>1.04</v>
      </c>
      <c r="H1222" s="1">
        <v>3</v>
      </c>
      <c r="J1222" s="1" t="s">
        <v>293</v>
      </c>
      <c r="K1222" s="1" t="s">
        <v>3383</v>
      </c>
      <c r="L1222" s="1">
        <v>15054955885</v>
      </c>
      <c r="M1222" s="1" t="s">
        <v>3384</v>
      </c>
      <c r="N1222" s="1" t="s">
        <v>3385</v>
      </c>
      <c r="O1222" s="1" t="s">
        <v>3384</v>
      </c>
      <c r="P1222" s="1">
        <v>15054955885</v>
      </c>
      <c r="Q1222" s="1" t="s">
        <v>3386</v>
      </c>
    </row>
    <row r="1223" spans="1:17">
      <c r="A1223" s="1"/>
      <c r="B1223" s="1"/>
      <c r="C1223" s="1"/>
      <c r="D1223" s="1" t="s">
        <v>5060</v>
      </c>
      <c r="E1223" s="1" t="s">
        <v>5200</v>
      </c>
      <c r="F1223" s="1"/>
      <c r="G1223" s="1"/>
      <c r="H1223" s="1"/>
      <c r="J1223" s="1"/>
      <c r="K1223" s="1"/>
      <c r="L1223" s="1"/>
      <c r="M1223" s="1"/>
      <c r="N1223" s="1"/>
      <c r="O1223" s="1"/>
      <c r="P1223" s="1"/>
      <c r="Q1223" s="1"/>
    </row>
    <row r="1224" spans="1:17">
      <c r="A1224" s="1"/>
      <c r="B1224" s="1" t="s">
        <v>3388</v>
      </c>
      <c r="C1224" s="1" t="s">
        <v>3389</v>
      </c>
      <c r="D1224" s="1" t="s">
        <v>5204</v>
      </c>
      <c r="E1224" s="1" t="s">
        <v>5176</v>
      </c>
      <c r="F1224" s="1">
        <v>1</v>
      </c>
      <c r="G1224" s="1">
        <v>1.04</v>
      </c>
      <c r="H1224" s="1">
        <v>6</v>
      </c>
      <c r="J1224" s="1" t="s">
        <v>29</v>
      </c>
      <c r="K1224" s="1" t="s">
        <v>2267</v>
      </c>
      <c r="L1224" s="1">
        <v>18511490114</v>
      </c>
      <c r="M1224" s="1" t="s">
        <v>2268</v>
      </c>
      <c r="N1224" s="1" t="s">
        <v>3392</v>
      </c>
      <c r="O1224" s="1" t="s">
        <v>2268</v>
      </c>
      <c r="P1224" s="1">
        <v>18511490114</v>
      </c>
      <c r="Q1224" s="1" t="s">
        <v>3393</v>
      </c>
    </row>
    <row r="1225" spans="1:17">
      <c r="A1225" s="1"/>
      <c r="B1225" s="1"/>
      <c r="C1225" s="1"/>
      <c r="D1225" s="1" t="s">
        <v>5204</v>
      </c>
      <c r="E1225" s="1" t="s">
        <v>1703</v>
      </c>
      <c r="F1225" s="1"/>
      <c r="G1225" s="1"/>
      <c r="H1225" s="1"/>
      <c r="J1225" s="1"/>
      <c r="K1225" s="1"/>
      <c r="L1225" s="1"/>
      <c r="M1225" s="1"/>
      <c r="N1225" s="1"/>
      <c r="O1225" s="1"/>
      <c r="P1225" s="1"/>
      <c r="Q1225" s="1"/>
    </row>
    <row r="1226" spans="1:17">
      <c r="A1226" s="1"/>
      <c r="B1226" s="1"/>
      <c r="C1226" s="1"/>
      <c r="D1226" s="1" t="s">
        <v>5204</v>
      </c>
      <c r="E1226" s="1" t="s">
        <v>5200</v>
      </c>
      <c r="F1226" s="1"/>
      <c r="G1226" s="1"/>
      <c r="H1226" s="1"/>
      <c r="J1226" s="1"/>
      <c r="K1226" s="1"/>
      <c r="L1226" s="1"/>
      <c r="M1226" s="1"/>
      <c r="N1226" s="1"/>
      <c r="O1226" s="1"/>
      <c r="P1226" s="1"/>
      <c r="Q1226" s="1"/>
    </row>
    <row r="1227" spans="1:17">
      <c r="A1227" s="1"/>
      <c r="B1227" s="1"/>
      <c r="C1227" s="1"/>
      <c r="D1227" s="1" t="s">
        <v>5396</v>
      </c>
      <c r="E1227" s="1" t="s">
        <v>2413</v>
      </c>
      <c r="F1227" s="1"/>
      <c r="G1227" s="1"/>
      <c r="H1227" s="1"/>
      <c r="J1227" s="1"/>
      <c r="K1227" s="1"/>
      <c r="L1227" s="1"/>
      <c r="M1227" s="1"/>
      <c r="N1227" s="1"/>
      <c r="O1227" s="1"/>
      <c r="P1227" s="1"/>
      <c r="Q1227" s="1"/>
    </row>
    <row r="1228" spans="1:17">
      <c r="A1228" s="1"/>
      <c r="B1228" s="1"/>
      <c r="C1228" s="1"/>
      <c r="D1228" s="1" t="s">
        <v>5527</v>
      </c>
      <c r="E1228" s="1" t="s">
        <v>5528</v>
      </c>
      <c r="F1228" s="1"/>
      <c r="G1228" s="1"/>
      <c r="H1228" s="1"/>
      <c r="J1228" s="1"/>
      <c r="K1228" s="1"/>
      <c r="L1228" s="1"/>
      <c r="M1228" s="1"/>
      <c r="N1228" s="1"/>
      <c r="O1228" s="1"/>
      <c r="P1228" s="1"/>
      <c r="Q1228" s="1"/>
    </row>
    <row r="1229" spans="1:17">
      <c r="A1229" s="1"/>
      <c r="B1229" s="1" t="s">
        <v>3395</v>
      </c>
      <c r="C1229" s="1" t="s">
        <v>3396</v>
      </c>
      <c r="D1229" s="1" t="s">
        <v>5401</v>
      </c>
      <c r="E1229" s="1" t="s">
        <v>2295</v>
      </c>
      <c r="F1229" s="1">
        <v>1</v>
      </c>
      <c r="G1229" s="1">
        <v>1.04</v>
      </c>
      <c r="H1229" s="1">
        <v>3</v>
      </c>
      <c r="J1229" s="1" t="s">
        <v>29</v>
      </c>
      <c r="K1229" s="1" t="s">
        <v>2277</v>
      </c>
      <c r="L1229" s="1">
        <v>13838009329</v>
      </c>
      <c r="M1229" s="1" t="s">
        <v>2278</v>
      </c>
      <c r="N1229" s="1" t="s">
        <v>2277</v>
      </c>
      <c r="O1229" s="1" t="s">
        <v>2278</v>
      </c>
      <c r="P1229" s="1">
        <v>13838009329</v>
      </c>
      <c r="Q1229" s="1" t="s">
        <v>3397</v>
      </c>
    </row>
    <row r="1230" spans="1:17">
      <c r="A1230" s="1"/>
      <c r="B1230" s="1" t="s">
        <v>3399</v>
      </c>
      <c r="C1230" s="1" t="s">
        <v>3400</v>
      </c>
      <c r="D1230" s="1" t="s">
        <v>5529</v>
      </c>
      <c r="E1230" s="1" t="s">
        <v>449</v>
      </c>
      <c r="F1230" s="1">
        <v>1</v>
      </c>
      <c r="G1230" s="1">
        <v>0.81</v>
      </c>
      <c r="H1230" s="1">
        <v>7</v>
      </c>
      <c r="I1230" s="1" t="s">
        <v>5173</v>
      </c>
      <c r="J1230" s="1" t="s">
        <v>29</v>
      </c>
      <c r="K1230" s="1" t="s">
        <v>3404</v>
      </c>
      <c r="L1230" s="1">
        <v>15936236630</v>
      </c>
      <c r="M1230" s="1" t="s">
        <v>3405</v>
      </c>
      <c r="N1230" s="1" t="s">
        <v>3404</v>
      </c>
      <c r="O1230" s="1" t="s">
        <v>3405</v>
      </c>
      <c r="P1230" s="1">
        <v>15936236630</v>
      </c>
      <c r="Q1230" s="1" t="s">
        <v>3406</v>
      </c>
    </row>
    <row r="1231" spans="1:17">
      <c r="A1231" s="1"/>
      <c r="B1231" s="1"/>
      <c r="C1231" s="1"/>
      <c r="D1231" s="1" t="s">
        <v>5530</v>
      </c>
      <c r="E1231" s="1" t="s">
        <v>449</v>
      </c>
      <c r="F1231" s="1"/>
      <c r="G1231" s="1"/>
      <c r="H1231" s="1"/>
      <c r="I1231" s="1" t="s">
        <v>5531</v>
      </c>
      <c r="J1231" s="1"/>
      <c r="K1231" s="1"/>
      <c r="L1231" s="1"/>
      <c r="M1231" s="1"/>
      <c r="N1231" s="1"/>
      <c r="O1231" s="1"/>
      <c r="P1231" s="1"/>
      <c r="Q1231" s="1"/>
    </row>
    <row r="1232" spans="1:17">
      <c r="A1232" s="1"/>
      <c r="B1232" s="1"/>
      <c r="C1232" s="1"/>
      <c r="D1232" s="1" t="s">
        <v>5529</v>
      </c>
      <c r="E1232" s="1" t="s">
        <v>2413</v>
      </c>
      <c r="F1232" s="1"/>
      <c r="G1232" s="1"/>
      <c r="H1232" s="1"/>
      <c r="I1232" s="1" t="s">
        <v>5173</v>
      </c>
      <c r="J1232" s="1"/>
      <c r="K1232" s="1"/>
      <c r="L1232" s="1"/>
      <c r="M1232" s="1"/>
      <c r="N1232" s="1"/>
      <c r="O1232" s="1"/>
      <c r="P1232" s="1"/>
      <c r="Q1232" s="1"/>
    </row>
    <row r="1233" spans="1:17">
      <c r="A1233" s="1"/>
      <c r="B1233" s="1"/>
      <c r="C1233" s="1"/>
      <c r="D1233" s="1" t="s">
        <v>5213</v>
      </c>
      <c r="E1233" s="1" t="s">
        <v>5340</v>
      </c>
      <c r="F1233" s="1"/>
      <c r="G1233" s="1"/>
      <c r="H1233" s="1"/>
      <c r="I1233" s="1" t="s">
        <v>5532</v>
      </c>
      <c r="J1233" s="1"/>
      <c r="K1233" s="1"/>
      <c r="L1233" s="1"/>
      <c r="M1233" s="1"/>
      <c r="N1233" s="1"/>
      <c r="O1233" s="1"/>
      <c r="P1233" s="1"/>
      <c r="Q1233" s="1"/>
    </row>
    <row r="1234" spans="1:17">
      <c r="A1234" s="1"/>
      <c r="B1234" s="1"/>
      <c r="C1234" s="1"/>
      <c r="D1234" s="1" t="s">
        <v>5213</v>
      </c>
      <c r="E1234" s="1" t="s">
        <v>1210</v>
      </c>
      <c r="F1234" s="1"/>
      <c r="G1234" s="1"/>
      <c r="H1234" s="1"/>
      <c r="I1234" s="1" t="s">
        <v>5135</v>
      </c>
      <c r="J1234" s="1"/>
      <c r="K1234" s="1"/>
      <c r="L1234" s="1"/>
      <c r="M1234" s="1"/>
      <c r="N1234" s="1"/>
      <c r="O1234" s="1"/>
      <c r="P1234" s="1"/>
      <c r="Q1234" s="1"/>
    </row>
    <row r="1235" spans="1:17">
      <c r="A1235" s="1"/>
      <c r="B1235" s="1"/>
      <c r="C1235" s="1"/>
      <c r="D1235" s="1" t="s">
        <v>5533</v>
      </c>
      <c r="E1235" s="1" t="s">
        <v>5534</v>
      </c>
      <c r="F1235" s="1"/>
      <c r="G1235" s="1"/>
      <c r="H1235" s="1"/>
      <c r="I1235" s="1" t="s">
        <v>1634</v>
      </c>
      <c r="J1235" s="1"/>
      <c r="K1235" s="1"/>
      <c r="L1235" s="1"/>
      <c r="M1235" s="1"/>
      <c r="N1235" s="1"/>
      <c r="O1235" s="1"/>
      <c r="P1235" s="1"/>
      <c r="Q1235" s="1"/>
    </row>
    <row r="1236" spans="1:17">
      <c r="A1236" s="1"/>
      <c r="B1236" s="1"/>
      <c r="C1236" s="1"/>
      <c r="D1236" s="1" t="s">
        <v>5535</v>
      </c>
      <c r="E1236" s="1" t="s">
        <v>5534</v>
      </c>
      <c r="F1236" s="1"/>
      <c r="G1236" s="1"/>
      <c r="H1236" s="1"/>
      <c r="J1236" s="1"/>
      <c r="K1236" s="1"/>
      <c r="L1236" s="1"/>
      <c r="M1236" s="1"/>
      <c r="N1236" s="1"/>
      <c r="O1236" s="1"/>
      <c r="P1236" s="1"/>
      <c r="Q1236" s="1"/>
    </row>
    <row r="1237" spans="1:17">
      <c r="A1237" s="1"/>
      <c r="B1237" s="1" t="s">
        <v>3408</v>
      </c>
      <c r="C1237" s="1" t="s">
        <v>3409</v>
      </c>
      <c r="D1237" s="1" t="s">
        <v>5536</v>
      </c>
      <c r="E1237" s="1" t="s">
        <v>5074</v>
      </c>
      <c r="F1237" s="1">
        <v>1</v>
      </c>
      <c r="G1237" s="1">
        <v>1.04</v>
      </c>
      <c r="H1237" s="1">
        <v>7</v>
      </c>
      <c r="J1237" s="1" t="s">
        <v>103</v>
      </c>
      <c r="K1237" s="1" t="s">
        <v>3413</v>
      </c>
      <c r="L1237" s="1">
        <v>13523711821</v>
      </c>
      <c r="M1237" s="1" t="s">
        <v>3414</v>
      </c>
      <c r="N1237" s="1" t="s">
        <v>3413</v>
      </c>
      <c r="O1237" s="1" t="s">
        <v>3414</v>
      </c>
      <c r="P1237" s="1">
        <v>13523711821</v>
      </c>
      <c r="Q1237" s="1" t="s">
        <v>3415</v>
      </c>
    </row>
    <row r="1238" spans="1:17">
      <c r="A1238" s="1"/>
      <c r="B1238" s="1"/>
      <c r="C1238" s="1"/>
      <c r="D1238" s="1" t="s">
        <v>5076</v>
      </c>
      <c r="E1238" s="1" t="s">
        <v>696</v>
      </c>
      <c r="F1238" s="1"/>
      <c r="G1238" s="1"/>
      <c r="H1238" s="1"/>
      <c r="J1238" s="1"/>
      <c r="K1238" s="1"/>
      <c r="L1238" s="1"/>
      <c r="M1238" s="1"/>
      <c r="N1238" s="1"/>
      <c r="O1238" s="1"/>
      <c r="P1238" s="1"/>
      <c r="Q1238" s="1"/>
    </row>
    <row r="1239" spans="1:17">
      <c r="A1239" s="1"/>
      <c r="B1239" s="1"/>
      <c r="C1239" s="1"/>
      <c r="D1239" s="1" t="s">
        <v>5000</v>
      </c>
      <c r="E1239" s="1" t="s">
        <v>5537</v>
      </c>
      <c r="F1239" s="1"/>
      <c r="G1239" s="1"/>
      <c r="H1239" s="1"/>
      <c r="J1239" s="1"/>
      <c r="K1239" s="1"/>
      <c r="L1239" s="1"/>
      <c r="M1239" s="1"/>
      <c r="N1239" s="1"/>
      <c r="O1239" s="1"/>
      <c r="P1239" s="1"/>
      <c r="Q1239" s="1"/>
    </row>
    <row r="1240" spans="1:17">
      <c r="A1240" s="1"/>
      <c r="B1240" s="1"/>
      <c r="C1240" s="1"/>
      <c r="D1240" s="1" t="s">
        <v>5538</v>
      </c>
      <c r="E1240" s="1" t="s">
        <v>5539</v>
      </c>
      <c r="F1240" s="1"/>
      <c r="G1240" s="1"/>
      <c r="H1240" s="1"/>
      <c r="I1240" s="1" t="s">
        <v>5532</v>
      </c>
      <c r="J1240" s="1"/>
      <c r="K1240" s="1"/>
      <c r="L1240" s="1"/>
      <c r="M1240" s="1"/>
      <c r="N1240" s="1"/>
      <c r="O1240" s="1"/>
      <c r="P1240" s="1"/>
      <c r="Q1240" s="1"/>
    </row>
    <row r="1241" spans="1:17">
      <c r="A1241" s="1"/>
      <c r="B1241" s="1" t="s">
        <v>3417</v>
      </c>
      <c r="C1241" s="1" t="s">
        <v>3418</v>
      </c>
      <c r="D1241" s="1" t="s">
        <v>5540</v>
      </c>
      <c r="E1241" s="1" t="s">
        <v>1703</v>
      </c>
      <c r="F1241" s="1">
        <v>1</v>
      </c>
      <c r="G1241" s="1">
        <v>1.26</v>
      </c>
      <c r="H1241" s="1">
        <v>6</v>
      </c>
      <c r="J1241" s="1" t="s">
        <v>29</v>
      </c>
      <c r="K1241" s="1" t="s">
        <v>3421</v>
      </c>
      <c r="L1241" s="1">
        <v>15110116918</v>
      </c>
      <c r="M1241" s="1" t="s">
        <v>3422</v>
      </c>
      <c r="N1241" s="1" t="s">
        <v>3421</v>
      </c>
      <c r="O1241" s="1" t="s">
        <v>3422</v>
      </c>
      <c r="P1241" s="1">
        <v>15110116918</v>
      </c>
      <c r="Q1241" s="1" t="s">
        <v>3423</v>
      </c>
    </row>
    <row r="1242" spans="1:17">
      <c r="A1242" s="1"/>
      <c r="B1242" s="1"/>
      <c r="C1242" s="1"/>
      <c r="D1242" s="1" t="s">
        <v>5541</v>
      </c>
      <c r="E1242" s="1" t="s">
        <v>5542</v>
      </c>
      <c r="F1242" s="1"/>
      <c r="G1242" s="1"/>
      <c r="H1242" s="1"/>
      <c r="J1242" s="1"/>
      <c r="K1242" s="1"/>
      <c r="L1242" s="1"/>
      <c r="M1242" s="1"/>
      <c r="N1242" s="1"/>
      <c r="O1242" s="1"/>
      <c r="P1242" s="1"/>
      <c r="Q1242" s="1"/>
    </row>
    <row r="1243" spans="1:17">
      <c r="A1243" s="1"/>
      <c r="B1243" s="1"/>
      <c r="C1243" s="1"/>
      <c r="D1243" s="1" t="s">
        <v>5543</v>
      </c>
      <c r="E1243" s="1" t="s">
        <v>5176</v>
      </c>
      <c r="F1243" s="1"/>
      <c r="G1243" s="1"/>
      <c r="H1243" s="1"/>
      <c r="J1243" s="1"/>
      <c r="K1243" s="1"/>
      <c r="L1243" s="1"/>
      <c r="M1243" s="1"/>
      <c r="N1243" s="1"/>
      <c r="O1243" s="1"/>
      <c r="P1243" s="1"/>
      <c r="Q1243" s="1"/>
    </row>
    <row r="1244" spans="1:17">
      <c r="A1244" s="1"/>
      <c r="B1244" s="1"/>
      <c r="C1244" s="1"/>
      <c r="D1244" s="1" t="s">
        <v>5544</v>
      </c>
      <c r="E1244" s="1" t="s">
        <v>5545</v>
      </c>
      <c r="F1244" s="1"/>
      <c r="G1244" s="1"/>
      <c r="H1244" s="1"/>
      <c r="J1244" s="1"/>
      <c r="K1244" s="1"/>
      <c r="L1244" s="1"/>
      <c r="M1244" s="1"/>
      <c r="N1244" s="1"/>
      <c r="O1244" s="1"/>
      <c r="P1244" s="1"/>
      <c r="Q1244" s="1"/>
    </row>
    <row r="1245" spans="1:17">
      <c r="A1245" s="1"/>
      <c r="B1245" s="1"/>
      <c r="C1245" s="1"/>
      <c r="D1245" s="1" t="s">
        <v>5546</v>
      </c>
      <c r="E1245" s="1" t="s">
        <v>5545</v>
      </c>
      <c r="F1245" s="1"/>
      <c r="G1245" s="1"/>
      <c r="H1245" s="1"/>
      <c r="J1245" s="1"/>
      <c r="K1245" s="1"/>
      <c r="L1245" s="1"/>
      <c r="M1245" s="1"/>
      <c r="N1245" s="1"/>
      <c r="O1245" s="1"/>
      <c r="P1245" s="1"/>
      <c r="Q1245" s="1"/>
    </row>
    <row r="1246" spans="1:17">
      <c r="A1246" s="1"/>
      <c r="B1246" s="1"/>
      <c r="C1246" s="1"/>
      <c r="D1246" s="1" t="s">
        <v>5312</v>
      </c>
      <c r="E1246" s="1" t="s">
        <v>302</v>
      </c>
      <c r="F1246" s="1"/>
      <c r="G1246" s="1"/>
      <c r="H1246" s="1"/>
      <c r="J1246" s="1"/>
      <c r="K1246" s="1"/>
      <c r="L1246" s="1"/>
      <c r="M1246" s="1"/>
      <c r="N1246" s="1"/>
      <c r="O1246" s="1"/>
      <c r="P1246" s="1"/>
      <c r="Q1246" s="1"/>
    </row>
    <row r="1247" spans="1:17">
      <c r="A1247" s="1"/>
      <c r="B1247" s="1" t="s">
        <v>3425</v>
      </c>
      <c r="C1247" s="1" t="s">
        <v>3426</v>
      </c>
      <c r="D1247" s="1" t="s">
        <v>5103</v>
      </c>
      <c r="E1247" s="1" t="s">
        <v>625</v>
      </c>
      <c r="F1247" s="1">
        <v>1</v>
      </c>
      <c r="G1247" s="1">
        <v>0.81</v>
      </c>
      <c r="H1247" s="1">
        <v>7</v>
      </c>
      <c r="I1247" s="1" t="s">
        <v>4987</v>
      </c>
      <c r="J1247" s="1" t="s">
        <v>40</v>
      </c>
      <c r="K1247" s="1" t="s">
        <v>3429</v>
      </c>
      <c r="L1247" s="1">
        <v>18909588646</v>
      </c>
      <c r="M1247" s="1" t="s">
        <v>3430</v>
      </c>
      <c r="N1247" s="1" t="s">
        <v>3429</v>
      </c>
      <c r="O1247" s="1" t="s">
        <v>3430</v>
      </c>
      <c r="P1247" s="1">
        <v>18909588646</v>
      </c>
      <c r="Q1247" s="1" t="s">
        <v>3431</v>
      </c>
    </row>
    <row r="1248" spans="1:17">
      <c r="A1248" s="1"/>
      <c r="B1248" s="1"/>
      <c r="C1248" s="1"/>
      <c r="D1248" s="1" t="s">
        <v>5162</v>
      </c>
      <c r="E1248" s="1" t="s">
        <v>625</v>
      </c>
      <c r="F1248" s="1"/>
      <c r="G1248" s="1"/>
      <c r="H1248" s="1"/>
      <c r="I1248" s="1" t="s">
        <v>4985</v>
      </c>
      <c r="J1248" s="1"/>
      <c r="K1248" s="1"/>
      <c r="L1248" s="1"/>
      <c r="M1248" s="1"/>
      <c r="N1248" s="1"/>
      <c r="O1248" s="1"/>
      <c r="P1248" s="1"/>
      <c r="Q1248" s="1"/>
    </row>
    <row r="1249" spans="1:17">
      <c r="A1249" s="1"/>
      <c r="B1249" s="1"/>
      <c r="C1249" s="1"/>
      <c r="D1249" s="1" t="s">
        <v>5128</v>
      </c>
      <c r="E1249" s="1" t="s">
        <v>625</v>
      </c>
      <c r="F1249" s="1"/>
      <c r="G1249" s="1"/>
      <c r="H1249" s="1"/>
      <c r="I1249" s="1" t="s">
        <v>4987</v>
      </c>
      <c r="J1249" s="1"/>
      <c r="K1249" s="1"/>
      <c r="L1249" s="1"/>
      <c r="M1249" s="1"/>
      <c r="N1249" s="1"/>
      <c r="O1249" s="1"/>
      <c r="P1249" s="1"/>
      <c r="Q1249" s="1"/>
    </row>
    <row r="1250" spans="1:17">
      <c r="A1250" s="1"/>
      <c r="B1250" s="1"/>
      <c r="C1250" s="1"/>
      <c r="D1250" s="1" t="s">
        <v>5113</v>
      </c>
      <c r="E1250" s="1" t="s">
        <v>625</v>
      </c>
      <c r="F1250" s="1"/>
      <c r="G1250" s="1"/>
      <c r="H1250" s="1"/>
      <c r="I1250" s="1" t="s">
        <v>4985</v>
      </c>
      <c r="J1250" s="1"/>
      <c r="K1250" s="1"/>
      <c r="L1250" s="1"/>
      <c r="M1250" s="1"/>
      <c r="N1250" s="1"/>
      <c r="O1250" s="1"/>
      <c r="P1250" s="1"/>
      <c r="Q1250" s="1"/>
    </row>
    <row r="1251" spans="1:17">
      <c r="A1251" s="1"/>
      <c r="B1251" s="1"/>
      <c r="C1251" s="1"/>
      <c r="D1251" s="1" t="s">
        <v>5353</v>
      </c>
      <c r="E1251" s="1" t="s">
        <v>625</v>
      </c>
      <c r="F1251" s="1"/>
      <c r="G1251" s="1"/>
      <c r="H1251" s="1"/>
      <c r="I1251" s="1" t="s">
        <v>5050</v>
      </c>
      <c r="J1251" s="1"/>
      <c r="K1251" s="1"/>
      <c r="L1251" s="1"/>
      <c r="M1251" s="1"/>
      <c r="N1251" s="1"/>
      <c r="O1251" s="1"/>
      <c r="P1251" s="1"/>
      <c r="Q1251" s="1"/>
    </row>
    <row r="1252" spans="1:17">
      <c r="A1252" s="1"/>
      <c r="B1252" s="1" t="s">
        <v>3433</v>
      </c>
      <c r="C1252" s="1" t="s">
        <v>3434</v>
      </c>
      <c r="D1252" s="1" t="s">
        <v>5547</v>
      </c>
      <c r="E1252" s="1" t="s">
        <v>1084</v>
      </c>
      <c r="F1252" s="1">
        <v>1</v>
      </c>
      <c r="G1252" s="1">
        <v>1.49</v>
      </c>
      <c r="H1252" s="1">
        <v>9</v>
      </c>
      <c r="I1252" s="1" t="s">
        <v>5323</v>
      </c>
      <c r="J1252" s="1" t="s">
        <v>40</v>
      </c>
      <c r="K1252" s="1" t="s">
        <v>1086</v>
      </c>
      <c r="L1252" s="1">
        <v>13882248118</v>
      </c>
      <c r="M1252" s="1" t="s">
        <v>1087</v>
      </c>
      <c r="N1252" s="1" t="s">
        <v>1086</v>
      </c>
      <c r="O1252" s="1" t="s">
        <v>3438</v>
      </c>
      <c r="P1252" s="1">
        <v>15108409784</v>
      </c>
      <c r="Q1252" s="1" t="s">
        <v>3439</v>
      </c>
    </row>
    <row r="1253" spans="1:17">
      <c r="A1253" s="1"/>
      <c r="B1253" s="1"/>
      <c r="C1253" s="1"/>
      <c r="D1253" s="1" t="s">
        <v>5039</v>
      </c>
      <c r="E1253" s="1" t="s">
        <v>1084</v>
      </c>
      <c r="F1253" s="1"/>
      <c r="G1253" s="1"/>
      <c r="H1253" s="1"/>
      <c r="I1253" s="1" t="s">
        <v>4995</v>
      </c>
      <c r="J1253" s="1"/>
      <c r="K1253" s="1"/>
      <c r="L1253" s="1"/>
      <c r="M1253" s="1"/>
      <c r="N1253" s="1"/>
      <c r="O1253" s="1"/>
      <c r="P1253" s="1"/>
      <c r="Q1253" s="1"/>
    </row>
    <row r="1254" spans="1:17">
      <c r="A1254" s="1"/>
      <c r="B1254" s="1"/>
      <c r="C1254" s="1"/>
      <c r="D1254" s="1" t="s">
        <v>5023</v>
      </c>
      <c r="E1254" s="1" t="s">
        <v>1084</v>
      </c>
      <c r="F1254" s="1"/>
      <c r="G1254" s="1"/>
      <c r="H1254" s="1"/>
      <c r="I1254" s="1" t="s">
        <v>4995</v>
      </c>
      <c r="J1254" s="1"/>
      <c r="K1254" s="1"/>
      <c r="L1254" s="1"/>
      <c r="M1254" s="1"/>
      <c r="N1254" s="1"/>
      <c r="O1254" s="1"/>
      <c r="P1254" s="1"/>
      <c r="Q1254" s="1"/>
    </row>
    <row r="1255" spans="1:17">
      <c r="A1255" s="1"/>
      <c r="B1255" s="1"/>
      <c r="C1255" s="1"/>
      <c r="D1255" s="1" t="s">
        <v>5548</v>
      </c>
      <c r="E1255" s="1" t="s">
        <v>1084</v>
      </c>
      <c r="F1255" s="1"/>
      <c r="G1255" s="1"/>
      <c r="H1255" s="1"/>
      <c r="I1255" s="1" t="s">
        <v>1085</v>
      </c>
      <c r="J1255" s="1"/>
      <c r="K1255" s="1"/>
      <c r="L1255" s="1"/>
      <c r="M1255" s="1"/>
      <c r="N1255" s="1"/>
      <c r="O1255" s="1"/>
      <c r="P1255" s="1"/>
      <c r="Q1255" s="1"/>
    </row>
    <row r="1256" spans="1:17">
      <c r="A1256" s="1"/>
      <c r="B1256" s="1" t="s">
        <v>3441</v>
      </c>
      <c r="C1256" s="1" t="s">
        <v>3442</v>
      </c>
      <c r="D1256" s="1" t="s">
        <v>5130</v>
      </c>
      <c r="E1256" s="1" t="s">
        <v>625</v>
      </c>
      <c r="F1256" s="1">
        <v>1</v>
      </c>
      <c r="G1256" s="1">
        <v>1.49</v>
      </c>
      <c r="H1256" s="1">
        <v>12</v>
      </c>
      <c r="I1256" s="1" t="s">
        <v>4983</v>
      </c>
      <c r="J1256" s="1" t="s">
        <v>40</v>
      </c>
      <c r="K1256" s="1" t="s">
        <v>2336</v>
      </c>
      <c r="L1256" s="1">
        <v>13777129967</v>
      </c>
      <c r="M1256" s="1" t="s">
        <v>2337</v>
      </c>
      <c r="N1256" s="1" t="s">
        <v>3445</v>
      </c>
      <c r="O1256" s="1" t="s">
        <v>3446</v>
      </c>
      <c r="P1256" s="1">
        <v>13586749118</v>
      </c>
      <c r="Q1256" s="1" t="s">
        <v>3447</v>
      </c>
    </row>
    <row r="1257" spans="1:17">
      <c r="A1257" s="1"/>
      <c r="B1257" s="1"/>
      <c r="C1257" s="1"/>
      <c r="D1257" s="1" t="s">
        <v>5431</v>
      </c>
      <c r="E1257" s="1" t="s">
        <v>625</v>
      </c>
      <c r="F1257" s="1"/>
      <c r="G1257" s="1"/>
      <c r="H1257" s="1"/>
      <c r="I1257" s="1" t="s">
        <v>4985</v>
      </c>
      <c r="J1257" s="1"/>
      <c r="K1257" s="1"/>
      <c r="L1257" s="1"/>
      <c r="M1257" s="1"/>
      <c r="N1257" s="1"/>
      <c r="O1257" s="1"/>
      <c r="P1257" s="1"/>
      <c r="Q1257" s="1"/>
    </row>
    <row r="1258" spans="1:17">
      <c r="A1258" s="1"/>
      <c r="B1258" s="1"/>
      <c r="C1258" s="1"/>
      <c r="D1258" s="1" t="s">
        <v>5017</v>
      </c>
      <c r="E1258" s="1" t="s">
        <v>625</v>
      </c>
      <c r="F1258" s="1"/>
      <c r="G1258" s="1"/>
      <c r="H1258" s="1"/>
      <c r="I1258" s="1" t="s">
        <v>4987</v>
      </c>
      <c r="J1258" s="1"/>
      <c r="K1258" s="1"/>
      <c r="L1258" s="1"/>
      <c r="M1258" s="1"/>
      <c r="N1258" s="1"/>
      <c r="O1258" s="1"/>
      <c r="P1258" s="1"/>
      <c r="Q1258" s="1"/>
    </row>
    <row r="1259" spans="1:17">
      <c r="A1259" s="1"/>
      <c r="B1259" s="1"/>
      <c r="C1259" s="1"/>
      <c r="D1259" s="1" t="s">
        <v>5018</v>
      </c>
      <c r="E1259" s="1" t="s">
        <v>625</v>
      </c>
      <c r="F1259" s="1"/>
      <c r="G1259" s="1"/>
      <c r="H1259" s="1"/>
      <c r="I1259" s="1" t="s">
        <v>5101</v>
      </c>
      <c r="J1259" s="1"/>
      <c r="K1259" s="1"/>
      <c r="L1259" s="1"/>
      <c r="M1259" s="1"/>
      <c r="N1259" s="1"/>
      <c r="O1259" s="1"/>
      <c r="P1259" s="1"/>
      <c r="Q1259" s="1"/>
    </row>
    <row r="1260" spans="1:17">
      <c r="A1260" s="1"/>
      <c r="B1260" s="1"/>
      <c r="C1260" s="1"/>
      <c r="D1260" s="1" t="s">
        <v>5038</v>
      </c>
      <c r="E1260" s="1" t="s">
        <v>625</v>
      </c>
      <c r="F1260" s="1"/>
      <c r="G1260" s="1"/>
      <c r="H1260" s="1"/>
      <c r="I1260" s="1" t="s">
        <v>4985</v>
      </c>
      <c r="J1260" s="1"/>
      <c r="K1260" s="1"/>
      <c r="L1260" s="1"/>
      <c r="M1260" s="1"/>
      <c r="N1260" s="1"/>
      <c r="O1260" s="1"/>
      <c r="P1260" s="1"/>
      <c r="Q1260" s="1"/>
    </row>
    <row r="1261" spans="1:17">
      <c r="A1261" s="1"/>
      <c r="B1261" s="1"/>
      <c r="C1261" s="1"/>
      <c r="D1261" s="1" t="s">
        <v>5103</v>
      </c>
      <c r="E1261" s="1" t="s">
        <v>625</v>
      </c>
      <c r="F1261" s="1"/>
      <c r="G1261" s="1"/>
      <c r="H1261" s="1"/>
      <c r="I1261" s="1" t="s">
        <v>4987</v>
      </c>
      <c r="J1261" s="1"/>
      <c r="K1261" s="1"/>
      <c r="L1261" s="1"/>
      <c r="M1261" s="1"/>
      <c r="N1261" s="1"/>
      <c r="O1261" s="1"/>
      <c r="P1261" s="1"/>
      <c r="Q1261" s="1"/>
    </row>
    <row r="1262" spans="1:17">
      <c r="A1262" s="1"/>
      <c r="B1262" s="1" t="s">
        <v>3449</v>
      </c>
      <c r="C1262" s="1" t="s">
        <v>3450</v>
      </c>
      <c r="D1262" s="1" t="s">
        <v>5020</v>
      </c>
      <c r="E1262" s="1" t="s">
        <v>625</v>
      </c>
      <c r="F1262" s="1">
        <v>1</v>
      </c>
      <c r="G1262" s="1">
        <v>1.04</v>
      </c>
      <c r="H1262" s="1">
        <v>11</v>
      </c>
      <c r="I1262" s="1" t="s">
        <v>4985</v>
      </c>
      <c r="J1262" s="1" t="s">
        <v>40</v>
      </c>
      <c r="K1262" s="1" t="s">
        <v>2336</v>
      </c>
      <c r="L1262" s="1">
        <v>13777129967</v>
      </c>
      <c r="M1262" s="1" t="s">
        <v>2337</v>
      </c>
      <c r="N1262" s="1" t="s">
        <v>3453</v>
      </c>
      <c r="O1262" s="1" t="s">
        <v>3454</v>
      </c>
      <c r="P1262" s="1">
        <v>13123818781</v>
      </c>
      <c r="Q1262" s="1" t="s">
        <v>3455</v>
      </c>
    </row>
    <row r="1263" spans="1:17">
      <c r="A1263" s="1"/>
      <c r="B1263" s="1"/>
      <c r="C1263" s="1"/>
      <c r="D1263" s="1" t="s">
        <v>5130</v>
      </c>
      <c r="E1263" s="1" t="s">
        <v>625</v>
      </c>
      <c r="F1263" s="1"/>
      <c r="G1263" s="1"/>
      <c r="H1263" s="1"/>
      <c r="I1263" s="1" t="s">
        <v>4983</v>
      </c>
      <c r="J1263" s="1"/>
      <c r="K1263" s="1"/>
      <c r="L1263" s="1"/>
      <c r="M1263" s="1"/>
      <c r="N1263" s="1"/>
      <c r="O1263" s="1"/>
      <c r="P1263" s="1"/>
      <c r="Q1263" s="1"/>
    </row>
    <row r="1264" spans="1:17">
      <c r="A1264" s="1"/>
      <c r="B1264" s="1"/>
      <c r="C1264" s="1"/>
      <c r="D1264" s="1" t="s">
        <v>5017</v>
      </c>
      <c r="E1264" s="1" t="s">
        <v>625</v>
      </c>
      <c r="F1264" s="1"/>
      <c r="G1264" s="1"/>
      <c r="H1264" s="1"/>
      <c r="I1264" s="1" t="s">
        <v>4987</v>
      </c>
      <c r="J1264" s="1"/>
      <c r="K1264" s="1"/>
      <c r="L1264" s="1"/>
      <c r="M1264" s="1"/>
      <c r="N1264" s="1"/>
      <c r="O1264" s="1"/>
      <c r="P1264" s="1"/>
      <c r="Q1264" s="1"/>
    </row>
    <row r="1265" spans="1:17">
      <c r="A1265" s="1"/>
      <c r="B1265" s="1"/>
      <c r="C1265" s="1"/>
      <c r="D1265" s="1" t="s">
        <v>5023</v>
      </c>
      <c r="E1265" s="1" t="s">
        <v>625</v>
      </c>
      <c r="F1265" s="1"/>
      <c r="G1265" s="1"/>
      <c r="H1265" s="1"/>
      <c r="I1265" s="1" t="s">
        <v>4985</v>
      </c>
      <c r="J1265" s="1"/>
      <c r="K1265" s="1"/>
      <c r="L1265" s="1"/>
      <c r="M1265" s="1"/>
      <c r="N1265" s="1"/>
      <c r="O1265" s="1"/>
      <c r="P1265" s="1"/>
      <c r="Q1265" s="1"/>
    </row>
    <row r="1266" spans="1:17">
      <c r="A1266" s="1"/>
      <c r="B1266" s="1"/>
      <c r="C1266" s="1"/>
      <c r="D1266" s="1" t="s">
        <v>5244</v>
      </c>
      <c r="E1266" s="1" t="s">
        <v>625</v>
      </c>
      <c r="F1266" s="1"/>
      <c r="G1266" s="1"/>
      <c r="H1266" s="1"/>
      <c r="I1266" s="1" t="s">
        <v>5235</v>
      </c>
      <c r="J1266" s="1"/>
      <c r="K1266" s="1"/>
      <c r="L1266" s="1"/>
      <c r="M1266" s="1"/>
      <c r="N1266" s="1"/>
      <c r="O1266" s="1"/>
      <c r="P1266" s="1"/>
      <c r="Q1266" s="1"/>
    </row>
    <row r="1267" spans="1:17">
      <c r="A1267" s="1"/>
      <c r="B1267" s="1"/>
      <c r="C1267" s="1"/>
      <c r="D1267" s="1" t="s">
        <v>5152</v>
      </c>
      <c r="E1267" s="1" t="s">
        <v>625</v>
      </c>
      <c r="F1267" s="1"/>
      <c r="G1267" s="1"/>
      <c r="H1267" s="1"/>
      <c r="I1267" s="1" t="s">
        <v>4987</v>
      </c>
      <c r="J1267" s="1"/>
      <c r="K1267" s="1"/>
      <c r="L1267" s="1"/>
      <c r="M1267" s="1"/>
      <c r="N1267" s="1"/>
      <c r="O1267" s="1"/>
      <c r="P1267" s="1"/>
      <c r="Q1267" s="1"/>
    </row>
    <row r="1268" spans="1:17">
      <c r="A1268" s="1"/>
      <c r="B1268" s="1" t="s">
        <v>3457</v>
      </c>
      <c r="C1268" s="1" t="s">
        <v>3458</v>
      </c>
      <c r="D1268" s="1" t="s">
        <v>5081</v>
      </c>
      <c r="E1268" s="1" t="s">
        <v>420</v>
      </c>
      <c r="F1268" s="1">
        <v>1</v>
      </c>
      <c r="G1268" s="1">
        <v>0.81</v>
      </c>
      <c r="H1268" s="1">
        <v>4</v>
      </c>
      <c r="I1268" s="1" t="s">
        <v>164</v>
      </c>
      <c r="J1268" s="1" t="s">
        <v>29</v>
      </c>
      <c r="K1268" s="1" t="s">
        <v>3461</v>
      </c>
      <c r="L1268" s="1">
        <v>13518413175</v>
      </c>
      <c r="M1268" s="1" t="s">
        <v>3462</v>
      </c>
      <c r="N1268" s="1" t="s">
        <v>3463</v>
      </c>
      <c r="O1268" s="1" t="s">
        <v>3462</v>
      </c>
      <c r="P1268" s="1">
        <v>13518413175</v>
      </c>
      <c r="Q1268" s="1" t="s">
        <v>3464</v>
      </c>
    </row>
    <row r="1269" spans="1:17">
      <c r="A1269" s="1"/>
      <c r="B1269" s="1"/>
      <c r="C1269" s="1"/>
      <c r="D1269" s="1" t="s">
        <v>5082</v>
      </c>
      <c r="E1269" s="1" t="s">
        <v>420</v>
      </c>
      <c r="F1269" s="1"/>
      <c r="G1269" s="1"/>
      <c r="H1269" s="1"/>
      <c r="I1269" s="1" t="s">
        <v>5225</v>
      </c>
      <c r="J1269" s="1"/>
      <c r="K1269" s="1"/>
      <c r="L1269" s="1"/>
      <c r="M1269" s="1"/>
      <c r="N1269" s="1"/>
      <c r="O1269" s="1"/>
      <c r="P1269" s="1"/>
      <c r="Q1269" s="1"/>
    </row>
    <row r="1270" spans="1:17">
      <c r="A1270" s="1"/>
      <c r="B1270" s="1"/>
      <c r="C1270" s="1"/>
      <c r="D1270" s="1" t="s">
        <v>5009</v>
      </c>
      <c r="E1270" s="1" t="s">
        <v>420</v>
      </c>
      <c r="F1270" s="1"/>
      <c r="G1270" s="1"/>
      <c r="H1270" s="1"/>
      <c r="I1270" s="1" t="s">
        <v>5549</v>
      </c>
      <c r="J1270" s="1"/>
      <c r="K1270" s="1"/>
      <c r="L1270" s="1"/>
      <c r="M1270" s="1"/>
      <c r="N1270" s="1"/>
      <c r="O1270" s="1"/>
      <c r="P1270" s="1"/>
      <c r="Q1270" s="1"/>
    </row>
    <row r="1271" spans="1:17">
      <c r="A1271" s="1"/>
      <c r="B1271" s="1" t="s">
        <v>3466</v>
      </c>
      <c r="C1271" s="1" t="s">
        <v>3467</v>
      </c>
      <c r="D1271" s="1" t="s">
        <v>5550</v>
      </c>
      <c r="E1271" s="1" t="s">
        <v>625</v>
      </c>
      <c r="F1271" s="1">
        <v>1</v>
      </c>
      <c r="G1271" s="1">
        <v>1.04</v>
      </c>
      <c r="H1271" s="1">
        <v>7</v>
      </c>
      <c r="I1271" s="1" t="s">
        <v>4241</v>
      </c>
      <c r="J1271" s="1" t="s">
        <v>40</v>
      </c>
      <c r="K1271" s="1" t="s">
        <v>1122</v>
      </c>
      <c r="L1271" s="1">
        <v>13817013878</v>
      </c>
      <c r="M1271" s="1" t="s">
        <v>1123</v>
      </c>
      <c r="N1271" s="1" t="s">
        <v>1122</v>
      </c>
      <c r="O1271" s="1" t="s">
        <v>3470</v>
      </c>
      <c r="P1271" s="1">
        <v>18221743682</v>
      </c>
      <c r="Q1271" s="1" t="s">
        <v>3471</v>
      </c>
    </row>
    <row r="1272" spans="1:17">
      <c r="A1272" s="1"/>
      <c r="B1272" s="1"/>
      <c r="C1272" s="1"/>
      <c r="D1272" s="1" t="s">
        <v>5116</v>
      </c>
      <c r="E1272" s="1" t="s">
        <v>625</v>
      </c>
      <c r="F1272" s="1"/>
      <c r="G1272" s="1"/>
      <c r="H1272" s="1"/>
      <c r="I1272" s="1" t="s">
        <v>4987</v>
      </c>
      <c r="J1272" s="1"/>
      <c r="K1272" s="1"/>
      <c r="L1272" s="1"/>
      <c r="M1272" s="1"/>
      <c r="N1272" s="1"/>
      <c r="O1272" s="1"/>
      <c r="P1272" s="1"/>
      <c r="Q1272" s="1"/>
    </row>
    <row r="1273" spans="1:17">
      <c r="A1273" s="1"/>
      <c r="B1273" s="1"/>
      <c r="C1273" s="1"/>
      <c r="D1273" s="1" t="s">
        <v>5263</v>
      </c>
      <c r="E1273" s="1" t="s">
        <v>625</v>
      </c>
      <c r="F1273" s="1"/>
      <c r="G1273" s="1"/>
      <c r="H1273" s="1"/>
      <c r="I1273" s="1" t="s">
        <v>5050</v>
      </c>
      <c r="J1273" s="1"/>
      <c r="K1273" s="1"/>
      <c r="L1273" s="1"/>
      <c r="M1273" s="1"/>
      <c r="N1273" s="1"/>
      <c r="O1273" s="1"/>
      <c r="P1273" s="1"/>
      <c r="Q1273" s="1"/>
    </row>
    <row r="1274" spans="1:17">
      <c r="A1274" s="1"/>
      <c r="B1274" s="1" t="s">
        <v>3473</v>
      </c>
      <c r="C1274" s="1" t="s">
        <v>3474</v>
      </c>
      <c r="D1274" s="1" t="s">
        <v>5415</v>
      </c>
      <c r="E1274" s="1" t="s">
        <v>420</v>
      </c>
      <c r="F1274" s="1">
        <v>1</v>
      </c>
      <c r="G1274" s="1">
        <v>2.63</v>
      </c>
      <c r="H1274" s="1">
        <v>6</v>
      </c>
      <c r="J1274" s="1" t="s">
        <v>40</v>
      </c>
      <c r="K1274" s="1" t="s">
        <v>3476</v>
      </c>
      <c r="L1274" s="1">
        <v>13132188597</v>
      </c>
      <c r="M1274" s="1" t="s">
        <v>3477</v>
      </c>
      <c r="N1274" s="1" t="s">
        <v>3476</v>
      </c>
      <c r="O1274" s="1" t="s">
        <v>3477</v>
      </c>
      <c r="P1274" s="1">
        <v>13132188597</v>
      </c>
      <c r="Q1274" s="1" t="s">
        <v>3478</v>
      </c>
    </row>
    <row r="1275" spans="1:17">
      <c r="A1275" s="1"/>
      <c r="B1275" s="1"/>
      <c r="C1275" s="1"/>
      <c r="D1275" s="1" t="s">
        <v>5551</v>
      </c>
      <c r="E1275" s="1" t="s">
        <v>420</v>
      </c>
      <c r="F1275" s="1"/>
      <c r="G1275" s="1"/>
      <c r="H1275" s="1"/>
      <c r="J1275" s="1"/>
      <c r="K1275" s="1"/>
      <c r="L1275" s="1"/>
      <c r="M1275" s="1"/>
      <c r="N1275" s="1"/>
      <c r="O1275" s="1"/>
      <c r="P1275" s="1"/>
      <c r="Q1275" s="1"/>
    </row>
    <row r="1276" spans="1:17">
      <c r="A1276" s="1"/>
      <c r="B1276" s="1"/>
      <c r="C1276" s="1"/>
      <c r="D1276" s="1" t="s">
        <v>5203</v>
      </c>
      <c r="E1276" s="1" t="s">
        <v>420</v>
      </c>
      <c r="F1276" s="1"/>
      <c r="G1276" s="1"/>
      <c r="H1276" s="1"/>
      <c r="J1276" s="1"/>
      <c r="K1276" s="1"/>
      <c r="L1276" s="1"/>
      <c r="M1276" s="1"/>
      <c r="N1276" s="1"/>
      <c r="O1276" s="1"/>
      <c r="P1276" s="1"/>
      <c r="Q1276" s="1"/>
    </row>
    <row r="1277" spans="1:17">
      <c r="A1277" s="1"/>
      <c r="B1277" s="1"/>
      <c r="C1277" s="1"/>
      <c r="D1277" s="1" t="s">
        <v>5552</v>
      </c>
      <c r="E1277" s="1" t="s">
        <v>420</v>
      </c>
      <c r="F1277" s="1"/>
      <c r="G1277" s="1"/>
      <c r="H1277" s="1"/>
      <c r="J1277" s="1"/>
      <c r="K1277" s="1"/>
      <c r="L1277" s="1"/>
      <c r="M1277" s="1"/>
      <c r="N1277" s="1"/>
      <c r="O1277" s="1"/>
      <c r="P1277" s="1"/>
      <c r="Q1277" s="1"/>
    </row>
    <row r="1278" spans="1:17">
      <c r="A1278" s="1"/>
      <c r="B1278" s="1" t="s">
        <v>3480</v>
      </c>
      <c r="C1278" s="1" t="s">
        <v>3481</v>
      </c>
      <c r="D1278" s="1" t="s">
        <v>5233</v>
      </c>
      <c r="E1278" s="1" t="s">
        <v>420</v>
      </c>
      <c r="F1278" s="1">
        <v>1</v>
      </c>
      <c r="G1278" s="1">
        <v>1.72</v>
      </c>
      <c r="H1278" s="1">
        <v>14</v>
      </c>
      <c r="I1278" s="1" t="s">
        <v>1142</v>
      </c>
      <c r="J1278" s="1" t="s">
        <v>29</v>
      </c>
      <c r="K1278" s="1" t="s">
        <v>1143</v>
      </c>
      <c r="L1278" s="1">
        <v>13266533076</v>
      </c>
      <c r="M1278" s="1" t="s">
        <v>1144</v>
      </c>
      <c r="N1278" s="1" t="s">
        <v>3482</v>
      </c>
      <c r="O1278" s="1" t="s">
        <v>3483</v>
      </c>
      <c r="P1278" s="1">
        <v>13590473120</v>
      </c>
      <c r="Q1278" s="1" t="s">
        <v>3484</v>
      </c>
    </row>
    <row r="1279" spans="1:17">
      <c r="A1279" s="1"/>
      <c r="B1279" s="1" t="s">
        <v>3486</v>
      </c>
      <c r="C1279" s="1" t="s">
        <v>3487</v>
      </c>
      <c r="D1279" s="1" t="s">
        <v>5553</v>
      </c>
      <c r="E1279" s="1" t="s">
        <v>625</v>
      </c>
      <c r="F1279" s="1">
        <v>1</v>
      </c>
      <c r="G1279" s="1">
        <v>0.81</v>
      </c>
      <c r="H1279" s="1">
        <v>12</v>
      </c>
      <c r="I1279" s="1" t="s">
        <v>4987</v>
      </c>
      <c r="J1279" s="1" t="s">
        <v>40</v>
      </c>
      <c r="K1279" s="1" t="s">
        <v>1153</v>
      </c>
      <c r="L1279" s="1">
        <v>13313625098</v>
      </c>
      <c r="M1279" s="1" t="s">
        <v>1154</v>
      </c>
      <c r="N1279" s="1" t="s">
        <v>3490</v>
      </c>
      <c r="O1279" s="1" t="s">
        <v>3491</v>
      </c>
      <c r="P1279" s="1">
        <v>15045807324</v>
      </c>
      <c r="Q1279" s="1" t="s">
        <v>3492</v>
      </c>
    </row>
    <row r="1280" spans="1:17">
      <c r="A1280" s="1"/>
      <c r="B1280" s="1"/>
      <c r="C1280" s="1"/>
      <c r="D1280" s="1" t="s">
        <v>5038</v>
      </c>
      <c r="E1280" s="1" t="s">
        <v>625</v>
      </c>
      <c r="F1280" s="1"/>
      <c r="G1280" s="1"/>
      <c r="H1280" s="1"/>
      <c r="I1280" s="1" t="s">
        <v>5235</v>
      </c>
      <c r="J1280" s="1"/>
      <c r="K1280" s="1"/>
      <c r="L1280" s="1"/>
      <c r="M1280" s="1"/>
      <c r="N1280" s="1"/>
      <c r="O1280" s="1"/>
      <c r="P1280" s="1"/>
      <c r="Q1280" s="1"/>
    </row>
    <row r="1281" spans="1:17">
      <c r="A1281" s="1"/>
      <c r="B1281" s="1"/>
      <c r="C1281" s="1"/>
      <c r="D1281" s="1" t="s">
        <v>5103</v>
      </c>
      <c r="E1281" s="1" t="s">
        <v>625</v>
      </c>
      <c r="F1281" s="1"/>
      <c r="G1281" s="1"/>
      <c r="H1281" s="1"/>
      <c r="I1281" s="1" t="s">
        <v>4987</v>
      </c>
      <c r="J1281" s="1"/>
      <c r="K1281" s="1"/>
      <c r="L1281" s="1"/>
      <c r="M1281" s="1"/>
      <c r="N1281" s="1"/>
      <c r="O1281" s="1"/>
      <c r="P1281" s="1"/>
      <c r="Q1281" s="1"/>
    </row>
    <row r="1282" spans="1:17">
      <c r="A1282" s="1"/>
      <c r="B1282" s="1"/>
      <c r="C1282" s="1"/>
      <c r="D1282" s="1" t="s">
        <v>5554</v>
      </c>
      <c r="E1282" s="1" t="s">
        <v>625</v>
      </c>
      <c r="F1282" s="1"/>
      <c r="G1282" s="1"/>
      <c r="H1282" s="1"/>
      <c r="I1282" s="1" t="s">
        <v>5050</v>
      </c>
      <c r="J1282" s="1"/>
      <c r="K1282" s="1"/>
      <c r="L1282" s="1"/>
      <c r="M1282" s="1"/>
      <c r="N1282" s="1"/>
      <c r="O1282" s="1"/>
      <c r="P1282" s="1"/>
      <c r="Q1282" s="1"/>
    </row>
    <row r="1283" spans="1:17">
      <c r="A1283" s="1"/>
      <c r="B1283" s="1" t="s">
        <v>3494</v>
      </c>
      <c r="C1283" s="1" t="s">
        <v>3495</v>
      </c>
      <c r="D1283" s="1" t="s">
        <v>5555</v>
      </c>
      <c r="E1283" s="1" t="s">
        <v>625</v>
      </c>
      <c r="F1283" s="1">
        <v>1</v>
      </c>
      <c r="G1283" s="1">
        <v>1.49</v>
      </c>
      <c r="H1283" s="1">
        <v>12</v>
      </c>
      <c r="J1283" s="1" t="s">
        <v>40</v>
      </c>
      <c r="K1283" s="1" t="s">
        <v>321</v>
      </c>
      <c r="L1283" s="1">
        <v>13701078667</v>
      </c>
      <c r="M1283" s="1" t="s">
        <v>322</v>
      </c>
      <c r="N1283" s="1" t="s">
        <v>3497</v>
      </c>
      <c r="O1283" s="1" t="s">
        <v>3498</v>
      </c>
      <c r="P1283" s="1">
        <v>13810020844</v>
      </c>
      <c r="Q1283" s="1" t="s">
        <v>3499</v>
      </c>
    </row>
    <row r="1284" spans="1:17">
      <c r="A1284" s="1"/>
      <c r="B1284" s="1"/>
      <c r="C1284" s="1"/>
      <c r="D1284" s="1" t="s">
        <v>5027</v>
      </c>
      <c r="E1284" s="1" t="s">
        <v>625</v>
      </c>
      <c r="F1284" s="1"/>
      <c r="G1284" s="1"/>
      <c r="H1284" s="1"/>
      <c r="J1284" s="1"/>
      <c r="K1284" s="1"/>
      <c r="L1284" s="1"/>
      <c r="M1284" s="1"/>
      <c r="N1284" s="1"/>
      <c r="O1284" s="1"/>
      <c r="P1284" s="1"/>
      <c r="Q1284" s="1"/>
    </row>
    <row r="1285" spans="1:17">
      <c r="A1285" s="1"/>
      <c r="B1285" s="1"/>
      <c r="C1285" s="1"/>
      <c r="D1285" s="1" t="s">
        <v>5071</v>
      </c>
      <c r="E1285" s="1" t="s">
        <v>625</v>
      </c>
      <c r="F1285" s="1"/>
      <c r="G1285" s="1"/>
      <c r="H1285" s="1"/>
      <c r="J1285" s="1"/>
      <c r="K1285" s="1"/>
      <c r="L1285" s="1"/>
      <c r="M1285" s="1"/>
      <c r="N1285" s="1"/>
      <c r="O1285" s="1"/>
      <c r="P1285" s="1"/>
      <c r="Q1285" s="1"/>
    </row>
    <row r="1286" spans="1:17">
      <c r="A1286" s="1"/>
      <c r="B1286" s="1"/>
      <c r="C1286" s="1"/>
      <c r="D1286" s="1" t="s">
        <v>5556</v>
      </c>
      <c r="E1286" s="1" t="s">
        <v>625</v>
      </c>
      <c r="F1286" s="1"/>
      <c r="G1286" s="1"/>
      <c r="H1286" s="1"/>
      <c r="J1286" s="1"/>
      <c r="K1286" s="1"/>
      <c r="L1286" s="1"/>
      <c r="M1286" s="1"/>
      <c r="N1286" s="1"/>
      <c r="O1286" s="1"/>
      <c r="P1286" s="1"/>
      <c r="Q1286" s="1"/>
    </row>
    <row r="1287" spans="1:17">
      <c r="A1287" s="1"/>
      <c r="B1287" s="1"/>
      <c r="C1287" s="1"/>
      <c r="D1287" s="1" t="s">
        <v>5113</v>
      </c>
      <c r="E1287" s="1" t="s">
        <v>625</v>
      </c>
      <c r="F1287" s="1"/>
      <c r="G1287" s="1"/>
      <c r="H1287" s="1"/>
      <c r="J1287" s="1"/>
      <c r="K1287" s="1"/>
      <c r="L1287" s="1"/>
      <c r="M1287" s="1"/>
      <c r="N1287" s="1"/>
      <c r="O1287" s="1"/>
      <c r="P1287" s="1"/>
      <c r="Q1287" s="1"/>
    </row>
    <row r="1288" spans="1:17">
      <c r="A1288" s="1"/>
      <c r="B1288" s="1" t="s">
        <v>3501</v>
      </c>
      <c r="C1288" s="1" t="s">
        <v>3502</v>
      </c>
      <c r="D1288" s="1" t="s">
        <v>5447</v>
      </c>
      <c r="E1288" s="1" t="s">
        <v>625</v>
      </c>
      <c r="F1288" s="1">
        <v>1</v>
      </c>
      <c r="G1288" s="1">
        <v>1.72</v>
      </c>
      <c r="H1288" s="1">
        <v>10</v>
      </c>
      <c r="I1288" s="1" t="s">
        <v>4241</v>
      </c>
      <c r="J1288" s="1" t="s">
        <v>40</v>
      </c>
      <c r="K1288" s="1" t="s">
        <v>1171</v>
      </c>
      <c r="L1288" s="1">
        <v>13689911637</v>
      </c>
      <c r="M1288" s="1" t="s">
        <v>1172</v>
      </c>
      <c r="N1288" s="1" t="s">
        <v>3505</v>
      </c>
      <c r="O1288" s="1" t="s">
        <v>3506</v>
      </c>
      <c r="P1288" s="1">
        <v>15739390783</v>
      </c>
      <c r="Q1288" s="1" t="s">
        <v>3507</v>
      </c>
    </row>
    <row r="1289" spans="1:17">
      <c r="A1289" s="1"/>
      <c r="B1289" s="1"/>
      <c r="C1289" s="1"/>
      <c r="D1289" s="1" t="s">
        <v>5158</v>
      </c>
      <c r="E1289" s="1" t="s">
        <v>625</v>
      </c>
      <c r="F1289" s="1"/>
      <c r="G1289" s="1"/>
      <c r="H1289" s="1"/>
      <c r="I1289" s="1" t="s">
        <v>5101</v>
      </c>
      <c r="J1289" s="1"/>
      <c r="K1289" s="1"/>
      <c r="L1289" s="1"/>
      <c r="M1289" s="1"/>
      <c r="N1289" s="1"/>
      <c r="O1289" s="1"/>
      <c r="P1289" s="1"/>
      <c r="Q1289" s="1"/>
    </row>
    <row r="1290" spans="1:17">
      <c r="A1290" s="1"/>
      <c r="B1290" s="1" t="s">
        <v>3509</v>
      </c>
      <c r="C1290" s="1" t="s">
        <v>3510</v>
      </c>
      <c r="D1290" s="1" t="s">
        <v>5407</v>
      </c>
      <c r="E1290" s="1" t="s">
        <v>625</v>
      </c>
      <c r="F1290" s="1">
        <v>1</v>
      </c>
      <c r="G1290" s="1">
        <v>0.81</v>
      </c>
      <c r="H1290" s="1">
        <v>15</v>
      </c>
      <c r="J1290" s="1" t="s">
        <v>40</v>
      </c>
      <c r="K1290" s="1" t="s">
        <v>3513</v>
      </c>
      <c r="L1290" s="1">
        <v>13999205305</v>
      </c>
      <c r="M1290" s="1" t="s">
        <v>3514</v>
      </c>
      <c r="N1290" s="1" t="s">
        <v>3515</v>
      </c>
      <c r="O1290" s="1" t="s">
        <v>3516</v>
      </c>
      <c r="P1290" s="1">
        <v>18599029256</v>
      </c>
      <c r="Q1290" s="1" t="s">
        <v>3517</v>
      </c>
    </row>
    <row r="1291" spans="1:17">
      <c r="A1291" s="1"/>
      <c r="B1291" s="1"/>
      <c r="C1291" s="1"/>
      <c r="D1291" s="1" t="s">
        <v>4966</v>
      </c>
      <c r="E1291" s="1" t="s">
        <v>625</v>
      </c>
      <c r="F1291" s="1"/>
      <c r="G1291" s="1"/>
      <c r="H1291" s="1"/>
      <c r="J1291" s="1"/>
      <c r="K1291" s="1"/>
      <c r="L1291" s="1"/>
      <c r="M1291" s="1"/>
      <c r="N1291" s="1"/>
      <c r="O1291" s="1"/>
      <c r="P1291" s="1"/>
      <c r="Q1291" s="1"/>
    </row>
    <row r="1292" spans="1:17">
      <c r="A1292" s="1"/>
      <c r="B1292" s="1"/>
      <c r="C1292" s="1"/>
      <c r="D1292" s="1" t="s">
        <v>5557</v>
      </c>
      <c r="E1292" s="1" t="s">
        <v>625</v>
      </c>
      <c r="F1292" s="1"/>
      <c r="G1292" s="1"/>
      <c r="H1292" s="1"/>
      <c r="J1292" s="1"/>
      <c r="K1292" s="1"/>
      <c r="L1292" s="1"/>
      <c r="M1292" s="1"/>
      <c r="N1292" s="1"/>
      <c r="O1292" s="1"/>
      <c r="P1292" s="1"/>
      <c r="Q1292" s="1"/>
    </row>
    <row r="1293" spans="1:17">
      <c r="A1293" s="1"/>
      <c r="B1293" s="1"/>
      <c r="C1293" s="1"/>
      <c r="D1293" s="1" t="s">
        <v>5556</v>
      </c>
      <c r="E1293" s="1" t="s">
        <v>625</v>
      </c>
      <c r="F1293" s="1"/>
      <c r="G1293" s="1"/>
      <c r="H1293" s="1"/>
      <c r="J1293" s="1"/>
      <c r="K1293" s="1"/>
      <c r="L1293" s="1"/>
      <c r="M1293" s="1"/>
      <c r="N1293" s="1"/>
      <c r="O1293" s="1"/>
      <c r="P1293" s="1"/>
      <c r="Q1293" s="1"/>
    </row>
    <row r="1294" spans="1:17">
      <c r="A1294" s="1"/>
      <c r="B1294" s="1" t="s">
        <v>3519</v>
      </c>
      <c r="C1294" s="1" t="s">
        <v>3520</v>
      </c>
      <c r="D1294" s="1" t="s">
        <v>5020</v>
      </c>
      <c r="E1294" s="1" t="s">
        <v>625</v>
      </c>
      <c r="F1294" s="1">
        <v>1</v>
      </c>
      <c r="G1294" s="1">
        <v>1.2636363636363599</v>
      </c>
      <c r="H1294" s="1">
        <v>10</v>
      </c>
      <c r="J1294" s="1" t="s">
        <v>40</v>
      </c>
      <c r="K1294" s="1" t="s">
        <v>1181</v>
      </c>
      <c r="L1294" s="1">
        <v>13321152741</v>
      </c>
      <c r="M1294" s="1" t="s">
        <v>1182</v>
      </c>
      <c r="N1294" s="1" t="s">
        <v>1181</v>
      </c>
      <c r="O1294" s="1" t="s">
        <v>3524</v>
      </c>
      <c r="P1294" s="1">
        <v>13936167827</v>
      </c>
      <c r="Q1294" s="1" t="s">
        <v>3525</v>
      </c>
    </row>
    <row r="1295" spans="1:17">
      <c r="A1295" s="1"/>
      <c r="B1295" s="1"/>
      <c r="C1295" s="1"/>
      <c r="D1295" s="1" t="s">
        <v>5418</v>
      </c>
      <c r="E1295" s="1" t="s">
        <v>625</v>
      </c>
      <c r="F1295" s="1"/>
      <c r="G1295" s="1"/>
      <c r="H1295" s="1"/>
      <c r="J1295" s="1"/>
      <c r="K1295" s="1"/>
      <c r="L1295" s="1"/>
      <c r="M1295" s="1"/>
      <c r="N1295" s="1"/>
      <c r="O1295" s="1"/>
      <c r="P1295" s="1"/>
      <c r="Q1295" s="1"/>
    </row>
    <row r="1296" spans="1:17">
      <c r="A1296" s="1"/>
      <c r="B1296" s="1"/>
      <c r="C1296" s="1"/>
      <c r="D1296" s="1" t="s">
        <v>5017</v>
      </c>
      <c r="E1296" s="1" t="s">
        <v>625</v>
      </c>
      <c r="F1296" s="1"/>
      <c r="G1296" s="1"/>
      <c r="H1296" s="1"/>
      <c r="J1296" s="1"/>
      <c r="K1296" s="1"/>
      <c r="L1296" s="1"/>
      <c r="M1296" s="1"/>
      <c r="N1296" s="1"/>
      <c r="O1296" s="1"/>
      <c r="P1296" s="1"/>
      <c r="Q1296" s="1"/>
    </row>
    <row r="1297" spans="1:17">
      <c r="A1297" s="1"/>
      <c r="B1297" s="1"/>
      <c r="C1297" s="1"/>
      <c r="D1297" s="1" t="s">
        <v>5152</v>
      </c>
      <c r="E1297" s="1" t="s">
        <v>625</v>
      </c>
      <c r="F1297" s="1"/>
      <c r="G1297" s="1"/>
      <c r="H1297" s="1"/>
      <c r="J1297" s="1"/>
      <c r="K1297" s="1"/>
      <c r="L1297" s="1"/>
      <c r="M1297" s="1"/>
      <c r="N1297" s="1"/>
      <c r="O1297" s="1"/>
      <c r="P1297" s="1"/>
      <c r="Q1297" s="1"/>
    </row>
    <row r="1298" spans="1:17">
      <c r="A1298" s="1"/>
      <c r="B1298" s="1"/>
      <c r="C1298" s="1"/>
      <c r="D1298" s="1" t="s">
        <v>5558</v>
      </c>
      <c r="E1298" s="1" t="s">
        <v>625</v>
      </c>
      <c r="F1298" s="1"/>
      <c r="G1298" s="1"/>
      <c r="H1298" s="1"/>
      <c r="J1298" s="1"/>
      <c r="K1298" s="1"/>
      <c r="L1298" s="1"/>
      <c r="M1298" s="1"/>
      <c r="N1298" s="1"/>
      <c r="O1298" s="1"/>
      <c r="P1298" s="1"/>
      <c r="Q1298" s="1"/>
    </row>
    <row r="1299" spans="1:17">
      <c r="A1299" s="1"/>
      <c r="B1299" s="1"/>
      <c r="C1299" s="1"/>
      <c r="D1299" s="1" t="s">
        <v>5246</v>
      </c>
      <c r="E1299" s="1" t="s">
        <v>625</v>
      </c>
      <c r="F1299" s="1"/>
      <c r="G1299" s="1"/>
      <c r="H1299" s="1"/>
      <c r="J1299" s="1"/>
      <c r="K1299" s="1"/>
      <c r="L1299" s="1"/>
      <c r="M1299" s="1"/>
      <c r="N1299" s="1"/>
      <c r="O1299" s="1"/>
      <c r="P1299" s="1"/>
      <c r="Q1299" s="1"/>
    </row>
    <row r="1300" spans="1:17">
      <c r="A1300" s="1"/>
      <c r="B1300" s="1"/>
      <c r="C1300" s="1"/>
      <c r="D1300" s="1" t="s">
        <v>5245</v>
      </c>
      <c r="E1300" s="1" t="s">
        <v>625</v>
      </c>
      <c r="F1300" s="1"/>
      <c r="G1300" s="1"/>
      <c r="H1300" s="1"/>
      <c r="J1300" s="1"/>
      <c r="K1300" s="1"/>
      <c r="L1300" s="1"/>
      <c r="M1300" s="1"/>
      <c r="N1300" s="1"/>
      <c r="O1300" s="1"/>
      <c r="P1300" s="1"/>
      <c r="Q1300" s="1"/>
    </row>
    <row r="1301" spans="1:17">
      <c r="A1301" s="1"/>
      <c r="B1301" s="1"/>
      <c r="C1301" s="1"/>
      <c r="D1301" s="1" t="s">
        <v>5128</v>
      </c>
      <c r="E1301" s="1" t="s">
        <v>625</v>
      </c>
      <c r="F1301" s="1"/>
      <c r="G1301" s="1"/>
      <c r="H1301" s="1"/>
      <c r="J1301" s="1"/>
      <c r="K1301" s="1"/>
      <c r="L1301" s="1"/>
      <c r="M1301" s="1"/>
      <c r="N1301" s="1"/>
      <c r="O1301" s="1"/>
      <c r="P1301" s="1"/>
      <c r="Q1301" s="1"/>
    </row>
    <row r="1302" spans="1:17">
      <c r="A1302" s="1"/>
      <c r="B1302" s="1"/>
      <c r="C1302" s="1"/>
      <c r="D1302" s="1" t="s">
        <v>5130</v>
      </c>
      <c r="E1302" s="1" t="s">
        <v>625</v>
      </c>
      <c r="F1302" s="1"/>
      <c r="G1302" s="1"/>
      <c r="H1302" s="1"/>
      <c r="J1302" s="1"/>
      <c r="K1302" s="1"/>
      <c r="L1302" s="1"/>
      <c r="M1302" s="1"/>
      <c r="N1302" s="1"/>
      <c r="O1302" s="1"/>
      <c r="P1302" s="1"/>
      <c r="Q1302" s="1"/>
    </row>
    <row r="1303" spans="1:17">
      <c r="A1303" s="1"/>
      <c r="B1303" s="1" t="s">
        <v>3527</v>
      </c>
      <c r="C1303" s="1" t="s">
        <v>3528</v>
      </c>
      <c r="D1303" s="1" t="s">
        <v>5559</v>
      </c>
      <c r="E1303" s="1" t="s">
        <v>2413</v>
      </c>
      <c r="F1303" s="1">
        <v>1</v>
      </c>
      <c r="G1303" s="1">
        <v>2.63</v>
      </c>
      <c r="H1303" s="1">
        <v>5</v>
      </c>
      <c r="J1303" s="1" t="s">
        <v>29</v>
      </c>
      <c r="K1303" s="1" t="s">
        <v>1191</v>
      </c>
      <c r="L1303" s="1">
        <v>18382618053</v>
      </c>
      <c r="M1303" s="1" t="s">
        <v>1192</v>
      </c>
      <c r="N1303" s="1" t="s">
        <v>1191</v>
      </c>
      <c r="O1303" s="1" t="s">
        <v>3530</v>
      </c>
      <c r="P1303" s="1">
        <v>13629096168</v>
      </c>
      <c r="Q1303" s="1" t="s">
        <v>3531</v>
      </c>
    </row>
    <row r="1304" spans="1:17">
      <c r="A1304" s="1"/>
      <c r="B1304" s="1"/>
      <c r="C1304" s="1"/>
      <c r="D1304" s="1" t="s">
        <v>5560</v>
      </c>
      <c r="E1304" s="1" t="s">
        <v>2413</v>
      </c>
      <c r="F1304" s="1"/>
      <c r="G1304" s="1"/>
      <c r="H1304" s="1"/>
      <c r="J1304" s="1"/>
      <c r="K1304" s="1"/>
      <c r="L1304" s="1"/>
      <c r="M1304" s="1"/>
      <c r="N1304" s="1"/>
      <c r="O1304" s="1"/>
      <c r="P1304" s="1"/>
      <c r="Q1304" s="1"/>
    </row>
    <row r="1305" spans="1:17">
      <c r="A1305" s="1"/>
      <c r="B1305" s="1" t="s">
        <v>3533</v>
      </c>
      <c r="C1305" s="1" t="s">
        <v>3534</v>
      </c>
      <c r="D1305" s="1" t="s">
        <v>5252</v>
      </c>
      <c r="E1305" s="1" t="s">
        <v>625</v>
      </c>
      <c r="F1305" s="1">
        <v>1</v>
      </c>
      <c r="G1305" s="1">
        <v>1.49</v>
      </c>
      <c r="H1305" s="1">
        <v>12</v>
      </c>
      <c r="I1305" s="1" t="s">
        <v>4983</v>
      </c>
      <c r="J1305" s="1" t="s">
        <v>40</v>
      </c>
      <c r="K1305" s="1" t="s">
        <v>1201</v>
      </c>
      <c r="L1305" s="1">
        <v>13805356723</v>
      </c>
      <c r="M1305" s="1" t="s">
        <v>1202</v>
      </c>
      <c r="N1305" s="1" t="s">
        <v>1201</v>
      </c>
      <c r="O1305" s="1" t="s">
        <v>3536</v>
      </c>
      <c r="P1305" s="1">
        <v>13225359762</v>
      </c>
      <c r="Q1305" s="1" t="s">
        <v>3537</v>
      </c>
    </row>
    <row r="1306" spans="1:17">
      <c r="A1306" s="1"/>
      <c r="B1306" s="1"/>
      <c r="C1306" s="1"/>
      <c r="D1306" s="1" t="s">
        <v>5020</v>
      </c>
      <c r="E1306" s="1" t="s">
        <v>625</v>
      </c>
      <c r="F1306" s="1"/>
      <c r="G1306" s="1"/>
      <c r="H1306" s="1"/>
      <c r="I1306" s="1" t="s">
        <v>4985</v>
      </c>
      <c r="J1306" s="1"/>
      <c r="K1306" s="1"/>
      <c r="L1306" s="1"/>
      <c r="M1306" s="1"/>
      <c r="N1306" s="1"/>
      <c r="O1306" s="1"/>
      <c r="P1306" s="1"/>
      <c r="Q1306" s="1"/>
    </row>
    <row r="1307" spans="1:17">
      <c r="A1307" s="1"/>
      <c r="B1307" s="1"/>
      <c r="C1307" s="1"/>
      <c r="D1307" s="1" t="s">
        <v>5072</v>
      </c>
      <c r="E1307" s="1" t="s">
        <v>625</v>
      </c>
      <c r="F1307" s="1"/>
      <c r="G1307" s="1"/>
      <c r="H1307" s="1"/>
      <c r="I1307" s="1" t="s">
        <v>4987</v>
      </c>
      <c r="J1307" s="1"/>
      <c r="K1307" s="1"/>
      <c r="L1307" s="1"/>
      <c r="M1307" s="1"/>
      <c r="N1307" s="1"/>
      <c r="O1307" s="1"/>
      <c r="P1307" s="1"/>
      <c r="Q1307" s="1"/>
    </row>
    <row r="1308" spans="1:17">
      <c r="A1308" s="1"/>
      <c r="B1308" s="1"/>
      <c r="C1308" s="1"/>
      <c r="D1308" s="1" t="s">
        <v>4966</v>
      </c>
      <c r="E1308" s="1" t="s">
        <v>625</v>
      </c>
      <c r="F1308" s="1"/>
      <c r="G1308" s="1"/>
      <c r="H1308" s="1"/>
      <c r="I1308" s="1" t="s">
        <v>4987</v>
      </c>
      <c r="J1308" s="1"/>
      <c r="K1308" s="1"/>
      <c r="L1308" s="1"/>
      <c r="M1308" s="1"/>
      <c r="N1308" s="1"/>
      <c r="O1308" s="1"/>
      <c r="P1308" s="1"/>
      <c r="Q1308" s="1"/>
    </row>
    <row r="1309" spans="1:17">
      <c r="A1309" s="1"/>
      <c r="B1309" s="1" t="s">
        <v>3539</v>
      </c>
      <c r="C1309" s="1" t="s">
        <v>3540</v>
      </c>
      <c r="D1309" s="1" t="s">
        <v>5561</v>
      </c>
      <c r="E1309" s="1" t="s">
        <v>3542</v>
      </c>
      <c r="F1309" s="1">
        <v>1</v>
      </c>
      <c r="G1309" s="1">
        <v>1.49</v>
      </c>
      <c r="H1309" s="1">
        <v>2</v>
      </c>
      <c r="J1309" s="1" t="s">
        <v>293</v>
      </c>
      <c r="K1309" s="1" t="s">
        <v>1229</v>
      </c>
      <c r="L1309" s="1">
        <v>18722622602</v>
      </c>
      <c r="M1309" s="1" t="s">
        <v>1230</v>
      </c>
      <c r="N1309" s="1" t="s">
        <v>3543</v>
      </c>
      <c r="O1309" s="1" t="s">
        <v>3544</v>
      </c>
      <c r="P1309" s="1">
        <v>13602046955</v>
      </c>
      <c r="Q1309" s="1" t="s">
        <v>3545</v>
      </c>
    </row>
    <row r="1310" spans="1:17">
      <c r="A1310" s="1"/>
      <c r="B1310" s="1" t="s">
        <v>3547</v>
      </c>
      <c r="C1310" s="1" t="s">
        <v>3548</v>
      </c>
      <c r="D1310" s="1" t="s">
        <v>5562</v>
      </c>
      <c r="E1310" s="1" t="s">
        <v>449</v>
      </c>
      <c r="F1310" s="1">
        <v>1</v>
      </c>
      <c r="G1310" s="1">
        <v>1.26</v>
      </c>
      <c r="H1310" s="1">
        <v>16</v>
      </c>
      <c r="J1310" s="1" t="s">
        <v>29</v>
      </c>
      <c r="K1310" s="1" t="s">
        <v>1211</v>
      </c>
      <c r="L1310" s="1">
        <v>17695963119</v>
      </c>
      <c r="M1310" s="1" t="s">
        <v>992</v>
      </c>
      <c r="N1310" s="1" t="s">
        <v>3552</v>
      </c>
      <c r="O1310" s="1" t="s">
        <v>3553</v>
      </c>
      <c r="P1310" s="1">
        <v>13662182297</v>
      </c>
      <c r="Q1310" s="1" t="s">
        <v>3554</v>
      </c>
    </row>
    <row r="1311" spans="1:17">
      <c r="A1311" s="1"/>
      <c r="B1311" s="1"/>
      <c r="C1311" s="1"/>
      <c r="D1311" s="1" t="s">
        <v>5563</v>
      </c>
      <c r="E1311" s="1" t="s">
        <v>449</v>
      </c>
      <c r="F1311" s="1"/>
      <c r="G1311" s="1"/>
      <c r="H1311" s="1"/>
      <c r="J1311" s="1"/>
      <c r="K1311" s="1"/>
      <c r="L1311" s="1"/>
      <c r="M1311" s="1"/>
      <c r="N1311" s="1"/>
      <c r="O1311" s="1"/>
      <c r="P1311" s="1"/>
      <c r="Q1311" s="1"/>
    </row>
    <row r="1312" spans="1:17">
      <c r="A1312" s="1"/>
      <c r="B1312" s="1"/>
      <c r="C1312" s="1"/>
      <c r="D1312" s="1" t="s">
        <v>5564</v>
      </c>
      <c r="E1312" s="1" t="s">
        <v>449</v>
      </c>
      <c r="F1312" s="1"/>
      <c r="G1312" s="1"/>
      <c r="H1312" s="1"/>
      <c r="J1312" s="1"/>
      <c r="K1312" s="1"/>
      <c r="L1312" s="1"/>
      <c r="M1312" s="1"/>
      <c r="N1312" s="1"/>
      <c r="O1312" s="1"/>
      <c r="P1312" s="1"/>
      <c r="Q1312" s="1"/>
    </row>
    <row r="1313" spans="1:17">
      <c r="A1313" s="1"/>
      <c r="B1313" s="1"/>
      <c r="C1313" s="1"/>
      <c r="D1313" s="1" t="s">
        <v>5211</v>
      </c>
      <c r="E1313" s="1" t="s">
        <v>449</v>
      </c>
      <c r="F1313" s="1"/>
      <c r="G1313" s="1"/>
      <c r="H1313" s="1"/>
      <c r="I1313" s="1" t="s">
        <v>1634</v>
      </c>
      <c r="J1313" s="1"/>
      <c r="K1313" s="1"/>
      <c r="L1313" s="1"/>
      <c r="M1313" s="1"/>
      <c r="N1313" s="1"/>
      <c r="O1313" s="1"/>
      <c r="P1313" s="1"/>
      <c r="Q1313" s="1"/>
    </row>
    <row r="1314" spans="1:17">
      <c r="A1314" s="1"/>
      <c r="B1314" s="1" t="s">
        <v>3556</v>
      </c>
      <c r="C1314" s="1" t="s">
        <v>3557</v>
      </c>
      <c r="D1314" s="1" t="s">
        <v>5259</v>
      </c>
      <c r="E1314" s="1" t="s">
        <v>5260</v>
      </c>
      <c r="F1314" s="1">
        <v>1</v>
      </c>
      <c r="G1314" s="1">
        <v>0.81</v>
      </c>
      <c r="H1314" s="1">
        <v>6</v>
      </c>
      <c r="J1314" s="1" t="s">
        <v>29</v>
      </c>
      <c r="K1314" s="1" t="s">
        <v>1220</v>
      </c>
      <c r="L1314" s="1">
        <v>17694885170</v>
      </c>
      <c r="M1314" s="1" t="s">
        <v>1221</v>
      </c>
      <c r="N1314" s="1" t="s">
        <v>3558</v>
      </c>
      <c r="O1314" s="1" t="s">
        <v>3559</v>
      </c>
      <c r="P1314" s="1">
        <v>15522318539</v>
      </c>
      <c r="Q1314" s="1" t="s">
        <v>3560</v>
      </c>
    </row>
    <row r="1315" spans="1:17">
      <c r="A1315" s="1"/>
      <c r="B1315" s="1"/>
      <c r="C1315" s="1"/>
      <c r="D1315" s="1" t="s">
        <v>5261</v>
      </c>
      <c r="E1315" s="1" t="s">
        <v>5205</v>
      </c>
      <c r="F1315" s="1"/>
      <c r="G1315" s="1"/>
      <c r="H1315" s="1"/>
      <c r="J1315" s="1"/>
      <c r="K1315" s="1"/>
      <c r="L1315" s="1"/>
      <c r="M1315" s="1"/>
      <c r="N1315" s="1"/>
      <c r="O1315" s="1"/>
      <c r="P1315" s="1"/>
      <c r="Q1315" s="1"/>
    </row>
    <row r="1316" spans="1:17">
      <c r="A1316" s="1"/>
      <c r="B1316" s="1" t="s">
        <v>3562</v>
      </c>
      <c r="C1316" s="1" t="s">
        <v>3563</v>
      </c>
      <c r="D1316" s="1" t="s">
        <v>5247</v>
      </c>
      <c r="E1316" s="1" t="s">
        <v>2413</v>
      </c>
      <c r="F1316" s="1">
        <v>1</v>
      </c>
      <c r="G1316" s="1">
        <v>1.26</v>
      </c>
      <c r="H1316" s="1">
        <v>6</v>
      </c>
      <c r="I1316" s="1" t="s">
        <v>1142</v>
      </c>
      <c r="J1316" s="1" t="s">
        <v>29</v>
      </c>
      <c r="K1316" s="1" t="s">
        <v>1239</v>
      </c>
      <c r="L1316" s="1">
        <v>17694885170</v>
      </c>
      <c r="M1316" s="1" t="s">
        <v>1230</v>
      </c>
      <c r="N1316" s="1" t="s">
        <v>3566</v>
      </c>
      <c r="O1316" s="1" t="s">
        <v>3567</v>
      </c>
      <c r="P1316" s="1">
        <v>18822371388</v>
      </c>
      <c r="Q1316" s="1" t="s">
        <v>3568</v>
      </c>
    </row>
    <row r="1317" spans="1:17">
      <c r="A1317" s="1"/>
      <c r="B1317" s="1"/>
      <c r="C1317" s="1"/>
      <c r="D1317" s="1" t="s">
        <v>5565</v>
      </c>
      <c r="E1317" s="1" t="s">
        <v>2413</v>
      </c>
      <c r="F1317" s="1"/>
      <c r="G1317" s="1"/>
      <c r="H1317" s="1"/>
      <c r="I1317" s="1" t="s">
        <v>4968</v>
      </c>
      <c r="J1317" s="1"/>
      <c r="K1317" s="1"/>
      <c r="L1317" s="1"/>
      <c r="M1317" s="1"/>
      <c r="N1317" s="1"/>
      <c r="O1317" s="1"/>
      <c r="P1317" s="1"/>
      <c r="Q1317" s="1"/>
    </row>
    <row r="1318" spans="1:17">
      <c r="A1318" s="1"/>
      <c r="B1318" s="1"/>
      <c r="C1318" s="1"/>
      <c r="D1318" s="1" t="s">
        <v>5565</v>
      </c>
      <c r="E1318" s="1" t="s">
        <v>2413</v>
      </c>
      <c r="F1318" s="1"/>
      <c r="G1318" s="1"/>
      <c r="H1318" s="1"/>
      <c r="I1318" s="1" t="s">
        <v>5566</v>
      </c>
      <c r="J1318" s="1"/>
      <c r="K1318" s="1"/>
      <c r="L1318" s="1"/>
      <c r="M1318" s="1"/>
      <c r="N1318" s="1"/>
      <c r="O1318" s="1"/>
      <c r="P1318" s="1"/>
      <c r="Q1318" s="1"/>
    </row>
    <row r="1319" spans="1:17">
      <c r="A1319" s="1"/>
      <c r="B1319" s="1" t="s">
        <v>3570</v>
      </c>
      <c r="C1319" s="1" t="s">
        <v>3571</v>
      </c>
      <c r="D1319" s="1" t="s">
        <v>5104</v>
      </c>
      <c r="E1319" s="1" t="s">
        <v>420</v>
      </c>
      <c r="F1319" s="1">
        <v>1</v>
      </c>
      <c r="G1319" s="1">
        <v>1.72</v>
      </c>
      <c r="H1319" s="1">
        <v>11</v>
      </c>
      <c r="I1319" s="1" t="s">
        <v>5105</v>
      </c>
      <c r="J1319" s="1" t="s">
        <v>40</v>
      </c>
      <c r="K1319" s="1" t="s">
        <v>1257</v>
      </c>
      <c r="L1319" s="1">
        <v>18820285826</v>
      </c>
      <c r="M1319" s="1" t="s">
        <v>1258</v>
      </c>
      <c r="N1319" s="1" t="s">
        <v>3572</v>
      </c>
      <c r="O1319" s="1" t="s">
        <v>3573</v>
      </c>
      <c r="P1319" s="1">
        <v>18988775515</v>
      </c>
      <c r="Q1319" s="1" t="s">
        <v>3574</v>
      </c>
    </row>
    <row r="1320" spans="1:17">
      <c r="A1320" s="1"/>
      <c r="B1320" s="1"/>
      <c r="C1320" s="1"/>
      <c r="D1320" s="1" t="s">
        <v>5266</v>
      </c>
      <c r="E1320" s="1" t="s">
        <v>420</v>
      </c>
      <c r="F1320" s="1"/>
      <c r="G1320" s="1"/>
      <c r="H1320" s="1"/>
      <c r="I1320" s="1" t="s">
        <v>164</v>
      </c>
      <c r="J1320" s="1"/>
      <c r="K1320" s="1"/>
      <c r="L1320" s="1"/>
      <c r="M1320" s="1"/>
      <c r="N1320" s="1"/>
      <c r="O1320" s="1"/>
      <c r="P1320" s="1"/>
      <c r="Q1320" s="1"/>
    </row>
    <row r="1321" spans="1:17">
      <c r="A1321" s="1"/>
      <c r="B1321" s="1"/>
      <c r="C1321" s="1"/>
      <c r="D1321" s="1" t="s">
        <v>5149</v>
      </c>
      <c r="E1321" s="1" t="s">
        <v>420</v>
      </c>
      <c r="F1321" s="1"/>
      <c r="G1321" s="1"/>
      <c r="H1321" s="1"/>
      <c r="I1321" s="1" t="s">
        <v>1142</v>
      </c>
      <c r="J1321" s="1"/>
      <c r="K1321" s="1"/>
      <c r="L1321" s="1"/>
      <c r="M1321" s="1"/>
      <c r="N1321" s="1"/>
      <c r="O1321" s="1"/>
      <c r="P1321" s="1"/>
      <c r="Q1321" s="1"/>
    </row>
    <row r="1322" spans="1:17">
      <c r="A1322" s="1"/>
      <c r="B1322" s="1"/>
      <c r="C1322" s="1"/>
      <c r="D1322" s="1" t="s">
        <v>5267</v>
      </c>
      <c r="E1322" s="1" t="s">
        <v>420</v>
      </c>
      <c r="F1322" s="1"/>
      <c r="G1322" s="1"/>
      <c r="H1322" s="1"/>
      <c r="I1322" s="1" t="s">
        <v>5111</v>
      </c>
      <c r="J1322" s="1"/>
      <c r="K1322" s="1"/>
      <c r="L1322" s="1"/>
      <c r="M1322" s="1"/>
      <c r="N1322" s="1"/>
      <c r="O1322" s="1"/>
      <c r="P1322" s="1"/>
      <c r="Q1322" s="1"/>
    </row>
    <row r="1323" spans="1:17">
      <c r="A1323" s="1"/>
      <c r="B1323" s="1" t="s">
        <v>3576</v>
      </c>
      <c r="C1323" s="1" t="s">
        <v>3577</v>
      </c>
      <c r="D1323" s="1" t="s">
        <v>5044</v>
      </c>
      <c r="E1323" s="1" t="s">
        <v>625</v>
      </c>
      <c r="F1323" s="1">
        <v>1</v>
      </c>
      <c r="G1323" s="1">
        <v>1.49</v>
      </c>
      <c r="H1323" s="1">
        <v>14</v>
      </c>
      <c r="J1323" s="1" t="s">
        <v>40</v>
      </c>
      <c r="K1323" s="1" t="s">
        <v>1248</v>
      </c>
      <c r="L1323" s="1">
        <v>13801375568</v>
      </c>
      <c r="M1323" s="1" t="s">
        <v>2463</v>
      </c>
      <c r="N1323" s="1" t="s">
        <v>3580</v>
      </c>
      <c r="O1323" s="1" t="s">
        <v>3581</v>
      </c>
      <c r="P1323" s="1">
        <v>13110482825</v>
      </c>
      <c r="Q1323" s="1" t="s">
        <v>3582</v>
      </c>
    </row>
    <row r="1324" spans="1:17">
      <c r="A1324" s="1"/>
      <c r="B1324" s="1"/>
      <c r="C1324" s="1"/>
      <c r="D1324" s="1" t="s">
        <v>5567</v>
      </c>
      <c r="E1324" s="1" t="s">
        <v>625</v>
      </c>
      <c r="F1324" s="1"/>
      <c r="G1324" s="1"/>
      <c r="H1324" s="1"/>
      <c r="J1324" s="1"/>
      <c r="K1324" s="1"/>
      <c r="L1324" s="1"/>
      <c r="M1324" s="1"/>
      <c r="N1324" s="1"/>
      <c r="O1324" s="1"/>
      <c r="P1324" s="1"/>
      <c r="Q1324" s="1"/>
    </row>
    <row r="1325" spans="1:17">
      <c r="A1325" s="1"/>
      <c r="B1325" s="1"/>
      <c r="C1325" s="1"/>
      <c r="D1325" s="1" t="s">
        <v>5096</v>
      </c>
      <c r="E1325" s="1" t="s">
        <v>625</v>
      </c>
      <c r="F1325" s="1"/>
      <c r="G1325" s="1"/>
      <c r="H1325" s="1"/>
      <c r="J1325" s="1"/>
      <c r="K1325" s="1"/>
      <c r="L1325" s="1"/>
      <c r="M1325" s="1"/>
      <c r="N1325" s="1"/>
      <c r="O1325" s="1"/>
      <c r="P1325" s="1"/>
      <c r="Q1325" s="1"/>
    </row>
    <row r="1326" spans="1:17">
      <c r="A1326" s="1"/>
      <c r="B1326" s="1"/>
      <c r="C1326" s="1"/>
      <c r="D1326" s="1" t="s">
        <v>5153</v>
      </c>
      <c r="E1326" s="1" t="s">
        <v>625</v>
      </c>
      <c r="F1326" s="1"/>
      <c r="G1326" s="1"/>
      <c r="H1326" s="1"/>
      <c r="J1326" s="1"/>
      <c r="K1326" s="1"/>
      <c r="L1326" s="1"/>
      <c r="M1326" s="1"/>
      <c r="N1326" s="1"/>
      <c r="O1326" s="1"/>
      <c r="P1326" s="1"/>
      <c r="Q1326" s="1"/>
    </row>
    <row r="1327" spans="1:17">
      <c r="A1327" s="1"/>
      <c r="B1327" s="1"/>
      <c r="C1327" s="1"/>
      <c r="D1327" s="1" t="s">
        <v>5218</v>
      </c>
      <c r="E1327" s="1" t="s">
        <v>625</v>
      </c>
      <c r="F1327" s="1"/>
      <c r="G1327" s="1"/>
      <c r="H1327" s="1"/>
      <c r="J1327" s="1"/>
      <c r="K1327" s="1"/>
      <c r="L1327" s="1"/>
      <c r="M1327" s="1"/>
      <c r="N1327" s="1"/>
      <c r="O1327" s="1"/>
      <c r="P1327" s="1"/>
      <c r="Q1327" s="1"/>
    </row>
    <row r="1328" spans="1:17">
      <c r="A1328" s="1"/>
      <c r="B1328" s="1"/>
      <c r="C1328" s="1"/>
      <c r="D1328" s="1" t="s">
        <v>5418</v>
      </c>
      <c r="E1328" s="1" t="s">
        <v>625</v>
      </c>
      <c r="F1328" s="1"/>
      <c r="G1328" s="1"/>
      <c r="H1328" s="1"/>
      <c r="J1328" s="1"/>
      <c r="K1328" s="1"/>
      <c r="L1328" s="1"/>
      <c r="M1328" s="1"/>
      <c r="N1328" s="1"/>
      <c r="O1328" s="1"/>
      <c r="P1328" s="1"/>
      <c r="Q1328" s="1"/>
    </row>
    <row r="1329" spans="1:17">
      <c r="A1329" s="1"/>
      <c r="B1329" s="1"/>
      <c r="C1329" s="1"/>
      <c r="D1329" s="1" t="s">
        <v>5264</v>
      </c>
      <c r="E1329" s="1" t="s">
        <v>625</v>
      </c>
      <c r="F1329" s="1"/>
      <c r="G1329" s="1"/>
      <c r="H1329" s="1"/>
      <c r="J1329" s="1"/>
      <c r="K1329" s="1"/>
      <c r="L1329" s="1"/>
      <c r="M1329" s="1"/>
      <c r="N1329" s="1"/>
      <c r="O1329" s="1"/>
      <c r="P1329" s="1"/>
      <c r="Q1329" s="1"/>
    </row>
    <row r="1330" spans="1:17">
      <c r="A1330" s="1"/>
      <c r="B1330" s="1"/>
      <c r="C1330" s="1"/>
      <c r="D1330" s="1" t="s">
        <v>5403</v>
      </c>
      <c r="E1330" s="1" t="s">
        <v>625</v>
      </c>
      <c r="F1330" s="1"/>
      <c r="G1330" s="1"/>
      <c r="H1330" s="1"/>
      <c r="J1330" s="1"/>
      <c r="K1330" s="1"/>
      <c r="L1330" s="1"/>
      <c r="M1330" s="1"/>
      <c r="N1330" s="1"/>
      <c r="O1330" s="1"/>
      <c r="P1330" s="1"/>
      <c r="Q1330" s="1"/>
    </row>
    <row r="1331" spans="1:17">
      <c r="A1331" s="1"/>
      <c r="B1331" s="1" t="s">
        <v>3584</v>
      </c>
      <c r="C1331" s="1" t="s">
        <v>3585</v>
      </c>
      <c r="D1331" s="1" t="s">
        <v>5266</v>
      </c>
      <c r="E1331" s="1" t="s">
        <v>420</v>
      </c>
      <c r="F1331" s="1">
        <v>1</v>
      </c>
      <c r="G1331" s="1">
        <v>1.2636363636363599</v>
      </c>
      <c r="H1331" s="1">
        <v>10</v>
      </c>
      <c r="I1331" s="1" t="s">
        <v>164</v>
      </c>
      <c r="J1331" s="1" t="s">
        <v>29</v>
      </c>
      <c r="K1331" s="1" t="s">
        <v>1266</v>
      </c>
      <c r="L1331" s="1">
        <v>13611066495</v>
      </c>
      <c r="M1331" s="1" t="s">
        <v>1267</v>
      </c>
      <c r="N1331" s="1" t="s">
        <v>3586</v>
      </c>
      <c r="O1331" s="1" t="s">
        <v>3587</v>
      </c>
      <c r="P1331" s="1">
        <v>13671283992</v>
      </c>
      <c r="Q1331" s="1" t="s">
        <v>3588</v>
      </c>
    </row>
    <row r="1332" spans="1:17">
      <c r="A1332" s="1"/>
      <c r="B1332" s="1"/>
      <c r="C1332" s="1"/>
      <c r="D1332" s="1" t="s">
        <v>5268</v>
      </c>
      <c r="E1332" s="1" t="s">
        <v>420</v>
      </c>
      <c r="F1332" s="1"/>
      <c r="G1332" s="1"/>
      <c r="H1332" s="1"/>
      <c r="I1332" s="1" t="s">
        <v>5269</v>
      </c>
      <c r="J1332" s="1"/>
      <c r="K1332" s="1"/>
      <c r="L1332" s="1"/>
      <c r="M1332" s="1"/>
      <c r="N1332" s="1"/>
      <c r="O1332" s="1"/>
      <c r="P1332" s="1"/>
      <c r="Q1332" s="1"/>
    </row>
    <row r="1333" spans="1:17">
      <c r="A1333" s="1"/>
      <c r="B1333" s="1"/>
      <c r="C1333" s="1"/>
      <c r="D1333" s="1" t="s">
        <v>5270</v>
      </c>
      <c r="E1333" s="1" t="s">
        <v>420</v>
      </c>
      <c r="F1333" s="1"/>
      <c r="G1333" s="1"/>
      <c r="H1333" s="1"/>
      <c r="I1333" s="1" t="s">
        <v>4963</v>
      </c>
      <c r="J1333" s="1"/>
      <c r="K1333" s="1"/>
      <c r="L1333" s="1"/>
      <c r="M1333" s="1"/>
      <c r="N1333" s="1"/>
      <c r="O1333" s="1"/>
      <c r="P1333" s="1"/>
      <c r="Q1333" s="1"/>
    </row>
    <row r="1334" spans="1:17">
      <c r="A1334" s="1"/>
      <c r="B1334" s="1"/>
      <c r="C1334" s="1"/>
      <c r="D1334" s="1" t="s">
        <v>5271</v>
      </c>
      <c r="E1334" s="1" t="s">
        <v>420</v>
      </c>
      <c r="F1334" s="1"/>
      <c r="G1334" s="1"/>
      <c r="H1334" s="1"/>
      <c r="I1334" s="1" t="s">
        <v>5272</v>
      </c>
      <c r="J1334" s="1"/>
      <c r="K1334" s="1"/>
      <c r="L1334" s="1"/>
      <c r="M1334" s="1"/>
      <c r="N1334" s="1"/>
      <c r="O1334" s="1"/>
      <c r="P1334" s="1"/>
      <c r="Q1334" s="1"/>
    </row>
    <row r="1335" spans="1:17">
      <c r="A1335" s="1"/>
      <c r="B1335" s="1" t="s">
        <v>3590</v>
      </c>
      <c r="C1335" s="1" t="s">
        <v>3591</v>
      </c>
      <c r="D1335" s="1" t="s">
        <v>1274</v>
      </c>
      <c r="E1335" s="1" t="s">
        <v>420</v>
      </c>
      <c r="F1335" s="1">
        <v>1</v>
      </c>
      <c r="G1335" s="1">
        <v>0.81</v>
      </c>
      <c r="H1335" s="1">
        <v>2</v>
      </c>
      <c r="J1335" s="1" t="s">
        <v>40</v>
      </c>
      <c r="K1335" s="1" t="s">
        <v>1325</v>
      </c>
      <c r="L1335" s="1">
        <v>17098899489</v>
      </c>
      <c r="M1335" s="1" t="s">
        <v>1326</v>
      </c>
      <c r="N1335" s="1" t="s">
        <v>3592</v>
      </c>
      <c r="O1335" s="1" t="s">
        <v>3593</v>
      </c>
      <c r="P1335" s="1">
        <v>13671486413</v>
      </c>
      <c r="Q1335" s="1" t="s">
        <v>3594</v>
      </c>
    </row>
    <row r="1336" spans="1:17">
      <c r="A1336" s="1"/>
      <c r="B1336" s="1" t="s">
        <v>3596</v>
      </c>
      <c r="C1336" s="1" t="s">
        <v>3597</v>
      </c>
      <c r="D1336" s="1" t="s">
        <v>1274</v>
      </c>
      <c r="E1336" s="1" t="s">
        <v>420</v>
      </c>
      <c r="F1336" s="1">
        <v>1</v>
      </c>
      <c r="G1336" s="1">
        <v>0.81</v>
      </c>
      <c r="H1336" s="1">
        <v>2</v>
      </c>
      <c r="J1336" s="1" t="s">
        <v>40</v>
      </c>
      <c r="K1336" s="1" t="s">
        <v>3598</v>
      </c>
      <c r="L1336" s="1">
        <v>18926224407</v>
      </c>
      <c r="M1336" s="1" t="s">
        <v>3599</v>
      </c>
      <c r="N1336" s="1" t="s">
        <v>3600</v>
      </c>
      <c r="O1336" s="1" t="s">
        <v>3599</v>
      </c>
      <c r="P1336" s="1">
        <v>18926224407</v>
      </c>
      <c r="Q1336" s="1" t="s">
        <v>3601</v>
      </c>
    </row>
    <row r="1337" spans="1:17">
      <c r="A1337" s="1"/>
      <c r="B1337" s="1" t="s">
        <v>3603</v>
      </c>
      <c r="C1337" s="1" t="s">
        <v>3604</v>
      </c>
      <c r="D1337" s="1" t="s">
        <v>4984</v>
      </c>
      <c r="E1337" s="1" t="s">
        <v>625</v>
      </c>
      <c r="F1337" s="1">
        <v>1</v>
      </c>
      <c r="G1337" s="1">
        <v>1.72</v>
      </c>
      <c r="H1337" s="1">
        <v>15</v>
      </c>
      <c r="J1337" s="1" t="s">
        <v>40</v>
      </c>
      <c r="K1337" s="1" t="s">
        <v>3605</v>
      </c>
      <c r="L1337" s="1">
        <v>13560315011</v>
      </c>
      <c r="M1337" s="1" t="s">
        <v>1674</v>
      </c>
      <c r="N1337" s="1" t="s">
        <v>3606</v>
      </c>
      <c r="O1337" s="1" t="s">
        <v>3607</v>
      </c>
      <c r="P1337" s="1">
        <v>18818807997</v>
      </c>
      <c r="Q1337" s="1" t="s">
        <v>3608</v>
      </c>
    </row>
    <row r="1338" spans="1:17">
      <c r="A1338" s="1"/>
      <c r="B1338" s="1"/>
      <c r="C1338" s="1"/>
      <c r="D1338" s="1" t="s">
        <v>5024</v>
      </c>
      <c r="E1338" s="1" t="s">
        <v>625</v>
      </c>
      <c r="F1338" s="1"/>
      <c r="G1338" s="1"/>
      <c r="H1338" s="1"/>
      <c r="J1338" s="1"/>
      <c r="K1338" s="1"/>
      <c r="L1338" s="1"/>
      <c r="M1338" s="1"/>
      <c r="N1338" s="1"/>
      <c r="O1338" s="1"/>
      <c r="P1338" s="1"/>
      <c r="Q1338" s="1"/>
    </row>
    <row r="1339" spans="1:17">
      <c r="A1339" s="1"/>
      <c r="B1339" s="1"/>
      <c r="C1339" s="1"/>
      <c r="D1339" s="1" t="s">
        <v>5185</v>
      </c>
      <c r="E1339" s="1" t="s">
        <v>625</v>
      </c>
      <c r="F1339" s="1"/>
      <c r="G1339" s="1"/>
      <c r="H1339" s="1"/>
      <c r="J1339" s="1"/>
      <c r="K1339" s="1"/>
      <c r="L1339" s="1"/>
      <c r="M1339" s="1"/>
      <c r="N1339" s="1"/>
      <c r="O1339" s="1"/>
      <c r="P1339" s="1"/>
      <c r="Q1339" s="1"/>
    </row>
    <row r="1340" spans="1:17">
      <c r="A1340" s="1"/>
      <c r="B1340" s="1"/>
      <c r="C1340" s="1"/>
      <c r="D1340" s="1" t="s">
        <v>5187</v>
      </c>
      <c r="E1340" s="1" t="s">
        <v>625</v>
      </c>
      <c r="F1340" s="1"/>
      <c r="G1340" s="1"/>
      <c r="H1340" s="1"/>
      <c r="J1340" s="1"/>
      <c r="K1340" s="1"/>
      <c r="L1340" s="1"/>
      <c r="M1340" s="1"/>
      <c r="N1340" s="1"/>
      <c r="O1340" s="1"/>
      <c r="P1340" s="1"/>
      <c r="Q1340" s="1"/>
    </row>
    <row r="1341" spans="1:17">
      <c r="A1341" s="1"/>
      <c r="B1341" s="1"/>
      <c r="C1341" s="1"/>
      <c r="D1341" s="1" t="s">
        <v>5025</v>
      </c>
      <c r="E1341" s="1" t="s">
        <v>625</v>
      </c>
      <c r="F1341" s="1"/>
      <c r="G1341" s="1"/>
      <c r="H1341" s="1"/>
      <c r="J1341" s="1"/>
      <c r="K1341" s="1"/>
      <c r="L1341" s="1"/>
      <c r="M1341" s="1"/>
      <c r="N1341" s="1"/>
      <c r="O1341" s="1"/>
      <c r="P1341" s="1"/>
      <c r="Q1341" s="1"/>
    </row>
    <row r="1342" spans="1:17">
      <c r="A1342" s="1"/>
      <c r="B1342" s="1" t="s">
        <v>3610</v>
      </c>
      <c r="C1342" s="1" t="s">
        <v>3611</v>
      </c>
      <c r="D1342" s="1" t="s">
        <v>5014</v>
      </c>
      <c r="E1342" s="1" t="s">
        <v>625</v>
      </c>
      <c r="F1342" s="1">
        <v>1</v>
      </c>
      <c r="G1342" s="1">
        <v>1.72</v>
      </c>
      <c r="H1342" s="1">
        <v>10</v>
      </c>
      <c r="J1342" s="1" t="s">
        <v>40</v>
      </c>
      <c r="K1342" s="1" t="s">
        <v>2571</v>
      </c>
      <c r="L1342" s="1">
        <v>13660050609</v>
      </c>
      <c r="M1342" s="1" t="s">
        <v>2572</v>
      </c>
      <c r="N1342" s="1" t="s">
        <v>3612</v>
      </c>
      <c r="O1342" s="1" t="s">
        <v>2572</v>
      </c>
      <c r="P1342" s="1">
        <v>13660050609</v>
      </c>
      <c r="Q1342" s="1" t="s">
        <v>3613</v>
      </c>
    </row>
    <row r="1343" spans="1:17">
      <c r="A1343" s="1"/>
      <c r="B1343" s="1"/>
      <c r="C1343" s="1"/>
      <c r="D1343" s="1" t="s">
        <v>5018</v>
      </c>
      <c r="E1343" s="1" t="s">
        <v>625</v>
      </c>
      <c r="F1343" s="1"/>
      <c r="G1343" s="1"/>
      <c r="H1343" s="1"/>
      <c r="J1343" s="1"/>
      <c r="K1343" s="1"/>
      <c r="L1343" s="1"/>
      <c r="M1343" s="1"/>
      <c r="N1343" s="1"/>
      <c r="O1343" s="1"/>
      <c r="P1343" s="1"/>
      <c r="Q1343" s="1"/>
    </row>
    <row r="1344" spans="1:17">
      <c r="A1344" s="1"/>
      <c r="B1344" s="1"/>
      <c r="C1344" s="1"/>
      <c r="D1344" s="1" t="s">
        <v>5016</v>
      </c>
      <c r="E1344" s="1" t="s">
        <v>625</v>
      </c>
      <c r="F1344" s="1"/>
      <c r="G1344" s="1"/>
      <c r="H1344" s="1"/>
      <c r="J1344" s="1"/>
      <c r="K1344" s="1"/>
      <c r="L1344" s="1"/>
      <c r="M1344" s="1"/>
      <c r="N1344" s="1"/>
      <c r="O1344" s="1"/>
      <c r="P1344" s="1"/>
      <c r="Q1344" s="1"/>
    </row>
    <row r="1345" spans="1:17">
      <c r="A1345" s="1"/>
      <c r="B1345" s="1"/>
      <c r="C1345" s="1"/>
      <c r="D1345" s="1" t="s">
        <v>5015</v>
      </c>
      <c r="E1345" s="1" t="s">
        <v>625</v>
      </c>
      <c r="F1345" s="1"/>
      <c r="G1345" s="1"/>
      <c r="H1345" s="1"/>
      <c r="J1345" s="1"/>
      <c r="K1345" s="1"/>
      <c r="L1345" s="1"/>
      <c r="M1345" s="1"/>
      <c r="N1345" s="1"/>
      <c r="O1345" s="1"/>
      <c r="P1345" s="1"/>
      <c r="Q1345" s="1"/>
    </row>
    <row r="1346" spans="1:17">
      <c r="A1346" s="1"/>
      <c r="B1346" s="1"/>
      <c r="C1346" s="1"/>
      <c r="D1346" s="1" t="s">
        <v>5071</v>
      </c>
      <c r="E1346" s="1" t="s">
        <v>625</v>
      </c>
      <c r="F1346" s="1"/>
      <c r="G1346" s="1"/>
      <c r="H1346" s="1"/>
      <c r="J1346" s="1"/>
      <c r="K1346" s="1"/>
      <c r="L1346" s="1"/>
      <c r="M1346" s="1"/>
      <c r="N1346" s="1"/>
      <c r="O1346" s="1"/>
      <c r="P1346" s="1"/>
      <c r="Q1346" s="1"/>
    </row>
    <row r="1347" spans="1:17">
      <c r="A1347" s="1"/>
      <c r="B1347" s="1"/>
      <c r="C1347" s="1"/>
      <c r="D1347" s="1" t="s">
        <v>5017</v>
      </c>
      <c r="E1347" s="1" t="s">
        <v>625</v>
      </c>
      <c r="F1347" s="1"/>
      <c r="G1347" s="1"/>
      <c r="H1347" s="1"/>
      <c r="J1347" s="1"/>
      <c r="K1347" s="1"/>
      <c r="L1347" s="1"/>
      <c r="M1347" s="1"/>
      <c r="N1347" s="1"/>
      <c r="O1347" s="1"/>
      <c r="P1347" s="1"/>
      <c r="Q1347" s="1"/>
    </row>
    <row r="1348" spans="1:17">
      <c r="A1348" s="1"/>
      <c r="B1348" s="1" t="s">
        <v>3615</v>
      </c>
      <c r="C1348" s="1" t="s">
        <v>3616</v>
      </c>
      <c r="D1348" s="1" t="s">
        <v>5044</v>
      </c>
      <c r="E1348" s="1" t="s">
        <v>625</v>
      </c>
      <c r="F1348" s="1">
        <v>1</v>
      </c>
      <c r="G1348" s="1">
        <v>1.49</v>
      </c>
      <c r="H1348" s="1">
        <v>14</v>
      </c>
      <c r="J1348" s="1" t="s">
        <v>40</v>
      </c>
      <c r="K1348" s="1" t="s">
        <v>3334</v>
      </c>
      <c r="L1348" s="1">
        <v>13798150707</v>
      </c>
      <c r="M1348" s="1" t="s">
        <v>3335</v>
      </c>
      <c r="N1348" s="1" t="s">
        <v>3618</v>
      </c>
      <c r="O1348" s="1" t="s">
        <v>3335</v>
      </c>
      <c r="P1348" s="1">
        <v>13798150707</v>
      </c>
      <c r="Q1348" s="1" t="s">
        <v>3619</v>
      </c>
    </row>
    <row r="1349" spans="1:17">
      <c r="A1349" s="1"/>
      <c r="B1349" s="1"/>
      <c r="C1349" s="1"/>
      <c r="D1349" s="1" t="s">
        <v>5186</v>
      </c>
      <c r="E1349" s="1" t="s">
        <v>625</v>
      </c>
      <c r="F1349" s="1"/>
      <c r="G1349" s="1"/>
      <c r="H1349" s="1"/>
      <c r="J1349" s="1"/>
      <c r="K1349" s="1"/>
      <c r="L1349" s="1"/>
      <c r="M1349" s="1"/>
      <c r="N1349" s="1"/>
      <c r="O1349" s="1"/>
      <c r="P1349" s="1"/>
      <c r="Q1349" s="1"/>
    </row>
    <row r="1350" spans="1:17">
      <c r="A1350" s="1"/>
      <c r="B1350" s="1"/>
      <c r="C1350" s="1"/>
      <c r="D1350" s="1" t="s">
        <v>5026</v>
      </c>
      <c r="E1350" s="1" t="s">
        <v>625</v>
      </c>
      <c r="F1350" s="1"/>
      <c r="G1350" s="1"/>
      <c r="H1350" s="1"/>
      <c r="J1350" s="1"/>
      <c r="K1350" s="1"/>
      <c r="L1350" s="1"/>
      <c r="M1350" s="1"/>
      <c r="N1350" s="1"/>
      <c r="O1350" s="1"/>
      <c r="P1350" s="1"/>
      <c r="Q1350" s="1"/>
    </row>
    <row r="1351" spans="1:17">
      <c r="A1351" s="1"/>
      <c r="B1351" s="1"/>
      <c r="C1351" s="1"/>
      <c r="D1351" s="1" t="s">
        <v>5071</v>
      </c>
      <c r="E1351" s="1" t="s">
        <v>625</v>
      </c>
      <c r="F1351" s="1"/>
      <c r="G1351" s="1"/>
      <c r="H1351" s="1"/>
      <c r="J1351" s="1"/>
      <c r="K1351" s="1"/>
      <c r="L1351" s="1"/>
      <c r="M1351" s="1"/>
      <c r="N1351" s="1"/>
      <c r="O1351" s="1"/>
      <c r="P1351" s="1"/>
      <c r="Q1351" s="1"/>
    </row>
    <row r="1352" spans="1:17">
      <c r="A1352" s="1"/>
      <c r="B1352" s="1"/>
      <c r="C1352" s="1"/>
      <c r="D1352" s="1" t="s">
        <v>5015</v>
      </c>
      <c r="E1352" s="1" t="s">
        <v>625</v>
      </c>
      <c r="F1352" s="1"/>
      <c r="G1352" s="1"/>
      <c r="H1352" s="1"/>
      <c r="J1352" s="1"/>
      <c r="K1352" s="1"/>
      <c r="L1352" s="1"/>
      <c r="M1352" s="1"/>
      <c r="N1352" s="1"/>
      <c r="O1352" s="1"/>
      <c r="P1352" s="1"/>
      <c r="Q1352" s="1"/>
    </row>
    <row r="1353" spans="1:17">
      <c r="A1353" s="1"/>
      <c r="B1353" s="1"/>
      <c r="C1353" s="1"/>
      <c r="D1353" s="1" t="s">
        <v>5015</v>
      </c>
      <c r="E1353" s="1" t="s">
        <v>625</v>
      </c>
      <c r="F1353" s="1"/>
      <c r="G1353" s="1"/>
      <c r="H1353" s="1"/>
      <c r="J1353" s="1"/>
      <c r="K1353" s="1"/>
      <c r="L1353" s="1"/>
      <c r="M1353" s="1"/>
      <c r="N1353" s="1"/>
      <c r="O1353" s="1"/>
      <c r="P1353" s="1"/>
      <c r="Q1353" s="1"/>
    </row>
    <row r="1354" spans="1:17">
      <c r="A1354" s="1"/>
      <c r="B1354" s="1" t="s">
        <v>3621</v>
      </c>
      <c r="C1354" s="1" t="s">
        <v>3622</v>
      </c>
      <c r="D1354" s="1" t="s">
        <v>1274</v>
      </c>
      <c r="E1354" s="1" t="s">
        <v>420</v>
      </c>
      <c r="F1354" s="1">
        <v>1</v>
      </c>
      <c r="G1354" s="1">
        <v>0.81</v>
      </c>
      <c r="H1354" s="1">
        <v>2</v>
      </c>
      <c r="J1354" s="1" t="s">
        <v>40</v>
      </c>
      <c r="K1354" s="1" t="s">
        <v>1275</v>
      </c>
      <c r="L1354" s="1">
        <v>15672663259</v>
      </c>
      <c r="M1354" s="1" t="s">
        <v>1276</v>
      </c>
      <c r="N1354" s="1" t="s">
        <v>3623</v>
      </c>
      <c r="O1354" s="1" t="s">
        <v>3624</v>
      </c>
      <c r="P1354" s="1">
        <v>13432896744</v>
      </c>
      <c r="Q1354" s="1" t="s">
        <v>3625</v>
      </c>
    </row>
    <row r="1355" spans="1:17">
      <c r="A1355" s="1"/>
      <c r="B1355" s="1" t="s">
        <v>3627</v>
      </c>
      <c r="C1355" s="1" t="s">
        <v>3628</v>
      </c>
      <c r="D1355" s="1" t="s">
        <v>1274</v>
      </c>
      <c r="E1355" s="1" t="s">
        <v>420</v>
      </c>
      <c r="F1355" s="1">
        <v>1</v>
      </c>
      <c r="G1355" s="1">
        <v>0.81</v>
      </c>
      <c r="H1355" s="1">
        <v>2</v>
      </c>
      <c r="J1355" s="1" t="s">
        <v>40</v>
      </c>
      <c r="K1355" s="1" t="s">
        <v>1283</v>
      </c>
      <c r="L1355" s="1">
        <v>18926224930</v>
      </c>
      <c r="M1355" s="1" t="s">
        <v>1284</v>
      </c>
      <c r="N1355" s="1" t="s">
        <v>3629</v>
      </c>
      <c r="O1355" s="1" t="s">
        <v>3630</v>
      </c>
      <c r="P1355" s="1">
        <v>13824827772</v>
      </c>
      <c r="Q1355" s="1" t="s">
        <v>3631</v>
      </c>
    </row>
    <row r="1356" spans="1:17">
      <c r="A1356" s="1"/>
      <c r="B1356" s="1" t="s">
        <v>3633</v>
      </c>
      <c r="C1356" s="1" t="s">
        <v>3634</v>
      </c>
      <c r="D1356" s="1" t="s">
        <v>5276</v>
      </c>
      <c r="E1356" s="1" t="s">
        <v>420</v>
      </c>
      <c r="F1356" s="1">
        <v>1</v>
      </c>
      <c r="G1356" s="1">
        <v>1.49</v>
      </c>
      <c r="H1356" s="1">
        <v>10</v>
      </c>
      <c r="J1356" s="1" t="s">
        <v>29</v>
      </c>
      <c r="K1356" s="1" t="s">
        <v>1429</v>
      </c>
      <c r="L1356" s="1">
        <v>17180669418</v>
      </c>
      <c r="M1356" s="1" t="s">
        <v>1430</v>
      </c>
      <c r="N1356" s="1" t="s">
        <v>3635</v>
      </c>
      <c r="O1356" s="1" t="s">
        <v>1430</v>
      </c>
      <c r="P1356" s="1">
        <v>17180669418</v>
      </c>
      <c r="Q1356" s="1" t="s">
        <v>3636</v>
      </c>
    </row>
    <row r="1357" spans="1:17">
      <c r="A1357" s="1"/>
      <c r="B1357" s="1"/>
      <c r="C1357" s="1"/>
      <c r="D1357" s="1" t="s">
        <v>5277</v>
      </c>
      <c r="E1357" s="1" t="s">
        <v>420</v>
      </c>
      <c r="F1357" s="1"/>
      <c r="G1357" s="1"/>
      <c r="H1357" s="1"/>
      <c r="J1357" s="1"/>
      <c r="K1357" s="1"/>
      <c r="L1357" s="1"/>
      <c r="M1357" s="1"/>
      <c r="N1357" s="1"/>
      <c r="O1357" s="1"/>
      <c r="P1357" s="1"/>
      <c r="Q1357" s="1"/>
    </row>
    <row r="1358" spans="1:17">
      <c r="A1358" s="1"/>
      <c r="B1358" s="1" t="s">
        <v>3638</v>
      </c>
      <c r="C1358" s="1" t="s">
        <v>3639</v>
      </c>
      <c r="D1358" s="1" t="s">
        <v>5276</v>
      </c>
      <c r="E1358" s="1" t="s">
        <v>420</v>
      </c>
      <c r="F1358" s="1">
        <v>1</v>
      </c>
      <c r="G1358" s="1">
        <v>1.49</v>
      </c>
      <c r="H1358" s="1">
        <v>10</v>
      </c>
      <c r="J1358" s="1" t="s">
        <v>29</v>
      </c>
      <c r="K1358" s="1" t="s">
        <v>1357</v>
      </c>
      <c r="L1358" s="1">
        <v>18928770178</v>
      </c>
      <c r="M1358" s="1" t="s">
        <v>1437</v>
      </c>
      <c r="N1358" s="1" t="s">
        <v>1357</v>
      </c>
      <c r="O1358" s="1" t="s">
        <v>3640</v>
      </c>
      <c r="P1358" s="1">
        <v>18902327138</v>
      </c>
      <c r="Q1358" s="1" t="s">
        <v>3641</v>
      </c>
    </row>
    <row r="1359" spans="1:17">
      <c r="A1359" s="1"/>
      <c r="B1359" s="1"/>
      <c r="C1359" s="1"/>
      <c r="D1359" s="1" t="s">
        <v>5277</v>
      </c>
      <c r="E1359" s="1" t="s">
        <v>420</v>
      </c>
      <c r="F1359" s="1"/>
      <c r="G1359" s="1"/>
      <c r="H1359" s="1"/>
      <c r="J1359" s="1"/>
      <c r="K1359" s="1"/>
      <c r="L1359" s="1"/>
      <c r="M1359" s="1"/>
      <c r="N1359" s="1"/>
      <c r="O1359" s="1"/>
      <c r="P1359" s="1"/>
      <c r="Q1359" s="1"/>
    </row>
    <row r="1360" spans="1:17">
      <c r="A1360" s="1"/>
      <c r="B1360" s="1" t="s">
        <v>3643</v>
      </c>
      <c r="C1360" s="1" t="s">
        <v>3644</v>
      </c>
      <c r="D1360" s="1" t="s">
        <v>5276</v>
      </c>
      <c r="E1360" s="1" t="s">
        <v>420</v>
      </c>
      <c r="F1360" s="1">
        <v>1</v>
      </c>
      <c r="G1360" s="1">
        <v>1.49</v>
      </c>
      <c r="H1360" s="1">
        <v>10</v>
      </c>
      <c r="J1360" s="1" t="s">
        <v>29</v>
      </c>
      <c r="K1360" s="1" t="s">
        <v>1290</v>
      </c>
      <c r="L1360" s="1">
        <v>13972728049</v>
      </c>
      <c r="M1360" s="1" t="s">
        <v>1846</v>
      </c>
      <c r="N1360" s="1" t="s">
        <v>1290</v>
      </c>
      <c r="O1360" s="1" t="s">
        <v>1846</v>
      </c>
      <c r="P1360" s="1">
        <v>13972728049</v>
      </c>
      <c r="Q1360" s="1" t="s">
        <v>3645</v>
      </c>
    </row>
    <row r="1361" spans="1:17">
      <c r="A1361" s="1"/>
      <c r="B1361" s="1"/>
      <c r="C1361" s="1"/>
      <c r="D1361" s="1" t="s">
        <v>5277</v>
      </c>
      <c r="E1361" s="1" t="s">
        <v>420</v>
      </c>
      <c r="F1361" s="1"/>
      <c r="G1361" s="1"/>
      <c r="H1361" s="1"/>
      <c r="J1361" s="1"/>
      <c r="K1361" s="1"/>
      <c r="L1361" s="1"/>
      <c r="M1361" s="1"/>
      <c r="N1361" s="1"/>
      <c r="O1361" s="1"/>
      <c r="P1361" s="1"/>
      <c r="Q1361" s="1"/>
    </row>
    <row r="1362" spans="1:17">
      <c r="A1362" s="1"/>
      <c r="B1362" s="1" t="s">
        <v>3647</v>
      </c>
      <c r="C1362" s="1" t="s">
        <v>3648</v>
      </c>
      <c r="D1362" s="1" t="s">
        <v>5276</v>
      </c>
      <c r="E1362" s="1" t="s">
        <v>420</v>
      </c>
      <c r="F1362" s="1">
        <v>1</v>
      </c>
      <c r="G1362" s="1">
        <v>1.49</v>
      </c>
      <c r="H1362" s="1">
        <v>10</v>
      </c>
      <c r="J1362" s="1" t="s">
        <v>29</v>
      </c>
      <c r="K1362" s="1" t="s">
        <v>3649</v>
      </c>
      <c r="L1362" s="1">
        <v>18926224930</v>
      </c>
      <c r="M1362" s="1" t="s">
        <v>3650</v>
      </c>
      <c r="N1362" s="1" t="s">
        <v>3649</v>
      </c>
      <c r="O1362" s="1" t="s">
        <v>3651</v>
      </c>
      <c r="P1362" s="1">
        <v>13428488001</v>
      </c>
      <c r="Q1362" s="1" t="s">
        <v>3652</v>
      </c>
    </row>
    <row r="1363" spans="1:17">
      <c r="A1363" s="1"/>
      <c r="B1363" s="1"/>
      <c r="C1363" s="1"/>
      <c r="D1363" s="1" t="s">
        <v>5277</v>
      </c>
      <c r="E1363" s="1" t="s">
        <v>420</v>
      </c>
      <c r="F1363" s="1"/>
      <c r="G1363" s="1"/>
      <c r="H1363" s="1"/>
      <c r="J1363" s="1"/>
      <c r="K1363" s="1"/>
      <c r="L1363" s="1"/>
      <c r="M1363" s="1"/>
      <c r="N1363" s="1"/>
      <c r="O1363" s="1"/>
      <c r="P1363" s="1"/>
      <c r="Q1363" s="1"/>
    </row>
    <row r="1364" spans="1:17">
      <c r="A1364" s="1"/>
      <c r="B1364" s="1" t="s">
        <v>3654</v>
      </c>
      <c r="C1364" s="1" t="s">
        <v>3655</v>
      </c>
      <c r="D1364" s="1" t="s">
        <v>1274</v>
      </c>
      <c r="E1364" s="1" t="s">
        <v>420</v>
      </c>
      <c r="F1364" s="1">
        <v>1</v>
      </c>
      <c r="G1364" s="1">
        <v>1.26</v>
      </c>
      <c r="H1364" s="1">
        <v>2</v>
      </c>
      <c r="J1364" s="1" t="s">
        <v>40</v>
      </c>
      <c r="K1364" s="1" t="s">
        <v>1429</v>
      </c>
      <c r="L1364" s="1">
        <v>17180669418</v>
      </c>
      <c r="M1364" s="1" t="s">
        <v>1430</v>
      </c>
      <c r="N1364" s="1" t="s">
        <v>3656</v>
      </c>
      <c r="O1364" s="1" t="s">
        <v>3657</v>
      </c>
      <c r="P1364" s="1">
        <v>13590050256</v>
      </c>
      <c r="Q1364" s="1" t="s">
        <v>3658</v>
      </c>
    </row>
    <row r="1365" spans="1:17">
      <c r="A1365" s="1"/>
      <c r="B1365" s="1" t="s">
        <v>3660</v>
      </c>
      <c r="C1365" s="1" t="s">
        <v>3661</v>
      </c>
      <c r="D1365" s="1" t="s">
        <v>5141</v>
      </c>
      <c r="E1365" s="1" t="s">
        <v>420</v>
      </c>
      <c r="F1365" s="1">
        <v>1</v>
      </c>
      <c r="G1365" s="1">
        <v>1.95</v>
      </c>
      <c r="H1365" s="1">
        <v>14</v>
      </c>
      <c r="J1365" s="1" t="s">
        <v>29</v>
      </c>
      <c r="K1365" s="1" t="s">
        <v>2535</v>
      </c>
      <c r="L1365" s="1">
        <v>18253443808</v>
      </c>
      <c r="M1365" s="1" t="s">
        <v>2536</v>
      </c>
      <c r="N1365" s="1" t="s">
        <v>2535</v>
      </c>
      <c r="O1365" s="1" t="s">
        <v>3662</v>
      </c>
      <c r="P1365" s="1">
        <v>13280707777</v>
      </c>
      <c r="Q1365" s="1" t="s">
        <v>3663</v>
      </c>
    </row>
    <row r="1366" spans="1:17">
      <c r="A1366" s="1"/>
      <c r="B1366" s="1"/>
      <c r="C1366" s="1"/>
      <c r="D1366" s="1" t="s">
        <v>5142</v>
      </c>
      <c r="E1366" s="1" t="s">
        <v>420</v>
      </c>
      <c r="F1366" s="1"/>
      <c r="G1366" s="1"/>
      <c r="H1366" s="1"/>
      <c r="J1366" s="1"/>
      <c r="K1366" s="1"/>
      <c r="L1366" s="1"/>
      <c r="M1366" s="1"/>
      <c r="N1366" s="1"/>
      <c r="O1366" s="1"/>
      <c r="P1366" s="1"/>
      <c r="Q1366" s="1"/>
    </row>
    <row r="1367" spans="1:17">
      <c r="A1367" s="1"/>
      <c r="B1367" s="1" t="s">
        <v>3665</v>
      </c>
      <c r="C1367" s="1" t="s">
        <v>3666</v>
      </c>
      <c r="D1367" s="1" t="s">
        <v>5141</v>
      </c>
      <c r="E1367" s="1" t="s">
        <v>420</v>
      </c>
      <c r="F1367" s="1">
        <v>1</v>
      </c>
      <c r="G1367" s="1">
        <v>1.95</v>
      </c>
      <c r="H1367" s="1">
        <v>14</v>
      </c>
      <c r="J1367" s="1" t="s">
        <v>29</v>
      </c>
      <c r="K1367" s="1" t="s">
        <v>3667</v>
      </c>
      <c r="L1367" s="1">
        <v>15880037787</v>
      </c>
      <c r="M1367" s="1" t="s">
        <v>1480</v>
      </c>
      <c r="N1367" s="1" t="s">
        <v>3667</v>
      </c>
      <c r="O1367" s="1" t="s">
        <v>3668</v>
      </c>
      <c r="P1367" s="1">
        <v>18663309177</v>
      </c>
      <c r="Q1367" s="1" t="s">
        <v>3669</v>
      </c>
    </row>
    <row r="1368" spans="1:17">
      <c r="A1368" s="1"/>
      <c r="B1368" s="1"/>
      <c r="C1368" s="1"/>
      <c r="D1368" s="1" t="s">
        <v>5142</v>
      </c>
      <c r="E1368" s="1" t="s">
        <v>420</v>
      </c>
      <c r="F1368" s="1"/>
      <c r="G1368" s="1"/>
      <c r="H1368" s="1"/>
      <c r="J1368" s="1"/>
      <c r="K1368" s="1"/>
      <c r="L1368" s="1"/>
      <c r="M1368" s="1"/>
      <c r="N1368" s="1"/>
      <c r="O1368" s="1"/>
      <c r="P1368" s="1"/>
      <c r="Q1368" s="1"/>
    </row>
    <row r="1369" spans="1:17">
      <c r="A1369" s="1"/>
      <c r="B1369" s="1" t="s">
        <v>3671</v>
      </c>
      <c r="C1369" s="1" t="s">
        <v>3672</v>
      </c>
      <c r="D1369" s="1" t="s">
        <v>4991</v>
      </c>
      <c r="E1369" s="1" t="s">
        <v>4992</v>
      </c>
      <c r="F1369" s="1">
        <v>1</v>
      </c>
      <c r="G1369" s="1">
        <v>1.72</v>
      </c>
      <c r="H1369" s="1">
        <v>15</v>
      </c>
      <c r="I1369" s="1" t="s">
        <v>164</v>
      </c>
      <c r="J1369" s="1" t="s">
        <v>40</v>
      </c>
      <c r="K1369" s="1" t="s">
        <v>237</v>
      </c>
      <c r="L1369" s="1">
        <v>18341785826</v>
      </c>
      <c r="M1369" s="1" t="s">
        <v>238</v>
      </c>
      <c r="N1369" s="1" t="s">
        <v>3673</v>
      </c>
      <c r="O1369" s="1" t="s">
        <v>3674</v>
      </c>
      <c r="P1369" s="1">
        <v>13604237025</v>
      </c>
      <c r="Q1369" s="1" t="s">
        <v>3675</v>
      </c>
    </row>
    <row r="1370" spans="1:17">
      <c r="A1370" s="1"/>
      <c r="B1370" s="1"/>
      <c r="C1370" s="1"/>
      <c r="D1370" s="1" t="s">
        <v>4993</v>
      </c>
      <c r="E1370" s="1" t="s">
        <v>4994</v>
      </c>
      <c r="F1370" s="1"/>
      <c r="G1370" s="1"/>
      <c r="H1370" s="1"/>
      <c r="I1370" s="1" t="s">
        <v>4995</v>
      </c>
      <c r="J1370" s="1"/>
      <c r="K1370" s="1"/>
      <c r="L1370" s="1"/>
      <c r="M1370" s="1"/>
      <c r="N1370" s="1"/>
      <c r="O1370" s="1"/>
      <c r="P1370" s="1"/>
      <c r="Q1370" s="1"/>
    </row>
    <row r="1371" spans="1:17">
      <c r="A1371" s="1"/>
      <c r="B1371" s="1" t="s">
        <v>3677</v>
      </c>
      <c r="C1371" s="1" t="s">
        <v>3678</v>
      </c>
      <c r="D1371" s="1" t="s">
        <v>4991</v>
      </c>
      <c r="E1371" s="1" t="s">
        <v>4992</v>
      </c>
      <c r="F1371" s="1">
        <v>1</v>
      </c>
      <c r="G1371" s="1">
        <v>1.72</v>
      </c>
      <c r="H1371" s="1">
        <v>15</v>
      </c>
      <c r="I1371" s="1" t="s">
        <v>164</v>
      </c>
      <c r="J1371" s="1" t="s">
        <v>40</v>
      </c>
      <c r="K1371" s="1" t="s">
        <v>244</v>
      </c>
      <c r="L1371" s="1">
        <v>13940778352</v>
      </c>
      <c r="M1371" s="1" t="s">
        <v>245</v>
      </c>
      <c r="N1371" s="1" t="s">
        <v>3679</v>
      </c>
      <c r="O1371" s="1" t="s">
        <v>245</v>
      </c>
      <c r="P1371" s="1">
        <v>13940778352</v>
      </c>
      <c r="Q1371" s="1" t="s">
        <v>3680</v>
      </c>
    </row>
    <row r="1372" spans="1:17">
      <c r="A1372" s="1"/>
      <c r="B1372" s="1"/>
      <c r="C1372" s="1"/>
      <c r="D1372" s="1" t="s">
        <v>4993</v>
      </c>
      <c r="E1372" s="1" t="s">
        <v>4994</v>
      </c>
      <c r="F1372" s="1"/>
      <c r="G1372" s="1"/>
      <c r="H1372" s="1"/>
      <c r="I1372" s="1" t="s">
        <v>4995</v>
      </c>
      <c r="J1372" s="1"/>
      <c r="K1372" s="1"/>
      <c r="L1372" s="1"/>
      <c r="M1372" s="1"/>
      <c r="N1372" s="1"/>
      <c r="O1372" s="1"/>
      <c r="P1372" s="1"/>
      <c r="Q1372" s="1"/>
    </row>
    <row r="1373" spans="1:17">
      <c r="A1373" s="1"/>
      <c r="B1373" s="1" t="s">
        <v>3682</v>
      </c>
      <c r="C1373" s="1" t="s">
        <v>3683</v>
      </c>
      <c r="D1373" s="1" t="s">
        <v>4991</v>
      </c>
      <c r="E1373" s="1" t="s">
        <v>4992</v>
      </c>
      <c r="F1373" s="1">
        <v>1</v>
      </c>
      <c r="G1373" s="1">
        <v>1.72</v>
      </c>
      <c r="H1373" s="1">
        <v>15</v>
      </c>
      <c r="I1373" s="1" t="s">
        <v>164</v>
      </c>
      <c r="J1373" s="1" t="s">
        <v>40</v>
      </c>
      <c r="K1373" s="1" t="s">
        <v>229</v>
      </c>
      <c r="L1373" s="1">
        <v>13840761783</v>
      </c>
      <c r="M1373" s="1" t="s">
        <v>230</v>
      </c>
      <c r="N1373" s="1" t="s">
        <v>3684</v>
      </c>
      <c r="O1373" s="1" t="s">
        <v>230</v>
      </c>
      <c r="P1373" s="1">
        <v>13840761783</v>
      </c>
      <c r="Q1373" s="1" t="s">
        <v>3685</v>
      </c>
    </row>
    <row r="1374" spans="1:17">
      <c r="A1374" s="1"/>
      <c r="B1374" s="1"/>
      <c r="C1374" s="1"/>
      <c r="D1374" s="1" t="s">
        <v>4993</v>
      </c>
      <c r="E1374" s="1" t="s">
        <v>4994</v>
      </c>
      <c r="F1374" s="1"/>
      <c r="G1374" s="1"/>
      <c r="H1374" s="1"/>
      <c r="I1374" s="1" t="s">
        <v>4995</v>
      </c>
      <c r="J1374" s="1"/>
      <c r="K1374" s="1"/>
      <c r="L1374" s="1"/>
      <c r="M1374" s="1"/>
      <c r="N1374" s="1"/>
      <c r="O1374" s="1"/>
      <c r="P1374" s="1"/>
      <c r="Q1374" s="1"/>
    </row>
    <row r="1375" spans="1:17">
      <c r="A1375" s="1"/>
      <c r="B1375" s="1" t="s">
        <v>3687</v>
      </c>
      <c r="C1375" s="1" t="s">
        <v>3688</v>
      </c>
      <c r="D1375" s="1" t="s">
        <v>4991</v>
      </c>
      <c r="E1375" s="1" t="s">
        <v>4992</v>
      </c>
      <c r="F1375" s="1">
        <v>1</v>
      </c>
      <c r="G1375" s="1">
        <v>1.72</v>
      </c>
      <c r="H1375" s="1">
        <v>15</v>
      </c>
      <c r="I1375" s="1" t="s">
        <v>164</v>
      </c>
      <c r="J1375" s="1" t="s">
        <v>40</v>
      </c>
      <c r="K1375" s="1" t="s">
        <v>237</v>
      </c>
      <c r="L1375" s="1">
        <v>18341785826</v>
      </c>
      <c r="M1375" s="1" t="s">
        <v>238</v>
      </c>
      <c r="N1375" s="1" t="s">
        <v>3689</v>
      </c>
      <c r="O1375" s="1" t="s">
        <v>3690</v>
      </c>
      <c r="P1375" s="1">
        <v>18600382666</v>
      </c>
      <c r="Q1375" s="1" t="s">
        <v>3691</v>
      </c>
    </row>
    <row r="1376" spans="1:17">
      <c r="A1376" s="1"/>
      <c r="B1376" s="1"/>
      <c r="C1376" s="1"/>
      <c r="D1376" s="1" t="s">
        <v>4993</v>
      </c>
      <c r="E1376" s="1" t="s">
        <v>4994</v>
      </c>
      <c r="F1376" s="1"/>
      <c r="G1376" s="1"/>
      <c r="H1376" s="1"/>
      <c r="I1376" s="1" t="s">
        <v>4995</v>
      </c>
      <c r="J1376" s="1"/>
      <c r="K1376" s="1"/>
      <c r="L1376" s="1"/>
      <c r="M1376" s="1"/>
      <c r="N1376" s="1"/>
      <c r="O1376" s="1"/>
      <c r="P1376" s="1"/>
      <c r="Q1376" s="1"/>
    </row>
    <row r="1377" spans="1:17">
      <c r="A1377" s="1"/>
      <c r="B1377" s="1" t="s">
        <v>3693</v>
      </c>
      <c r="C1377" s="1" t="s">
        <v>3694</v>
      </c>
      <c r="D1377" s="1" t="s">
        <v>5053</v>
      </c>
      <c r="E1377" s="1" t="s">
        <v>4992</v>
      </c>
      <c r="F1377" s="1">
        <v>1</v>
      </c>
      <c r="G1377" s="1">
        <v>1.72</v>
      </c>
      <c r="H1377" s="1">
        <v>14</v>
      </c>
      <c r="I1377" s="1" t="s">
        <v>164</v>
      </c>
      <c r="J1377" s="1" t="s">
        <v>40</v>
      </c>
      <c r="K1377" s="1" t="s">
        <v>355</v>
      </c>
      <c r="L1377" s="1">
        <v>13911116697</v>
      </c>
      <c r="M1377" s="1" t="s">
        <v>356</v>
      </c>
      <c r="N1377" s="1" t="s">
        <v>3695</v>
      </c>
      <c r="O1377" s="1" t="s">
        <v>356</v>
      </c>
      <c r="P1377" s="1">
        <v>13911116697</v>
      </c>
      <c r="Q1377" s="1" t="s">
        <v>3696</v>
      </c>
    </row>
    <row r="1378" spans="1:17">
      <c r="A1378" s="1"/>
      <c r="B1378" s="1"/>
      <c r="C1378" s="1"/>
      <c r="D1378" s="1" t="s">
        <v>5054</v>
      </c>
      <c r="E1378" s="1" t="s">
        <v>4994</v>
      </c>
      <c r="F1378" s="1"/>
      <c r="G1378" s="1"/>
      <c r="H1378" s="1"/>
      <c r="I1378" s="1" t="s">
        <v>5055</v>
      </c>
      <c r="J1378" s="1"/>
      <c r="K1378" s="1"/>
      <c r="L1378" s="1"/>
      <c r="M1378" s="1"/>
      <c r="N1378" s="1"/>
      <c r="O1378" s="1"/>
      <c r="P1378" s="1"/>
      <c r="Q1378" s="1"/>
    </row>
    <row r="1379" spans="1:17">
      <c r="A1379" s="1"/>
      <c r="B1379" s="1" t="s">
        <v>3698</v>
      </c>
      <c r="C1379" s="1" t="s">
        <v>3699</v>
      </c>
      <c r="D1379" s="1" t="s">
        <v>4996</v>
      </c>
      <c r="E1379" s="1" t="s">
        <v>420</v>
      </c>
      <c r="F1379" s="1">
        <v>1</v>
      </c>
      <c r="G1379" s="1">
        <v>1.49</v>
      </c>
      <c r="H1379" s="1">
        <v>11</v>
      </c>
      <c r="J1379" s="1" t="s">
        <v>29</v>
      </c>
      <c r="K1379" s="1" t="s">
        <v>3700</v>
      </c>
      <c r="L1379" s="1">
        <v>17197756156</v>
      </c>
      <c r="M1379" s="1" t="s">
        <v>3701</v>
      </c>
      <c r="N1379" s="1" t="s">
        <v>3700</v>
      </c>
      <c r="O1379" s="1" t="s">
        <v>3702</v>
      </c>
      <c r="P1379" s="1">
        <v>18905344777</v>
      </c>
      <c r="Q1379" s="1" t="s">
        <v>3703</v>
      </c>
    </row>
    <row r="1380" spans="1:17">
      <c r="A1380" s="1"/>
      <c r="B1380" s="1"/>
      <c r="C1380" s="1"/>
      <c r="D1380" s="1" t="s">
        <v>4997</v>
      </c>
      <c r="E1380" s="1" t="s">
        <v>420</v>
      </c>
      <c r="F1380" s="1"/>
      <c r="G1380" s="1"/>
      <c r="H1380" s="1"/>
      <c r="J1380" s="1"/>
      <c r="K1380" s="1"/>
      <c r="L1380" s="1"/>
      <c r="M1380" s="1"/>
      <c r="N1380" s="1"/>
      <c r="O1380" s="1"/>
      <c r="P1380" s="1"/>
      <c r="Q1380" s="1"/>
    </row>
    <row r="1381" spans="1:17">
      <c r="A1381" s="1"/>
      <c r="B1381" s="1"/>
      <c r="C1381" s="1"/>
      <c r="D1381" s="1" t="s">
        <v>4998</v>
      </c>
      <c r="E1381" s="1" t="s">
        <v>420</v>
      </c>
      <c r="F1381" s="1"/>
      <c r="G1381" s="1"/>
      <c r="H1381" s="1"/>
      <c r="J1381" s="1"/>
      <c r="K1381" s="1"/>
      <c r="L1381" s="1"/>
      <c r="M1381" s="1"/>
      <c r="N1381" s="1"/>
      <c r="O1381" s="1"/>
      <c r="P1381" s="1"/>
      <c r="Q1381" s="1"/>
    </row>
    <row r="1382" spans="1:17">
      <c r="A1382" s="1"/>
      <c r="B1382" s="1"/>
      <c r="C1382" s="1"/>
      <c r="D1382" s="1" t="s">
        <v>4999</v>
      </c>
      <c r="E1382" s="1" t="s">
        <v>420</v>
      </c>
      <c r="F1382" s="1"/>
      <c r="G1382" s="1"/>
      <c r="H1382" s="1"/>
      <c r="J1382" s="1"/>
      <c r="K1382" s="1"/>
      <c r="L1382" s="1"/>
      <c r="M1382" s="1"/>
      <c r="N1382" s="1"/>
      <c r="O1382" s="1"/>
      <c r="P1382" s="1"/>
      <c r="Q1382" s="1"/>
    </row>
    <row r="1383" spans="1:17">
      <c r="A1383" s="1"/>
      <c r="B1383" s="1"/>
      <c r="C1383" s="1"/>
      <c r="D1383" s="1" t="s">
        <v>5000</v>
      </c>
      <c r="E1383" s="1" t="s">
        <v>420</v>
      </c>
      <c r="F1383" s="1"/>
      <c r="G1383" s="1"/>
      <c r="H1383" s="1"/>
      <c r="J1383" s="1"/>
      <c r="K1383" s="1"/>
      <c r="L1383" s="1"/>
      <c r="M1383" s="1"/>
      <c r="N1383" s="1"/>
      <c r="O1383" s="1"/>
      <c r="P1383" s="1"/>
      <c r="Q1383" s="1"/>
    </row>
    <row r="1384" spans="1:17">
      <c r="A1384" s="1"/>
      <c r="B1384" s="1"/>
      <c r="C1384" s="1"/>
      <c r="D1384" s="1" t="s">
        <v>5001</v>
      </c>
      <c r="E1384" s="1" t="s">
        <v>420</v>
      </c>
      <c r="F1384" s="1"/>
      <c r="G1384" s="1"/>
      <c r="H1384" s="1"/>
      <c r="J1384" s="1"/>
      <c r="K1384" s="1"/>
      <c r="L1384" s="1"/>
      <c r="M1384" s="1"/>
      <c r="N1384" s="1"/>
      <c r="O1384" s="1"/>
      <c r="P1384" s="1"/>
      <c r="Q1384" s="1"/>
    </row>
    <row r="1385" spans="1:17">
      <c r="A1385" s="1"/>
      <c r="B1385" s="1"/>
      <c r="C1385" s="1"/>
      <c r="D1385" s="1" t="s">
        <v>5002</v>
      </c>
      <c r="E1385" s="1" t="s">
        <v>420</v>
      </c>
      <c r="F1385" s="1"/>
      <c r="G1385" s="1"/>
      <c r="H1385" s="1"/>
      <c r="J1385" s="1"/>
      <c r="K1385" s="1"/>
      <c r="L1385" s="1"/>
      <c r="M1385" s="1"/>
      <c r="N1385" s="1"/>
      <c r="O1385" s="1"/>
      <c r="P1385" s="1"/>
      <c r="Q1385" s="1"/>
    </row>
    <row r="1386" spans="1:17">
      <c r="A1386" s="1"/>
      <c r="B1386" s="1" t="s">
        <v>3705</v>
      </c>
      <c r="C1386" s="1" t="s">
        <v>3706</v>
      </c>
      <c r="D1386" s="1" t="s">
        <v>4996</v>
      </c>
      <c r="E1386" s="1" t="s">
        <v>420</v>
      </c>
      <c r="F1386" s="1">
        <v>1</v>
      </c>
      <c r="G1386" s="1">
        <v>1.49</v>
      </c>
      <c r="H1386" s="1">
        <v>11</v>
      </c>
      <c r="J1386" s="1" t="s">
        <v>29</v>
      </c>
      <c r="K1386" s="1" t="s">
        <v>1861</v>
      </c>
      <c r="L1386" s="1">
        <v>18760440425</v>
      </c>
      <c r="M1386" s="1" t="s">
        <v>1862</v>
      </c>
      <c r="N1386" s="1" t="s">
        <v>3707</v>
      </c>
      <c r="O1386" s="1" t="s">
        <v>3708</v>
      </c>
      <c r="P1386" s="1">
        <v>15910713221</v>
      </c>
      <c r="Q1386" s="1" t="s">
        <v>3709</v>
      </c>
    </row>
    <row r="1387" spans="1:17">
      <c r="A1387" s="1"/>
      <c r="B1387" s="1"/>
      <c r="C1387" s="1"/>
      <c r="D1387" s="1" t="s">
        <v>4997</v>
      </c>
      <c r="E1387" s="1" t="s">
        <v>420</v>
      </c>
      <c r="F1387" s="1"/>
      <c r="G1387" s="1"/>
      <c r="H1387" s="1"/>
      <c r="J1387" s="1"/>
      <c r="K1387" s="1"/>
      <c r="L1387" s="1"/>
      <c r="M1387" s="1"/>
      <c r="N1387" s="1"/>
      <c r="O1387" s="1"/>
      <c r="P1387" s="1"/>
      <c r="Q1387" s="1"/>
    </row>
    <row r="1388" spans="1:17">
      <c r="A1388" s="1"/>
      <c r="B1388" s="1"/>
      <c r="C1388" s="1"/>
      <c r="D1388" s="1" t="s">
        <v>4998</v>
      </c>
      <c r="E1388" s="1" t="s">
        <v>420</v>
      </c>
      <c r="F1388" s="1"/>
      <c r="G1388" s="1"/>
      <c r="H1388" s="1"/>
      <c r="J1388" s="1"/>
      <c r="K1388" s="1"/>
      <c r="L1388" s="1"/>
      <c r="M1388" s="1"/>
      <c r="N1388" s="1"/>
      <c r="O1388" s="1"/>
      <c r="P1388" s="1"/>
      <c r="Q1388" s="1"/>
    </row>
    <row r="1389" spans="1:17">
      <c r="A1389" s="1"/>
      <c r="B1389" s="1"/>
      <c r="C1389" s="1"/>
      <c r="D1389" s="1" t="s">
        <v>4999</v>
      </c>
      <c r="E1389" s="1" t="s">
        <v>420</v>
      </c>
      <c r="F1389" s="1"/>
      <c r="G1389" s="1"/>
      <c r="H1389" s="1"/>
      <c r="J1389" s="1"/>
      <c r="K1389" s="1"/>
      <c r="L1389" s="1"/>
      <c r="M1389" s="1"/>
      <c r="N1389" s="1"/>
      <c r="O1389" s="1"/>
      <c r="P1389" s="1"/>
      <c r="Q1389" s="1"/>
    </row>
    <row r="1390" spans="1:17">
      <c r="A1390" s="1"/>
      <c r="B1390" s="1"/>
      <c r="C1390" s="1"/>
      <c r="D1390" s="1" t="s">
        <v>5000</v>
      </c>
      <c r="E1390" s="1" t="s">
        <v>420</v>
      </c>
      <c r="F1390" s="1"/>
      <c r="G1390" s="1"/>
      <c r="H1390" s="1"/>
      <c r="J1390" s="1"/>
      <c r="K1390" s="1"/>
      <c r="L1390" s="1"/>
      <c r="M1390" s="1"/>
      <c r="N1390" s="1"/>
      <c r="O1390" s="1"/>
      <c r="P1390" s="1"/>
      <c r="Q1390" s="1"/>
    </row>
    <row r="1391" spans="1:17">
      <c r="A1391" s="1"/>
      <c r="B1391" s="1"/>
      <c r="C1391" s="1"/>
      <c r="D1391" s="1" t="s">
        <v>5001</v>
      </c>
      <c r="E1391" s="1" t="s">
        <v>420</v>
      </c>
      <c r="F1391" s="1"/>
      <c r="G1391" s="1"/>
      <c r="H1391" s="1"/>
      <c r="J1391" s="1"/>
      <c r="K1391" s="1"/>
      <c r="L1391" s="1"/>
      <c r="M1391" s="1"/>
      <c r="N1391" s="1"/>
      <c r="O1391" s="1"/>
      <c r="P1391" s="1"/>
      <c r="Q1391" s="1"/>
    </row>
    <row r="1392" spans="1:17">
      <c r="A1392" s="1"/>
      <c r="B1392" s="1"/>
      <c r="C1392" s="1"/>
      <c r="D1392" s="1" t="s">
        <v>5002</v>
      </c>
      <c r="E1392" s="1" t="s">
        <v>420</v>
      </c>
      <c r="F1392" s="1"/>
      <c r="G1392" s="1"/>
      <c r="H1392" s="1"/>
      <c r="J1392" s="1"/>
      <c r="K1392" s="1"/>
      <c r="L1392" s="1"/>
      <c r="M1392" s="1"/>
      <c r="N1392" s="1"/>
      <c r="O1392" s="1"/>
      <c r="P1392" s="1"/>
      <c r="Q1392" s="1"/>
    </row>
    <row r="1393" spans="1:17">
      <c r="A1393" s="1"/>
      <c r="B1393" s="1" t="s">
        <v>3711</v>
      </c>
      <c r="C1393" s="1" t="s">
        <v>3712</v>
      </c>
      <c r="D1393" s="1" t="s">
        <v>5568</v>
      </c>
      <c r="E1393" s="1" t="s">
        <v>3714</v>
      </c>
      <c r="F1393" s="1">
        <v>1</v>
      </c>
      <c r="G1393" s="1">
        <v>0.58181818181818201</v>
      </c>
      <c r="H1393" s="1">
        <v>1</v>
      </c>
      <c r="J1393" s="1" t="s">
        <v>293</v>
      </c>
      <c r="K1393" s="1" t="s">
        <v>3715</v>
      </c>
      <c r="L1393" s="1">
        <v>13840312561</v>
      </c>
      <c r="M1393" s="1" t="s">
        <v>3716</v>
      </c>
      <c r="N1393" s="1" t="s">
        <v>3715</v>
      </c>
      <c r="O1393" s="1" t="s">
        <v>3716</v>
      </c>
      <c r="P1393" s="1">
        <v>13840312561</v>
      </c>
      <c r="Q1393" s="1" t="s">
        <v>3717</v>
      </c>
    </row>
    <row r="1394" spans="1:17">
      <c r="A1394" s="1"/>
      <c r="B1394" s="1" t="s">
        <v>3719</v>
      </c>
      <c r="C1394" s="1" t="s">
        <v>3720</v>
      </c>
      <c r="D1394" s="1" t="s">
        <v>5569</v>
      </c>
      <c r="E1394" s="1" t="s">
        <v>163</v>
      </c>
      <c r="F1394" s="1">
        <v>1</v>
      </c>
      <c r="G1394" s="1">
        <v>1.2636363636363599</v>
      </c>
      <c r="H1394" s="1">
        <v>5</v>
      </c>
      <c r="I1394" s="1" t="s">
        <v>164</v>
      </c>
      <c r="J1394" s="1" t="s">
        <v>29</v>
      </c>
      <c r="K1394" s="1" t="s">
        <v>2549</v>
      </c>
      <c r="L1394" s="1">
        <v>13951669460</v>
      </c>
      <c r="M1394" s="1" t="s">
        <v>2550</v>
      </c>
      <c r="N1394" s="1" t="s">
        <v>2549</v>
      </c>
      <c r="O1394" s="1" t="s">
        <v>2550</v>
      </c>
      <c r="P1394" s="1">
        <v>13951669460</v>
      </c>
      <c r="Q1394" s="1" t="s">
        <v>3722</v>
      </c>
    </row>
    <row r="1395" spans="1:17">
      <c r="A1395" s="1"/>
      <c r="B1395" s="1" t="s">
        <v>3724</v>
      </c>
      <c r="C1395" s="1" t="s">
        <v>3725</v>
      </c>
      <c r="D1395" s="1" t="s">
        <v>5437</v>
      </c>
      <c r="E1395" s="1" t="s">
        <v>163</v>
      </c>
      <c r="F1395" s="1">
        <v>1</v>
      </c>
      <c r="G1395" s="1">
        <v>1.0363636363636399</v>
      </c>
      <c r="H1395" s="1">
        <v>2</v>
      </c>
      <c r="I1395" s="1" t="s">
        <v>164</v>
      </c>
      <c r="J1395" s="1" t="s">
        <v>29</v>
      </c>
      <c r="K1395" s="1" t="s">
        <v>3726</v>
      </c>
      <c r="L1395" s="1">
        <v>18689785396</v>
      </c>
      <c r="M1395" s="1" t="s">
        <v>3727</v>
      </c>
      <c r="N1395" s="1" t="s">
        <v>3726</v>
      </c>
      <c r="O1395" s="1" t="s">
        <v>3727</v>
      </c>
      <c r="P1395" s="1">
        <v>18689785396</v>
      </c>
      <c r="Q1395" s="1" t="s">
        <v>3728</v>
      </c>
    </row>
    <row r="1396" spans="1:17">
      <c r="A1396" s="1"/>
      <c r="B1396" s="1" t="s">
        <v>3730</v>
      </c>
      <c r="C1396" s="1" t="s">
        <v>3731</v>
      </c>
      <c r="D1396" s="1" t="s">
        <v>5003</v>
      </c>
      <c r="E1396" s="1" t="s">
        <v>163</v>
      </c>
      <c r="F1396" s="1">
        <v>1</v>
      </c>
      <c r="G1396" s="1">
        <v>2.1727272727272702</v>
      </c>
      <c r="H1396" s="1">
        <v>5</v>
      </c>
      <c r="I1396" s="1" t="s">
        <v>164</v>
      </c>
      <c r="J1396" s="1" t="s">
        <v>29</v>
      </c>
      <c r="K1396" s="1" t="s">
        <v>1461</v>
      </c>
      <c r="L1396" s="1">
        <v>13003229793</v>
      </c>
      <c r="M1396" s="1" t="s">
        <v>1462</v>
      </c>
      <c r="N1396" s="1" t="s">
        <v>3732</v>
      </c>
      <c r="O1396" s="1" t="s">
        <v>3733</v>
      </c>
      <c r="P1396" s="1">
        <v>13817794826</v>
      </c>
      <c r="Q1396" s="1" t="s">
        <v>3734</v>
      </c>
    </row>
    <row r="1397" spans="1:17">
      <c r="A1397" s="1"/>
      <c r="B1397" s="1" t="s">
        <v>3736</v>
      </c>
      <c r="C1397" s="1" t="s">
        <v>3737</v>
      </c>
      <c r="D1397" s="1" t="s">
        <v>5004</v>
      </c>
      <c r="E1397" s="1" t="s">
        <v>163</v>
      </c>
      <c r="F1397" s="1">
        <v>1</v>
      </c>
      <c r="G1397" s="1">
        <v>1.2636363636363599</v>
      </c>
      <c r="H1397" s="1">
        <v>3</v>
      </c>
      <c r="J1397" s="1" t="s">
        <v>29</v>
      </c>
      <c r="K1397" s="1" t="s">
        <v>2599</v>
      </c>
      <c r="L1397" s="1">
        <v>13787346627</v>
      </c>
      <c r="M1397" s="1" t="s">
        <v>2600</v>
      </c>
      <c r="N1397" s="1" t="s">
        <v>3738</v>
      </c>
      <c r="O1397" s="1" t="s">
        <v>2600</v>
      </c>
      <c r="P1397" s="1">
        <v>13787346627</v>
      </c>
      <c r="Q1397" s="1" t="s">
        <v>3739</v>
      </c>
    </row>
    <row r="1398" spans="1:17">
      <c r="A1398" s="1"/>
      <c r="B1398" s="1" t="s">
        <v>3741</v>
      </c>
      <c r="C1398" s="1" t="s">
        <v>3742</v>
      </c>
      <c r="D1398" s="1" t="s">
        <v>4952</v>
      </c>
      <c r="E1398" s="1" t="s">
        <v>163</v>
      </c>
      <c r="F1398" s="1">
        <v>1</v>
      </c>
      <c r="G1398" s="1">
        <v>1.94545454545455</v>
      </c>
      <c r="H1398" s="1">
        <v>3</v>
      </c>
      <c r="J1398" s="1" t="s">
        <v>29</v>
      </c>
      <c r="K1398" s="1" t="s">
        <v>3744</v>
      </c>
      <c r="L1398" s="1">
        <v>13806185092</v>
      </c>
      <c r="M1398" s="1" t="s">
        <v>3745</v>
      </c>
      <c r="N1398" s="1" t="s">
        <v>3744</v>
      </c>
      <c r="O1398" s="1" t="s">
        <v>3745</v>
      </c>
      <c r="P1398" s="1">
        <v>13806185092</v>
      </c>
      <c r="Q1398" s="1" t="s">
        <v>3746</v>
      </c>
    </row>
    <row r="1399" spans="1:17">
      <c r="A1399" s="1"/>
      <c r="B1399" s="1"/>
      <c r="C1399" s="1"/>
      <c r="D1399" s="1" t="s">
        <v>5570</v>
      </c>
      <c r="E1399" s="1" t="s">
        <v>163</v>
      </c>
      <c r="F1399" s="1"/>
      <c r="G1399" s="1"/>
      <c r="H1399" s="1"/>
      <c r="J1399" s="1"/>
      <c r="K1399" s="1"/>
      <c r="L1399" s="1"/>
      <c r="M1399" s="1"/>
      <c r="N1399" s="1"/>
      <c r="O1399" s="1"/>
      <c r="P1399" s="1"/>
      <c r="Q1399" s="1"/>
    </row>
    <row r="1400" spans="1:17">
      <c r="A1400" s="1"/>
      <c r="B1400" s="1" t="s">
        <v>3748</v>
      </c>
      <c r="C1400" s="1" t="s">
        <v>3749</v>
      </c>
      <c r="D1400" s="1" t="s">
        <v>5281</v>
      </c>
      <c r="E1400" s="1" t="s">
        <v>420</v>
      </c>
      <c r="F1400" s="1">
        <v>1</v>
      </c>
      <c r="G1400" s="1">
        <v>1.49</v>
      </c>
      <c r="H1400" s="1">
        <v>14</v>
      </c>
      <c r="I1400" s="1" t="s">
        <v>1142</v>
      </c>
      <c r="J1400" s="1" t="s">
        <v>29</v>
      </c>
      <c r="K1400" s="1" t="s">
        <v>1479</v>
      </c>
      <c r="L1400" s="1">
        <v>13459103839</v>
      </c>
      <c r="M1400" s="1" t="s">
        <v>1480</v>
      </c>
      <c r="N1400" s="1" t="s">
        <v>3750</v>
      </c>
      <c r="O1400" s="1" t="s">
        <v>3751</v>
      </c>
      <c r="P1400" s="1">
        <v>13793416507</v>
      </c>
      <c r="Q1400" s="1" t="s">
        <v>3752</v>
      </c>
    </row>
    <row r="1401" spans="1:17">
      <c r="A1401" s="1"/>
      <c r="B1401" s="1"/>
      <c r="C1401" s="1"/>
      <c r="D1401" s="1" t="s">
        <v>5282</v>
      </c>
      <c r="E1401" s="1" t="s">
        <v>420</v>
      </c>
      <c r="F1401" s="1"/>
      <c r="G1401" s="1"/>
      <c r="H1401" s="1"/>
      <c r="I1401" s="1" t="s">
        <v>4968</v>
      </c>
      <c r="J1401" s="1"/>
      <c r="K1401" s="1"/>
      <c r="L1401" s="1"/>
      <c r="M1401" s="1"/>
      <c r="N1401" s="1"/>
      <c r="O1401" s="1"/>
      <c r="P1401" s="1"/>
      <c r="Q1401" s="1"/>
    </row>
    <row r="1402" spans="1:17">
      <c r="A1402" s="1"/>
      <c r="B1402" s="1"/>
      <c r="C1402" s="1"/>
      <c r="D1402" s="1" t="s">
        <v>5081</v>
      </c>
      <c r="E1402" s="1" t="s">
        <v>420</v>
      </c>
      <c r="F1402" s="1"/>
      <c r="G1402" s="1"/>
      <c r="H1402" s="1"/>
      <c r="I1402" s="1" t="s">
        <v>4995</v>
      </c>
      <c r="J1402" s="1"/>
      <c r="K1402" s="1"/>
      <c r="L1402" s="1"/>
      <c r="M1402" s="1"/>
      <c r="N1402" s="1"/>
      <c r="O1402" s="1"/>
      <c r="P1402" s="1"/>
      <c r="Q1402" s="1"/>
    </row>
    <row r="1403" spans="1:17">
      <c r="A1403" s="1"/>
      <c r="B1403" s="1"/>
      <c r="C1403" s="1"/>
      <c r="D1403" s="1" t="s">
        <v>5283</v>
      </c>
      <c r="E1403" s="1" t="s">
        <v>420</v>
      </c>
      <c r="F1403" s="1"/>
      <c r="G1403" s="1"/>
      <c r="H1403" s="1"/>
      <c r="I1403" s="1" t="s">
        <v>5111</v>
      </c>
      <c r="J1403" s="1"/>
      <c r="K1403" s="1"/>
      <c r="L1403" s="1"/>
      <c r="M1403" s="1"/>
      <c r="N1403" s="1"/>
      <c r="O1403" s="1"/>
      <c r="P1403" s="1"/>
      <c r="Q1403" s="1"/>
    </row>
    <row r="1404" spans="1:17">
      <c r="A1404" s="1"/>
      <c r="B1404" s="1" t="s">
        <v>3754</v>
      </c>
      <c r="C1404" s="1" t="s">
        <v>3755</v>
      </c>
      <c r="D1404" s="1" t="s">
        <v>5284</v>
      </c>
      <c r="E1404" s="1" t="s">
        <v>420</v>
      </c>
      <c r="F1404" s="1">
        <v>1</v>
      </c>
      <c r="G1404" s="1">
        <v>1.49</v>
      </c>
      <c r="H1404" s="1">
        <v>16</v>
      </c>
      <c r="I1404" s="1" t="s">
        <v>1142</v>
      </c>
      <c r="J1404" s="1" t="s">
        <v>29</v>
      </c>
      <c r="K1404" s="1" t="s">
        <v>1496</v>
      </c>
      <c r="L1404" s="1">
        <v>13635279948</v>
      </c>
      <c r="M1404" s="1" t="s">
        <v>1497</v>
      </c>
      <c r="N1404" s="1" t="s">
        <v>3756</v>
      </c>
      <c r="O1404" s="1" t="s">
        <v>3757</v>
      </c>
      <c r="P1404" s="1">
        <v>13963335661</v>
      </c>
      <c r="Q1404" s="1" t="s">
        <v>3758</v>
      </c>
    </row>
    <row r="1405" spans="1:17">
      <c r="A1405" s="1"/>
      <c r="B1405" s="1"/>
      <c r="C1405" s="1"/>
      <c r="D1405" s="1" t="s">
        <v>5285</v>
      </c>
      <c r="E1405" s="1" t="s">
        <v>420</v>
      </c>
      <c r="F1405" s="1"/>
      <c r="G1405" s="1"/>
      <c r="H1405" s="1"/>
      <c r="I1405" s="1" t="s">
        <v>4968</v>
      </c>
      <c r="J1405" s="1"/>
      <c r="K1405" s="1"/>
      <c r="L1405" s="1"/>
      <c r="M1405" s="1"/>
      <c r="N1405" s="1"/>
      <c r="O1405" s="1"/>
      <c r="P1405" s="1"/>
      <c r="Q1405" s="1"/>
    </row>
    <row r="1406" spans="1:17">
      <c r="A1406" s="1"/>
      <c r="B1406" s="1" t="s">
        <v>3760</v>
      </c>
      <c r="C1406" s="1" t="s">
        <v>3761</v>
      </c>
      <c r="D1406" s="1" t="s">
        <v>5117</v>
      </c>
      <c r="E1406" s="1" t="s">
        <v>420</v>
      </c>
      <c r="F1406" s="1">
        <v>1</v>
      </c>
      <c r="G1406" s="1">
        <v>1.26</v>
      </c>
      <c r="H1406" s="1">
        <v>11</v>
      </c>
      <c r="I1406" s="1" t="s">
        <v>1142</v>
      </c>
      <c r="J1406" s="1" t="s">
        <v>29</v>
      </c>
      <c r="K1406" s="1" t="s">
        <v>1506</v>
      </c>
      <c r="L1406" s="1">
        <v>17098714030</v>
      </c>
      <c r="M1406" s="1" t="s">
        <v>713</v>
      </c>
      <c r="N1406" s="1" t="s">
        <v>3762</v>
      </c>
      <c r="O1406" s="1" t="s">
        <v>3763</v>
      </c>
      <c r="P1406" s="1">
        <v>15053406566</v>
      </c>
      <c r="Q1406" s="1" t="s">
        <v>3764</v>
      </c>
    </row>
    <row r="1407" spans="1:17">
      <c r="A1407" s="1"/>
      <c r="B1407" s="1"/>
      <c r="C1407" s="1"/>
      <c r="D1407" s="1" t="s">
        <v>5286</v>
      </c>
      <c r="E1407" s="1" t="s">
        <v>420</v>
      </c>
      <c r="F1407" s="1"/>
      <c r="G1407" s="1"/>
      <c r="H1407" s="1"/>
      <c r="I1407" s="1" t="s">
        <v>4968</v>
      </c>
      <c r="J1407" s="1"/>
      <c r="K1407" s="1"/>
      <c r="L1407" s="1"/>
      <c r="M1407" s="1"/>
      <c r="N1407" s="1"/>
      <c r="O1407" s="1"/>
      <c r="P1407" s="1"/>
      <c r="Q1407" s="1"/>
    </row>
    <row r="1408" spans="1:17">
      <c r="A1408" s="1"/>
      <c r="B1408" s="1"/>
      <c r="C1408" s="1"/>
      <c r="D1408" s="1" t="s">
        <v>5287</v>
      </c>
      <c r="E1408" s="1" t="s">
        <v>420</v>
      </c>
      <c r="F1408" s="1"/>
      <c r="G1408" s="1"/>
      <c r="H1408" s="1"/>
      <c r="I1408" s="1" t="s">
        <v>5111</v>
      </c>
      <c r="J1408" s="1"/>
      <c r="K1408" s="1"/>
      <c r="L1408" s="1"/>
      <c r="M1408" s="1"/>
      <c r="N1408" s="1"/>
      <c r="O1408" s="1"/>
      <c r="P1408" s="1"/>
      <c r="Q1408" s="1"/>
    </row>
    <row r="1409" spans="1:17">
      <c r="A1409" s="1"/>
      <c r="B1409" s="1"/>
      <c r="C1409" s="1"/>
      <c r="D1409" s="1" t="s">
        <v>5085</v>
      </c>
      <c r="E1409" s="1" t="s">
        <v>420</v>
      </c>
      <c r="F1409" s="1"/>
      <c r="G1409" s="1"/>
      <c r="H1409" s="1"/>
      <c r="I1409" s="1" t="s">
        <v>450</v>
      </c>
      <c r="J1409" s="1"/>
      <c r="K1409" s="1"/>
      <c r="L1409" s="1"/>
      <c r="M1409" s="1"/>
      <c r="N1409" s="1"/>
      <c r="O1409" s="1"/>
      <c r="P1409" s="1"/>
      <c r="Q1409" s="1"/>
    </row>
    <row r="1410" spans="1:17">
      <c r="A1410" s="1"/>
      <c r="B1410" s="1" t="s">
        <v>3766</v>
      </c>
      <c r="C1410" s="1" t="s">
        <v>3767</v>
      </c>
      <c r="D1410" s="1" t="s">
        <v>5288</v>
      </c>
      <c r="E1410" s="1" t="s">
        <v>1514</v>
      </c>
      <c r="F1410" s="1">
        <v>1</v>
      </c>
      <c r="G1410" s="1">
        <v>3.08</v>
      </c>
      <c r="H1410" s="1">
        <v>6</v>
      </c>
      <c r="J1410" s="1" t="s">
        <v>293</v>
      </c>
      <c r="K1410" s="1" t="s">
        <v>2634</v>
      </c>
      <c r="L1410" s="1">
        <v>15032852111</v>
      </c>
      <c r="M1410" s="1" t="s">
        <v>2635</v>
      </c>
      <c r="N1410" s="1" t="s">
        <v>2634</v>
      </c>
      <c r="O1410" s="1" t="s">
        <v>3768</v>
      </c>
      <c r="P1410" s="1">
        <v>15369777088</v>
      </c>
      <c r="Q1410" s="1" t="s">
        <v>3769</v>
      </c>
    </row>
    <row r="1411" spans="1:17">
      <c r="A1411" s="1"/>
      <c r="B1411" s="1" t="s">
        <v>3771</v>
      </c>
      <c r="C1411" s="1" t="s">
        <v>3772</v>
      </c>
      <c r="D1411" s="1" t="s">
        <v>5288</v>
      </c>
      <c r="E1411" s="1" t="s">
        <v>1514</v>
      </c>
      <c r="F1411" s="1">
        <v>1</v>
      </c>
      <c r="G1411" s="1">
        <v>3.08</v>
      </c>
      <c r="H1411" s="1">
        <v>6</v>
      </c>
      <c r="J1411" s="1" t="s">
        <v>293</v>
      </c>
      <c r="K1411" s="1" t="s">
        <v>1523</v>
      </c>
      <c r="L1411" s="1" t="s">
        <v>1524</v>
      </c>
      <c r="M1411" s="1" t="s">
        <v>1525</v>
      </c>
      <c r="N1411" s="1" t="s">
        <v>3773</v>
      </c>
      <c r="O1411" s="1" t="s">
        <v>3774</v>
      </c>
      <c r="P1411" s="1">
        <v>18232887063</v>
      </c>
      <c r="Q1411" s="1" t="s">
        <v>3775</v>
      </c>
    </row>
    <row r="1412" spans="1:17">
      <c r="A1412" s="1"/>
      <c r="B1412" s="1" t="s">
        <v>3777</v>
      </c>
      <c r="C1412" s="1" t="s">
        <v>3778</v>
      </c>
      <c r="D1412" s="1" t="s">
        <v>5289</v>
      </c>
      <c r="E1412" s="1" t="s">
        <v>1552</v>
      </c>
      <c r="F1412" s="1">
        <v>1</v>
      </c>
      <c r="G1412" s="1">
        <v>1.49</v>
      </c>
      <c r="H1412" s="1">
        <v>15</v>
      </c>
      <c r="I1412" s="1" t="s">
        <v>4995</v>
      </c>
      <c r="J1412" s="1" t="s">
        <v>40</v>
      </c>
      <c r="K1412" s="1" t="s">
        <v>1554</v>
      </c>
      <c r="L1412" s="1">
        <v>19990075328</v>
      </c>
      <c r="M1412" s="1" t="s">
        <v>1555</v>
      </c>
      <c r="N1412" s="1" t="s">
        <v>3779</v>
      </c>
      <c r="O1412" s="1" t="s">
        <v>3780</v>
      </c>
      <c r="P1412" s="1">
        <v>18604156922</v>
      </c>
      <c r="Q1412" s="1" t="s">
        <v>3781</v>
      </c>
    </row>
    <row r="1413" spans="1:17">
      <c r="A1413" s="1"/>
      <c r="B1413" s="1"/>
      <c r="C1413" s="1"/>
      <c r="D1413" s="1" t="s">
        <v>5290</v>
      </c>
      <c r="E1413" s="1" t="s">
        <v>1552</v>
      </c>
      <c r="F1413" s="1"/>
      <c r="G1413" s="1"/>
      <c r="H1413" s="1"/>
      <c r="I1413" s="1" t="s">
        <v>5055</v>
      </c>
      <c r="J1413" s="1"/>
      <c r="K1413" s="1"/>
      <c r="L1413" s="1"/>
      <c r="M1413" s="1"/>
      <c r="N1413" s="1"/>
      <c r="O1413" s="1"/>
      <c r="P1413" s="1"/>
      <c r="Q1413" s="1"/>
    </row>
    <row r="1414" spans="1:17">
      <c r="A1414" s="1"/>
      <c r="B1414" s="1" t="s">
        <v>3783</v>
      </c>
      <c r="C1414" s="1" t="s">
        <v>3784</v>
      </c>
      <c r="D1414" s="1" t="s">
        <v>5289</v>
      </c>
      <c r="E1414" s="1" t="s">
        <v>1552</v>
      </c>
      <c r="F1414" s="1">
        <v>1</v>
      </c>
      <c r="G1414" s="1">
        <v>1.49</v>
      </c>
      <c r="H1414" s="1">
        <v>15</v>
      </c>
      <c r="I1414" s="1" t="s">
        <v>4995</v>
      </c>
      <c r="J1414" s="1" t="s">
        <v>40</v>
      </c>
      <c r="K1414" s="1" t="s">
        <v>1554</v>
      </c>
      <c r="L1414" s="1">
        <v>19990075328</v>
      </c>
      <c r="M1414" s="1" t="s">
        <v>1555</v>
      </c>
      <c r="N1414" s="1" t="s">
        <v>3785</v>
      </c>
      <c r="O1414" s="1" t="s">
        <v>3786</v>
      </c>
      <c r="P1414" s="1">
        <v>13842520750</v>
      </c>
      <c r="Q1414" s="1" t="s">
        <v>3787</v>
      </c>
    </row>
    <row r="1415" spans="1:17">
      <c r="A1415" s="1"/>
      <c r="B1415" s="1"/>
      <c r="C1415" s="1"/>
      <c r="D1415" s="1" t="s">
        <v>5291</v>
      </c>
      <c r="E1415" s="1" t="s">
        <v>1552</v>
      </c>
      <c r="F1415" s="1"/>
      <c r="G1415" s="1"/>
      <c r="H1415" s="1"/>
      <c r="I1415" s="1" t="s">
        <v>5055</v>
      </c>
      <c r="J1415" s="1"/>
      <c r="K1415" s="1"/>
      <c r="L1415" s="1"/>
      <c r="M1415" s="1"/>
      <c r="N1415" s="1"/>
      <c r="O1415" s="1"/>
      <c r="P1415" s="1"/>
      <c r="Q1415" s="1"/>
    </row>
    <row r="1416" spans="1:17">
      <c r="A1416" s="1"/>
      <c r="B1416" s="1" t="s">
        <v>3789</v>
      </c>
      <c r="C1416" s="1" t="s">
        <v>3790</v>
      </c>
      <c r="D1416" s="1" t="s">
        <v>5289</v>
      </c>
      <c r="E1416" s="1" t="s">
        <v>1552</v>
      </c>
      <c r="F1416" s="1">
        <v>1</v>
      </c>
      <c r="G1416" s="1">
        <v>1.49</v>
      </c>
      <c r="H1416" s="1">
        <v>15</v>
      </c>
      <c r="I1416" s="1" t="s">
        <v>4995</v>
      </c>
      <c r="J1416" s="1" t="s">
        <v>40</v>
      </c>
      <c r="K1416" s="1" t="s">
        <v>3791</v>
      </c>
      <c r="L1416" s="1">
        <v>18541231844</v>
      </c>
      <c r="M1416" s="1" t="s">
        <v>3792</v>
      </c>
      <c r="N1416" s="1" t="s">
        <v>3793</v>
      </c>
      <c r="O1416" s="1" t="s">
        <v>3792</v>
      </c>
      <c r="P1416" s="1">
        <v>18541231844</v>
      </c>
      <c r="Q1416" s="1" t="s">
        <v>3794</v>
      </c>
    </row>
    <row r="1417" spans="1:17">
      <c r="A1417" s="1"/>
      <c r="B1417" s="1"/>
      <c r="C1417" s="1"/>
      <c r="D1417" s="1" t="s">
        <v>5291</v>
      </c>
      <c r="E1417" s="1" t="s">
        <v>1552</v>
      </c>
      <c r="F1417" s="1"/>
      <c r="G1417" s="1"/>
      <c r="H1417" s="1"/>
      <c r="I1417" s="1" t="s">
        <v>5055</v>
      </c>
      <c r="J1417" s="1"/>
      <c r="K1417" s="1"/>
      <c r="L1417" s="1"/>
      <c r="M1417" s="1"/>
      <c r="N1417" s="1"/>
      <c r="O1417" s="1"/>
      <c r="P1417" s="1"/>
      <c r="Q1417" s="1"/>
    </row>
    <row r="1418" spans="1:17">
      <c r="A1418" s="1"/>
      <c r="B1418" s="1" t="s">
        <v>3796</v>
      </c>
      <c r="C1418" s="1" t="s">
        <v>3797</v>
      </c>
      <c r="D1418" s="1" t="s">
        <v>1551</v>
      </c>
      <c r="E1418" s="1" t="s">
        <v>1552</v>
      </c>
      <c r="F1418" s="1">
        <v>1</v>
      </c>
      <c r="G1418" s="1">
        <v>1.95</v>
      </c>
      <c r="H1418" s="1">
        <v>15</v>
      </c>
      <c r="I1418" s="1" t="s">
        <v>5055</v>
      </c>
      <c r="J1418" s="1" t="s">
        <v>40</v>
      </c>
      <c r="K1418" s="1" t="s">
        <v>1535</v>
      </c>
      <c r="L1418" s="1">
        <v>13818301527</v>
      </c>
      <c r="M1418" s="1" t="s">
        <v>1536</v>
      </c>
      <c r="N1418" s="1" t="s">
        <v>3798</v>
      </c>
      <c r="O1418" s="1" t="s">
        <v>1536</v>
      </c>
      <c r="P1418" s="1">
        <v>13818301527</v>
      </c>
      <c r="Q1418" s="1" t="s">
        <v>3799</v>
      </c>
    </row>
    <row r="1419" spans="1:17">
      <c r="A1419" s="1"/>
      <c r="B1419" s="1" t="s">
        <v>3801</v>
      </c>
      <c r="C1419" s="1" t="s">
        <v>3802</v>
      </c>
      <c r="D1419" s="1" t="s">
        <v>5571</v>
      </c>
      <c r="E1419" s="1" t="s">
        <v>5572</v>
      </c>
      <c r="F1419" s="1">
        <v>1</v>
      </c>
      <c r="G1419" s="1">
        <v>1.49</v>
      </c>
      <c r="H1419" s="1">
        <v>10</v>
      </c>
      <c r="I1419" s="1" t="s">
        <v>5573</v>
      </c>
      <c r="J1419" s="1" t="s">
        <v>29</v>
      </c>
      <c r="K1419" s="1" t="s">
        <v>3806</v>
      </c>
      <c r="L1419" s="1">
        <v>18785583696</v>
      </c>
      <c r="M1419" s="1" t="s">
        <v>3807</v>
      </c>
      <c r="N1419" s="1" t="s">
        <v>3808</v>
      </c>
      <c r="O1419" s="1" t="s">
        <v>3807</v>
      </c>
      <c r="P1419" s="1">
        <v>18785583696</v>
      </c>
      <c r="Q1419" s="1" t="s">
        <v>3809</v>
      </c>
    </row>
    <row r="1420" spans="1:17">
      <c r="A1420" s="1"/>
      <c r="B1420" s="1"/>
      <c r="C1420" s="1"/>
      <c r="D1420" s="1" t="s">
        <v>5072</v>
      </c>
      <c r="E1420" s="1" t="s">
        <v>5574</v>
      </c>
      <c r="F1420" s="1"/>
      <c r="G1420" s="1"/>
      <c r="H1420" s="1"/>
      <c r="I1420" s="1" t="s">
        <v>5272</v>
      </c>
      <c r="J1420" s="1"/>
      <c r="K1420" s="1"/>
      <c r="L1420" s="1"/>
      <c r="M1420" s="1"/>
      <c r="N1420" s="1"/>
      <c r="O1420" s="1"/>
      <c r="P1420" s="1"/>
      <c r="Q1420" s="1"/>
    </row>
    <row r="1421" spans="1:17">
      <c r="A1421" s="1"/>
      <c r="B1421" s="1"/>
      <c r="C1421" s="1"/>
      <c r="D1421" s="1" t="s">
        <v>5575</v>
      </c>
      <c r="E1421" s="1" t="s">
        <v>5576</v>
      </c>
      <c r="F1421" s="1"/>
      <c r="G1421" s="1"/>
      <c r="H1421" s="1"/>
      <c r="I1421" s="1" t="s">
        <v>5577</v>
      </c>
      <c r="J1421" s="1"/>
      <c r="K1421" s="1"/>
      <c r="L1421" s="1"/>
      <c r="M1421" s="1"/>
      <c r="N1421" s="1"/>
      <c r="O1421" s="1"/>
      <c r="P1421" s="1"/>
      <c r="Q1421" s="1"/>
    </row>
    <row r="1422" spans="1:17">
      <c r="A1422" s="1"/>
      <c r="B1422" s="1"/>
      <c r="C1422" s="1"/>
      <c r="D1422" s="1" t="s">
        <v>5578</v>
      </c>
      <c r="E1422" s="1" t="s">
        <v>5579</v>
      </c>
      <c r="F1422" s="1"/>
      <c r="G1422" s="1"/>
      <c r="H1422" s="1"/>
      <c r="I1422" s="1" t="s">
        <v>4963</v>
      </c>
      <c r="J1422" s="1"/>
      <c r="K1422" s="1"/>
      <c r="L1422" s="1"/>
      <c r="M1422" s="1"/>
      <c r="N1422" s="1"/>
      <c r="O1422" s="1"/>
      <c r="P1422" s="1"/>
      <c r="Q1422" s="1"/>
    </row>
    <row r="1423" spans="1:17">
      <c r="A1423" s="1"/>
      <c r="B1423" s="1"/>
      <c r="C1423" s="1"/>
      <c r="D1423" s="1" t="s">
        <v>5580</v>
      </c>
      <c r="E1423" s="1" t="s">
        <v>5581</v>
      </c>
      <c r="F1423" s="1"/>
      <c r="G1423" s="1"/>
      <c r="H1423" s="1"/>
      <c r="I1423" s="1" t="s">
        <v>5582</v>
      </c>
      <c r="J1423" s="1"/>
      <c r="K1423" s="1"/>
      <c r="L1423" s="1"/>
      <c r="M1423" s="1"/>
      <c r="N1423" s="1"/>
      <c r="O1423" s="1"/>
      <c r="P1423" s="1"/>
      <c r="Q1423" s="1"/>
    </row>
    <row r="1424" spans="1:17">
      <c r="A1424" s="1"/>
      <c r="B1424" s="1"/>
      <c r="C1424" s="1"/>
      <c r="D1424" s="1" t="s">
        <v>5583</v>
      </c>
      <c r="E1424" s="1" t="s">
        <v>5584</v>
      </c>
      <c r="F1424" s="1"/>
      <c r="G1424" s="1"/>
      <c r="H1424" s="1"/>
      <c r="I1424" s="1" t="s">
        <v>5323</v>
      </c>
      <c r="J1424" s="1"/>
      <c r="K1424" s="1"/>
      <c r="L1424" s="1"/>
      <c r="M1424" s="1"/>
      <c r="N1424" s="1"/>
      <c r="O1424" s="1"/>
      <c r="P1424" s="1"/>
      <c r="Q1424" s="1"/>
    </row>
    <row r="1425" spans="1:17">
      <c r="A1425" s="1"/>
      <c r="B1425" s="1" t="s">
        <v>3811</v>
      </c>
      <c r="C1425" s="1" t="s">
        <v>3812</v>
      </c>
      <c r="D1425" s="1" t="s">
        <v>5296</v>
      </c>
      <c r="E1425" s="1" t="s">
        <v>50</v>
      </c>
      <c r="F1425" s="1">
        <v>1</v>
      </c>
      <c r="G1425" s="1">
        <v>0.81</v>
      </c>
      <c r="H1425" s="1">
        <v>16</v>
      </c>
      <c r="I1425" s="1" t="s">
        <v>4963</v>
      </c>
      <c r="J1425" s="1" t="s">
        <v>40</v>
      </c>
      <c r="K1425" s="1" t="s">
        <v>52</v>
      </c>
      <c r="L1425" s="1">
        <v>15862363551</v>
      </c>
      <c r="M1425" s="1" t="s">
        <v>53</v>
      </c>
      <c r="N1425" s="1" t="s">
        <v>52</v>
      </c>
      <c r="O1425" s="1" t="s">
        <v>53</v>
      </c>
      <c r="P1425" s="1">
        <v>15862366951</v>
      </c>
      <c r="Q1425" s="1" t="s">
        <v>3813</v>
      </c>
    </row>
    <row r="1426" spans="1:17">
      <c r="A1426" s="1"/>
      <c r="B1426" s="1" t="s">
        <v>3815</v>
      </c>
      <c r="C1426" s="1" t="s">
        <v>3816</v>
      </c>
      <c r="D1426" s="1" t="s">
        <v>5585</v>
      </c>
      <c r="E1426" s="1" t="s">
        <v>5586</v>
      </c>
      <c r="F1426" s="1">
        <v>1</v>
      </c>
      <c r="G1426" s="1">
        <v>2.17</v>
      </c>
      <c r="H1426" s="1">
        <v>16</v>
      </c>
      <c r="I1426" s="1" t="s">
        <v>5587</v>
      </c>
      <c r="J1426" s="1" t="s">
        <v>40</v>
      </c>
      <c r="K1426" s="1" t="s">
        <v>41</v>
      </c>
      <c r="L1426" s="1">
        <v>13963658628</v>
      </c>
      <c r="M1426" s="1" t="s">
        <v>42</v>
      </c>
      <c r="N1426" s="1" t="s">
        <v>41</v>
      </c>
      <c r="O1426" s="1" t="s">
        <v>42</v>
      </c>
      <c r="P1426" s="1">
        <v>13960058628</v>
      </c>
      <c r="Q1426" s="1" t="s">
        <v>3820</v>
      </c>
    </row>
    <row r="1427" spans="1:17">
      <c r="A1427" s="1"/>
      <c r="B1427" s="1"/>
      <c r="C1427" s="1"/>
      <c r="D1427" s="1" t="s">
        <v>5588</v>
      </c>
      <c r="E1427" s="1" t="s">
        <v>5586</v>
      </c>
      <c r="F1427" s="1"/>
      <c r="G1427" s="1"/>
      <c r="H1427" s="1"/>
      <c r="I1427" s="1" t="s">
        <v>4968</v>
      </c>
      <c r="J1427" s="1"/>
      <c r="K1427" s="1"/>
      <c r="L1427" s="1"/>
      <c r="M1427" s="1"/>
      <c r="N1427" s="1"/>
      <c r="O1427" s="1"/>
      <c r="P1427" s="1"/>
      <c r="Q1427" s="1"/>
    </row>
    <row r="1428" spans="1:17">
      <c r="A1428" s="1"/>
      <c r="B1428" s="1" t="s">
        <v>3822</v>
      </c>
      <c r="C1428" s="1" t="s">
        <v>3823</v>
      </c>
      <c r="D1428" s="1" t="s">
        <v>5589</v>
      </c>
      <c r="E1428" s="1" t="s">
        <v>625</v>
      </c>
      <c r="F1428" s="1">
        <v>1</v>
      </c>
      <c r="G1428" s="1">
        <v>1.72</v>
      </c>
      <c r="H1428" s="1">
        <v>12</v>
      </c>
      <c r="J1428" s="1" t="s">
        <v>40</v>
      </c>
      <c r="K1428" s="1" t="s">
        <v>71</v>
      </c>
      <c r="L1428" s="1">
        <v>13539989686</v>
      </c>
      <c r="M1428" s="1" t="s">
        <v>72</v>
      </c>
      <c r="N1428" s="1" t="s">
        <v>3825</v>
      </c>
      <c r="O1428" s="1" t="s">
        <v>3826</v>
      </c>
      <c r="P1428" s="1">
        <v>13760874813</v>
      </c>
      <c r="Q1428" s="1" t="s">
        <v>3827</v>
      </c>
    </row>
    <row r="1429" spans="1:17">
      <c r="A1429" s="1"/>
      <c r="B1429" s="1"/>
      <c r="C1429" s="1"/>
      <c r="D1429" s="1" t="s">
        <v>5151</v>
      </c>
      <c r="E1429" s="1" t="s">
        <v>625</v>
      </c>
      <c r="F1429" s="1"/>
      <c r="G1429" s="1"/>
      <c r="H1429" s="1"/>
      <c r="J1429" s="1"/>
      <c r="K1429" s="1"/>
      <c r="L1429" s="1"/>
      <c r="M1429" s="1"/>
      <c r="N1429" s="1"/>
      <c r="O1429" s="1"/>
      <c r="P1429" s="1"/>
      <c r="Q1429" s="1"/>
    </row>
    <row r="1430" spans="1:17">
      <c r="A1430" s="1"/>
      <c r="B1430" s="1" t="s">
        <v>3829</v>
      </c>
      <c r="C1430" s="1" t="s">
        <v>3830</v>
      </c>
      <c r="D1430" s="1" t="s">
        <v>5174</v>
      </c>
      <c r="E1430" s="1" t="s">
        <v>2413</v>
      </c>
      <c r="F1430" s="1">
        <v>1</v>
      </c>
      <c r="G1430" s="1">
        <v>0.81</v>
      </c>
      <c r="H1430" s="1">
        <v>8</v>
      </c>
      <c r="I1430" s="1" t="s">
        <v>4968</v>
      </c>
      <c r="J1430" s="1" t="s">
        <v>29</v>
      </c>
      <c r="K1430" s="1" t="s">
        <v>879</v>
      </c>
      <c r="L1430" s="1">
        <v>18330660293</v>
      </c>
      <c r="M1430" s="1" t="s">
        <v>871</v>
      </c>
      <c r="N1430" s="1" t="s">
        <v>879</v>
      </c>
      <c r="O1430" s="1" t="s">
        <v>3834</v>
      </c>
      <c r="P1430" s="1">
        <v>15830235577</v>
      </c>
      <c r="Q1430" s="1" t="s">
        <v>3835</v>
      </c>
    </row>
    <row r="1431" spans="1:17">
      <c r="A1431" s="1"/>
      <c r="B1431" s="1"/>
      <c r="C1431" s="1"/>
      <c r="D1431" s="1" t="s">
        <v>5590</v>
      </c>
      <c r="E1431" s="1" t="s">
        <v>2413</v>
      </c>
      <c r="F1431" s="1"/>
      <c r="G1431" s="1"/>
      <c r="H1431" s="1"/>
      <c r="I1431" s="1" t="s">
        <v>4970</v>
      </c>
      <c r="J1431" s="1"/>
      <c r="K1431" s="1"/>
      <c r="L1431" s="1"/>
      <c r="M1431" s="1"/>
      <c r="N1431" s="1"/>
      <c r="O1431" s="1"/>
      <c r="P1431" s="1"/>
      <c r="Q1431" s="1"/>
    </row>
    <row r="1432" spans="1:17">
      <c r="A1432" s="1"/>
      <c r="B1432" s="1"/>
      <c r="C1432" s="1"/>
      <c r="D1432" s="1" t="s">
        <v>5112</v>
      </c>
      <c r="E1432" s="1" t="s">
        <v>449</v>
      </c>
      <c r="F1432" s="1"/>
      <c r="G1432" s="1"/>
      <c r="H1432" s="1"/>
      <c r="I1432" s="1" t="s">
        <v>4972</v>
      </c>
      <c r="J1432" s="1"/>
      <c r="K1432" s="1"/>
      <c r="L1432" s="1"/>
      <c r="M1432" s="1"/>
      <c r="N1432" s="1"/>
      <c r="O1432" s="1"/>
      <c r="P1432" s="1"/>
      <c r="Q1432" s="1"/>
    </row>
    <row r="1433" spans="1:17">
      <c r="A1433" s="1"/>
      <c r="B1433" s="1" t="s">
        <v>3837</v>
      </c>
      <c r="C1433" s="1" t="s">
        <v>3838</v>
      </c>
      <c r="D1433" s="1" t="s">
        <v>5112</v>
      </c>
      <c r="E1433" s="1" t="s">
        <v>449</v>
      </c>
      <c r="F1433" s="1">
        <v>1</v>
      </c>
      <c r="G1433" s="1">
        <v>0.81</v>
      </c>
      <c r="H1433" s="1">
        <v>5</v>
      </c>
      <c r="I1433" s="1" t="s">
        <v>5591</v>
      </c>
      <c r="J1433" s="1" t="s">
        <v>29</v>
      </c>
      <c r="K1433" s="1" t="s">
        <v>3842</v>
      </c>
      <c r="L1433" s="1">
        <v>18081641236</v>
      </c>
      <c r="M1433" s="1" t="s">
        <v>3843</v>
      </c>
      <c r="N1433" s="1" t="s">
        <v>3844</v>
      </c>
      <c r="O1433" s="1" t="s">
        <v>3843</v>
      </c>
      <c r="P1433" s="1">
        <v>18081641236</v>
      </c>
      <c r="Q1433" s="1" t="s">
        <v>3845</v>
      </c>
    </row>
    <row r="1434" spans="1:17">
      <c r="A1434" s="1"/>
      <c r="B1434" s="1"/>
      <c r="C1434" s="1"/>
      <c r="D1434" s="1" t="s">
        <v>5336</v>
      </c>
      <c r="E1434" s="1" t="s">
        <v>449</v>
      </c>
      <c r="F1434" s="1"/>
      <c r="G1434" s="1"/>
      <c r="H1434" s="1"/>
      <c r="I1434" s="1" t="s">
        <v>5592</v>
      </c>
      <c r="J1434" s="1"/>
      <c r="K1434" s="1"/>
      <c r="L1434" s="1"/>
      <c r="M1434" s="1"/>
      <c r="N1434" s="1"/>
      <c r="O1434" s="1"/>
      <c r="P1434" s="1"/>
      <c r="Q1434" s="1"/>
    </row>
    <row r="1435" spans="1:17">
      <c r="A1435" s="1"/>
      <c r="B1435" s="1"/>
      <c r="C1435" s="1"/>
      <c r="D1435" s="1" t="s">
        <v>4952</v>
      </c>
      <c r="E1435" s="1" t="s">
        <v>449</v>
      </c>
      <c r="F1435" s="1"/>
      <c r="G1435" s="1"/>
      <c r="H1435" s="1"/>
      <c r="I1435" s="1" t="s">
        <v>1634</v>
      </c>
      <c r="J1435" s="1"/>
      <c r="K1435" s="1"/>
      <c r="L1435" s="1"/>
      <c r="M1435" s="1"/>
      <c r="N1435" s="1"/>
      <c r="O1435" s="1"/>
      <c r="P1435" s="1"/>
      <c r="Q1435" s="1"/>
    </row>
    <row r="1436" spans="1:17">
      <c r="A1436" s="1"/>
      <c r="B1436" s="1"/>
      <c r="C1436" s="1"/>
      <c r="D1436" s="1" t="s">
        <v>5593</v>
      </c>
      <c r="E1436" s="1" t="s">
        <v>449</v>
      </c>
      <c r="F1436" s="1"/>
      <c r="G1436" s="1"/>
      <c r="H1436" s="1"/>
      <c r="I1436" s="1" t="s">
        <v>5173</v>
      </c>
      <c r="J1436" s="1"/>
      <c r="K1436" s="1"/>
      <c r="L1436" s="1"/>
      <c r="M1436" s="1"/>
      <c r="N1436" s="1"/>
      <c r="O1436" s="1"/>
      <c r="P1436" s="1"/>
      <c r="Q1436" s="1"/>
    </row>
    <row r="1437" spans="1:17">
      <c r="A1437" s="1"/>
      <c r="B1437" s="1"/>
      <c r="C1437" s="1"/>
      <c r="D1437" s="1" t="s">
        <v>5594</v>
      </c>
      <c r="E1437" s="1" t="s">
        <v>449</v>
      </c>
      <c r="F1437" s="1"/>
      <c r="G1437" s="1"/>
      <c r="H1437" s="1"/>
      <c r="I1437" s="1" t="s">
        <v>450</v>
      </c>
      <c r="J1437" s="1"/>
      <c r="K1437" s="1"/>
      <c r="L1437" s="1"/>
      <c r="M1437" s="1"/>
      <c r="N1437" s="1"/>
      <c r="O1437" s="1"/>
      <c r="P1437" s="1"/>
      <c r="Q1437" s="1"/>
    </row>
    <row r="1438" spans="1:17">
      <c r="A1438" s="1"/>
      <c r="B1438" s="1" t="s">
        <v>3847</v>
      </c>
      <c r="C1438" s="1" t="s">
        <v>3848</v>
      </c>
      <c r="D1438" s="1" t="s">
        <v>5171</v>
      </c>
      <c r="E1438" s="1" t="s">
        <v>449</v>
      </c>
      <c r="F1438" s="1">
        <v>1</v>
      </c>
      <c r="G1438" s="1">
        <v>1.26</v>
      </c>
      <c r="H1438" s="1">
        <v>6</v>
      </c>
      <c r="I1438" s="1" t="s">
        <v>5591</v>
      </c>
      <c r="J1438" s="1" t="s">
        <v>29</v>
      </c>
      <c r="K1438" s="1" t="s">
        <v>870</v>
      </c>
      <c r="L1438" s="1">
        <v>15652037350</v>
      </c>
      <c r="M1438" s="1" t="s">
        <v>871</v>
      </c>
      <c r="N1438" s="1" t="s">
        <v>3852</v>
      </c>
      <c r="O1438" s="1" t="s">
        <v>871</v>
      </c>
      <c r="P1438" s="1">
        <v>15652037350</v>
      </c>
      <c r="Q1438" s="1" t="s">
        <v>3853</v>
      </c>
    </row>
    <row r="1439" spans="1:17">
      <c r="A1439" s="1"/>
      <c r="B1439" s="1"/>
      <c r="C1439" s="1"/>
      <c r="D1439" s="1" t="s">
        <v>5495</v>
      </c>
      <c r="E1439" s="1" t="s">
        <v>5595</v>
      </c>
      <c r="F1439" s="1"/>
      <c r="G1439" s="1"/>
      <c r="H1439" s="1"/>
      <c r="I1439" s="1" t="s">
        <v>5596</v>
      </c>
      <c r="J1439" s="1"/>
      <c r="K1439" s="1"/>
      <c r="L1439" s="1"/>
      <c r="M1439" s="1"/>
      <c r="N1439" s="1"/>
      <c r="O1439" s="1"/>
      <c r="P1439" s="1"/>
      <c r="Q1439" s="1"/>
    </row>
    <row r="1440" spans="1:17">
      <c r="A1440" s="1"/>
      <c r="B1440" s="1"/>
      <c r="C1440" s="1"/>
      <c r="D1440" s="1" t="s">
        <v>4969</v>
      </c>
      <c r="E1440" s="1" t="s">
        <v>2413</v>
      </c>
      <c r="F1440" s="1"/>
      <c r="G1440" s="1"/>
      <c r="H1440" s="1"/>
      <c r="I1440" s="1" t="s">
        <v>4970</v>
      </c>
      <c r="J1440" s="1"/>
      <c r="K1440" s="1"/>
      <c r="L1440" s="1"/>
      <c r="M1440" s="1"/>
      <c r="N1440" s="1"/>
      <c r="O1440" s="1"/>
      <c r="P1440" s="1"/>
      <c r="Q1440" s="1"/>
    </row>
    <row r="1441" spans="1:17">
      <c r="A1441" s="1"/>
      <c r="B1441" s="1" t="s">
        <v>3855</v>
      </c>
      <c r="C1441" s="1" t="s">
        <v>3856</v>
      </c>
      <c r="D1441" s="1" t="s">
        <v>5597</v>
      </c>
      <c r="E1441" s="1" t="s">
        <v>625</v>
      </c>
      <c r="F1441" s="1">
        <v>1</v>
      </c>
      <c r="G1441" s="1">
        <v>1.72</v>
      </c>
      <c r="H1441" s="1">
        <v>15</v>
      </c>
      <c r="I1441" s="1" t="s">
        <v>4985</v>
      </c>
      <c r="J1441" s="1" t="s">
        <v>40</v>
      </c>
      <c r="K1441" s="1" t="s">
        <v>113</v>
      </c>
      <c r="L1441" s="1">
        <v>15837581275</v>
      </c>
      <c r="M1441" s="1" t="s">
        <v>114</v>
      </c>
      <c r="N1441" s="1" t="s">
        <v>113</v>
      </c>
      <c r="O1441" s="1" t="s">
        <v>114</v>
      </c>
      <c r="P1441" s="1">
        <v>15837581275</v>
      </c>
      <c r="Q1441" s="1" t="s">
        <v>3859</v>
      </c>
    </row>
    <row r="1442" spans="1:17">
      <c r="A1442" s="1"/>
      <c r="B1442" s="1"/>
      <c r="C1442" s="1"/>
      <c r="D1442" s="1" t="s">
        <v>5153</v>
      </c>
      <c r="E1442" s="1" t="s">
        <v>625</v>
      </c>
      <c r="F1442" s="1"/>
      <c r="G1442" s="1"/>
      <c r="H1442" s="1"/>
      <c r="I1442" s="1" t="s">
        <v>4987</v>
      </c>
      <c r="J1442" s="1"/>
      <c r="K1442" s="1"/>
      <c r="L1442" s="1"/>
      <c r="M1442" s="1"/>
      <c r="N1442" s="1"/>
      <c r="O1442" s="1"/>
      <c r="P1442" s="1"/>
      <c r="Q1442" s="1"/>
    </row>
    <row r="1443" spans="1:17">
      <c r="A1443" s="1"/>
      <c r="B1443" s="1"/>
      <c r="C1443" s="1"/>
      <c r="D1443" s="1" t="s">
        <v>5409</v>
      </c>
      <c r="E1443" s="1" t="s">
        <v>625</v>
      </c>
      <c r="F1443" s="1"/>
      <c r="G1443" s="1"/>
      <c r="H1443" s="1"/>
      <c r="J1443" s="1"/>
      <c r="K1443" s="1"/>
      <c r="L1443" s="1"/>
      <c r="M1443" s="1"/>
      <c r="N1443" s="1"/>
      <c r="O1443" s="1"/>
      <c r="P1443" s="1"/>
      <c r="Q1443" s="1"/>
    </row>
    <row r="1444" spans="1:17">
      <c r="A1444" s="1"/>
      <c r="B1444" s="1"/>
      <c r="C1444" s="1"/>
      <c r="D1444" s="1" t="s">
        <v>5018</v>
      </c>
      <c r="E1444" s="1" t="s">
        <v>625</v>
      </c>
      <c r="F1444" s="1"/>
      <c r="G1444" s="1"/>
      <c r="H1444" s="1"/>
      <c r="J1444" s="1"/>
      <c r="K1444" s="1"/>
      <c r="L1444" s="1"/>
      <c r="M1444" s="1"/>
      <c r="N1444" s="1"/>
      <c r="O1444" s="1"/>
      <c r="P1444" s="1"/>
      <c r="Q1444" s="1"/>
    </row>
    <row r="1445" spans="1:17">
      <c r="A1445" s="1"/>
      <c r="B1445" s="1" t="s">
        <v>3861</v>
      </c>
      <c r="C1445" s="1" t="s">
        <v>3862</v>
      </c>
      <c r="D1445" s="1" t="s">
        <v>5493</v>
      </c>
      <c r="E1445" s="1" t="s">
        <v>1633</v>
      </c>
      <c r="F1445" s="1">
        <v>1</v>
      </c>
      <c r="G1445" s="1">
        <v>0.81</v>
      </c>
      <c r="H1445" s="1">
        <v>5</v>
      </c>
      <c r="I1445" s="1" t="s">
        <v>1634</v>
      </c>
      <c r="J1445" s="1" t="s">
        <v>29</v>
      </c>
      <c r="K1445" s="1" t="s">
        <v>124</v>
      </c>
      <c r="L1445" s="1">
        <v>15720962388</v>
      </c>
      <c r="M1445" s="1" t="s">
        <v>125</v>
      </c>
      <c r="N1445" s="1" t="s">
        <v>3865</v>
      </c>
      <c r="O1445" s="1" t="s">
        <v>125</v>
      </c>
      <c r="P1445" s="1">
        <v>15720962388</v>
      </c>
      <c r="Q1445" s="1" t="s">
        <v>3866</v>
      </c>
    </row>
    <row r="1446" spans="1:17">
      <c r="A1446" s="1"/>
      <c r="B1446" s="1"/>
      <c r="C1446" s="1"/>
      <c r="D1446" s="1" t="s">
        <v>5011</v>
      </c>
      <c r="E1446" s="1" t="s">
        <v>1633</v>
      </c>
      <c r="F1446" s="1"/>
      <c r="G1446" s="1"/>
      <c r="H1446" s="1"/>
      <c r="I1446" s="1" t="s">
        <v>4968</v>
      </c>
      <c r="J1446" s="1"/>
      <c r="K1446" s="1"/>
      <c r="L1446" s="1"/>
      <c r="M1446" s="1"/>
      <c r="N1446" s="1"/>
      <c r="O1446" s="1"/>
      <c r="P1446" s="1"/>
      <c r="Q1446" s="1"/>
    </row>
    <row r="1447" spans="1:17">
      <c r="A1447" s="1"/>
      <c r="B1447" s="1"/>
      <c r="C1447" s="1"/>
      <c r="D1447" s="1" t="s">
        <v>5006</v>
      </c>
      <c r="E1447" s="1" t="s">
        <v>1633</v>
      </c>
      <c r="F1447" s="1"/>
      <c r="G1447" s="1"/>
      <c r="H1447" s="1"/>
      <c r="I1447" s="1" t="s">
        <v>4968</v>
      </c>
      <c r="J1447" s="1"/>
      <c r="K1447" s="1"/>
      <c r="L1447" s="1"/>
      <c r="M1447" s="1"/>
      <c r="N1447" s="1"/>
      <c r="O1447" s="1"/>
      <c r="P1447" s="1"/>
      <c r="Q1447" s="1"/>
    </row>
    <row r="1448" spans="1:17">
      <c r="A1448" s="1"/>
      <c r="B1448" s="1"/>
      <c r="C1448" s="1"/>
      <c r="D1448" s="1" t="s">
        <v>5012</v>
      </c>
      <c r="E1448" s="1" t="s">
        <v>1633</v>
      </c>
      <c r="F1448" s="1"/>
      <c r="G1448" s="1"/>
      <c r="H1448" s="1"/>
      <c r="I1448" s="1" t="s">
        <v>5013</v>
      </c>
      <c r="J1448" s="1"/>
      <c r="K1448" s="1"/>
      <c r="L1448" s="1"/>
      <c r="M1448" s="1"/>
      <c r="N1448" s="1"/>
      <c r="O1448" s="1"/>
      <c r="P1448" s="1"/>
      <c r="Q1448" s="1"/>
    </row>
    <row r="1449" spans="1:17">
      <c r="A1449" s="1"/>
      <c r="B1449" s="1" t="s">
        <v>3868</v>
      </c>
      <c r="C1449" s="1" t="s">
        <v>3869</v>
      </c>
      <c r="D1449" s="1" t="s">
        <v>5493</v>
      </c>
      <c r="E1449" s="1" t="s">
        <v>1633</v>
      </c>
      <c r="F1449" s="1">
        <v>1</v>
      </c>
      <c r="G1449" s="1">
        <v>0.81</v>
      </c>
      <c r="H1449" s="1">
        <v>5</v>
      </c>
      <c r="I1449" s="1" t="s">
        <v>1634</v>
      </c>
      <c r="J1449" s="1" t="s">
        <v>29</v>
      </c>
      <c r="K1449" s="1" t="s">
        <v>1643</v>
      </c>
      <c r="L1449" s="1">
        <v>18163221890</v>
      </c>
      <c r="M1449" s="1" t="s">
        <v>1644</v>
      </c>
      <c r="N1449" s="1" t="s">
        <v>3870</v>
      </c>
      <c r="O1449" s="1" t="s">
        <v>1644</v>
      </c>
      <c r="P1449" s="1">
        <v>18163221890</v>
      </c>
      <c r="Q1449" s="1" t="s">
        <v>3871</v>
      </c>
    </row>
    <row r="1450" spans="1:17">
      <c r="A1450" s="1"/>
      <c r="B1450" s="1"/>
      <c r="C1450" s="1"/>
      <c r="D1450" s="1" t="s">
        <v>5011</v>
      </c>
      <c r="E1450" s="1" t="s">
        <v>1633</v>
      </c>
      <c r="F1450" s="1"/>
      <c r="G1450" s="1"/>
      <c r="H1450" s="1"/>
      <c r="I1450" s="1" t="s">
        <v>4968</v>
      </c>
      <c r="J1450" s="1"/>
      <c r="K1450" s="1"/>
      <c r="L1450" s="1"/>
      <c r="M1450" s="1"/>
      <c r="N1450" s="1"/>
      <c r="O1450" s="1"/>
      <c r="P1450" s="1"/>
      <c r="Q1450" s="1"/>
    </row>
    <row r="1451" spans="1:17">
      <c r="A1451" s="1"/>
      <c r="B1451" s="1"/>
      <c r="C1451" s="1"/>
      <c r="D1451" s="1" t="s">
        <v>5006</v>
      </c>
      <c r="E1451" s="1" t="s">
        <v>1633</v>
      </c>
      <c r="F1451" s="1"/>
      <c r="G1451" s="1"/>
      <c r="H1451" s="1"/>
      <c r="I1451" s="1" t="s">
        <v>4968</v>
      </c>
      <c r="J1451" s="1"/>
      <c r="K1451" s="1"/>
      <c r="L1451" s="1"/>
      <c r="M1451" s="1"/>
      <c r="N1451" s="1"/>
      <c r="O1451" s="1"/>
      <c r="P1451" s="1"/>
      <c r="Q1451" s="1"/>
    </row>
    <row r="1452" spans="1:17">
      <c r="A1452" s="1"/>
      <c r="B1452" s="1"/>
      <c r="C1452" s="1"/>
      <c r="D1452" s="1" t="s">
        <v>5012</v>
      </c>
      <c r="E1452" s="1" t="s">
        <v>1633</v>
      </c>
      <c r="F1452" s="1"/>
      <c r="G1452" s="1"/>
      <c r="H1452" s="1"/>
      <c r="I1452" s="1" t="s">
        <v>5013</v>
      </c>
      <c r="J1452" s="1"/>
      <c r="K1452" s="1"/>
      <c r="L1452" s="1"/>
      <c r="M1452" s="1"/>
      <c r="N1452" s="1"/>
      <c r="O1452" s="1"/>
      <c r="P1452" s="1"/>
      <c r="Q1452" s="1"/>
    </row>
    <row r="1453" spans="1:17">
      <c r="A1453" s="1"/>
      <c r="B1453" s="1" t="s">
        <v>3873</v>
      </c>
      <c r="C1453" s="1" t="s">
        <v>3874</v>
      </c>
      <c r="D1453" s="1" t="s">
        <v>5598</v>
      </c>
      <c r="E1453" s="1" t="s">
        <v>1633</v>
      </c>
      <c r="F1453" s="1">
        <v>1</v>
      </c>
      <c r="G1453" s="1">
        <v>0.81</v>
      </c>
      <c r="H1453" s="1">
        <v>6</v>
      </c>
      <c r="I1453" s="1" t="s">
        <v>1634</v>
      </c>
      <c r="J1453" s="1" t="s">
        <v>29</v>
      </c>
      <c r="K1453" s="1" t="s">
        <v>3876</v>
      </c>
      <c r="L1453" s="1">
        <v>17376776866</v>
      </c>
      <c r="M1453" s="1" t="s">
        <v>3877</v>
      </c>
      <c r="N1453" s="1" t="s">
        <v>3878</v>
      </c>
      <c r="O1453" s="1" t="s">
        <v>3877</v>
      </c>
      <c r="P1453" s="1">
        <v>17376776866</v>
      </c>
      <c r="Q1453" s="1" t="s">
        <v>3879</v>
      </c>
    </row>
    <row r="1454" spans="1:17">
      <c r="A1454" s="1"/>
      <c r="B1454" s="1" t="s">
        <v>3881</v>
      </c>
      <c r="C1454" s="1" t="s">
        <v>3882</v>
      </c>
      <c r="D1454" s="1" t="s">
        <v>5599</v>
      </c>
      <c r="E1454" s="1" t="s">
        <v>625</v>
      </c>
      <c r="F1454" s="1">
        <v>1</v>
      </c>
      <c r="G1454" s="1">
        <v>1.49</v>
      </c>
      <c r="H1454" s="1">
        <v>15</v>
      </c>
      <c r="J1454" s="1" t="s">
        <v>40</v>
      </c>
      <c r="K1454" s="1" t="s">
        <v>203</v>
      </c>
      <c r="L1454" s="1">
        <v>13672440172</v>
      </c>
      <c r="M1454" s="1" t="s">
        <v>204</v>
      </c>
      <c r="N1454" s="1" t="s">
        <v>203</v>
      </c>
      <c r="O1454" s="1" t="s">
        <v>3884</v>
      </c>
      <c r="P1454" s="1">
        <v>13602221757</v>
      </c>
      <c r="Q1454" s="1" t="s">
        <v>3885</v>
      </c>
    </row>
    <row r="1455" spans="1:17">
      <c r="A1455" s="1"/>
      <c r="B1455" s="1"/>
      <c r="C1455" s="1"/>
      <c r="D1455" s="1" t="s">
        <v>5600</v>
      </c>
      <c r="E1455" s="1" t="s">
        <v>625</v>
      </c>
      <c r="F1455" s="1"/>
      <c r="G1455" s="1"/>
      <c r="H1455" s="1"/>
      <c r="J1455" s="1"/>
      <c r="K1455" s="1"/>
      <c r="L1455" s="1"/>
      <c r="M1455" s="1"/>
      <c r="N1455" s="1"/>
      <c r="O1455" s="1"/>
      <c r="P1455" s="1"/>
      <c r="Q1455" s="1"/>
    </row>
    <row r="1456" spans="1:17">
      <c r="A1456" s="1"/>
      <c r="B1456" s="1"/>
      <c r="C1456" s="1"/>
      <c r="D1456" s="1" t="s">
        <v>5243</v>
      </c>
      <c r="E1456" s="1" t="s">
        <v>625</v>
      </c>
      <c r="F1456" s="1"/>
      <c r="G1456" s="1"/>
      <c r="H1456" s="1"/>
      <c r="J1456" s="1"/>
      <c r="K1456" s="1"/>
      <c r="L1456" s="1"/>
      <c r="M1456" s="1"/>
      <c r="N1456" s="1"/>
      <c r="O1456" s="1"/>
      <c r="P1456" s="1"/>
      <c r="Q1456" s="1"/>
    </row>
    <row r="1457" spans="1:17">
      <c r="A1457" s="1"/>
      <c r="B1457" s="1"/>
      <c r="C1457" s="1"/>
      <c r="D1457" s="1" t="s">
        <v>5188</v>
      </c>
      <c r="E1457" s="1" t="s">
        <v>625</v>
      </c>
      <c r="F1457" s="1"/>
      <c r="G1457" s="1"/>
      <c r="H1457" s="1"/>
      <c r="J1457" s="1"/>
      <c r="K1457" s="1"/>
      <c r="L1457" s="1"/>
      <c r="M1457" s="1"/>
      <c r="N1457" s="1"/>
      <c r="O1457" s="1"/>
      <c r="P1457" s="1"/>
      <c r="Q1457" s="1"/>
    </row>
    <row r="1458" spans="1:17">
      <c r="A1458" s="1"/>
      <c r="B1458" s="1" t="s">
        <v>3887</v>
      </c>
      <c r="C1458" s="1" t="s">
        <v>3888</v>
      </c>
      <c r="D1458" s="1" t="s">
        <v>5014</v>
      </c>
      <c r="E1458" s="1" t="s">
        <v>625</v>
      </c>
      <c r="F1458" s="1">
        <v>1</v>
      </c>
      <c r="G1458" s="1">
        <v>1.72</v>
      </c>
      <c r="H1458" s="1">
        <v>10</v>
      </c>
      <c r="J1458" s="1" t="s">
        <v>40</v>
      </c>
      <c r="K1458" s="1" t="s">
        <v>214</v>
      </c>
      <c r="L1458" s="1">
        <v>13928934034</v>
      </c>
      <c r="M1458" s="1" t="s">
        <v>215</v>
      </c>
      <c r="N1458" s="1" t="s">
        <v>3889</v>
      </c>
      <c r="O1458" s="1" t="s">
        <v>3890</v>
      </c>
      <c r="P1458" s="1">
        <v>13929575420</v>
      </c>
      <c r="Q1458" s="1" t="s">
        <v>3891</v>
      </c>
    </row>
    <row r="1459" spans="1:17">
      <c r="A1459" s="1"/>
      <c r="B1459" s="1"/>
      <c r="C1459" s="1"/>
      <c r="D1459" s="1" t="s">
        <v>5015</v>
      </c>
      <c r="E1459" s="1" t="s">
        <v>625</v>
      </c>
      <c r="F1459" s="1"/>
      <c r="G1459" s="1"/>
      <c r="H1459" s="1"/>
      <c r="J1459" s="1"/>
      <c r="K1459" s="1"/>
      <c r="L1459" s="1"/>
      <c r="M1459" s="1"/>
      <c r="N1459" s="1"/>
      <c r="O1459" s="1"/>
      <c r="P1459" s="1"/>
      <c r="Q1459" s="1"/>
    </row>
    <row r="1460" spans="1:17">
      <c r="A1460" s="1"/>
      <c r="B1460" s="1"/>
      <c r="C1460" s="1"/>
      <c r="D1460" s="1" t="s">
        <v>5016</v>
      </c>
      <c r="E1460" s="1" t="s">
        <v>625</v>
      </c>
      <c r="F1460" s="1"/>
      <c r="G1460" s="1"/>
      <c r="H1460" s="1"/>
      <c r="J1460" s="1"/>
      <c r="K1460" s="1"/>
      <c r="L1460" s="1"/>
      <c r="M1460" s="1"/>
      <c r="N1460" s="1"/>
      <c r="O1460" s="1"/>
      <c r="P1460" s="1"/>
      <c r="Q1460" s="1"/>
    </row>
    <row r="1461" spans="1:17">
      <c r="A1461" s="1"/>
      <c r="B1461" s="1"/>
      <c r="C1461" s="1"/>
      <c r="D1461" s="1" t="s">
        <v>5017</v>
      </c>
      <c r="E1461" s="1" t="s">
        <v>625</v>
      </c>
      <c r="F1461" s="1"/>
      <c r="G1461" s="1"/>
      <c r="H1461" s="1"/>
      <c r="J1461" s="1"/>
      <c r="K1461" s="1"/>
      <c r="L1461" s="1"/>
      <c r="M1461" s="1"/>
      <c r="N1461" s="1"/>
      <c r="O1461" s="1"/>
      <c r="P1461" s="1"/>
      <c r="Q1461" s="1"/>
    </row>
    <row r="1462" spans="1:17">
      <c r="A1462" s="1"/>
      <c r="B1462" s="1"/>
      <c r="C1462" s="1"/>
      <c r="D1462" s="1" t="s">
        <v>5018</v>
      </c>
      <c r="E1462" s="1" t="s">
        <v>625</v>
      </c>
      <c r="F1462" s="1"/>
      <c r="G1462" s="1"/>
      <c r="H1462" s="1"/>
      <c r="J1462" s="1"/>
      <c r="K1462" s="1"/>
      <c r="L1462" s="1"/>
      <c r="M1462" s="1"/>
      <c r="N1462" s="1"/>
      <c r="O1462" s="1"/>
      <c r="P1462" s="1"/>
      <c r="Q1462" s="1"/>
    </row>
    <row r="1463" spans="1:17">
      <c r="A1463" s="1"/>
      <c r="B1463" s="1"/>
      <c r="C1463" s="1"/>
      <c r="D1463" s="1" t="s">
        <v>5019</v>
      </c>
      <c r="E1463" s="1" t="s">
        <v>625</v>
      </c>
      <c r="F1463" s="1"/>
      <c r="G1463" s="1"/>
      <c r="H1463" s="1"/>
      <c r="J1463" s="1"/>
      <c r="K1463" s="1"/>
      <c r="L1463" s="1"/>
      <c r="M1463" s="1"/>
      <c r="N1463" s="1"/>
      <c r="O1463" s="1"/>
      <c r="P1463" s="1"/>
      <c r="Q1463" s="1"/>
    </row>
    <row r="1464" spans="1:17">
      <c r="A1464" s="1"/>
      <c r="B1464" s="1" t="s">
        <v>3893</v>
      </c>
      <c r="C1464" s="1" t="s">
        <v>3894</v>
      </c>
      <c r="D1464" s="1" t="s">
        <v>5027</v>
      </c>
      <c r="E1464" s="1" t="s">
        <v>625</v>
      </c>
      <c r="F1464" s="1">
        <v>1</v>
      </c>
      <c r="G1464" s="1">
        <v>1.49</v>
      </c>
      <c r="H1464" s="1">
        <v>12</v>
      </c>
      <c r="J1464" s="1" t="s">
        <v>40</v>
      </c>
      <c r="K1464" s="1" t="s">
        <v>222</v>
      </c>
      <c r="L1464" s="1">
        <v>13527705551</v>
      </c>
      <c r="M1464" s="1" t="s">
        <v>223</v>
      </c>
      <c r="N1464" s="1" t="s">
        <v>3895</v>
      </c>
      <c r="O1464" s="1" t="s">
        <v>3896</v>
      </c>
      <c r="P1464" s="1">
        <v>13044223492</v>
      </c>
      <c r="Q1464" s="1" t="s">
        <v>3897</v>
      </c>
    </row>
    <row r="1465" spans="1:17">
      <c r="A1465" s="1"/>
      <c r="B1465" s="1"/>
      <c r="C1465" s="1"/>
      <c r="D1465" s="1" t="s">
        <v>5028</v>
      </c>
      <c r="E1465" s="1" t="s">
        <v>625</v>
      </c>
      <c r="F1465" s="1"/>
      <c r="G1465" s="1"/>
      <c r="H1465" s="1"/>
      <c r="J1465" s="1"/>
      <c r="K1465" s="1"/>
      <c r="L1465" s="1"/>
      <c r="M1465" s="1"/>
      <c r="N1465" s="1"/>
      <c r="O1465" s="1"/>
      <c r="P1465" s="1"/>
      <c r="Q1465" s="1"/>
    </row>
    <row r="1466" spans="1:17">
      <c r="A1466" s="1"/>
      <c r="B1466" s="1"/>
      <c r="C1466" s="1"/>
      <c r="D1466" s="1" t="s">
        <v>5015</v>
      </c>
      <c r="E1466" s="1" t="s">
        <v>625</v>
      </c>
      <c r="F1466" s="1"/>
      <c r="G1466" s="1"/>
      <c r="H1466" s="1"/>
      <c r="J1466" s="1"/>
      <c r="K1466" s="1"/>
      <c r="L1466" s="1"/>
      <c r="M1466" s="1"/>
      <c r="N1466" s="1"/>
      <c r="O1466" s="1"/>
      <c r="P1466" s="1"/>
      <c r="Q1466" s="1"/>
    </row>
    <row r="1467" spans="1:17">
      <c r="A1467" s="1"/>
      <c r="B1467" s="1"/>
      <c r="C1467" s="1"/>
      <c r="D1467" s="1" t="s">
        <v>5029</v>
      </c>
      <c r="E1467" s="1" t="s">
        <v>625</v>
      </c>
      <c r="F1467" s="1"/>
      <c r="G1467" s="1"/>
      <c r="H1467" s="1"/>
      <c r="J1467" s="1"/>
      <c r="K1467" s="1"/>
      <c r="L1467" s="1"/>
      <c r="M1467" s="1"/>
      <c r="N1467" s="1"/>
      <c r="O1467" s="1"/>
      <c r="P1467" s="1"/>
      <c r="Q1467" s="1"/>
    </row>
    <row r="1468" spans="1:17">
      <c r="A1468" s="1"/>
      <c r="B1468" s="1"/>
      <c r="C1468" s="1"/>
      <c r="D1468" s="1" t="s">
        <v>5030</v>
      </c>
      <c r="E1468" s="1" t="s">
        <v>625</v>
      </c>
      <c r="F1468" s="1"/>
      <c r="G1468" s="1"/>
      <c r="H1468" s="1"/>
      <c r="J1468" s="1"/>
      <c r="K1468" s="1"/>
      <c r="L1468" s="1"/>
      <c r="M1468" s="1"/>
      <c r="N1468" s="1"/>
      <c r="O1468" s="1"/>
      <c r="P1468" s="1"/>
      <c r="Q1468" s="1"/>
    </row>
    <row r="1469" spans="1:17">
      <c r="A1469" s="1"/>
      <c r="B1469" s="1"/>
      <c r="C1469" s="1"/>
      <c r="D1469" s="1" t="s">
        <v>5026</v>
      </c>
      <c r="E1469" s="1" t="s">
        <v>625</v>
      </c>
      <c r="F1469" s="1"/>
      <c r="G1469" s="1"/>
      <c r="H1469" s="1"/>
      <c r="J1469" s="1"/>
      <c r="K1469" s="1"/>
      <c r="L1469" s="1"/>
      <c r="M1469" s="1"/>
      <c r="N1469" s="1"/>
      <c r="O1469" s="1"/>
      <c r="P1469" s="1"/>
      <c r="Q1469" s="1"/>
    </row>
    <row r="1470" spans="1:17">
      <c r="A1470" s="1"/>
      <c r="B1470" s="1" t="s">
        <v>3899</v>
      </c>
      <c r="C1470" s="1" t="s">
        <v>3900</v>
      </c>
      <c r="D1470" s="1" t="s">
        <v>5187</v>
      </c>
      <c r="E1470" s="1" t="s">
        <v>625</v>
      </c>
      <c r="F1470" s="1">
        <v>1</v>
      </c>
      <c r="G1470" s="1">
        <v>0.57999999999999996</v>
      </c>
      <c r="H1470" s="1">
        <v>9</v>
      </c>
      <c r="J1470" s="1" t="s">
        <v>40</v>
      </c>
      <c r="K1470" s="1" t="s">
        <v>283</v>
      </c>
      <c r="L1470" s="1">
        <v>15821041519</v>
      </c>
      <c r="M1470" s="1" t="s">
        <v>284</v>
      </c>
      <c r="N1470" s="1" t="s">
        <v>283</v>
      </c>
      <c r="O1470" s="1" t="s">
        <v>284</v>
      </c>
      <c r="P1470" s="1">
        <v>15821041519</v>
      </c>
      <c r="Q1470" s="1" t="s">
        <v>3902</v>
      </c>
    </row>
    <row r="1471" spans="1:17">
      <c r="A1471" s="1"/>
      <c r="B1471" s="1"/>
      <c r="C1471" s="1"/>
      <c r="D1471" s="1" t="s">
        <v>5601</v>
      </c>
      <c r="E1471" s="1" t="s">
        <v>625</v>
      </c>
      <c r="F1471" s="1"/>
      <c r="G1471" s="1"/>
      <c r="H1471" s="1"/>
      <c r="J1471" s="1"/>
      <c r="K1471" s="1"/>
      <c r="L1471" s="1"/>
      <c r="M1471" s="1"/>
      <c r="N1471" s="1"/>
      <c r="O1471" s="1"/>
      <c r="P1471" s="1"/>
      <c r="Q1471" s="1"/>
    </row>
    <row r="1472" spans="1:17">
      <c r="A1472" s="1"/>
      <c r="B1472" s="1"/>
      <c r="C1472" s="1"/>
      <c r="D1472" s="1" t="s">
        <v>5163</v>
      </c>
      <c r="E1472" s="1" t="s">
        <v>625</v>
      </c>
      <c r="F1472" s="1"/>
      <c r="G1472" s="1"/>
      <c r="H1472" s="1"/>
      <c r="J1472" s="1"/>
      <c r="K1472" s="1"/>
      <c r="L1472" s="1"/>
      <c r="M1472" s="1"/>
      <c r="N1472" s="1"/>
      <c r="O1472" s="1"/>
      <c r="P1472" s="1"/>
      <c r="Q1472" s="1"/>
    </row>
    <row r="1473" spans="1:17">
      <c r="A1473" s="1"/>
      <c r="B1473" s="1" t="s">
        <v>3904</v>
      </c>
      <c r="C1473" s="1" t="s">
        <v>3905</v>
      </c>
      <c r="D1473" s="1" t="s">
        <v>5043</v>
      </c>
      <c r="E1473" s="1" t="s">
        <v>465</v>
      </c>
      <c r="F1473" s="1">
        <v>1</v>
      </c>
      <c r="G1473" s="1">
        <v>1.04</v>
      </c>
      <c r="H1473" s="1">
        <v>1</v>
      </c>
      <c r="J1473" s="1" t="s">
        <v>304</v>
      </c>
      <c r="K1473" s="1" t="s">
        <v>3906</v>
      </c>
      <c r="L1473" s="1">
        <v>18113807947</v>
      </c>
      <c r="M1473" s="1" t="s">
        <v>3907</v>
      </c>
      <c r="N1473" s="1" t="s">
        <v>3908</v>
      </c>
      <c r="O1473" s="1" t="s">
        <v>3907</v>
      </c>
      <c r="P1473" s="1">
        <v>18113807947</v>
      </c>
      <c r="Q1473" s="1" t="s">
        <v>3909</v>
      </c>
    </row>
    <row r="1474" spans="1:17">
      <c r="A1474" s="1"/>
      <c r="B1474" s="1" t="s">
        <v>3911</v>
      </c>
      <c r="C1474" s="1" t="s">
        <v>3912</v>
      </c>
      <c r="D1474" s="1" t="s">
        <v>5047</v>
      </c>
      <c r="E1474" s="1" t="s">
        <v>625</v>
      </c>
      <c r="F1474" s="1">
        <v>1</v>
      </c>
      <c r="G1474" s="1">
        <v>1.26</v>
      </c>
      <c r="H1474" s="1">
        <v>9</v>
      </c>
      <c r="J1474" s="1" t="s">
        <v>40</v>
      </c>
      <c r="K1474" s="1" t="s">
        <v>2805</v>
      </c>
      <c r="L1474" s="1">
        <v>17763969869</v>
      </c>
      <c r="M1474" s="1" t="s">
        <v>2806</v>
      </c>
      <c r="N1474" s="1" t="s">
        <v>2805</v>
      </c>
      <c r="O1474" s="1" t="s">
        <v>3914</v>
      </c>
      <c r="P1474" s="1">
        <v>13930675577</v>
      </c>
      <c r="Q1474" s="1" t="s">
        <v>3915</v>
      </c>
    </row>
    <row r="1475" spans="1:17">
      <c r="A1475" s="1"/>
      <c r="B1475" s="1"/>
      <c r="C1475" s="1"/>
      <c r="D1475" s="1" t="s">
        <v>5103</v>
      </c>
      <c r="E1475" s="1" t="s">
        <v>625</v>
      </c>
      <c r="F1475" s="1"/>
      <c r="G1475" s="1"/>
      <c r="H1475" s="1"/>
      <c r="J1475" s="1"/>
      <c r="K1475" s="1"/>
      <c r="L1475" s="1"/>
      <c r="M1475" s="1"/>
      <c r="N1475" s="1"/>
      <c r="O1475" s="1"/>
      <c r="P1475" s="1"/>
      <c r="Q1475" s="1"/>
    </row>
    <row r="1476" spans="1:17">
      <c r="A1476" s="1"/>
      <c r="B1476" s="1"/>
      <c r="C1476" s="1"/>
      <c r="D1476" s="1" t="s">
        <v>5072</v>
      </c>
      <c r="E1476" s="1" t="s">
        <v>625</v>
      </c>
      <c r="F1476" s="1"/>
      <c r="G1476" s="1"/>
      <c r="H1476" s="1"/>
      <c r="J1476" s="1"/>
      <c r="K1476" s="1"/>
      <c r="L1476" s="1"/>
      <c r="M1476" s="1"/>
      <c r="N1476" s="1"/>
      <c r="O1476" s="1"/>
      <c r="P1476" s="1"/>
      <c r="Q1476" s="1"/>
    </row>
    <row r="1477" spans="1:17">
      <c r="A1477" s="1"/>
      <c r="B1477" s="1"/>
      <c r="C1477" s="1"/>
      <c r="D1477" s="1" t="s">
        <v>5449</v>
      </c>
      <c r="E1477" s="1" t="s">
        <v>625</v>
      </c>
      <c r="F1477" s="1"/>
      <c r="G1477" s="1"/>
      <c r="H1477" s="1"/>
      <c r="J1477" s="1"/>
      <c r="K1477" s="1"/>
      <c r="L1477" s="1"/>
      <c r="M1477" s="1"/>
      <c r="N1477" s="1"/>
      <c r="O1477" s="1"/>
      <c r="P1477" s="1"/>
      <c r="Q1477" s="1"/>
    </row>
    <row r="1478" spans="1:17">
      <c r="A1478" s="1"/>
      <c r="B1478" s="1" t="s">
        <v>3917</v>
      </c>
      <c r="C1478" s="1" t="s">
        <v>3918</v>
      </c>
      <c r="D1478" s="1" t="s">
        <v>5602</v>
      </c>
      <c r="E1478" s="1" t="s">
        <v>302</v>
      </c>
      <c r="F1478" s="1">
        <v>1</v>
      </c>
      <c r="G1478" s="1">
        <v>1.04</v>
      </c>
      <c r="H1478" s="1">
        <v>1</v>
      </c>
      <c r="I1478" s="1" t="s">
        <v>3920</v>
      </c>
      <c r="J1478" s="1" t="s">
        <v>304</v>
      </c>
      <c r="K1478" s="1" t="s">
        <v>3921</v>
      </c>
      <c r="L1478" s="1">
        <v>13995373111</v>
      </c>
      <c r="M1478" s="1" t="s">
        <v>3922</v>
      </c>
      <c r="N1478" s="1" t="s">
        <v>3921</v>
      </c>
      <c r="O1478" s="1" t="s">
        <v>3922</v>
      </c>
      <c r="P1478" s="1">
        <v>13995373111</v>
      </c>
      <c r="Q1478" s="1" t="s">
        <v>3923</v>
      </c>
    </row>
    <row r="1479" spans="1:17">
      <c r="A1479" s="1"/>
      <c r="B1479" s="1" t="s">
        <v>3925</v>
      </c>
      <c r="C1479" s="1" t="s">
        <v>3926</v>
      </c>
      <c r="D1479" s="1" t="s">
        <v>5044</v>
      </c>
      <c r="E1479" s="1" t="s">
        <v>625</v>
      </c>
      <c r="F1479" s="1">
        <v>1</v>
      </c>
      <c r="G1479" s="1">
        <v>1.04</v>
      </c>
      <c r="H1479" s="1">
        <v>5</v>
      </c>
      <c r="J1479" s="1" t="s">
        <v>40</v>
      </c>
      <c r="K1479" s="1" t="s">
        <v>2822</v>
      </c>
      <c r="L1479" s="1">
        <v>13902459079</v>
      </c>
      <c r="M1479" s="1" t="s">
        <v>2823</v>
      </c>
      <c r="N1479" s="1" t="s">
        <v>3928</v>
      </c>
      <c r="O1479" s="1" t="s">
        <v>2823</v>
      </c>
      <c r="P1479" s="1">
        <v>13902459079</v>
      </c>
      <c r="Q1479" s="1" t="s">
        <v>3929</v>
      </c>
    </row>
    <row r="1480" spans="1:17">
      <c r="A1480" s="1"/>
      <c r="B1480" s="1"/>
      <c r="C1480" s="1"/>
      <c r="D1480" s="1" t="s">
        <v>5152</v>
      </c>
      <c r="E1480" s="1" t="s">
        <v>625</v>
      </c>
      <c r="F1480" s="1"/>
      <c r="G1480" s="1"/>
      <c r="H1480" s="1"/>
      <c r="J1480" s="1"/>
      <c r="K1480" s="1"/>
      <c r="L1480" s="1"/>
      <c r="M1480" s="1"/>
      <c r="N1480" s="1"/>
      <c r="O1480" s="1"/>
      <c r="P1480" s="1"/>
      <c r="Q1480" s="1"/>
    </row>
    <row r="1481" spans="1:17">
      <c r="A1481" s="1"/>
      <c r="B1481" s="1"/>
      <c r="C1481" s="1"/>
      <c r="D1481" s="1" t="s">
        <v>5130</v>
      </c>
      <c r="E1481" s="1" t="s">
        <v>625</v>
      </c>
      <c r="F1481" s="1"/>
      <c r="G1481" s="1"/>
      <c r="H1481" s="1"/>
      <c r="J1481" s="1"/>
      <c r="K1481" s="1"/>
      <c r="L1481" s="1"/>
      <c r="M1481" s="1"/>
      <c r="N1481" s="1"/>
      <c r="O1481" s="1"/>
      <c r="P1481" s="1"/>
      <c r="Q1481" s="1"/>
    </row>
    <row r="1482" spans="1:17">
      <c r="A1482" s="1"/>
      <c r="B1482" s="1"/>
      <c r="C1482" s="1"/>
      <c r="D1482" s="1" t="s">
        <v>5017</v>
      </c>
      <c r="E1482" s="1" t="s">
        <v>625</v>
      </c>
      <c r="F1482" s="1"/>
      <c r="G1482" s="1"/>
      <c r="H1482" s="1"/>
      <c r="J1482" s="1"/>
      <c r="K1482" s="1"/>
      <c r="L1482" s="1"/>
      <c r="M1482" s="1"/>
      <c r="N1482" s="1"/>
      <c r="O1482" s="1"/>
      <c r="P1482" s="1"/>
      <c r="Q1482" s="1"/>
    </row>
    <row r="1483" spans="1:17">
      <c r="A1483" s="1"/>
      <c r="B1483" s="1"/>
      <c r="C1483" s="1"/>
      <c r="D1483" s="1" t="s">
        <v>5096</v>
      </c>
      <c r="E1483" s="1" t="s">
        <v>625</v>
      </c>
      <c r="F1483" s="1"/>
      <c r="G1483" s="1"/>
      <c r="H1483" s="1"/>
      <c r="J1483" s="1"/>
      <c r="K1483" s="1"/>
      <c r="L1483" s="1"/>
      <c r="M1483" s="1"/>
      <c r="N1483" s="1"/>
      <c r="O1483" s="1"/>
      <c r="P1483" s="1"/>
      <c r="Q1483" s="1"/>
    </row>
    <row r="1484" spans="1:17">
      <c r="A1484" s="1"/>
      <c r="B1484" s="1" t="s">
        <v>3931</v>
      </c>
      <c r="C1484" s="1" t="s">
        <v>3932</v>
      </c>
      <c r="D1484" s="1" t="s">
        <v>5018</v>
      </c>
      <c r="E1484" s="1" t="s">
        <v>625</v>
      </c>
      <c r="F1484" s="1">
        <v>1</v>
      </c>
      <c r="G1484" s="1">
        <v>1.26</v>
      </c>
      <c r="H1484" s="1">
        <v>5</v>
      </c>
      <c r="I1484" s="1" t="s">
        <v>5101</v>
      </c>
      <c r="J1484" s="1" t="s">
        <v>40</v>
      </c>
      <c r="K1484" s="1" t="s">
        <v>832</v>
      </c>
      <c r="L1484" s="1">
        <v>13957852776</v>
      </c>
      <c r="M1484" s="1" t="s">
        <v>833</v>
      </c>
      <c r="N1484" s="1" t="s">
        <v>3935</v>
      </c>
      <c r="O1484" s="1" t="s">
        <v>3936</v>
      </c>
      <c r="P1484" s="1">
        <v>13588300106</v>
      </c>
      <c r="Q1484" s="1" t="s">
        <v>3937</v>
      </c>
    </row>
    <row r="1485" spans="1:17">
      <c r="A1485" s="1"/>
      <c r="B1485" s="1"/>
      <c r="C1485" s="1"/>
      <c r="D1485" s="1" t="s">
        <v>5014</v>
      </c>
      <c r="E1485" s="1" t="s">
        <v>625</v>
      </c>
      <c r="F1485" s="1"/>
      <c r="G1485" s="1"/>
      <c r="H1485" s="1"/>
      <c r="I1485" s="1" t="s">
        <v>5048</v>
      </c>
      <c r="J1485" s="1"/>
      <c r="K1485" s="1"/>
      <c r="L1485" s="1"/>
      <c r="M1485" s="1"/>
      <c r="N1485" s="1"/>
      <c r="O1485" s="1"/>
      <c r="P1485" s="1"/>
      <c r="Q1485" s="1"/>
    </row>
    <row r="1486" spans="1:17">
      <c r="A1486" s="1"/>
      <c r="B1486" s="1"/>
      <c r="C1486" s="1"/>
      <c r="D1486" s="1" t="s">
        <v>5093</v>
      </c>
      <c r="E1486" s="1" t="s">
        <v>625</v>
      </c>
      <c r="F1486" s="1"/>
      <c r="G1486" s="1"/>
      <c r="H1486" s="1"/>
      <c r="J1486" s="1"/>
      <c r="K1486" s="1"/>
      <c r="L1486" s="1"/>
      <c r="M1486" s="1"/>
      <c r="N1486" s="1"/>
      <c r="O1486" s="1"/>
      <c r="P1486" s="1"/>
      <c r="Q1486" s="1"/>
    </row>
    <row r="1487" spans="1:17">
      <c r="A1487" s="1"/>
      <c r="B1487" s="1" t="s">
        <v>3939</v>
      </c>
      <c r="C1487" s="1" t="s">
        <v>3940</v>
      </c>
      <c r="D1487" s="1" t="s">
        <v>5026</v>
      </c>
      <c r="E1487" s="1" t="s">
        <v>625</v>
      </c>
      <c r="F1487" s="1">
        <v>1</v>
      </c>
      <c r="G1487" s="1">
        <v>1.04</v>
      </c>
      <c r="H1487" s="1">
        <v>4</v>
      </c>
      <c r="I1487" s="1" t="s">
        <v>5101</v>
      </c>
      <c r="J1487" s="1" t="s">
        <v>40</v>
      </c>
      <c r="K1487" s="1" t="s">
        <v>832</v>
      </c>
      <c r="L1487" s="1">
        <v>13957852776</v>
      </c>
      <c r="M1487" s="1" t="s">
        <v>833</v>
      </c>
      <c r="N1487" s="1" t="s">
        <v>832</v>
      </c>
      <c r="O1487" s="1" t="s">
        <v>3942</v>
      </c>
      <c r="P1487" s="1">
        <v>13056818698</v>
      </c>
      <c r="Q1487" s="1" t="s">
        <v>3943</v>
      </c>
    </row>
    <row r="1488" spans="1:17">
      <c r="A1488" s="1"/>
      <c r="B1488" s="1"/>
      <c r="C1488" s="1"/>
      <c r="D1488" s="1" t="s">
        <v>5603</v>
      </c>
      <c r="E1488" s="1" t="s">
        <v>625</v>
      </c>
      <c r="F1488" s="1"/>
      <c r="G1488" s="1"/>
      <c r="H1488" s="1"/>
      <c r="I1488" s="1" t="s">
        <v>4987</v>
      </c>
      <c r="J1488" s="1"/>
      <c r="K1488" s="1"/>
      <c r="L1488" s="1"/>
      <c r="M1488" s="1"/>
      <c r="N1488" s="1"/>
      <c r="O1488" s="1"/>
      <c r="P1488" s="1"/>
      <c r="Q1488" s="1"/>
    </row>
    <row r="1489" spans="1:17">
      <c r="A1489" s="1"/>
      <c r="B1489" s="1"/>
      <c r="C1489" s="1"/>
      <c r="D1489" s="1" t="s">
        <v>5014</v>
      </c>
      <c r="E1489" s="1" t="s">
        <v>625</v>
      </c>
      <c r="F1489" s="1"/>
      <c r="G1489" s="1"/>
      <c r="H1489" s="1"/>
      <c r="I1489" s="1" t="s">
        <v>5048</v>
      </c>
      <c r="J1489" s="1"/>
      <c r="K1489" s="1"/>
      <c r="L1489" s="1"/>
      <c r="M1489" s="1"/>
      <c r="N1489" s="1"/>
      <c r="O1489" s="1"/>
      <c r="P1489" s="1"/>
      <c r="Q1489" s="1"/>
    </row>
    <row r="1490" spans="1:17">
      <c r="A1490" s="1"/>
      <c r="B1490" s="1" t="s">
        <v>3945</v>
      </c>
      <c r="C1490" s="1" t="s">
        <v>3946</v>
      </c>
      <c r="D1490" s="1" t="s">
        <v>4952</v>
      </c>
      <c r="E1490" s="1" t="s">
        <v>2413</v>
      </c>
      <c r="F1490" s="1">
        <v>1</v>
      </c>
      <c r="G1490" s="1">
        <v>1.26</v>
      </c>
      <c r="H1490" s="1">
        <v>6</v>
      </c>
      <c r="I1490" s="1" t="s">
        <v>450</v>
      </c>
      <c r="J1490" s="1" t="s">
        <v>29</v>
      </c>
      <c r="K1490" s="1" t="s">
        <v>3950</v>
      </c>
      <c r="L1490" s="1">
        <v>13600323432</v>
      </c>
      <c r="M1490" s="1" t="s">
        <v>3951</v>
      </c>
      <c r="N1490" s="1" t="s">
        <v>3950</v>
      </c>
      <c r="O1490" s="1" t="s">
        <v>3951</v>
      </c>
      <c r="P1490" s="1">
        <v>13600323432</v>
      </c>
      <c r="Q1490" s="1" t="s">
        <v>3952</v>
      </c>
    </row>
    <row r="1491" spans="1:17">
      <c r="A1491" s="1"/>
      <c r="B1491" s="1"/>
      <c r="C1491" s="1"/>
      <c r="D1491" s="1" t="s">
        <v>5336</v>
      </c>
      <c r="E1491" s="1" t="s">
        <v>2413</v>
      </c>
      <c r="F1491" s="1"/>
      <c r="G1491" s="1"/>
      <c r="H1491" s="1"/>
      <c r="I1491" s="1" t="s">
        <v>1634</v>
      </c>
      <c r="J1491" s="1"/>
      <c r="K1491" s="1"/>
      <c r="L1491" s="1"/>
      <c r="M1491" s="1"/>
      <c r="N1491" s="1"/>
      <c r="O1491" s="1"/>
      <c r="P1491" s="1"/>
      <c r="Q1491" s="1"/>
    </row>
    <row r="1492" spans="1:17">
      <c r="A1492" s="1"/>
      <c r="B1492" s="1"/>
      <c r="C1492" s="1"/>
      <c r="D1492" s="1" t="s">
        <v>5171</v>
      </c>
      <c r="E1492" s="1" t="s">
        <v>5604</v>
      </c>
      <c r="F1492" s="1"/>
      <c r="G1492" s="1"/>
      <c r="H1492" s="1"/>
      <c r="I1492" s="1" t="s">
        <v>1142</v>
      </c>
      <c r="J1492" s="1"/>
      <c r="K1492" s="1"/>
      <c r="L1492" s="1"/>
      <c r="M1492" s="1"/>
      <c r="N1492" s="1"/>
      <c r="O1492" s="1"/>
      <c r="P1492" s="1"/>
      <c r="Q1492" s="1"/>
    </row>
    <row r="1493" spans="1:17">
      <c r="A1493" s="1"/>
      <c r="B1493" s="1"/>
      <c r="C1493" s="1"/>
      <c r="D1493" s="1" t="s">
        <v>5066</v>
      </c>
      <c r="E1493" s="1" t="s">
        <v>5067</v>
      </c>
      <c r="F1493" s="1"/>
      <c r="G1493" s="1"/>
      <c r="H1493" s="1"/>
      <c r="I1493" s="1" t="s">
        <v>5068</v>
      </c>
      <c r="J1493" s="1"/>
      <c r="K1493" s="1"/>
      <c r="L1493" s="1"/>
      <c r="M1493" s="1"/>
      <c r="N1493" s="1"/>
      <c r="O1493" s="1"/>
      <c r="P1493" s="1"/>
      <c r="Q1493" s="1"/>
    </row>
    <row r="1494" spans="1:17">
      <c r="A1494" s="1"/>
      <c r="B1494" s="1" t="s">
        <v>3954</v>
      </c>
      <c r="C1494" s="1" t="s">
        <v>3955</v>
      </c>
      <c r="D1494" s="1" t="s">
        <v>5447</v>
      </c>
      <c r="E1494" s="1" t="s">
        <v>625</v>
      </c>
      <c r="F1494" s="1">
        <v>1</v>
      </c>
      <c r="G1494" s="1">
        <v>2.17</v>
      </c>
      <c r="H1494" s="1">
        <v>12</v>
      </c>
      <c r="J1494" s="1" t="s">
        <v>40</v>
      </c>
      <c r="K1494" s="1" t="s">
        <v>392</v>
      </c>
      <c r="L1494" s="1">
        <v>18918016978</v>
      </c>
      <c r="M1494" s="1" t="s">
        <v>393</v>
      </c>
      <c r="N1494" s="1" t="s">
        <v>3957</v>
      </c>
      <c r="O1494" s="1" t="s">
        <v>393</v>
      </c>
      <c r="P1494" s="1">
        <v>18918016978</v>
      </c>
      <c r="Q1494" s="1" t="s">
        <v>3958</v>
      </c>
    </row>
    <row r="1495" spans="1:17">
      <c r="A1495" s="1"/>
      <c r="B1495" s="1"/>
      <c r="C1495" s="1"/>
      <c r="D1495" s="1" t="s">
        <v>5018</v>
      </c>
      <c r="E1495" s="1" t="s">
        <v>625</v>
      </c>
      <c r="F1495" s="1"/>
      <c r="G1495" s="1"/>
      <c r="H1495" s="1"/>
      <c r="J1495" s="1"/>
      <c r="K1495" s="1"/>
      <c r="L1495" s="1"/>
      <c r="M1495" s="1"/>
      <c r="N1495" s="1"/>
      <c r="O1495" s="1"/>
      <c r="P1495" s="1"/>
      <c r="Q1495" s="1"/>
    </row>
    <row r="1496" spans="1:17">
      <c r="A1496" s="1"/>
      <c r="B1496" s="1"/>
      <c r="C1496" s="1"/>
      <c r="D1496" s="1" t="s">
        <v>5071</v>
      </c>
      <c r="E1496" s="1" t="s">
        <v>625</v>
      </c>
      <c r="F1496" s="1"/>
      <c r="G1496" s="1"/>
      <c r="H1496" s="1"/>
      <c r="J1496" s="1"/>
      <c r="K1496" s="1"/>
      <c r="L1496" s="1"/>
      <c r="M1496" s="1"/>
      <c r="N1496" s="1"/>
      <c r="O1496" s="1"/>
      <c r="P1496" s="1"/>
      <c r="Q1496" s="1"/>
    </row>
    <row r="1497" spans="1:17">
      <c r="A1497" s="1"/>
      <c r="B1497" s="1"/>
      <c r="C1497" s="1"/>
      <c r="D1497" s="1" t="s">
        <v>5070</v>
      </c>
      <c r="E1497" s="1" t="s">
        <v>625</v>
      </c>
      <c r="F1497" s="1"/>
      <c r="G1497" s="1"/>
      <c r="H1497" s="1"/>
      <c r="J1497" s="1"/>
      <c r="K1497" s="1"/>
      <c r="L1497" s="1"/>
      <c r="M1497" s="1"/>
      <c r="N1497" s="1"/>
      <c r="O1497" s="1"/>
      <c r="P1497" s="1"/>
      <c r="Q1497" s="1"/>
    </row>
    <row r="1498" spans="1:17">
      <c r="A1498" s="1"/>
      <c r="B1498" s="1"/>
      <c r="C1498" s="1"/>
      <c r="D1498" s="1" t="s">
        <v>5409</v>
      </c>
      <c r="E1498" s="1" t="s">
        <v>625</v>
      </c>
      <c r="F1498" s="1"/>
      <c r="G1498" s="1"/>
      <c r="H1498" s="1"/>
      <c r="J1498" s="1"/>
      <c r="K1498" s="1"/>
      <c r="L1498" s="1"/>
      <c r="M1498" s="1"/>
      <c r="N1498" s="1"/>
      <c r="O1498" s="1"/>
      <c r="P1498" s="1"/>
      <c r="Q1498" s="1"/>
    </row>
    <row r="1499" spans="1:17">
      <c r="A1499" s="1"/>
      <c r="B1499" s="1"/>
      <c r="C1499" s="1"/>
      <c r="D1499" s="1" t="s">
        <v>5605</v>
      </c>
      <c r="E1499" s="1" t="s">
        <v>625</v>
      </c>
      <c r="F1499" s="1"/>
      <c r="G1499" s="1"/>
      <c r="H1499" s="1"/>
      <c r="J1499" s="1"/>
      <c r="K1499" s="1"/>
      <c r="L1499" s="1"/>
      <c r="M1499" s="1"/>
      <c r="N1499" s="1"/>
      <c r="O1499" s="1"/>
      <c r="P1499" s="1"/>
      <c r="Q1499" s="1"/>
    </row>
    <row r="1500" spans="1:17">
      <c r="A1500" s="1"/>
      <c r="B1500" s="1" t="s">
        <v>3960</v>
      </c>
      <c r="C1500" s="1" t="s">
        <v>3961</v>
      </c>
      <c r="D1500" s="1" t="s">
        <v>5606</v>
      </c>
      <c r="E1500" s="1" t="s">
        <v>3963</v>
      </c>
      <c r="F1500" s="1">
        <v>1</v>
      </c>
      <c r="G1500" s="1">
        <v>2.63</v>
      </c>
      <c r="H1500" s="1"/>
      <c r="I1500" s="1" t="s">
        <v>3964</v>
      </c>
      <c r="J1500" s="1" t="s">
        <v>40</v>
      </c>
      <c r="K1500" s="1" t="s">
        <v>1729</v>
      </c>
      <c r="L1500" s="1">
        <v>13556052647</v>
      </c>
      <c r="M1500" s="1" t="s">
        <v>1730</v>
      </c>
      <c r="N1500" s="1" t="s">
        <v>3965</v>
      </c>
      <c r="O1500" s="1" t="s">
        <v>3966</v>
      </c>
      <c r="P1500" s="1">
        <v>18620738977</v>
      </c>
      <c r="Q1500" s="1" t="s">
        <v>3967</v>
      </c>
    </row>
    <row r="1501" spans="1:17">
      <c r="A1501" s="1"/>
      <c r="B1501" s="1" t="s">
        <v>3969</v>
      </c>
      <c r="C1501" s="1" t="s">
        <v>3970</v>
      </c>
      <c r="D1501" s="1" t="s">
        <v>5044</v>
      </c>
      <c r="E1501" s="1" t="s">
        <v>625</v>
      </c>
      <c r="F1501" s="1">
        <v>1</v>
      </c>
      <c r="G1501" s="1">
        <v>1.49</v>
      </c>
      <c r="H1501" s="1">
        <v>11</v>
      </c>
      <c r="J1501" s="1" t="s">
        <v>40</v>
      </c>
      <c r="K1501" s="1" t="s">
        <v>1754</v>
      </c>
      <c r="L1501" s="1">
        <v>13003387219</v>
      </c>
      <c r="M1501" s="1" t="s">
        <v>1755</v>
      </c>
      <c r="N1501" s="1" t="s">
        <v>3971</v>
      </c>
      <c r="O1501" s="1" t="s">
        <v>1755</v>
      </c>
      <c r="P1501" s="1">
        <v>13003387219</v>
      </c>
      <c r="Q1501" s="1" t="s">
        <v>3972</v>
      </c>
    </row>
    <row r="1502" spans="1:17">
      <c r="A1502" s="1"/>
      <c r="B1502" s="1"/>
      <c r="C1502" s="1"/>
      <c r="D1502" s="1" t="s">
        <v>5072</v>
      </c>
      <c r="E1502" s="1" t="s">
        <v>625</v>
      </c>
      <c r="F1502" s="1"/>
      <c r="G1502" s="1"/>
      <c r="H1502" s="1"/>
      <c r="J1502" s="1"/>
      <c r="K1502" s="1"/>
      <c r="L1502" s="1"/>
      <c r="M1502" s="1"/>
      <c r="N1502" s="1"/>
      <c r="O1502" s="1"/>
      <c r="P1502" s="1"/>
      <c r="Q1502" s="1"/>
    </row>
    <row r="1503" spans="1:17">
      <c r="A1503" s="1"/>
      <c r="B1503" s="1"/>
      <c r="C1503" s="1"/>
      <c r="D1503" s="1" t="s">
        <v>5113</v>
      </c>
      <c r="E1503" s="1" t="s">
        <v>625</v>
      </c>
      <c r="F1503" s="1"/>
      <c r="G1503" s="1"/>
      <c r="H1503" s="1"/>
      <c r="J1503" s="1"/>
      <c r="K1503" s="1"/>
      <c r="L1503" s="1"/>
      <c r="M1503" s="1"/>
      <c r="N1503" s="1"/>
      <c r="O1503" s="1"/>
      <c r="P1503" s="1"/>
      <c r="Q1503" s="1"/>
    </row>
    <row r="1504" spans="1:17">
      <c r="A1504" s="1"/>
      <c r="B1504" s="1"/>
      <c r="C1504" s="1"/>
      <c r="D1504" s="1" t="s">
        <v>5029</v>
      </c>
      <c r="E1504" s="1" t="s">
        <v>625</v>
      </c>
      <c r="F1504" s="1"/>
      <c r="G1504" s="1"/>
      <c r="H1504" s="1"/>
      <c r="J1504" s="1"/>
      <c r="K1504" s="1"/>
      <c r="L1504" s="1"/>
      <c r="M1504" s="1"/>
      <c r="N1504" s="1"/>
      <c r="O1504" s="1"/>
      <c r="P1504" s="1"/>
      <c r="Q1504" s="1"/>
    </row>
    <row r="1505" spans="1:17">
      <c r="A1505" s="1"/>
      <c r="B1505" s="1"/>
      <c r="C1505" s="1"/>
      <c r="D1505" s="1" t="s">
        <v>5452</v>
      </c>
      <c r="E1505" s="1" t="s">
        <v>625</v>
      </c>
      <c r="F1505" s="1"/>
      <c r="G1505" s="1"/>
      <c r="H1505" s="1"/>
      <c r="J1505" s="1"/>
      <c r="K1505" s="1"/>
      <c r="L1505" s="1"/>
      <c r="M1505" s="1"/>
      <c r="N1505" s="1"/>
      <c r="O1505" s="1"/>
      <c r="P1505" s="1"/>
      <c r="Q1505" s="1"/>
    </row>
    <row r="1506" spans="1:17">
      <c r="A1506" s="1"/>
      <c r="B1506" s="1"/>
      <c r="C1506" s="1"/>
      <c r="D1506" s="1" t="s">
        <v>5113</v>
      </c>
      <c r="E1506" s="1" t="s">
        <v>625</v>
      </c>
      <c r="F1506" s="1"/>
      <c r="G1506" s="1"/>
      <c r="H1506" s="1"/>
      <c r="J1506" s="1"/>
      <c r="K1506" s="1"/>
      <c r="L1506" s="1"/>
      <c r="M1506" s="1"/>
      <c r="N1506" s="1"/>
      <c r="O1506" s="1"/>
      <c r="P1506" s="1"/>
      <c r="Q1506" s="1"/>
    </row>
    <row r="1507" spans="1:17">
      <c r="A1507" s="1"/>
      <c r="B1507" s="1" t="s">
        <v>3974</v>
      </c>
      <c r="C1507" s="1" t="s">
        <v>3975</v>
      </c>
      <c r="D1507" s="1" t="s">
        <v>5095</v>
      </c>
      <c r="E1507" s="1" t="s">
        <v>420</v>
      </c>
      <c r="F1507" s="1">
        <v>1</v>
      </c>
      <c r="G1507" s="1">
        <v>1.26</v>
      </c>
      <c r="H1507" s="1">
        <v>9</v>
      </c>
      <c r="J1507" s="1" t="s">
        <v>29</v>
      </c>
      <c r="K1507" s="1" t="s">
        <v>1773</v>
      </c>
      <c r="L1507" s="1">
        <v>13916274801</v>
      </c>
      <c r="M1507" s="1" t="s">
        <v>1774</v>
      </c>
      <c r="N1507" s="1" t="s">
        <v>3977</v>
      </c>
      <c r="O1507" s="1" t="s">
        <v>1774</v>
      </c>
      <c r="P1507" s="1">
        <v>13916274801</v>
      </c>
      <c r="Q1507" s="1" t="s">
        <v>3978</v>
      </c>
    </row>
    <row r="1508" spans="1:17">
      <c r="A1508" s="1"/>
      <c r="B1508" s="1"/>
      <c r="C1508" s="1"/>
      <c r="D1508" s="1" t="s">
        <v>5332</v>
      </c>
      <c r="E1508" s="1" t="s">
        <v>420</v>
      </c>
      <c r="F1508" s="1"/>
      <c r="G1508" s="1"/>
      <c r="H1508" s="1"/>
      <c r="J1508" s="1"/>
      <c r="K1508" s="1"/>
      <c r="L1508" s="1"/>
      <c r="M1508" s="1"/>
      <c r="N1508" s="1"/>
      <c r="O1508" s="1"/>
      <c r="P1508" s="1"/>
      <c r="Q1508" s="1"/>
    </row>
    <row r="1509" spans="1:17">
      <c r="A1509" s="1"/>
      <c r="B1509" s="1"/>
      <c r="C1509" s="1"/>
      <c r="D1509" s="1" t="s">
        <v>5355</v>
      </c>
      <c r="E1509" s="1" t="s">
        <v>420</v>
      </c>
      <c r="F1509" s="1"/>
      <c r="G1509" s="1"/>
      <c r="H1509" s="1"/>
      <c r="J1509" s="1"/>
      <c r="K1509" s="1"/>
      <c r="L1509" s="1"/>
      <c r="M1509" s="1"/>
      <c r="N1509" s="1"/>
      <c r="O1509" s="1"/>
      <c r="P1509" s="1"/>
      <c r="Q1509" s="1"/>
    </row>
    <row r="1510" spans="1:17">
      <c r="A1510" s="1"/>
      <c r="B1510" s="1"/>
      <c r="C1510" s="1"/>
      <c r="D1510" s="1" t="s">
        <v>5056</v>
      </c>
      <c r="E1510" s="1" t="s">
        <v>420</v>
      </c>
      <c r="F1510" s="1"/>
      <c r="G1510" s="1"/>
      <c r="H1510" s="1"/>
      <c r="J1510" s="1"/>
      <c r="K1510" s="1"/>
      <c r="L1510" s="1"/>
      <c r="M1510" s="1"/>
      <c r="N1510" s="1"/>
      <c r="O1510" s="1"/>
      <c r="P1510" s="1"/>
      <c r="Q1510" s="1"/>
    </row>
    <row r="1511" spans="1:17">
      <c r="A1511" s="1"/>
      <c r="B1511" s="1" t="s">
        <v>3980</v>
      </c>
      <c r="C1511" s="1" t="s">
        <v>3981</v>
      </c>
      <c r="D1511" s="1" t="s">
        <v>5607</v>
      </c>
      <c r="E1511" s="1" t="s">
        <v>420</v>
      </c>
      <c r="F1511" s="1">
        <v>1</v>
      </c>
      <c r="G1511" s="1">
        <v>1.26</v>
      </c>
      <c r="H1511" s="1">
        <v>4</v>
      </c>
      <c r="J1511" s="1" t="s">
        <v>29</v>
      </c>
      <c r="K1511" s="1" t="s">
        <v>3983</v>
      </c>
      <c r="L1511" s="1">
        <v>18621325787</v>
      </c>
      <c r="M1511" s="1" t="s">
        <v>3984</v>
      </c>
      <c r="N1511" s="1" t="s">
        <v>3985</v>
      </c>
      <c r="O1511" s="1" t="s">
        <v>3984</v>
      </c>
      <c r="P1511" s="1">
        <v>18621325787</v>
      </c>
      <c r="Q1511" s="1" t="s">
        <v>3986</v>
      </c>
    </row>
    <row r="1512" spans="1:17">
      <c r="A1512" s="1"/>
      <c r="B1512" s="1"/>
      <c r="C1512" s="1"/>
      <c r="D1512" s="1" t="s">
        <v>5608</v>
      </c>
      <c r="E1512" s="1" t="s">
        <v>420</v>
      </c>
      <c r="F1512" s="1"/>
      <c r="G1512" s="1"/>
      <c r="H1512" s="1"/>
      <c r="J1512" s="1"/>
      <c r="K1512" s="1"/>
      <c r="L1512" s="1"/>
      <c r="M1512" s="1"/>
      <c r="N1512" s="1"/>
      <c r="O1512" s="1"/>
      <c r="P1512" s="1"/>
      <c r="Q1512" s="1"/>
    </row>
    <row r="1513" spans="1:17">
      <c r="A1513" s="1"/>
      <c r="B1513" s="1" t="s">
        <v>3988</v>
      </c>
      <c r="C1513" s="1" t="s">
        <v>3989</v>
      </c>
      <c r="D1513" s="1" t="s">
        <v>5407</v>
      </c>
      <c r="E1513" s="1" t="s">
        <v>625</v>
      </c>
      <c r="F1513" s="1">
        <v>1</v>
      </c>
      <c r="G1513" s="1">
        <v>1.04</v>
      </c>
      <c r="H1513" s="1">
        <v>12</v>
      </c>
      <c r="I1513" s="1" t="s">
        <v>5050</v>
      </c>
      <c r="J1513" s="1" t="s">
        <v>40</v>
      </c>
      <c r="K1513" s="1" t="s">
        <v>1783</v>
      </c>
      <c r="L1513" s="1">
        <v>15912146261</v>
      </c>
      <c r="M1513" s="1" t="s">
        <v>1784</v>
      </c>
      <c r="N1513" s="1" t="s">
        <v>1783</v>
      </c>
      <c r="O1513" s="1" t="s">
        <v>3992</v>
      </c>
      <c r="P1513" s="1">
        <v>13888301890</v>
      </c>
      <c r="Q1513" s="1" t="s">
        <v>3993</v>
      </c>
    </row>
    <row r="1514" spans="1:17">
      <c r="A1514" s="1"/>
      <c r="B1514" s="1"/>
      <c r="C1514" s="1"/>
      <c r="D1514" s="1" t="s">
        <v>5024</v>
      </c>
      <c r="E1514" s="1" t="s">
        <v>625</v>
      </c>
      <c r="F1514" s="1"/>
      <c r="G1514" s="1"/>
      <c r="H1514" s="1"/>
      <c r="I1514" s="1" t="s">
        <v>4985</v>
      </c>
      <c r="J1514" s="1"/>
      <c r="K1514" s="1"/>
      <c r="L1514" s="1"/>
      <c r="M1514" s="1"/>
      <c r="N1514" s="1"/>
      <c r="O1514" s="1"/>
      <c r="P1514" s="1"/>
      <c r="Q1514" s="1"/>
    </row>
    <row r="1515" spans="1:17">
      <c r="A1515" s="1"/>
      <c r="B1515" s="1"/>
      <c r="C1515" s="1"/>
      <c r="D1515" s="1" t="s">
        <v>5609</v>
      </c>
      <c r="E1515" s="1" t="s">
        <v>625</v>
      </c>
      <c r="F1515" s="1"/>
      <c r="G1515" s="1"/>
      <c r="H1515" s="1"/>
      <c r="I1515" s="1" t="s">
        <v>4987</v>
      </c>
      <c r="J1515" s="1"/>
      <c r="K1515" s="1"/>
      <c r="L1515" s="1"/>
      <c r="M1515" s="1"/>
      <c r="N1515" s="1"/>
      <c r="O1515" s="1"/>
      <c r="P1515" s="1"/>
      <c r="Q1515" s="1"/>
    </row>
    <row r="1516" spans="1:17">
      <c r="A1516" s="1"/>
      <c r="B1516" s="1" t="s">
        <v>3995</v>
      </c>
      <c r="C1516" s="1" t="s">
        <v>3996</v>
      </c>
      <c r="D1516" s="1" t="s">
        <v>5336</v>
      </c>
      <c r="E1516" s="1" t="s">
        <v>449</v>
      </c>
      <c r="F1516" s="1">
        <v>1</v>
      </c>
      <c r="G1516" s="1">
        <v>0.81</v>
      </c>
      <c r="H1516" s="1">
        <v>3</v>
      </c>
      <c r="I1516" s="1" t="s">
        <v>5610</v>
      </c>
      <c r="J1516" s="1" t="s">
        <v>29</v>
      </c>
      <c r="K1516" s="1" t="s">
        <v>3999</v>
      </c>
      <c r="L1516" s="1">
        <v>13988900692</v>
      </c>
      <c r="M1516" s="1" t="s">
        <v>4000</v>
      </c>
      <c r="N1516" s="1" t="s">
        <v>3999</v>
      </c>
      <c r="O1516" s="1" t="s">
        <v>4000</v>
      </c>
      <c r="P1516" s="1">
        <v>13988900692</v>
      </c>
      <c r="Q1516" s="1" t="s">
        <v>4001</v>
      </c>
    </row>
    <row r="1517" spans="1:17">
      <c r="A1517" s="1"/>
      <c r="B1517" s="1"/>
      <c r="C1517" s="1"/>
      <c r="D1517" s="1" t="s">
        <v>5085</v>
      </c>
      <c r="E1517" s="1" t="s">
        <v>449</v>
      </c>
      <c r="F1517" s="1"/>
      <c r="G1517" s="1"/>
      <c r="H1517" s="1"/>
      <c r="I1517" s="1" t="s">
        <v>5225</v>
      </c>
      <c r="J1517" s="1"/>
      <c r="K1517" s="1"/>
      <c r="L1517" s="1"/>
      <c r="M1517" s="1"/>
      <c r="N1517" s="1"/>
      <c r="O1517" s="1"/>
      <c r="P1517" s="1"/>
      <c r="Q1517" s="1"/>
    </row>
    <row r="1518" spans="1:17">
      <c r="A1518" s="1"/>
      <c r="B1518" s="1" t="s">
        <v>4003</v>
      </c>
      <c r="C1518" s="1" t="s">
        <v>4004</v>
      </c>
      <c r="D1518" s="1" t="s">
        <v>5041</v>
      </c>
      <c r="E1518" s="1" t="s">
        <v>292</v>
      </c>
      <c r="F1518" s="1">
        <v>1</v>
      </c>
      <c r="G1518" s="1">
        <v>0.81</v>
      </c>
      <c r="H1518" s="1">
        <v>1</v>
      </c>
      <c r="J1518" s="1" t="s">
        <v>293</v>
      </c>
      <c r="K1518" s="1" t="s">
        <v>4005</v>
      </c>
      <c r="L1518" s="1">
        <v>18398233603</v>
      </c>
      <c r="M1518" s="1" t="s">
        <v>4006</v>
      </c>
      <c r="N1518" s="1" t="s">
        <v>4005</v>
      </c>
      <c r="O1518" s="1" t="s">
        <v>4006</v>
      </c>
      <c r="P1518" s="1">
        <v>18398233603</v>
      </c>
      <c r="Q1518" s="1" t="s">
        <v>4007</v>
      </c>
    </row>
    <row r="1519" spans="1:17">
      <c r="A1519" s="1"/>
      <c r="B1519" s="1" t="s">
        <v>4009</v>
      </c>
      <c r="C1519" s="1" t="s">
        <v>4010</v>
      </c>
      <c r="D1519" s="1" t="s">
        <v>5086</v>
      </c>
      <c r="E1519" s="1" t="s">
        <v>465</v>
      </c>
      <c r="F1519" s="1">
        <v>1</v>
      </c>
      <c r="G1519" s="1">
        <v>0.81</v>
      </c>
      <c r="H1519" s="1">
        <v>1</v>
      </c>
      <c r="J1519" s="1" t="s">
        <v>304</v>
      </c>
      <c r="K1519" s="1" t="s">
        <v>4011</v>
      </c>
      <c r="L1519" s="1">
        <v>18808566611</v>
      </c>
      <c r="M1519" s="1" t="s">
        <v>4012</v>
      </c>
      <c r="N1519" s="1" t="s">
        <v>4013</v>
      </c>
      <c r="O1519" s="1" t="s">
        <v>4012</v>
      </c>
      <c r="P1519" s="1">
        <v>18808566611</v>
      </c>
      <c r="Q1519" s="1" t="s">
        <v>4014</v>
      </c>
    </row>
    <row r="1520" spans="1:17">
      <c r="A1520" s="1"/>
      <c r="B1520" s="1" t="s">
        <v>4016</v>
      </c>
      <c r="C1520" s="1" t="s">
        <v>4017</v>
      </c>
      <c r="D1520" s="1" t="s">
        <v>5458</v>
      </c>
      <c r="E1520" s="1" t="s">
        <v>2920</v>
      </c>
      <c r="F1520" s="1">
        <v>1</v>
      </c>
      <c r="G1520" s="1">
        <v>0.81</v>
      </c>
      <c r="H1520" s="1">
        <v>1</v>
      </c>
      <c r="J1520" s="1" t="s">
        <v>304</v>
      </c>
      <c r="K1520" s="1" t="s">
        <v>4018</v>
      </c>
      <c r="L1520" s="1">
        <v>13904182728</v>
      </c>
      <c r="M1520" s="1" t="s">
        <v>4019</v>
      </c>
      <c r="N1520" s="1" t="s">
        <v>4018</v>
      </c>
      <c r="O1520" s="1" t="s">
        <v>4019</v>
      </c>
      <c r="P1520" s="1">
        <v>13904182728</v>
      </c>
      <c r="Q1520" s="1" t="s">
        <v>4020</v>
      </c>
    </row>
    <row r="1521" spans="1:17">
      <c r="A1521" s="1"/>
      <c r="B1521" s="1" t="s">
        <v>4022</v>
      </c>
      <c r="C1521" s="1" t="s">
        <v>4023</v>
      </c>
      <c r="D1521" s="1" t="s">
        <v>4977</v>
      </c>
      <c r="E1521" s="1" t="s">
        <v>2920</v>
      </c>
      <c r="F1521" s="1">
        <v>1</v>
      </c>
      <c r="G1521" s="1">
        <v>0.81</v>
      </c>
      <c r="H1521" s="1">
        <v>2</v>
      </c>
      <c r="J1521" s="1" t="s">
        <v>103</v>
      </c>
      <c r="K1521" s="1" t="s">
        <v>4025</v>
      </c>
      <c r="L1521" s="1">
        <v>17608017788</v>
      </c>
      <c r="M1521" s="1" t="s">
        <v>4026</v>
      </c>
      <c r="N1521" s="1" t="s">
        <v>4025</v>
      </c>
      <c r="O1521" s="1" t="s">
        <v>4026</v>
      </c>
      <c r="P1521" s="1">
        <v>17608017788</v>
      </c>
      <c r="Q1521" s="1" t="s">
        <v>4027</v>
      </c>
    </row>
    <row r="1522" spans="1:17">
      <c r="A1522" s="1"/>
      <c r="B1522" s="1"/>
      <c r="C1522" s="1"/>
      <c r="D1522" s="1" t="s">
        <v>5091</v>
      </c>
      <c r="E1522" s="1" t="s">
        <v>2920</v>
      </c>
      <c r="F1522" s="1"/>
      <c r="G1522" s="1"/>
      <c r="H1522" s="1"/>
      <c r="J1522" s="1"/>
      <c r="K1522" s="1"/>
      <c r="L1522" s="1"/>
      <c r="M1522" s="1"/>
      <c r="N1522" s="1"/>
      <c r="O1522" s="1"/>
      <c r="P1522" s="1"/>
      <c r="Q1522" s="1"/>
    </row>
    <row r="1523" spans="1:17">
      <c r="A1523" s="1"/>
      <c r="B1523" s="1" t="s">
        <v>4029</v>
      </c>
      <c r="C1523" s="1" t="s">
        <v>4030</v>
      </c>
      <c r="D1523" s="1" t="s">
        <v>5089</v>
      </c>
      <c r="E1523" s="1" t="s">
        <v>2920</v>
      </c>
      <c r="F1523" s="1">
        <v>1</v>
      </c>
      <c r="G1523" s="1">
        <v>0.35</v>
      </c>
      <c r="H1523" s="1">
        <v>2</v>
      </c>
      <c r="J1523" s="1" t="s">
        <v>103</v>
      </c>
      <c r="K1523" s="1" t="s">
        <v>4032</v>
      </c>
      <c r="L1523" s="1">
        <v>18072900432</v>
      </c>
      <c r="M1523" s="1" t="s">
        <v>4033</v>
      </c>
      <c r="N1523" s="1" t="s">
        <v>4032</v>
      </c>
      <c r="O1523" s="1" t="s">
        <v>4033</v>
      </c>
      <c r="P1523" s="1">
        <v>18072900432</v>
      </c>
      <c r="Q1523" s="1" t="s">
        <v>4034</v>
      </c>
    </row>
    <row r="1524" spans="1:17">
      <c r="A1524" s="1"/>
      <c r="B1524" s="1"/>
      <c r="C1524" s="1"/>
      <c r="D1524" s="1" t="s">
        <v>5341</v>
      </c>
      <c r="E1524" s="1" t="s">
        <v>2920</v>
      </c>
      <c r="F1524" s="1"/>
      <c r="G1524" s="1"/>
      <c r="H1524" s="1"/>
      <c r="J1524" s="1"/>
      <c r="K1524" s="1"/>
      <c r="L1524" s="1"/>
      <c r="M1524" s="1"/>
      <c r="N1524" s="1"/>
      <c r="O1524" s="1"/>
      <c r="P1524" s="1"/>
      <c r="Q1524" s="1"/>
    </row>
    <row r="1525" spans="1:17">
      <c r="A1525" s="1"/>
      <c r="B1525" s="1" t="s">
        <v>4036</v>
      </c>
      <c r="C1525" s="1" t="s">
        <v>4037</v>
      </c>
      <c r="D1525" s="1" t="s">
        <v>5091</v>
      </c>
      <c r="E1525" s="1" t="s">
        <v>2920</v>
      </c>
      <c r="F1525" s="1">
        <v>1</v>
      </c>
      <c r="G1525" s="1">
        <v>0.81</v>
      </c>
      <c r="H1525" s="1">
        <v>3</v>
      </c>
      <c r="J1525" s="1" t="s">
        <v>103</v>
      </c>
      <c r="K1525" s="1" t="s">
        <v>4039</v>
      </c>
      <c r="L1525" s="1">
        <v>13197120005</v>
      </c>
      <c r="M1525" s="1" t="s">
        <v>4040</v>
      </c>
      <c r="N1525" s="1" t="s">
        <v>4041</v>
      </c>
      <c r="O1525" s="1" t="s">
        <v>4040</v>
      </c>
      <c r="P1525" s="1">
        <v>13197120005</v>
      </c>
      <c r="Q1525" s="1" t="s">
        <v>4042</v>
      </c>
    </row>
    <row r="1526" spans="1:17">
      <c r="A1526" s="1"/>
      <c r="B1526" s="1"/>
      <c r="C1526" s="1"/>
      <c r="D1526" s="1" t="s">
        <v>4977</v>
      </c>
      <c r="E1526" s="1" t="s">
        <v>2920</v>
      </c>
      <c r="F1526" s="1"/>
      <c r="G1526" s="1"/>
      <c r="H1526" s="1"/>
      <c r="J1526" s="1"/>
      <c r="K1526" s="1"/>
      <c r="L1526" s="1"/>
      <c r="M1526" s="1"/>
      <c r="N1526" s="1"/>
      <c r="O1526" s="1"/>
      <c r="P1526" s="1"/>
      <c r="Q1526" s="1"/>
    </row>
    <row r="1527" spans="1:17">
      <c r="A1527" s="1"/>
      <c r="B1527" s="1"/>
      <c r="C1527" s="1"/>
      <c r="D1527" s="1" t="s">
        <v>5347</v>
      </c>
      <c r="E1527" s="1" t="s">
        <v>2920</v>
      </c>
      <c r="F1527" s="1"/>
      <c r="G1527" s="1"/>
      <c r="H1527" s="1"/>
      <c r="J1527" s="1"/>
      <c r="K1527" s="1"/>
      <c r="L1527" s="1"/>
      <c r="M1527" s="1"/>
      <c r="N1527" s="1"/>
      <c r="O1527" s="1"/>
      <c r="P1527" s="1"/>
      <c r="Q1527" s="1"/>
    </row>
    <row r="1528" spans="1:17">
      <c r="A1528" s="1"/>
      <c r="B1528" s="1" t="s">
        <v>4044</v>
      </c>
      <c r="C1528" s="1" t="s">
        <v>4045</v>
      </c>
      <c r="D1528" s="1" t="s">
        <v>5041</v>
      </c>
      <c r="E1528" s="1" t="s">
        <v>292</v>
      </c>
      <c r="F1528" s="1">
        <v>1</v>
      </c>
      <c r="G1528" s="1">
        <v>0.81</v>
      </c>
      <c r="H1528" s="1">
        <v>1</v>
      </c>
      <c r="J1528" s="1" t="s">
        <v>293</v>
      </c>
      <c r="K1528" s="1" t="s">
        <v>4046</v>
      </c>
      <c r="L1528" s="1">
        <v>13638110750</v>
      </c>
      <c r="M1528" s="1" t="s">
        <v>4047</v>
      </c>
      <c r="N1528" s="1" t="s">
        <v>4048</v>
      </c>
      <c r="O1528" s="1" t="s">
        <v>4047</v>
      </c>
      <c r="P1528" s="1">
        <v>13638110750</v>
      </c>
      <c r="Q1528" s="1" t="s">
        <v>4049</v>
      </c>
    </row>
    <row r="1529" spans="1:17">
      <c r="A1529" s="1"/>
      <c r="B1529" s="1" t="s">
        <v>4051</v>
      </c>
      <c r="C1529" s="1" t="s">
        <v>4052</v>
      </c>
      <c r="D1529" s="1" t="s">
        <v>5611</v>
      </c>
      <c r="E1529" s="1" t="s">
        <v>4054</v>
      </c>
      <c r="F1529" s="1">
        <v>1</v>
      </c>
      <c r="G1529" s="1">
        <v>0.81</v>
      </c>
      <c r="H1529" s="1">
        <v>2</v>
      </c>
      <c r="I1529" s="1" t="s">
        <v>5612</v>
      </c>
      <c r="J1529" s="1" t="s">
        <v>103</v>
      </c>
      <c r="K1529" s="1" t="s">
        <v>4056</v>
      </c>
      <c r="L1529" s="1">
        <v>18670716150</v>
      </c>
      <c r="M1529" s="1" t="s">
        <v>4057</v>
      </c>
      <c r="N1529" s="1" t="s">
        <v>4058</v>
      </c>
      <c r="O1529" s="1" t="s">
        <v>4057</v>
      </c>
      <c r="P1529" s="1">
        <v>18670716150</v>
      </c>
      <c r="Q1529" s="1" t="s">
        <v>4059</v>
      </c>
    </row>
    <row r="1530" spans="1:17">
      <c r="A1530" s="1"/>
      <c r="B1530" s="1" t="s">
        <v>4061</v>
      </c>
      <c r="C1530" s="1" t="s">
        <v>4062</v>
      </c>
      <c r="D1530" s="1" t="s">
        <v>5041</v>
      </c>
      <c r="E1530" s="1" t="s">
        <v>292</v>
      </c>
      <c r="F1530" s="1">
        <v>1</v>
      </c>
      <c r="G1530" s="1">
        <v>1.04</v>
      </c>
      <c r="H1530" s="1">
        <v>1</v>
      </c>
      <c r="J1530" s="1" t="s">
        <v>293</v>
      </c>
      <c r="K1530" s="1" t="s">
        <v>4063</v>
      </c>
      <c r="L1530" s="1">
        <v>13944573339</v>
      </c>
      <c r="M1530" s="1" t="s">
        <v>4064</v>
      </c>
      <c r="N1530" s="1" t="s">
        <v>4065</v>
      </c>
      <c r="O1530" s="1" t="s">
        <v>4064</v>
      </c>
      <c r="P1530" s="1">
        <v>13944573339</v>
      </c>
      <c r="Q1530" s="1" t="s">
        <v>4066</v>
      </c>
    </row>
    <row r="1531" spans="1:17">
      <c r="A1531" s="1"/>
      <c r="B1531" s="1" t="s">
        <v>4068</v>
      </c>
      <c r="C1531" s="1" t="s">
        <v>4069</v>
      </c>
      <c r="D1531" s="1" t="s">
        <v>5041</v>
      </c>
      <c r="E1531" s="1" t="s">
        <v>292</v>
      </c>
      <c r="F1531" s="1">
        <v>1</v>
      </c>
      <c r="G1531" s="1">
        <v>1.04</v>
      </c>
      <c r="H1531" s="1">
        <v>1</v>
      </c>
      <c r="J1531" s="1" t="s">
        <v>293</v>
      </c>
      <c r="K1531" s="1" t="s">
        <v>4070</v>
      </c>
      <c r="L1531" s="1">
        <v>13860694796</v>
      </c>
      <c r="M1531" s="1" t="s">
        <v>4071</v>
      </c>
      <c r="N1531" s="1" t="s">
        <v>4072</v>
      </c>
      <c r="O1531" s="1" t="s">
        <v>4071</v>
      </c>
      <c r="P1531" s="1">
        <v>13860694796</v>
      </c>
      <c r="Q1531" s="1" t="s">
        <v>4073</v>
      </c>
    </row>
    <row r="1532" spans="1:17">
      <c r="A1532" s="1"/>
      <c r="B1532" s="1" t="s">
        <v>4075</v>
      </c>
      <c r="C1532" s="1" t="s">
        <v>4076</v>
      </c>
      <c r="D1532" s="1" t="s">
        <v>5599</v>
      </c>
      <c r="E1532" s="1" t="s">
        <v>625</v>
      </c>
      <c r="F1532" s="1">
        <v>1</v>
      </c>
      <c r="G1532" s="1">
        <v>1.72</v>
      </c>
      <c r="H1532" s="1">
        <v>14</v>
      </c>
      <c r="J1532" s="1" t="s">
        <v>40</v>
      </c>
      <c r="K1532" s="1" t="s">
        <v>4078</v>
      </c>
      <c r="L1532" s="1">
        <v>13861011199</v>
      </c>
      <c r="M1532" s="1" t="s">
        <v>4079</v>
      </c>
      <c r="N1532" s="1" t="s">
        <v>4078</v>
      </c>
      <c r="O1532" s="1" t="s">
        <v>4079</v>
      </c>
      <c r="P1532" s="1">
        <v>13861011199</v>
      </c>
      <c r="Q1532" s="1" t="s">
        <v>4080</v>
      </c>
    </row>
    <row r="1533" spans="1:17">
      <c r="A1533" s="1"/>
      <c r="B1533" s="1"/>
      <c r="C1533" s="1"/>
      <c r="D1533" s="1" t="s">
        <v>5613</v>
      </c>
      <c r="E1533" s="1" t="s">
        <v>625</v>
      </c>
      <c r="F1533" s="1"/>
      <c r="G1533" s="1"/>
      <c r="H1533" s="1"/>
      <c r="J1533" s="1"/>
      <c r="K1533" s="1"/>
      <c r="L1533" s="1"/>
      <c r="M1533" s="1"/>
      <c r="N1533" s="1"/>
      <c r="O1533" s="1"/>
      <c r="P1533" s="1"/>
      <c r="Q1533" s="1"/>
    </row>
    <row r="1534" spans="1:17">
      <c r="A1534" s="1"/>
      <c r="B1534" s="1"/>
      <c r="C1534" s="1"/>
      <c r="D1534" s="1" t="s">
        <v>5023</v>
      </c>
      <c r="E1534" s="1" t="s">
        <v>625</v>
      </c>
      <c r="F1534" s="1"/>
      <c r="G1534" s="1"/>
      <c r="H1534" s="1"/>
      <c r="J1534" s="1"/>
      <c r="K1534" s="1"/>
      <c r="L1534" s="1"/>
      <c r="M1534" s="1"/>
      <c r="N1534" s="1"/>
      <c r="O1534" s="1"/>
      <c r="P1534" s="1"/>
      <c r="Q1534" s="1"/>
    </row>
    <row r="1535" spans="1:17">
      <c r="A1535" s="1"/>
      <c r="B1535" s="1"/>
      <c r="C1535" s="1"/>
      <c r="D1535" s="1" t="s">
        <v>5128</v>
      </c>
      <c r="E1535" s="1" t="s">
        <v>625</v>
      </c>
      <c r="F1535" s="1"/>
      <c r="G1535" s="1"/>
      <c r="H1535" s="1"/>
      <c r="J1535" s="1"/>
      <c r="K1535" s="1"/>
      <c r="L1535" s="1"/>
      <c r="M1535" s="1"/>
      <c r="N1535" s="1"/>
      <c r="O1535" s="1"/>
      <c r="P1535" s="1"/>
      <c r="Q1535" s="1"/>
    </row>
    <row r="1536" spans="1:17">
      <c r="A1536" s="1"/>
      <c r="B1536" s="1"/>
      <c r="C1536" s="1"/>
      <c r="D1536" s="1" t="s">
        <v>5020</v>
      </c>
      <c r="E1536" s="1" t="s">
        <v>625</v>
      </c>
      <c r="F1536" s="1"/>
      <c r="G1536" s="1"/>
      <c r="H1536" s="1"/>
      <c r="J1536" s="1"/>
      <c r="K1536" s="1"/>
      <c r="L1536" s="1"/>
      <c r="M1536" s="1"/>
      <c r="N1536" s="1"/>
      <c r="O1536" s="1"/>
      <c r="P1536" s="1"/>
      <c r="Q1536" s="1"/>
    </row>
    <row r="1537" spans="1:17">
      <c r="A1537" s="1"/>
      <c r="B1537" s="1"/>
      <c r="C1537" s="1"/>
      <c r="D1537" s="1" t="s">
        <v>5113</v>
      </c>
      <c r="E1537" s="1" t="s">
        <v>625</v>
      </c>
      <c r="F1537" s="1"/>
      <c r="G1537" s="1"/>
      <c r="H1537" s="1"/>
      <c r="J1537" s="1"/>
      <c r="K1537" s="1"/>
      <c r="L1537" s="1"/>
      <c r="M1537" s="1"/>
      <c r="N1537" s="1"/>
      <c r="O1537" s="1"/>
      <c r="P1537" s="1"/>
      <c r="Q1537" s="1"/>
    </row>
    <row r="1538" spans="1:17">
      <c r="A1538" s="1"/>
      <c r="B1538" s="1" t="s">
        <v>4082</v>
      </c>
      <c r="C1538" s="1" t="s">
        <v>4083</v>
      </c>
      <c r="D1538" s="1" t="s">
        <v>5614</v>
      </c>
      <c r="E1538" s="1" t="s">
        <v>625</v>
      </c>
      <c r="F1538" s="1">
        <v>1</v>
      </c>
      <c r="G1538" s="1">
        <v>1.72</v>
      </c>
      <c r="H1538" s="1">
        <v>14</v>
      </c>
      <c r="I1538" s="1" t="s">
        <v>4985</v>
      </c>
      <c r="J1538" s="1" t="s">
        <v>40</v>
      </c>
      <c r="K1538" s="1" t="s">
        <v>4086</v>
      </c>
      <c r="L1538" s="1">
        <v>13191666573</v>
      </c>
      <c r="M1538" s="1" t="s">
        <v>4087</v>
      </c>
      <c r="N1538" s="1" t="s">
        <v>4088</v>
      </c>
      <c r="O1538" s="1" t="s">
        <v>4087</v>
      </c>
      <c r="P1538" s="1">
        <v>13191666573</v>
      </c>
      <c r="Q1538" s="1" t="s">
        <v>4089</v>
      </c>
    </row>
    <row r="1539" spans="1:17">
      <c r="A1539" s="1"/>
      <c r="B1539" s="1"/>
      <c r="C1539" s="1"/>
      <c r="D1539" s="1" t="s">
        <v>5615</v>
      </c>
      <c r="E1539" s="1" t="s">
        <v>625</v>
      </c>
      <c r="F1539" s="1"/>
      <c r="G1539" s="1"/>
      <c r="H1539" s="1"/>
      <c r="I1539" s="1" t="s">
        <v>4985</v>
      </c>
      <c r="J1539" s="1"/>
      <c r="K1539" s="1"/>
      <c r="L1539" s="1"/>
      <c r="M1539" s="1"/>
      <c r="N1539" s="1"/>
      <c r="O1539" s="1"/>
      <c r="P1539" s="1"/>
      <c r="Q1539" s="1"/>
    </row>
    <row r="1540" spans="1:17">
      <c r="A1540" s="1"/>
      <c r="B1540" s="1"/>
      <c r="C1540" s="1"/>
      <c r="D1540" s="1" t="s">
        <v>5072</v>
      </c>
      <c r="E1540" s="1" t="s">
        <v>625</v>
      </c>
      <c r="F1540" s="1"/>
      <c r="G1540" s="1"/>
      <c r="H1540" s="1"/>
      <c r="I1540" s="1" t="s">
        <v>4987</v>
      </c>
      <c r="J1540" s="1"/>
      <c r="K1540" s="1"/>
      <c r="L1540" s="1"/>
      <c r="M1540" s="1"/>
      <c r="N1540" s="1"/>
      <c r="O1540" s="1"/>
      <c r="P1540" s="1"/>
      <c r="Q1540" s="1"/>
    </row>
    <row r="1541" spans="1:17">
      <c r="A1541" s="1"/>
      <c r="B1541" s="1"/>
      <c r="C1541" s="1"/>
      <c r="D1541" s="1" t="s">
        <v>5033</v>
      </c>
      <c r="E1541" s="1" t="s">
        <v>625</v>
      </c>
      <c r="F1541" s="1"/>
      <c r="G1541" s="1"/>
      <c r="H1541" s="1"/>
      <c r="I1541" s="1" t="s">
        <v>4987</v>
      </c>
      <c r="J1541" s="1"/>
      <c r="K1541" s="1"/>
      <c r="L1541" s="1"/>
      <c r="M1541" s="1"/>
      <c r="N1541" s="1"/>
      <c r="O1541" s="1"/>
      <c r="P1541" s="1"/>
      <c r="Q1541" s="1"/>
    </row>
    <row r="1542" spans="1:17">
      <c r="A1542" s="1"/>
      <c r="B1542" s="1"/>
      <c r="C1542" s="1"/>
      <c r="D1542" s="1" t="s">
        <v>5153</v>
      </c>
      <c r="E1542" s="1" t="s">
        <v>625</v>
      </c>
      <c r="F1542" s="1"/>
      <c r="G1542" s="1"/>
      <c r="H1542" s="1"/>
      <c r="I1542" s="1" t="s">
        <v>4987</v>
      </c>
      <c r="J1542" s="1"/>
      <c r="K1542" s="1"/>
      <c r="L1542" s="1"/>
      <c r="M1542" s="1"/>
      <c r="N1542" s="1"/>
      <c r="O1542" s="1"/>
      <c r="P1542" s="1"/>
      <c r="Q1542" s="1"/>
    </row>
    <row r="1543" spans="1:17">
      <c r="A1543" s="1"/>
      <c r="B1543" s="1"/>
      <c r="C1543" s="1"/>
      <c r="D1543" s="1" t="s">
        <v>5071</v>
      </c>
      <c r="E1543" s="1" t="s">
        <v>625</v>
      </c>
      <c r="F1543" s="1"/>
      <c r="G1543" s="1"/>
      <c r="H1543" s="1"/>
      <c r="I1543" s="1" t="s">
        <v>4983</v>
      </c>
      <c r="J1543" s="1"/>
      <c r="K1543" s="1"/>
      <c r="L1543" s="1"/>
      <c r="M1543" s="1"/>
      <c r="N1543" s="1"/>
      <c r="O1543" s="1"/>
      <c r="P1543" s="1"/>
      <c r="Q1543" s="1"/>
    </row>
    <row r="1544" spans="1:17">
      <c r="A1544" s="1"/>
      <c r="B1544" s="1" t="s">
        <v>4091</v>
      </c>
      <c r="C1544" s="1" t="s">
        <v>4092</v>
      </c>
      <c r="D1544" s="1" t="s">
        <v>5034</v>
      </c>
      <c r="E1544" s="1" t="s">
        <v>625</v>
      </c>
      <c r="F1544" s="1">
        <v>1</v>
      </c>
      <c r="G1544" s="1">
        <v>0.81</v>
      </c>
      <c r="H1544" s="1">
        <v>7</v>
      </c>
      <c r="J1544" s="1" t="s">
        <v>40</v>
      </c>
      <c r="K1544" s="1" t="s">
        <v>551</v>
      </c>
      <c r="L1544" s="1">
        <v>15932748608</v>
      </c>
      <c r="M1544" s="1" t="s">
        <v>552</v>
      </c>
      <c r="N1544" s="1" t="s">
        <v>551</v>
      </c>
      <c r="O1544" s="1" t="s">
        <v>552</v>
      </c>
      <c r="P1544" s="1">
        <v>15932748608</v>
      </c>
      <c r="Q1544" s="1" t="s">
        <v>4094</v>
      </c>
    </row>
    <row r="1545" spans="1:17">
      <c r="A1545" s="1"/>
      <c r="B1545" s="1"/>
      <c r="C1545" s="1"/>
      <c r="D1545" s="1" t="s">
        <v>5072</v>
      </c>
      <c r="E1545" s="1" t="s">
        <v>625</v>
      </c>
      <c r="F1545" s="1"/>
      <c r="G1545" s="1"/>
      <c r="H1545" s="1"/>
      <c r="J1545" s="1"/>
      <c r="K1545" s="1"/>
      <c r="L1545" s="1"/>
      <c r="M1545" s="1"/>
      <c r="N1545" s="1"/>
      <c r="O1545" s="1"/>
      <c r="P1545" s="1"/>
      <c r="Q1545" s="1"/>
    </row>
    <row r="1546" spans="1:17">
      <c r="A1546" s="1"/>
      <c r="B1546" s="1"/>
      <c r="C1546" s="1"/>
      <c r="D1546" s="1" t="s">
        <v>5071</v>
      </c>
      <c r="E1546" s="1" t="s">
        <v>625</v>
      </c>
      <c r="F1546" s="1"/>
      <c r="G1546" s="1"/>
      <c r="H1546" s="1"/>
      <c r="J1546" s="1"/>
      <c r="K1546" s="1"/>
      <c r="L1546" s="1"/>
      <c r="M1546" s="1"/>
      <c r="N1546" s="1"/>
      <c r="O1546" s="1"/>
      <c r="P1546" s="1"/>
      <c r="Q1546" s="1"/>
    </row>
    <row r="1547" spans="1:17">
      <c r="A1547" s="1"/>
      <c r="B1547" s="1"/>
      <c r="C1547" s="1"/>
      <c r="D1547" s="1" t="s">
        <v>5130</v>
      </c>
      <c r="E1547" s="1" t="s">
        <v>625</v>
      </c>
      <c r="F1547" s="1"/>
      <c r="G1547" s="1"/>
      <c r="H1547" s="1"/>
      <c r="J1547" s="1"/>
      <c r="K1547" s="1"/>
      <c r="L1547" s="1"/>
      <c r="M1547" s="1"/>
      <c r="N1547" s="1"/>
      <c r="O1547" s="1"/>
      <c r="P1547" s="1"/>
      <c r="Q1547" s="1"/>
    </row>
    <row r="1548" spans="1:17">
      <c r="A1548" s="1"/>
      <c r="B1548" s="1" t="s">
        <v>4096</v>
      </c>
      <c r="C1548" s="1" t="s">
        <v>4097</v>
      </c>
      <c r="D1548" s="1" t="s">
        <v>5009</v>
      </c>
      <c r="E1548" s="1" t="s">
        <v>420</v>
      </c>
      <c r="F1548" s="1">
        <v>1</v>
      </c>
      <c r="G1548" s="1">
        <v>1.72</v>
      </c>
      <c r="H1548" s="1">
        <v>7</v>
      </c>
      <c r="I1548" s="1" t="s">
        <v>5616</v>
      </c>
      <c r="J1548" s="1" t="s">
        <v>29</v>
      </c>
      <c r="K1548" s="1" t="s">
        <v>4100</v>
      </c>
      <c r="L1548" s="1">
        <v>13889172222</v>
      </c>
      <c r="M1548" s="1" t="s">
        <v>4101</v>
      </c>
      <c r="N1548" s="1" t="s">
        <v>4100</v>
      </c>
      <c r="O1548" s="1" t="s">
        <v>4101</v>
      </c>
      <c r="P1548" s="1">
        <v>13889172222</v>
      </c>
      <c r="Q1548" s="1" t="s">
        <v>4102</v>
      </c>
    </row>
    <row r="1549" spans="1:17">
      <c r="A1549" s="1"/>
      <c r="B1549" s="1"/>
      <c r="C1549" s="1"/>
      <c r="D1549" s="1" t="s">
        <v>5617</v>
      </c>
      <c r="E1549" s="1" t="s">
        <v>420</v>
      </c>
      <c r="F1549" s="1"/>
      <c r="G1549" s="1"/>
      <c r="H1549" s="1"/>
      <c r="I1549" s="1" t="s">
        <v>4995</v>
      </c>
      <c r="J1549" s="1"/>
      <c r="K1549" s="1"/>
      <c r="L1549" s="1"/>
      <c r="M1549" s="1"/>
      <c r="N1549" s="1"/>
      <c r="O1549" s="1"/>
      <c r="P1549" s="1"/>
      <c r="Q1549" s="1"/>
    </row>
    <row r="1550" spans="1:17">
      <c r="A1550" s="1"/>
      <c r="B1550" s="1"/>
      <c r="C1550" s="1"/>
      <c r="D1550" s="1" t="s">
        <v>5618</v>
      </c>
      <c r="E1550" s="1" t="s">
        <v>420</v>
      </c>
      <c r="F1550" s="1"/>
      <c r="G1550" s="1"/>
      <c r="H1550" s="1"/>
      <c r="I1550" s="1" t="s">
        <v>1132</v>
      </c>
      <c r="J1550" s="1"/>
      <c r="K1550" s="1"/>
      <c r="L1550" s="1"/>
      <c r="M1550" s="1"/>
      <c r="N1550" s="1"/>
      <c r="O1550" s="1"/>
      <c r="P1550" s="1"/>
      <c r="Q1550" s="1"/>
    </row>
    <row r="1551" spans="1:17">
      <c r="A1551" s="1"/>
      <c r="B1551" s="1"/>
      <c r="C1551" s="1"/>
      <c r="D1551" s="1" t="s">
        <v>5155</v>
      </c>
      <c r="E1551" s="1" t="s">
        <v>420</v>
      </c>
      <c r="F1551" s="1"/>
      <c r="G1551" s="1"/>
      <c r="H1551" s="1"/>
      <c r="I1551" s="1" t="s">
        <v>1132</v>
      </c>
      <c r="J1551" s="1"/>
      <c r="K1551" s="1"/>
      <c r="L1551" s="1"/>
      <c r="M1551" s="1"/>
      <c r="N1551" s="1"/>
      <c r="O1551" s="1"/>
      <c r="P1551" s="1"/>
      <c r="Q1551" s="1"/>
    </row>
    <row r="1552" spans="1:17">
      <c r="A1552" s="1"/>
      <c r="B1552" s="1" t="s">
        <v>4104</v>
      </c>
      <c r="C1552" s="1" t="s">
        <v>4105</v>
      </c>
      <c r="D1552" s="1" t="s">
        <v>5502</v>
      </c>
      <c r="E1552" s="1" t="s">
        <v>2413</v>
      </c>
      <c r="F1552" s="1">
        <v>1</v>
      </c>
      <c r="G1552" s="1">
        <v>0.81</v>
      </c>
      <c r="H1552" s="1">
        <v>6</v>
      </c>
      <c r="I1552" s="1" t="s">
        <v>450</v>
      </c>
      <c r="J1552" s="1" t="s">
        <v>29</v>
      </c>
      <c r="K1552" s="1" t="s">
        <v>4109</v>
      </c>
      <c r="L1552" s="1">
        <v>13757110801</v>
      </c>
      <c r="M1552" s="1" t="s">
        <v>4110</v>
      </c>
      <c r="N1552" s="1" t="s">
        <v>4109</v>
      </c>
      <c r="O1552" s="1" t="s">
        <v>4110</v>
      </c>
      <c r="P1552" s="1">
        <v>13757110801</v>
      </c>
      <c r="Q1552" s="1" t="s">
        <v>4111</v>
      </c>
    </row>
    <row r="1553" spans="1:17">
      <c r="A1553" s="1"/>
      <c r="B1553" s="1"/>
      <c r="C1553" s="1"/>
      <c r="D1553" s="1" t="s">
        <v>5396</v>
      </c>
      <c r="E1553" s="1" t="s">
        <v>2413</v>
      </c>
      <c r="F1553" s="1"/>
      <c r="G1553" s="1"/>
      <c r="H1553" s="1"/>
      <c r="I1553" s="1" t="s">
        <v>4968</v>
      </c>
      <c r="J1553" s="1"/>
      <c r="K1553" s="1"/>
      <c r="L1553" s="1"/>
      <c r="M1553" s="1"/>
      <c r="N1553" s="1"/>
      <c r="O1553" s="1"/>
      <c r="P1553" s="1"/>
      <c r="Q1553" s="1"/>
    </row>
    <row r="1554" spans="1:17">
      <c r="A1554" s="1"/>
      <c r="B1554" s="1"/>
      <c r="C1554" s="1"/>
      <c r="D1554" s="1" t="s">
        <v>5336</v>
      </c>
      <c r="E1554" s="1" t="s">
        <v>2413</v>
      </c>
      <c r="F1554" s="1"/>
      <c r="G1554" s="1"/>
      <c r="H1554" s="1"/>
      <c r="I1554" s="1" t="s">
        <v>5135</v>
      </c>
      <c r="J1554" s="1"/>
      <c r="K1554" s="1"/>
      <c r="L1554" s="1"/>
      <c r="M1554" s="1"/>
      <c r="N1554" s="1"/>
      <c r="O1554" s="1"/>
      <c r="P1554" s="1"/>
      <c r="Q1554" s="1"/>
    </row>
    <row r="1555" spans="1:17">
      <c r="A1555" s="1"/>
      <c r="B1555" s="1"/>
      <c r="C1555" s="1"/>
      <c r="D1555" s="1" t="s">
        <v>4952</v>
      </c>
      <c r="E1555" s="1" t="s">
        <v>2413</v>
      </c>
      <c r="F1555" s="1"/>
      <c r="G1555" s="1"/>
      <c r="H1555" s="1"/>
      <c r="I1555" s="1" t="s">
        <v>1634</v>
      </c>
      <c r="J1555" s="1"/>
      <c r="K1555" s="1"/>
      <c r="L1555" s="1"/>
      <c r="M1555" s="1"/>
      <c r="N1555" s="1"/>
      <c r="O1555" s="1"/>
      <c r="P1555" s="1"/>
      <c r="Q1555" s="1"/>
    </row>
    <row r="1556" spans="1:17">
      <c r="A1556" s="1"/>
      <c r="B1556" s="1"/>
      <c r="C1556" s="1"/>
      <c r="D1556" s="1" t="s">
        <v>5336</v>
      </c>
      <c r="E1556" s="1" t="s">
        <v>449</v>
      </c>
      <c r="F1556" s="1"/>
      <c r="G1556" s="1"/>
      <c r="H1556" s="1"/>
      <c r="I1556" s="1" t="s">
        <v>5212</v>
      </c>
      <c r="J1556" s="1"/>
      <c r="K1556" s="1"/>
      <c r="L1556" s="1"/>
      <c r="M1556" s="1"/>
      <c r="N1556" s="1"/>
      <c r="O1556" s="1"/>
      <c r="P1556" s="1"/>
      <c r="Q1556" s="1"/>
    </row>
    <row r="1557" spans="1:17">
      <c r="A1557" s="1"/>
      <c r="B1557" s="1"/>
      <c r="C1557" s="1"/>
      <c r="D1557" s="1" t="s">
        <v>4952</v>
      </c>
      <c r="E1557" s="1" t="s">
        <v>449</v>
      </c>
      <c r="F1557" s="1"/>
      <c r="G1557" s="1"/>
      <c r="H1557" s="1"/>
      <c r="I1557" s="1" t="s">
        <v>5225</v>
      </c>
      <c r="J1557" s="1"/>
      <c r="K1557" s="1"/>
      <c r="L1557" s="1"/>
      <c r="M1557" s="1"/>
      <c r="N1557" s="1"/>
      <c r="O1557" s="1"/>
      <c r="P1557" s="1"/>
      <c r="Q1557" s="1"/>
    </row>
    <row r="1558" spans="1:17">
      <c r="A1558" s="1"/>
      <c r="B1558" s="1" t="s">
        <v>4113</v>
      </c>
      <c r="C1558" s="1" t="s">
        <v>4114</v>
      </c>
      <c r="D1558" s="1" t="s">
        <v>5072</v>
      </c>
      <c r="E1558" s="1" t="s">
        <v>625</v>
      </c>
      <c r="F1558" s="1">
        <v>1</v>
      </c>
      <c r="G1558" s="1">
        <v>1.95</v>
      </c>
      <c r="H1558" s="1">
        <v>12</v>
      </c>
      <c r="I1558" s="1" t="s">
        <v>4987</v>
      </c>
      <c r="J1558" s="1" t="s">
        <v>40</v>
      </c>
      <c r="K1558" s="1" t="s">
        <v>4117</v>
      </c>
      <c r="L1558" s="1">
        <v>13610282274</v>
      </c>
      <c r="M1558" s="1" t="s">
        <v>4118</v>
      </c>
      <c r="N1558" s="1" t="s">
        <v>4117</v>
      </c>
      <c r="O1558" s="1" t="s">
        <v>4118</v>
      </c>
      <c r="P1558" s="1">
        <v>13610282274</v>
      </c>
      <c r="Q1558" s="1" t="s">
        <v>4119</v>
      </c>
    </row>
    <row r="1559" spans="1:17">
      <c r="A1559" s="1"/>
      <c r="B1559" s="1"/>
      <c r="C1559" s="1"/>
      <c r="D1559" s="1" t="s">
        <v>5113</v>
      </c>
      <c r="E1559" s="1" t="s">
        <v>625</v>
      </c>
      <c r="F1559" s="1"/>
      <c r="G1559" s="1"/>
      <c r="H1559" s="1"/>
      <c r="I1559" s="1" t="s">
        <v>4985</v>
      </c>
      <c r="J1559" s="1"/>
      <c r="K1559" s="1"/>
      <c r="L1559" s="1"/>
      <c r="M1559" s="1"/>
      <c r="N1559" s="1"/>
      <c r="O1559" s="1"/>
      <c r="P1559" s="1"/>
      <c r="Q1559" s="1"/>
    </row>
    <row r="1560" spans="1:17">
      <c r="A1560" s="1"/>
      <c r="B1560" s="1"/>
      <c r="C1560" s="1"/>
      <c r="D1560" s="1" t="s">
        <v>5619</v>
      </c>
      <c r="E1560" s="1" t="s">
        <v>625</v>
      </c>
      <c r="F1560" s="1"/>
      <c r="G1560" s="1"/>
      <c r="H1560" s="1"/>
      <c r="I1560" s="1" t="s">
        <v>4985</v>
      </c>
      <c r="J1560" s="1"/>
      <c r="K1560" s="1"/>
      <c r="L1560" s="1"/>
      <c r="M1560" s="1"/>
      <c r="N1560" s="1"/>
      <c r="O1560" s="1"/>
      <c r="P1560" s="1"/>
      <c r="Q1560" s="1"/>
    </row>
    <row r="1561" spans="1:17">
      <c r="A1561" s="1"/>
      <c r="B1561" s="1"/>
      <c r="C1561" s="1"/>
      <c r="D1561" s="1" t="s">
        <v>5152</v>
      </c>
      <c r="E1561" s="1" t="s">
        <v>625</v>
      </c>
      <c r="F1561" s="1"/>
      <c r="G1561" s="1"/>
      <c r="H1561" s="1"/>
      <c r="I1561" s="1" t="s">
        <v>4987</v>
      </c>
      <c r="J1561" s="1"/>
      <c r="K1561" s="1"/>
      <c r="L1561" s="1"/>
      <c r="M1561" s="1"/>
      <c r="N1561" s="1"/>
      <c r="O1561" s="1"/>
      <c r="P1561" s="1"/>
      <c r="Q1561" s="1"/>
    </row>
    <row r="1562" spans="1:17">
      <c r="A1562" s="1"/>
      <c r="B1562" s="1"/>
      <c r="C1562" s="1"/>
      <c r="D1562" s="1" t="s">
        <v>5019</v>
      </c>
      <c r="E1562" s="1" t="s">
        <v>625</v>
      </c>
      <c r="F1562" s="1"/>
      <c r="G1562" s="1"/>
      <c r="H1562" s="1"/>
      <c r="I1562" s="1" t="s">
        <v>4983</v>
      </c>
      <c r="J1562" s="1"/>
      <c r="K1562" s="1"/>
      <c r="L1562" s="1"/>
      <c r="M1562" s="1"/>
      <c r="N1562" s="1"/>
      <c r="O1562" s="1"/>
      <c r="P1562" s="1"/>
      <c r="Q1562" s="1"/>
    </row>
    <row r="1563" spans="1:17">
      <c r="A1563" s="1"/>
      <c r="B1563" s="1" t="s">
        <v>4121</v>
      </c>
      <c r="C1563" s="1" t="s">
        <v>4122</v>
      </c>
      <c r="D1563" s="1" t="s">
        <v>5081</v>
      </c>
      <c r="E1563" s="1" t="s">
        <v>420</v>
      </c>
      <c r="F1563" s="1">
        <v>1</v>
      </c>
      <c r="G1563" s="1">
        <v>1.26</v>
      </c>
      <c r="H1563" s="1">
        <v>6</v>
      </c>
      <c r="J1563" s="1" t="s">
        <v>29</v>
      </c>
      <c r="K1563" s="1" t="s">
        <v>786</v>
      </c>
      <c r="L1563" s="1">
        <v>13931164773</v>
      </c>
      <c r="M1563" s="1" t="s">
        <v>787</v>
      </c>
      <c r="N1563" s="1" t="s">
        <v>786</v>
      </c>
      <c r="O1563" s="1" t="s">
        <v>787</v>
      </c>
      <c r="P1563" s="1">
        <v>13931164773</v>
      </c>
      <c r="Q1563" s="1" t="s">
        <v>4124</v>
      </c>
    </row>
    <row r="1564" spans="1:17">
      <c r="A1564" s="1"/>
      <c r="B1564" s="1"/>
      <c r="C1564" s="1"/>
      <c r="D1564" s="1" t="s">
        <v>5326</v>
      </c>
      <c r="E1564" s="1" t="s">
        <v>420</v>
      </c>
      <c r="F1564" s="1"/>
      <c r="G1564" s="1"/>
      <c r="H1564" s="1"/>
      <c r="J1564" s="1"/>
      <c r="K1564" s="1"/>
      <c r="L1564" s="1"/>
      <c r="M1564" s="1"/>
      <c r="N1564" s="1"/>
      <c r="O1564" s="1"/>
      <c r="P1564" s="1"/>
      <c r="Q1564" s="1"/>
    </row>
    <row r="1565" spans="1:17">
      <c r="A1565" s="1"/>
      <c r="B1565" s="1"/>
      <c r="C1565" s="1"/>
      <c r="D1565" s="1" t="s">
        <v>5620</v>
      </c>
      <c r="E1565" s="1" t="s">
        <v>420</v>
      </c>
      <c r="F1565" s="1"/>
      <c r="G1565" s="1"/>
      <c r="H1565" s="1"/>
      <c r="J1565" s="1"/>
      <c r="K1565" s="1"/>
      <c r="L1565" s="1"/>
      <c r="M1565" s="1"/>
      <c r="N1565" s="1"/>
      <c r="O1565" s="1"/>
      <c r="P1565" s="1"/>
      <c r="Q1565" s="1"/>
    </row>
    <row r="1566" spans="1:17">
      <c r="A1566" s="1"/>
      <c r="B1566" s="1"/>
      <c r="C1566" s="1"/>
      <c r="D1566" s="1" t="s">
        <v>5007</v>
      </c>
      <c r="E1566" s="1" t="s">
        <v>420</v>
      </c>
      <c r="F1566" s="1"/>
      <c r="G1566" s="1"/>
      <c r="H1566" s="1"/>
      <c r="J1566" s="1"/>
      <c r="K1566" s="1"/>
      <c r="L1566" s="1"/>
      <c r="M1566" s="1"/>
      <c r="N1566" s="1"/>
      <c r="O1566" s="1"/>
      <c r="P1566" s="1"/>
      <c r="Q1566" s="1"/>
    </row>
    <row r="1567" spans="1:17">
      <c r="A1567" s="1"/>
      <c r="B1567" s="1" t="s">
        <v>4126</v>
      </c>
      <c r="C1567" s="1" t="s">
        <v>4127</v>
      </c>
      <c r="D1567" s="1" t="s">
        <v>5471</v>
      </c>
      <c r="E1567" s="1" t="s">
        <v>420</v>
      </c>
      <c r="F1567" s="1">
        <v>1</v>
      </c>
      <c r="G1567" s="1">
        <v>1.49</v>
      </c>
      <c r="H1567" s="1">
        <v>8</v>
      </c>
      <c r="J1567" s="1" t="s">
        <v>40</v>
      </c>
      <c r="K1567" s="1" t="s">
        <v>1963</v>
      </c>
      <c r="L1567" s="1">
        <v>13661097422</v>
      </c>
      <c r="M1567" s="1" t="s">
        <v>1964</v>
      </c>
      <c r="N1567" s="1" t="s">
        <v>4128</v>
      </c>
      <c r="O1567" s="1" t="s">
        <v>1964</v>
      </c>
      <c r="P1567" s="1">
        <v>13661097422</v>
      </c>
      <c r="Q1567" s="1" t="s">
        <v>4129</v>
      </c>
    </row>
    <row r="1568" spans="1:17">
      <c r="A1568" s="1"/>
      <c r="B1568" s="1"/>
      <c r="C1568" s="1"/>
      <c r="D1568" s="1" t="s">
        <v>5039</v>
      </c>
      <c r="E1568" s="1" t="s">
        <v>420</v>
      </c>
      <c r="F1568" s="1"/>
      <c r="G1568" s="1"/>
      <c r="H1568" s="1"/>
      <c r="J1568" s="1"/>
      <c r="K1568" s="1"/>
      <c r="L1568" s="1"/>
      <c r="M1568" s="1"/>
      <c r="N1568" s="1"/>
      <c r="O1568" s="1"/>
      <c r="P1568" s="1"/>
      <c r="Q1568" s="1"/>
    </row>
    <row r="1569" spans="1:17">
      <c r="A1569" s="1"/>
      <c r="B1569" s="1"/>
      <c r="C1569" s="1"/>
      <c r="D1569" s="1" t="s">
        <v>5112</v>
      </c>
      <c r="E1569" s="1" t="s">
        <v>420</v>
      </c>
      <c r="F1569" s="1"/>
      <c r="G1569" s="1"/>
      <c r="H1569" s="1"/>
      <c r="J1569" s="1"/>
      <c r="K1569" s="1"/>
      <c r="L1569" s="1"/>
      <c r="M1569" s="1"/>
      <c r="N1569" s="1"/>
      <c r="O1569" s="1"/>
      <c r="P1569" s="1"/>
      <c r="Q1569" s="1"/>
    </row>
    <row r="1570" spans="1:17">
      <c r="A1570" s="1"/>
      <c r="B1570" s="1"/>
      <c r="C1570" s="1"/>
      <c r="D1570" s="1" t="s">
        <v>5472</v>
      </c>
      <c r="E1570" s="1" t="s">
        <v>420</v>
      </c>
      <c r="F1570" s="1"/>
      <c r="G1570" s="1"/>
      <c r="H1570" s="1"/>
      <c r="J1570" s="1"/>
      <c r="K1570" s="1"/>
      <c r="L1570" s="1"/>
      <c r="M1570" s="1"/>
      <c r="N1570" s="1"/>
      <c r="O1570" s="1"/>
      <c r="P1570" s="1"/>
      <c r="Q1570" s="1"/>
    </row>
    <row r="1571" spans="1:17">
      <c r="A1571" s="1"/>
      <c r="B1571" s="1" t="s">
        <v>4131</v>
      </c>
      <c r="C1571" s="1" t="s">
        <v>4132</v>
      </c>
      <c r="D1571" s="1" t="s">
        <v>5621</v>
      </c>
      <c r="E1571" s="1" t="s">
        <v>449</v>
      </c>
      <c r="F1571" s="1">
        <v>1</v>
      </c>
      <c r="G1571" s="1">
        <v>0.81</v>
      </c>
      <c r="H1571" s="1">
        <v>17</v>
      </c>
      <c r="J1571" s="1" t="s">
        <v>29</v>
      </c>
      <c r="K1571" s="1" t="s">
        <v>3069</v>
      </c>
      <c r="L1571" s="1">
        <v>17526867788</v>
      </c>
      <c r="M1571" s="1" t="s">
        <v>1230</v>
      </c>
      <c r="N1571" s="1" t="s">
        <v>3069</v>
      </c>
      <c r="O1571" s="1" t="s">
        <v>1230</v>
      </c>
      <c r="P1571" s="1">
        <v>17526867788</v>
      </c>
      <c r="Q1571" s="1" t="s">
        <v>4136</v>
      </c>
    </row>
    <row r="1572" spans="1:17">
      <c r="A1572" s="1"/>
      <c r="B1572" s="1"/>
      <c r="C1572" s="1"/>
      <c r="D1572" s="1" t="s">
        <v>4969</v>
      </c>
      <c r="E1572" s="1" t="s">
        <v>449</v>
      </c>
      <c r="F1572" s="1"/>
      <c r="G1572" s="1"/>
      <c r="H1572" s="1"/>
      <c r="I1572" s="1" t="s">
        <v>5622</v>
      </c>
      <c r="J1572" s="1"/>
      <c r="K1572" s="1"/>
      <c r="L1572" s="1"/>
      <c r="M1572" s="1"/>
      <c r="N1572" s="1"/>
      <c r="O1572" s="1"/>
      <c r="P1572" s="1"/>
      <c r="Q1572" s="1"/>
    </row>
    <row r="1573" spans="1:17">
      <c r="A1573" s="1"/>
      <c r="B1573" s="1"/>
      <c r="C1573" s="1"/>
      <c r="D1573" s="1" t="s">
        <v>5623</v>
      </c>
      <c r="E1573" s="1" t="s">
        <v>687</v>
      </c>
      <c r="F1573" s="1"/>
      <c r="G1573" s="1"/>
      <c r="H1573" s="1"/>
      <c r="J1573" s="1"/>
      <c r="K1573" s="1"/>
      <c r="L1573" s="1"/>
      <c r="M1573" s="1"/>
      <c r="N1573" s="1"/>
      <c r="O1573" s="1"/>
      <c r="P1573" s="1"/>
      <c r="Q1573" s="1"/>
    </row>
    <row r="1574" spans="1:17">
      <c r="A1574" s="1"/>
      <c r="B1574" s="1"/>
      <c r="C1574" s="1"/>
      <c r="D1574" s="1" t="s">
        <v>5624</v>
      </c>
      <c r="E1574" s="1" t="s">
        <v>5206</v>
      </c>
      <c r="F1574" s="1"/>
      <c r="G1574" s="1"/>
      <c r="H1574" s="1"/>
      <c r="I1574" s="1" t="s">
        <v>4970</v>
      </c>
      <c r="J1574" s="1"/>
      <c r="K1574" s="1"/>
      <c r="L1574" s="1"/>
      <c r="M1574" s="1"/>
      <c r="N1574" s="1"/>
      <c r="O1574" s="1"/>
      <c r="P1574" s="1"/>
      <c r="Q1574" s="1"/>
    </row>
    <row r="1575" spans="1:17">
      <c r="A1575" s="1"/>
      <c r="B1575" s="1"/>
      <c r="C1575" s="1"/>
      <c r="D1575" s="1" t="s">
        <v>5625</v>
      </c>
      <c r="E1575" s="1" t="s">
        <v>5206</v>
      </c>
      <c r="F1575" s="1"/>
      <c r="G1575" s="1"/>
      <c r="H1575" s="1"/>
      <c r="I1575" s="1" t="s">
        <v>5566</v>
      </c>
      <c r="J1575" s="1"/>
      <c r="K1575" s="1"/>
      <c r="L1575" s="1"/>
      <c r="M1575" s="1"/>
      <c r="N1575" s="1"/>
      <c r="O1575" s="1"/>
      <c r="P1575" s="1"/>
      <c r="Q1575" s="1"/>
    </row>
    <row r="1576" spans="1:17">
      <c r="A1576" s="1"/>
      <c r="B1576" s="1" t="s">
        <v>4138</v>
      </c>
      <c r="C1576" s="1" t="s">
        <v>4139</v>
      </c>
      <c r="D1576" s="1" t="s">
        <v>5360</v>
      </c>
      <c r="E1576" s="1" t="s">
        <v>743</v>
      </c>
      <c r="F1576" s="1">
        <v>1</v>
      </c>
      <c r="G1576" s="1">
        <v>1.49</v>
      </c>
      <c r="H1576" s="1">
        <v>1</v>
      </c>
      <c r="J1576" s="1" t="s">
        <v>293</v>
      </c>
      <c r="K1576" s="1" t="s">
        <v>4140</v>
      </c>
      <c r="L1576" s="1">
        <v>13752455618</v>
      </c>
      <c r="M1576" s="1" t="s">
        <v>4141</v>
      </c>
      <c r="N1576" s="1" t="s">
        <v>4140</v>
      </c>
      <c r="O1576" s="1" t="s">
        <v>4141</v>
      </c>
      <c r="P1576" s="1">
        <v>13752455618</v>
      </c>
      <c r="Q1576" s="1" t="s">
        <v>4142</v>
      </c>
    </row>
    <row r="1577" spans="1:17">
      <c r="A1577" s="1"/>
      <c r="B1577" s="1" t="s">
        <v>4144</v>
      </c>
      <c r="C1577" s="1" t="s">
        <v>4145</v>
      </c>
      <c r="D1577" s="1" t="s">
        <v>4977</v>
      </c>
      <c r="E1577" s="1" t="s">
        <v>2920</v>
      </c>
      <c r="F1577" s="1">
        <v>1</v>
      </c>
      <c r="G1577" s="1">
        <v>1.49</v>
      </c>
      <c r="H1577" s="1">
        <v>5</v>
      </c>
      <c r="J1577" s="1" t="s">
        <v>103</v>
      </c>
      <c r="K1577" s="1" t="s">
        <v>4148</v>
      </c>
      <c r="L1577" s="1">
        <v>13580542083</v>
      </c>
      <c r="M1577" s="1" t="s">
        <v>4149</v>
      </c>
      <c r="N1577" s="1" t="s">
        <v>4148</v>
      </c>
      <c r="O1577" s="1" t="s">
        <v>4149</v>
      </c>
      <c r="P1577" s="1">
        <v>13580542083</v>
      </c>
      <c r="Q1577" s="1" t="s">
        <v>4150</v>
      </c>
    </row>
    <row r="1578" spans="1:17">
      <c r="A1578" s="1"/>
      <c r="B1578" s="1"/>
      <c r="C1578" s="1"/>
      <c r="D1578" s="1" t="s">
        <v>5341</v>
      </c>
      <c r="E1578" s="1" t="s">
        <v>2920</v>
      </c>
      <c r="F1578" s="1"/>
      <c r="G1578" s="1"/>
      <c r="H1578" s="1"/>
      <c r="J1578" s="1"/>
      <c r="K1578" s="1"/>
      <c r="L1578" s="1"/>
      <c r="M1578" s="1"/>
      <c r="N1578" s="1"/>
      <c r="O1578" s="1"/>
      <c r="P1578" s="1"/>
      <c r="Q1578" s="1"/>
    </row>
    <row r="1579" spans="1:17">
      <c r="A1579" s="1"/>
      <c r="B1579" s="1"/>
      <c r="C1579" s="1"/>
      <c r="D1579" s="1" t="s">
        <v>5091</v>
      </c>
      <c r="E1579" s="1" t="s">
        <v>2920</v>
      </c>
      <c r="F1579" s="1"/>
      <c r="G1579" s="1"/>
      <c r="H1579" s="1"/>
      <c r="J1579" s="1"/>
      <c r="K1579" s="1"/>
      <c r="L1579" s="1"/>
      <c r="M1579" s="1"/>
      <c r="N1579" s="1"/>
      <c r="O1579" s="1"/>
      <c r="P1579" s="1"/>
      <c r="Q1579" s="1"/>
    </row>
    <row r="1580" spans="1:17">
      <c r="A1580" s="1"/>
      <c r="B1580" s="1"/>
      <c r="C1580" s="1"/>
      <c r="D1580" s="1" t="s">
        <v>5626</v>
      </c>
      <c r="E1580" s="1" t="s">
        <v>5074</v>
      </c>
      <c r="F1580" s="1"/>
      <c r="G1580" s="1"/>
      <c r="H1580" s="1"/>
      <c r="J1580" s="1"/>
      <c r="K1580" s="1"/>
      <c r="L1580" s="1"/>
      <c r="M1580" s="1"/>
      <c r="N1580" s="1"/>
      <c r="O1580" s="1"/>
      <c r="P1580" s="1"/>
      <c r="Q1580" s="1"/>
    </row>
    <row r="1581" spans="1:17">
      <c r="A1581" s="1"/>
      <c r="B1581" s="1"/>
      <c r="C1581" s="1"/>
      <c r="D1581" s="1" t="s">
        <v>5093</v>
      </c>
      <c r="E1581" s="1" t="s">
        <v>5094</v>
      </c>
      <c r="F1581" s="1"/>
      <c r="G1581" s="1"/>
      <c r="H1581" s="1"/>
      <c r="J1581" s="1"/>
      <c r="K1581" s="1"/>
      <c r="L1581" s="1"/>
      <c r="M1581" s="1"/>
      <c r="N1581" s="1"/>
      <c r="O1581" s="1"/>
      <c r="P1581" s="1"/>
      <c r="Q1581" s="1"/>
    </row>
    <row r="1582" spans="1:17">
      <c r="A1582" s="1"/>
      <c r="B1582" s="1" t="s">
        <v>4152</v>
      </c>
      <c r="C1582" s="1" t="s">
        <v>4153</v>
      </c>
      <c r="D1582" s="1" t="s">
        <v>5014</v>
      </c>
      <c r="E1582" s="1" t="s">
        <v>625</v>
      </c>
      <c r="F1582" s="1">
        <v>1</v>
      </c>
      <c r="G1582" s="1">
        <v>1.49</v>
      </c>
      <c r="H1582" s="1">
        <v>5</v>
      </c>
      <c r="I1582" s="1" t="s">
        <v>5048</v>
      </c>
      <c r="J1582" s="1" t="s">
        <v>40</v>
      </c>
      <c r="K1582" s="1" t="s">
        <v>635</v>
      </c>
      <c r="L1582" s="1">
        <v>13820680917</v>
      </c>
      <c r="M1582" s="1" t="s">
        <v>636</v>
      </c>
      <c r="N1582" s="1" t="s">
        <v>635</v>
      </c>
      <c r="O1582" s="1" t="s">
        <v>636</v>
      </c>
      <c r="P1582" s="1">
        <v>13820680917</v>
      </c>
      <c r="Q1582" s="1" t="s">
        <v>4154</v>
      </c>
    </row>
    <row r="1583" spans="1:17">
      <c r="A1583" s="1"/>
      <c r="B1583" s="1"/>
      <c r="C1583" s="1"/>
      <c r="D1583" s="1" t="s">
        <v>5128</v>
      </c>
      <c r="E1583" s="1" t="s">
        <v>625</v>
      </c>
      <c r="F1583" s="1"/>
      <c r="G1583" s="1"/>
      <c r="H1583" s="1"/>
      <c r="I1583" s="1" t="s">
        <v>4987</v>
      </c>
      <c r="J1583" s="1"/>
      <c r="K1583" s="1"/>
      <c r="L1583" s="1"/>
      <c r="M1583" s="1"/>
      <c r="N1583" s="1"/>
      <c r="O1583" s="1"/>
      <c r="P1583" s="1"/>
      <c r="Q1583" s="1"/>
    </row>
    <row r="1584" spans="1:17">
      <c r="A1584" s="1"/>
      <c r="B1584" s="1"/>
      <c r="C1584" s="1"/>
      <c r="D1584" s="1" t="s">
        <v>5023</v>
      </c>
      <c r="E1584" s="1" t="s">
        <v>625</v>
      </c>
      <c r="F1584" s="1"/>
      <c r="G1584" s="1"/>
      <c r="H1584" s="1"/>
      <c r="I1584" s="1" t="s">
        <v>4985</v>
      </c>
      <c r="J1584" s="1"/>
      <c r="K1584" s="1"/>
      <c r="L1584" s="1"/>
      <c r="M1584" s="1"/>
      <c r="N1584" s="1"/>
      <c r="O1584" s="1"/>
      <c r="P1584" s="1"/>
      <c r="Q1584" s="1"/>
    </row>
    <row r="1585" spans="1:17">
      <c r="A1585" s="1"/>
      <c r="B1585" s="1"/>
      <c r="C1585" s="1"/>
      <c r="D1585" s="1" t="s">
        <v>5016</v>
      </c>
      <c r="E1585" s="1" t="s">
        <v>625</v>
      </c>
      <c r="F1585" s="1"/>
      <c r="G1585" s="1"/>
      <c r="H1585" s="1"/>
      <c r="I1585" s="1" t="s">
        <v>4985</v>
      </c>
      <c r="J1585" s="1"/>
      <c r="K1585" s="1"/>
      <c r="L1585" s="1"/>
      <c r="M1585" s="1"/>
      <c r="N1585" s="1"/>
      <c r="O1585" s="1"/>
      <c r="P1585" s="1"/>
      <c r="Q1585" s="1"/>
    </row>
    <row r="1586" spans="1:17">
      <c r="A1586" s="1"/>
      <c r="B1586" s="1" t="s">
        <v>4156</v>
      </c>
      <c r="C1586" s="1" t="s">
        <v>4157</v>
      </c>
      <c r="D1586" s="1" t="s">
        <v>5153</v>
      </c>
      <c r="E1586" s="1" t="s">
        <v>625</v>
      </c>
      <c r="F1586" s="1">
        <v>1</v>
      </c>
      <c r="G1586" s="1">
        <v>1.04</v>
      </c>
      <c r="H1586" s="1">
        <v>8</v>
      </c>
      <c r="I1586" s="1" t="s">
        <v>4987</v>
      </c>
      <c r="J1586" s="1" t="s">
        <v>40</v>
      </c>
      <c r="K1586" s="1" t="s">
        <v>4160</v>
      </c>
      <c r="L1586" s="1">
        <v>13917790618</v>
      </c>
      <c r="M1586" s="1" t="s">
        <v>4161</v>
      </c>
      <c r="N1586" s="1" t="s">
        <v>4160</v>
      </c>
      <c r="O1586" s="1" t="s">
        <v>4161</v>
      </c>
      <c r="P1586" s="1">
        <v>13917790618</v>
      </c>
      <c r="Q1586" s="1" t="s">
        <v>4162</v>
      </c>
    </row>
    <row r="1587" spans="1:17">
      <c r="A1587" s="1"/>
      <c r="B1587" s="1"/>
      <c r="C1587" s="1"/>
      <c r="D1587" s="1" t="s">
        <v>5036</v>
      </c>
      <c r="E1587" s="1" t="s">
        <v>625</v>
      </c>
      <c r="F1587" s="1"/>
      <c r="G1587" s="1"/>
      <c r="H1587" s="1"/>
      <c r="I1587" s="1" t="s">
        <v>4983</v>
      </c>
      <c r="J1587" s="1"/>
      <c r="K1587" s="1"/>
      <c r="L1587" s="1"/>
      <c r="M1587" s="1"/>
      <c r="N1587" s="1"/>
      <c r="O1587" s="1"/>
      <c r="P1587" s="1"/>
      <c r="Q1587" s="1"/>
    </row>
    <row r="1588" spans="1:17">
      <c r="A1588" s="1"/>
      <c r="B1588" s="1"/>
      <c r="C1588" s="1"/>
      <c r="D1588" s="1" t="s">
        <v>5024</v>
      </c>
      <c r="E1588" s="1" t="s">
        <v>625</v>
      </c>
      <c r="F1588" s="1"/>
      <c r="G1588" s="1"/>
      <c r="H1588" s="1"/>
      <c r="I1588" s="1" t="s">
        <v>4985</v>
      </c>
      <c r="J1588" s="1"/>
      <c r="K1588" s="1"/>
      <c r="L1588" s="1"/>
      <c r="M1588" s="1"/>
      <c r="N1588" s="1"/>
      <c r="O1588" s="1"/>
      <c r="P1588" s="1"/>
      <c r="Q1588" s="1"/>
    </row>
    <row r="1589" spans="1:17">
      <c r="A1589" s="1"/>
      <c r="B1589" s="1" t="s">
        <v>4164</v>
      </c>
      <c r="C1589" s="1" t="s">
        <v>4165</v>
      </c>
      <c r="D1589" s="1" t="s">
        <v>5627</v>
      </c>
      <c r="E1589" s="1" t="s">
        <v>625</v>
      </c>
      <c r="F1589" s="1">
        <v>1</v>
      </c>
      <c r="G1589" s="1">
        <v>0.81</v>
      </c>
      <c r="H1589" s="1">
        <v>10</v>
      </c>
      <c r="J1589" s="1" t="s">
        <v>40</v>
      </c>
      <c r="K1589" s="1" t="s">
        <v>3111</v>
      </c>
      <c r="L1589" s="1">
        <v>18921628904</v>
      </c>
      <c r="M1589" s="1" t="s">
        <v>3112</v>
      </c>
      <c r="N1589" s="1" t="s">
        <v>3111</v>
      </c>
      <c r="O1589" s="1" t="s">
        <v>3112</v>
      </c>
      <c r="P1589" s="1">
        <v>18921628904</v>
      </c>
      <c r="Q1589" s="1" t="s">
        <v>4167</v>
      </c>
    </row>
    <row r="1590" spans="1:17">
      <c r="A1590" s="1"/>
      <c r="B1590" s="1" t="s">
        <v>4169</v>
      </c>
      <c r="C1590" s="1" t="s">
        <v>4170</v>
      </c>
      <c r="D1590" s="1" t="s">
        <v>5044</v>
      </c>
      <c r="E1590" s="1" t="s">
        <v>625</v>
      </c>
      <c r="F1590" s="1">
        <v>1</v>
      </c>
      <c r="G1590" s="1">
        <v>1.26</v>
      </c>
      <c r="H1590" s="1">
        <v>8</v>
      </c>
      <c r="J1590" s="1" t="s">
        <v>40</v>
      </c>
      <c r="K1590" s="1" t="s">
        <v>4172</v>
      </c>
      <c r="L1590" s="1">
        <v>18658688110</v>
      </c>
      <c r="M1590" s="1" t="s">
        <v>4173</v>
      </c>
      <c r="N1590" s="1" t="s">
        <v>4174</v>
      </c>
      <c r="O1590" s="1" t="s">
        <v>4173</v>
      </c>
      <c r="P1590" s="1">
        <v>18658688110</v>
      </c>
      <c r="Q1590" s="1" t="s">
        <v>4175</v>
      </c>
    </row>
    <row r="1591" spans="1:17">
      <c r="A1591" s="1"/>
      <c r="B1591" s="1"/>
      <c r="C1591" s="1"/>
      <c r="D1591" s="1" t="s">
        <v>5113</v>
      </c>
      <c r="E1591" s="1" t="s">
        <v>625</v>
      </c>
      <c r="F1591" s="1"/>
      <c r="G1591" s="1"/>
      <c r="H1591" s="1"/>
      <c r="J1591" s="1"/>
      <c r="K1591" s="1"/>
      <c r="L1591" s="1"/>
      <c r="M1591" s="1"/>
      <c r="N1591" s="1"/>
      <c r="O1591" s="1"/>
      <c r="P1591" s="1"/>
      <c r="Q1591" s="1"/>
    </row>
    <row r="1592" spans="1:17">
      <c r="A1592" s="1"/>
      <c r="B1592" s="1"/>
      <c r="C1592" s="1"/>
      <c r="D1592" s="1" t="s">
        <v>5628</v>
      </c>
      <c r="E1592" s="1" t="s">
        <v>625</v>
      </c>
      <c r="F1592" s="1"/>
      <c r="G1592" s="1"/>
      <c r="H1592" s="1"/>
      <c r="J1592" s="1"/>
      <c r="K1592" s="1"/>
      <c r="L1592" s="1"/>
      <c r="M1592" s="1"/>
      <c r="N1592" s="1"/>
      <c r="O1592" s="1"/>
      <c r="P1592" s="1"/>
      <c r="Q1592" s="1"/>
    </row>
    <row r="1593" spans="1:17">
      <c r="A1593" s="1"/>
      <c r="B1593" s="1"/>
      <c r="C1593" s="1"/>
      <c r="D1593" s="1" t="s">
        <v>5629</v>
      </c>
      <c r="E1593" s="1" t="s">
        <v>625</v>
      </c>
      <c r="F1593" s="1"/>
      <c r="G1593" s="1"/>
      <c r="H1593" s="1"/>
      <c r="J1593" s="1"/>
      <c r="K1593" s="1"/>
      <c r="L1593" s="1"/>
      <c r="M1593" s="1"/>
      <c r="N1593" s="1"/>
      <c r="O1593" s="1"/>
      <c r="P1593" s="1"/>
      <c r="Q1593" s="1"/>
    </row>
    <row r="1594" spans="1:17">
      <c r="A1594" s="1"/>
      <c r="B1594" s="1" t="s">
        <v>4177</v>
      </c>
      <c r="C1594" s="1" t="s">
        <v>4178</v>
      </c>
      <c r="D1594" s="1" t="s">
        <v>5091</v>
      </c>
      <c r="E1594" s="1" t="s">
        <v>2920</v>
      </c>
      <c r="F1594" s="1">
        <v>1</v>
      </c>
      <c r="G1594" s="1">
        <v>1.04</v>
      </c>
      <c r="H1594" s="1">
        <v>7</v>
      </c>
      <c r="J1594" s="1" t="s">
        <v>103</v>
      </c>
      <c r="K1594" s="1" t="s">
        <v>497</v>
      </c>
      <c r="L1594" s="1">
        <v>13787106733</v>
      </c>
      <c r="M1594" s="1" t="s">
        <v>498</v>
      </c>
      <c r="N1594" s="1" t="s">
        <v>4182</v>
      </c>
      <c r="O1594" s="1" t="s">
        <v>4183</v>
      </c>
      <c r="P1594" s="1">
        <v>15608414870</v>
      </c>
      <c r="Q1594" s="1" t="s">
        <v>4184</v>
      </c>
    </row>
    <row r="1595" spans="1:17">
      <c r="A1595" s="1"/>
      <c r="B1595" s="1"/>
      <c r="C1595" s="1"/>
      <c r="D1595" s="1" t="s">
        <v>5459</v>
      </c>
      <c r="E1595" s="1" t="s">
        <v>2920</v>
      </c>
      <c r="F1595" s="1"/>
      <c r="G1595" s="1"/>
      <c r="H1595" s="1"/>
      <c r="J1595" s="1"/>
      <c r="K1595" s="1"/>
      <c r="L1595" s="1"/>
      <c r="M1595" s="1"/>
      <c r="N1595" s="1"/>
      <c r="O1595" s="1"/>
      <c r="P1595" s="1"/>
      <c r="Q1595" s="1"/>
    </row>
    <row r="1596" spans="1:17">
      <c r="A1596" s="1"/>
      <c r="B1596" s="1"/>
      <c r="C1596" s="1"/>
      <c r="D1596" s="1" t="s">
        <v>5095</v>
      </c>
      <c r="E1596" s="1" t="s">
        <v>5206</v>
      </c>
      <c r="F1596" s="1"/>
      <c r="G1596" s="1"/>
      <c r="H1596" s="1"/>
      <c r="I1596" s="1" t="s">
        <v>450</v>
      </c>
      <c r="J1596" s="1"/>
      <c r="K1596" s="1"/>
      <c r="L1596" s="1"/>
      <c r="M1596" s="1"/>
      <c r="N1596" s="1"/>
      <c r="O1596" s="1"/>
      <c r="P1596" s="1"/>
      <c r="Q1596" s="1"/>
    </row>
    <row r="1597" spans="1:17">
      <c r="A1597" s="1"/>
      <c r="B1597" s="1"/>
      <c r="C1597" s="1"/>
      <c r="D1597" s="1" t="s">
        <v>5630</v>
      </c>
      <c r="E1597" s="1" t="s">
        <v>5206</v>
      </c>
      <c r="F1597" s="1"/>
      <c r="G1597" s="1"/>
      <c r="H1597" s="1"/>
      <c r="I1597" s="1" t="s">
        <v>5631</v>
      </c>
      <c r="J1597" s="1"/>
      <c r="K1597" s="1"/>
      <c r="L1597" s="1"/>
      <c r="M1597" s="1"/>
      <c r="N1597" s="1"/>
      <c r="O1597" s="1"/>
      <c r="P1597" s="1"/>
      <c r="Q1597" s="1"/>
    </row>
    <row r="1598" spans="1:17">
      <c r="A1598" s="1"/>
      <c r="B1598" s="1" t="s">
        <v>4186</v>
      </c>
      <c r="C1598" s="1" t="s">
        <v>4187</v>
      </c>
      <c r="D1598" s="1" t="s">
        <v>4977</v>
      </c>
      <c r="E1598" s="1" t="s">
        <v>2920</v>
      </c>
      <c r="F1598" s="1">
        <v>1</v>
      </c>
      <c r="G1598" s="1">
        <v>0.81</v>
      </c>
      <c r="H1598" s="1">
        <v>2</v>
      </c>
      <c r="J1598" s="1" t="s">
        <v>103</v>
      </c>
      <c r="K1598" s="1" t="s">
        <v>4188</v>
      </c>
      <c r="L1598" s="1">
        <v>15303114669</v>
      </c>
      <c r="M1598" s="1" t="s">
        <v>4189</v>
      </c>
      <c r="N1598" s="1" t="s">
        <v>4190</v>
      </c>
      <c r="O1598" s="1" t="s">
        <v>4189</v>
      </c>
      <c r="P1598" s="1">
        <v>15303114669</v>
      </c>
      <c r="Q1598" s="1" t="s">
        <v>4191</v>
      </c>
    </row>
    <row r="1599" spans="1:17">
      <c r="A1599" s="1"/>
      <c r="B1599" s="1"/>
      <c r="C1599" s="1"/>
      <c r="D1599" s="1" t="s">
        <v>5091</v>
      </c>
      <c r="E1599" s="1" t="s">
        <v>2920</v>
      </c>
      <c r="F1599" s="1"/>
      <c r="G1599" s="1"/>
      <c r="H1599" s="1"/>
      <c r="J1599" s="1"/>
      <c r="K1599" s="1"/>
      <c r="L1599" s="1"/>
      <c r="M1599" s="1"/>
      <c r="N1599" s="1"/>
      <c r="O1599" s="1"/>
      <c r="P1599" s="1"/>
      <c r="Q1599" s="1"/>
    </row>
    <row r="1600" spans="1:17">
      <c r="A1600" s="1"/>
      <c r="B1600" s="1" t="s">
        <v>4193</v>
      </c>
      <c r="C1600" s="1" t="s">
        <v>4194</v>
      </c>
      <c r="D1600" s="1" t="s">
        <v>5632</v>
      </c>
      <c r="E1600" s="1" t="s">
        <v>1210</v>
      </c>
      <c r="F1600" s="1">
        <v>1</v>
      </c>
      <c r="G1600" s="1">
        <v>1.26</v>
      </c>
      <c r="H1600" s="1">
        <v>14</v>
      </c>
      <c r="I1600" s="1" t="s">
        <v>1634</v>
      </c>
      <c r="J1600" s="1" t="s">
        <v>29</v>
      </c>
      <c r="K1600" s="1" t="s">
        <v>991</v>
      </c>
      <c r="L1600" s="1">
        <v>17695963119</v>
      </c>
      <c r="M1600" s="1" t="s">
        <v>992</v>
      </c>
      <c r="N1600" s="1" t="s">
        <v>4198</v>
      </c>
      <c r="O1600" s="1" t="s">
        <v>4199</v>
      </c>
      <c r="P1600" s="1">
        <v>13920096889</v>
      </c>
      <c r="Q1600" s="1" t="s">
        <v>4200</v>
      </c>
    </row>
    <row r="1601" spans="1:17">
      <c r="A1601" s="1"/>
      <c r="B1601" s="1"/>
      <c r="C1601" s="1"/>
      <c r="D1601" s="1" t="s">
        <v>5633</v>
      </c>
      <c r="E1601" s="1" t="s">
        <v>449</v>
      </c>
      <c r="F1601" s="1"/>
      <c r="G1601" s="1"/>
      <c r="H1601" s="1"/>
      <c r="J1601" s="1"/>
      <c r="K1601" s="1"/>
      <c r="L1601" s="1"/>
      <c r="M1601" s="1"/>
      <c r="N1601" s="1"/>
      <c r="O1601" s="1"/>
      <c r="P1601" s="1"/>
      <c r="Q1601" s="1"/>
    </row>
    <row r="1602" spans="1:17">
      <c r="A1602" s="1"/>
      <c r="B1602" s="1"/>
      <c r="C1602" s="1"/>
      <c r="D1602" s="1" t="s">
        <v>5634</v>
      </c>
      <c r="E1602" s="1" t="s">
        <v>449</v>
      </c>
      <c r="F1602" s="1"/>
      <c r="G1602" s="1"/>
      <c r="H1602" s="1"/>
      <c r="J1602" s="1"/>
      <c r="K1602" s="1"/>
      <c r="L1602" s="1"/>
      <c r="M1602" s="1"/>
      <c r="N1602" s="1"/>
      <c r="O1602" s="1"/>
      <c r="P1602" s="1"/>
      <c r="Q1602" s="1"/>
    </row>
    <row r="1603" spans="1:17">
      <c r="A1603" s="1"/>
      <c r="B1603" s="1"/>
      <c r="C1603" s="1"/>
      <c r="D1603" s="1" t="s">
        <v>5635</v>
      </c>
      <c r="E1603" s="1" t="s">
        <v>420</v>
      </c>
      <c r="F1603" s="1"/>
      <c r="G1603" s="1"/>
      <c r="H1603" s="1"/>
      <c r="J1603" s="1"/>
      <c r="K1603" s="1"/>
      <c r="L1603" s="1"/>
      <c r="M1603" s="1"/>
      <c r="N1603" s="1"/>
      <c r="O1603" s="1"/>
      <c r="P1603" s="1"/>
      <c r="Q1603" s="1"/>
    </row>
    <row r="1604" spans="1:17">
      <c r="A1604" s="1"/>
      <c r="B1604" s="1" t="s">
        <v>4202</v>
      </c>
      <c r="C1604" s="1" t="s">
        <v>4203</v>
      </c>
      <c r="D1604" s="1" t="s">
        <v>5140</v>
      </c>
      <c r="E1604" s="1" t="s">
        <v>696</v>
      </c>
      <c r="F1604" s="1">
        <v>1</v>
      </c>
      <c r="G1604" s="1">
        <v>1.49</v>
      </c>
      <c r="H1604" s="1">
        <v>15</v>
      </c>
      <c r="J1604" s="1" t="s">
        <v>29</v>
      </c>
      <c r="K1604" s="1" t="s">
        <v>697</v>
      </c>
      <c r="L1604" s="1">
        <v>13635290903</v>
      </c>
      <c r="M1604" s="1" t="s">
        <v>698</v>
      </c>
      <c r="N1604" s="1" t="s">
        <v>4204</v>
      </c>
      <c r="O1604" s="1" t="s">
        <v>698</v>
      </c>
      <c r="P1604" s="1">
        <v>13635290903</v>
      </c>
      <c r="Q1604" s="1" t="s">
        <v>4205</v>
      </c>
    </row>
    <row r="1605" spans="1:17">
      <c r="A1605" s="1"/>
      <c r="B1605" s="1" t="s">
        <v>4207</v>
      </c>
      <c r="C1605" s="1" t="s">
        <v>4208</v>
      </c>
      <c r="D1605" s="1" t="s">
        <v>5085</v>
      </c>
      <c r="E1605" s="1" t="s">
        <v>1210</v>
      </c>
      <c r="F1605" s="1">
        <v>1</v>
      </c>
      <c r="G1605" s="1">
        <v>1.49</v>
      </c>
      <c r="H1605" s="1">
        <v>5</v>
      </c>
      <c r="I1605" s="1" t="s">
        <v>5111</v>
      </c>
      <c r="J1605" s="1" t="s">
        <v>29</v>
      </c>
      <c r="K1605" s="1" t="s">
        <v>3150</v>
      </c>
      <c r="L1605" s="1">
        <v>13969103407</v>
      </c>
      <c r="M1605" s="1" t="s">
        <v>3151</v>
      </c>
      <c r="N1605" s="1" t="s">
        <v>4211</v>
      </c>
      <c r="O1605" s="1" t="s">
        <v>3151</v>
      </c>
      <c r="P1605" s="1">
        <v>13969103407</v>
      </c>
      <c r="Q1605" s="1" t="s">
        <v>4212</v>
      </c>
    </row>
    <row r="1606" spans="1:17">
      <c r="A1606" s="1"/>
      <c r="B1606" s="1"/>
      <c r="C1606" s="1"/>
      <c r="D1606" s="1" t="s">
        <v>5636</v>
      </c>
      <c r="E1606" s="1" t="s">
        <v>5637</v>
      </c>
      <c r="F1606" s="1"/>
      <c r="G1606" s="1"/>
      <c r="H1606" s="1"/>
      <c r="J1606" s="1"/>
      <c r="K1606" s="1"/>
      <c r="L1606" s="1"/>
      <c r="M1606" s="1"/>
      <c r="N1606" s="1"/>
      <c r="O1606" s="1"/>
      <c r="P1606" s="1"/>
      <c r="Q1606" s="1"/>
    </row>
    <row r="1607" spans="1:17">
      <c r="A1607" s="1"/>
      <c r="B1607" s="1"/>
      <c r="C1607" s="1"/>
      <c r="D1607" s="1" t="s">
        <v>4977</v>
      </c>
      <c r="E1607" s="1" t="s">
        <v>5638</v>
      </c>
      <c r="F1607" s="1"/>
      <c r="G1607" s="1"/>
      <c r="H1607" s="1"/>
      <c r="J1607" s="1"/>
      <c r="K1607" s="1"/>
      <c r="L1607" s="1"/>
      <c r="M1607" s="1"/>
      <c r="N1607" s="1"/>
      <c r="O1607" s="1"/>
      <c r="P1607" s="1"/>
      <c r="Q1607" s="1"/>
    </row>
    <row r="1608" spans="1:17">
      <c r="A1608" s="1"/>
      <c r="B1608" s="1"/>
      <c r="C1608" s="1"/>
      <c r="D1608" s="1" t="s">
        <v>5639</v>
      </c>
      <c r="E1608" s="1" t="s">
        <v>5348</v>
      </c>
      <c r="F1608" s="1"/>
      <c r="G1608" s="1"/>
      <c r="H1608" s="1"/>
      <c r="J1608" s="1"/>
      <c r="K1608" s="1"/>
      <c r="L1608" s="1"/>
      <c r="M1608" s="1"/>
      <c r="N1608" s="1"/>
      <c r="O1608" s="1"/>
      <c r="P1608" s="1"/>
      <c r="Q1608" s="1"/>
    </row>
    <row r="1609" spans="1:17">
      <c r="A1609" s="1"/>
      <c r="B1609" s="1" t="s">
        <v>4214</v>
      </c>
      <c r="C1609" s="1" t="s">
        <v>4215</v>
      </c>
      <c r="D1609" s="1" t="s">
        <v>5076</v>
      </c>
      <c r="E1609" s="1" t="s">
        <v>2413</v>
      </c>
      <c r="F1609" s="1">
        <v>1</v>
      </c>
      <c r="G1609" s="1">
        <v>1.04</v>
      </c>
      <c r="H1609" s="1">
        <v>5</v>
      </c>
      <c r="I1609" s="1" t="s">
        <v>450</v>
      </c>
      <c r="J1609" s="1" t="s">
        <v>29</v>
      </c>
      <c r="K1609" s="1" t="s">
        <v>4218</v>
      </c>
      <c r="L1609" s="1">
        <v>13873653838</v>
      </c>
      <c r="M1609" s="1" t="s">
        <v>4219</v>
      </c>
      <c r="N1609" s="1" t="s">
        <v>4220</v>
      </c>
      <c r="O1609" s="1" t="s">
        <v>4221</v>
      </c>
      <c r="P1609" s="1">
        <v>15367791616</v>
      </c>
      <c r="Q1609" s="1" t="s">
        <v>4222</v>
      </c>
    </row>
    <row r="1610" spans="1:17">
      <c r="A1610" s="1"/>
      <c r="B1610" s="1"/>
      <c r="C1610" s="1"/>
      <c r="D1610" s="1" t="s">
        <v>5126</v>
      </c>
      <c r="E1610" s="1" t="s">
        <v>2413</v>
      </c>
      <c r="F1610" s="1"/>
      <c r="G1610" s="1"/>
      <c r="H1610" s="1"/>
      <c r="I1610" s="1" t="s">
        <v>1634</v>
      </c>
      <c r="J1610" s="1"/>
      <c r="K1610" s="1"/>
      <c r="L1610" s="1"/>
      <c r="M1610" s="1"/>
      <c r="N1610" s="1"/>
      <c r="O1610" s="1"/>
      <c r="P1610" s="1"/>
      <c r="Q1610" s="1"/>
    </row>
    <row r="1611" spans="1:17">
      <c r="A1611" s="1"/>
      <c r="B1611" s="1"/>
      <c r="C1611" s="1"/>
      <c r="D1611" s="1" t="s">
        <v>5078</v>
      </c>
      <c r="E1611" s="1" t="s">
        <v>2413</v>
      </c>
      <c r="F1611" s="1"/>
      <c r="G1611" s="1"/>
      <c r="H1611" s="1"/>
      <c r="I1611" s="1" t="s">
        <v>4972</v>
      </c>
      <c r="J1611" s="1"/>
      <c r="K1611" s="1"/>
      <c r="L1611" s="1"/>
      <c r="M1611" s="1"/>
      <c r="N1611" s="1"/>
      <c r="O1611" s="1"/>
      <c r="P1611" s="1"/>
      <c r="Q1611" s="1"/>
    </row>
    <row r="1612" spans="1:17">
      <c r="A1612" s="1"/>
      <c r="B1612" s="1" t="s">
        <v>4224</v>
      </c>
      <c r="C1612" s="1" t="s">
        <v>4225</v>
      </c>
      <c r="D1612" s="1" t="s">
        <v>5492</v>
      </c>
      <c r="E1612" s="1" t="s">
        <v>625</v>
      </c>
      <c r="F1612" s="1">
        <v>1</v>
      </c>
      <c r="G1612" s="1">
        <v>1.72</v>
      </c>
      <c r="H1612" s="1">
        <v>10</v>
      </c>
      <c r="I1612" s="1" t="s">
        <v>4985</v>
      </c>
      <c r="J1612" s="1" t="s">
        <v>40</v>
      </c>
      <c r="K1612" s="1" t="s">
        <v>752</v>
      </c>
      <c r="L1612" s="1">
        <v>18958811267</v>
      </c>
      <c r="M1612" s="1" t="s">
        <v>753</v>
      </c>
      <c r="N1612" s="1" t="s">
        <v>4226</v>
      </c>
      <c r="O1612" s="1" t="s">
        <v>4227</v>
      </c>
      <c r="P1612" s="1">
        <v>13732018958</v>
      </c>
      <c r="Q1612" s="1" t="s">
        <v>4228</v>
      </c>
    </row>
    <row r="1613" spans="1:17">
      <c r="A1613" s="1"/>
      <c r="B1613" s="1" t="s">
        <v>4230</v>
      </c>
      <c r="C1613" s="1" t="s">
        <v>4231</v>
      </c>
      <c r="D1613" s="1" t="s">
        <v>4990</v>
      </c>
      <c r="E1613" s="1" t="s">
        <v>1633</v>
      </c>
      <c r="F1613" s="1">
        <v>1</v>
      </c>
      <c r="G1613" s="1">
        <v>0.81</v>
      </c>
      <c r="H1613" s="1">
        <v>5</v>
      </c>
      <c r="I1613" s="1" t="s">
        <v>4968</v>
      </c>
      <c r="J1613" s="1" t="s">
        <v>29</v>
      </c>
      <c r="K1613" s="1" t="s">
        <v>3184</v>
      </c>
      <c r="L1613" s="1">
        <v>13903460303</v>
      </c>
      <c r="M1613" s="1" t="s">
        <v>3185</v>
      </c>
      <c r="N1613" s="1" t="s">
        <v>4234</v>
      </c>
      <c r="O1613" s="1" t="s">
        <v>4235</v>
      </c>
      <c r="P1613" s="1">
        <v>15536629444</v>
      </c>
      <c r="Q1613" s="1" t="s">
        <v>4236</v>
      </c>
    </row>
    <row r="1614" spans="1:17">
      <c r="A1614" s="1"/>
      <c r="B1614" s="1"/>
      <c r="C1614" s="1"/>
      <c r="D1614" s="1" t="s">
        <v>5640</v>
      </c>
      <c r="E1614" s="1" t="s">
        <v>1633</v>
      </c>
      <c r="F1614" s="1"/>
      <c r="G1614" s="1"/>
      <c r="H1614" s="1"/>
      <c r="I1614" s="1" t="s">
        <v>4968</v>
      </c>
      <c r="J1614" s="1"/>
      <c r="K1614" s="1"/>
      <c r="L1614" s="1"/>
      <c r="M1614" s="1"/>
      <c r="N1614" s="1"/>
      <c r="O1614" s="1"/>
      <c r="P1614" s="1"/>
      <c r="Q1614" s="1"/>
    </row>
    <row r="1615" spans="1:17">
      <c r="A1615" s="1"/>
      <c r="B1615" s="1"/>
      <c r="C1615" s="1"/>
      <c r="D1615" s="1" t="s">
        <v>5009</v>
      </c>
      <c r="E1615" s="1" t="s">
        <v>1633</v>
      </c>
      <c r="F1615" s="1"/>
      <c r="G1615" s="1"/>
      <c r="H1615" s="1"/>
      <c r="I1615" s="1" t="s">
        <v>5641</v>
      </c>
      <c r="J1615" s="1"/>
      <c r="K1615" s="1"/>
      <c r="L1615" s="1"/>
      <c r="M1615" s="1"/>
      <c r="N1615" s="1"/>
      <c r="O1615" s="1"/>
      <c r="P1615" s="1"/>
      <c r="Q1615" s="1"/>
    </row>
    <row r="1616" spans="1:17">
      <c r="A1616" s="1"/>
      <c r="B1616" s="1"/>
      <c r="C1616" s="1"/>
      <c r="D1616" s="1" t="s">
        <v>5005</v>
      </c>
      <c r="E1616" s="1" t="s">
        <v>1633</v>
      </c>
      <c r="F1616" s="1"/>
      <c r="G1616" s="1"/>
      <c r="H1616" s="1"/>
      <c r="I1616" s="1" t="s">
        <v>4968</v>
      </c>
      <c r="J1616" s="1"/>
      <c r="K1616" s="1"/>
      <c r="L1616" s="1"/>
      <c r="M1616" s="1"/>
      <c r="N1616" s="1"/>
      <c r="O1616" s="1"/>
      <c r="P1616" s="1"/>
      <c r="Q1616" s="1"/>
    </row>
    <row r="1617" spans="1:17">
      <c r="A1617" s="1"/>
      <c r="B1617" s="1" t="s">
        <v>4238</v>
      </c>
      <c r="C1617" s="1" t="s">
        <v>4239</v>
      </c>
      <c r="D1617" s="1" t="s">
        <v>5447</v>
      </c>
      <c r="E1617" s="1" t="s">
        <v>625</v>
      </c>
      <c r="F1617" s="1">
        <v>1</v>
      </c>
      <c r="G1617" s="1">
        <v>1.49</v>
      </c>
      <c r="H1617" s="1">
        <v>3</v>
      </c>
      <c r="I1617" s="1" t="s">
        <v>4241</v>
      </c>
      <c r="J1617" s="1" t="s">
        <v>40</v>
      </c>
      <c r="K1617" s="1" t="s">
        <v>803</v>
      </c>
      <c r="L1617" s="1">
        <v>13905157907</v>
      </c>
      <c r="M1617" s="1" t="s">
        <v>804</v>
      </c>
      <c r="N1617" s="1" t="s">
        <v>803</v>
      </c>
      <c r="O1617" s="1" t="s">
        <v>4242</v>
      </c>
      <c r="P1617" s="1">
        <v>13913899058</v>
      </c>
      <c r="Q1617" s="1" t="s">
        <v>4243</v>
      </c>
    </row>
    <row r="1618" spans="1:17">
      <c r="A1618" s="1"/>
      <c r="B1618" s="1" t="s">
        <v>4245</v>
      </c>
      <c r="C1618" s="1" t="s">
        <v>4246</v>
      </c>
      <c r="D1618" s="1" t="s">
        <v>5613</v>
      </c>
      <c r="E1618" s="1" t="s">
        <v>625</v>
      </c>
      <c r="F1618" s="1">
        <v>1</v>
      </c>
      <c r="G1618" s="1">
        <v>0.35</v>
      </c>
      <c r="H1618" s="1">
        <v>3</v>
      </c>
      <c r="J1618" s="1" t="s">
        <v>40</v>
      </c>
      <c r="K1618" s="1" t="s">
        <v>4248</v>
      </c>
      <c r="L1618" s="1">
        <v>18223457491</v>
      </c>
      <c r="M1618" s="1" t="s">
        <v>4249</v>
      </c>
      <c r="N1618" s="1" t="s">
        <v>4250</v>
      </c>
      <c r="O1618" s="1" t="s">
        <v>4249</v>
      </c>
      <c r="P1618" s="1">
        <v>18223457491</v>
      </c>
      <c r="Q1618" s="1" t="s">
        <v>4251</v>
      </c>
    </row>
    <row r="1619" spans="1:17">
      <c r="A1619" s="1"/>
      <c r="B1619" s="1" t="s">
        <v>4253</v>
      </c>
      <c r="C1619" s="1" t="s">
        <v>4254</v>
      </c>
      <c r="D1619" s="1" t="s">
        <v>4967</v>
      </c>
      <c r="E1619" s="1" t="s">
        <v>2413</v>
      </c>
      <c r="F1619" s="1">
        <v>1</v>
      </c>
      <c r="G1619" s="1">
        <v>0.81</v>
      </c>
      <c r="H1619" s="1">
        <v>9</v>
      </c>
      <c r="I1619" s="1" t="s">
        <v>4968</v>
      </c>
      <c r="J1619" s="1" t="s">
        <v>29</v>
      </c>
      <c r="K1619" s="1" t="s">
        <v>82</v>
      </c>
      <c r="L1619" s="1">
        <v>15210622672</v>
      </c>
      <c r="M1619" s="1" t="s">
        <v>871</v>
      </c>
      <c r="N1619" s="1" t="s">
        <v>4255</v>
      </c>
      <c r="O1619" s="1" t="s">
        <v>4256</v>
      </c>
      <c r="P1619" s="1">
        <v>13373155557</v>
      </c>
      <c r="Q1619" s="1" t="s">
        <v>4257</v>
      </c>
    </row>
    <row r="1620" spans="1:17">
      <c r="A1620" s="1"/>
      <c r="B1620" s="1"/>
      <c r="C1620" s="1"/>
      <c r="D1620" s="1" t="s">
        <v>5175</v>
      </c>
      <c r="E1620" s="1" t="s">
        <v>2413</v>
      </c>
      <c r="F1620" s="1"/>
      <c r="G1620" s="1"/>
      <c r="H1620" s="1"/>
      <c r="I1620" s="1" t="s">
        <v>4970</v>
      </c>
      <c r="J1620" s="1"/>
      <c r="K1620" s="1"/>
      <c r="L1620" s="1"/>
      <c r="M1620" s="1"/>
      <c r="N1620" s="1"/>
      <c r="O1620" s="1"/>
      <c r="P1620" s="1"/>
      <c r="Q1620" s="1"/>
    </row>
    <row r="1621" spans="1:17">
      <c r="A1621" s="1"/>
      <c r="B1621" s="1" t="s">
        <v>4259</v>
      </c>
      <c r="C1621" s="1" t="s">
        <v>4260</v>
      </c>
      <c r="D1621" s="1" t="s">
        <v>5642</v>
      </c>
      <c r="E1621" s="1" t="s">
        <v>5176</v>
      </c>
      <c r="F1621" s="1">
        <v>1</v>
      </c>
      <c r="G1621" s="1">
        <v>1.26</v>
      </c>
      <c r="H1621" s="1">
        <v>13</v>
      </c>
      <c r="I1621" s="1" t="s">
        <v>5180</v>
      </c>
      <c r="J1621" s="1" t="s">
        <v>29</v>
      </c>
      <c r="K1621" s="1" t="s">
        <v>879</v>
      </c>
      <c r="L1621" s="1">
        <v>18330660293</v>
      </c>
      <c r="M1621" s="1" t="s">
        <v>880</v>
      </c>
      <c r="N1621" s="1" t="s">
        <v>4263</v>
      </c>
      <c r="O1621" s="1" t="s">
        <v>880</v>
      </c>
      <c r="P1621" s="1">
        <v>18330660293</v>
      </c>
      <c r="Q1621" s="1" t="s">
        <v>4264</v>
      </c>
    </row>
    <row r="1622" spans="1:17">
      <c r="A1622" s="1"/>
      <c r="B1622" s="1"/>
      <c r="C1622" s="1"/>
      <c r="D1622" s="1" t="s">
        <v>5261</v>
      </c>
      <c r="E1622" s="1" t="s">
        <v>5176</v>
      </c>
      <c r="F1622" s="1"/>
      <c r="G1622" s="1"/>
      <c r="H1622" s="1"/>
      <c r="I1622" s="1" t="s">
        <v>5173</v>
      </c>
      <c r="J1622" s="1"/>
      <c r="K1622" s="1"/>
      <c r="L1622" s="1"/>
      <c r="M1622" s="1"/>
      <c r="N1622" s="1"/>
      <c r="O1622" s="1"/>
      <c r="P1622" s="1"/>
      <c r="Q1622" s="1"/>
    </row>
    <row r="1623" spans="1:17">
      <c r="A1623" s="1"/>
      <c r="B1623" s="1"/>
      <c r="C1623" s="1"/>
      <c r="D1623" s="1" t="s">
        <v>5643</v>
      </c>
      <c r="E1623" s="1" t="s">
        <v>5176</v>
      </c>
      <c r="F1623" s="1"/>
      <c r="G1623" s="1"/>
      <c r="H1623" s="1"/>
      <c r="I1623" s="1" t="s">
        <v>5531</v>
      </c>
      <c r="J1623" s="1"/>
      <c r="K1623" s="1"/>
      <c r="L1623" s="1"/>
      <c r="M1623" s="1"/>
      <c r="N1623" s="1"/>
      <c r="O1623" s="1"/>
      <c r="P1623" s="1"/>
      <c r="Q1623" s="1"/>
    </row>
    <row r="1624" spans="1:17">
      <c r="A1624" s="1"/>
      <c r="B1624" s="1"/>
      <c r="C1624" s="1"/>
      <c r="D1624" s="1" t="s">
        <v>5112</v>
      </c>
      <c r="E1624" s="1" t="s">
        <v>2413</v>
      </c>
      <c r="F1624" s="1"/>
      <c r="G1624" s="1"/>
      <c r="H1624" s="1"/>
      <c r="I1624" s="1" t="s">
        <v>5591</v>
      </c>
      <c r="J1624" s="1"/>
      <c r="K1624" s="1"/>
      <c r="L1624" s="1"/>
      <c r="M1624" s="1"/>
      <c r="N1624" s="1"/>
      <c r="O1624" s="1"/>
      <c r="P1624" s="1"/>
      <c r="Q1624" s="1"/>
    </row>
    <row r="1625" spans="1:17">
      <c r="A1625" s="1"/>
      <c r="B1625" s="1"/>
      <c r="C1625" s="1"/>
      <c r="D1625" s="1" t="s">
        <v>5441</v>
      </c>
      <c r="E1625" s="1" t="s">
        <v>2413</v>
      </c>
      <c r="F1625" s="1"/>
      <c r="G1625" s="1"/>
      <c r="H1625" s="1"/>
      <c r="I1625" s="1" t="s">
        <v>4970</v>
      </c>
      <c r="J1625" s="1"/>
      <c r="K1625" s="1"/>
      <c r="L1625" s="1"/>
      <c r="M1625" s="1"/>
      <c r="N1625" s="1"/>
      <c r="O1625" s="1"/>
      <c r="P1625" s="1"/>
      <c r="Q1625" s="1"/>
    </row>
    <row r="1626" spans="1:17">
      <c r="A1626" s="1"/>
      <c r="B1626" s="1" t="s">
        <v>4266</v>
      </c>
      <c r="C1626" s="1" t="s">
        <v>4267</v>
      </c>
      <c r="D1626" s="1" t="s">
        <v>5244</v>
      </c>
      <c r="E1626" s="1" t="s">
        <v>625</v>
      </c>
      <c r="F1626" s="1">
        <v>1</v>
      </c>
      <c r="G1626" s="1">
        <v>1.04</v>
      </c>
      <c r="H1626" s="1">
        <v>9</v>
      </c>
      <c r="I1626" s="1" t="s">
        <v>5235</v>
      </c>
      <c r="J1626" s="1" t="s">
        <v>40</v>
      </c>
      <c r="K1626" s="1" t="s">
        <v>899</v>
      </c>
      <c r="L1626" s="1">
        <v>18903126532</v>
      </c>
      <c r="M1626" s="1" t="s">
        <v>900</v>
      </c>
      <c r="N1626" s="1" t="s">
        <v>4270</v>
      </c>
      <c r="O1626" s="1" t="s">
        <v>900</v>
      </c>
      <c r="P1626" s="1">
        <v>18903126532</v>
      </c>
      <c r="Q1626" s="1" t="s">
        <v>4271</v>
      </c>
    </row>
    <row r="1627" spans="1:17">
      <c r="A1627" s="1"/>
      <c r="B1627" s="1"/>
      <c r="C1627" s="1"/>
      <c r="D1627" s="1" t="s">
        <v>5644</v>
      </c>
      <c r="E1627" s="1" t="s">
        <v>625</v>
      </c>
      <c r="F1627" s="1"/>
      <c r="G1627" s="1"/>
      <c r="H1627" s="1"/>
      <c r="I1627" s="1" t="s">
        <v>4985</v>
      </c>
      <c r="J1627" s="1"/>
      <c r="K1627" s="1"/>
      <c r="L1627" s="1"/>
      <c r="M1627" s="1"/>
      <c r="N1627" s="1"/>
      <c r="O1627" s="1"/>
      <c r="P1627" s="1"/>
      <c r="Q1627" s="1"/>
    </row>
    <row r="1628" spans="1:17">
      <c r="A1628" s="1"/>
      <c r="B1628" s="1"/>
      <c r="C1628" s="1"/>
      <c r="D1628" s="1" t="s">
        <v>5039</v>
      </c>
      <c r="E1628" s="1" t="s">
        <v>625</v>
      </c>
      <c r="F1628" s="1"/>
      <c r="G1628" s="1"/>
      <c r="H1628" s="1"/>
      <c r="I1628" s="1" t="s">
        <v>4987</v>
      </c>
      <c r="J1628" s="1"/>
      <c r="K1628" s="1"/>
      <c r="L1628" s="1"/>
      <c r="M1628" s="1"/>
      <c r="N1628" s="1"/>
      <c r="O1628" s="1"/>
      <c r="P1628" s="1"/>
      <c r="Q1628" s="1"/>
    </row>
    <row r="1629" spans="1:17">
      <c r="A1629" s="1"/>
      <c r="B1629" s="1" t="s">
        <v>4273</v>
      </c>
      <c r="C1629" s="1" t="s">
        <v>4274</v>
      </c>
      <c r="D1629" s="1" t="s">
        <v>5645</v>
      </c>
      <c r="E1629" s="1" t="s">
        <v>2069</v>
      </c>
      <c r="F1629" s="1">
        <v>1</v>
      </c>
      <c r="G1629" s="1">
        <v>0.81</v>
      </c>
      <c r="H1629" s="1">
        <v>3</v>
      </c>
      <c r="J1629" s="1" t="s">
        <v>103</v>
      </c>
      <c r="K1629" s="1" t="s">
        <v>4276</v>
      </c>
      <c r="L1629" s="1">
        <v>13611082359</v>
      </c>
      <c r="M1629" s="1" t="s">
        <v>4277</v>
      </c>
      <c r="N1629" s="1" t="s">
        <v>4278</v>
      </c>
      <c r="O1629" s="1" t="s">
        <v>4277</v>
      </c>
      <c r="P1629" s="1">
        <v>13611082359</v>
      </c>
      <c r="Q1629" s="1" t="s">
        <v>4279</v>
      </c>
    </row>
    <row r="1630" spans="1:17">
      <c r="A1630" s="1"/>
      <c r="B1630" s="1" t="s">
        <v>4281</v>
      </c>
      <c r="C1630" s="1" t="s">
        <v>4282</v>
      </c>
      <c r="D1630" s="1" t="s">
        <v>5182</v>
      </c>
      <c r="E1630" s="1" t="s">
        <v>625</v>
      </c>
      <c r="F1630" s="1">
        <v>1</v>
      </c>
      <c r="G1630" s="1">
        <v>1.72</v>
      </c>
      <c r="H1630" s="1">
        <v>3</v>
      </c>
      <c r="J1630" s="1" t="s">
        <v>40</v>
      </c>
      <c r="K1630" s="1" t="s">
        <v>917</v>
      </c>
      <c r="L1630" s="1">
        <v>15900779722</v>
      </c>
      <c r="M1630" s="1" t="s">
        <v>918</v>
      </c>
      <c r="N1630" s="1" t="s">
        <v>917</v>
      </c>
      <c r="O1630" s="1" t="s">
        <v>918</v>
      </c>
      <c r="P1630" s="1">
        <v>15900129722</v>
      </c>
      <c r="Q1630" s="1" t="s">
        <v>4283</v>
      </c>
    </row>
    <row r="1631" spans="1:17">
      <c r="A1631" s="1"/>
      <c r="B1631" s="1" t="s">
        <v>4285</v>
      </c>
      <c r="C1631" s="1" t="s">
        <v>4286</v>
      </c>
      <c r="D1631" s="1" t="s">
        <v>5284</v>
      </c>
      <c r="E1631" s="1" t="s">
        <v>420</v>
      </c>
      <c r="F1631" s="1">
        <v>1</v>
      </c>
      <c r="G1631" s="1">
        <v>1.49</v>
      </c>
      <c r="H1631" s="1">
        <v>13</v>
      </c>
      <c r="I1631" s="1" t="s">
        <v>1142</v>
      </c>
      <c r="J1631" s="1" t="s">
        <v>29</v>
      </c>
      <c r="K1631" s="1" t="s">
        <v>4289</v>
      </c>
      <c r="L1631" s="1">
        <v>18905901265</v>
      </c>
      <c r="M1631" s="1" t="s">
        <v>4290</v>
      </c>
      <c r="N1631" s="1" t="s">
        <v>4291</v>
      </c>
      <c r="O1631" s="1" t="s">
        <v>4292</v>
      </c>
      <c r="P1631" s="1">
        <v>13405349966</v>
      </c>
      <c r="Q1631" s="1" t="s">
        <v>4293</v>
      </c>
    </row>
    <row r="1632" spans="1:17">
      <c r="A1632" s="1"/>
      <c r="B1632" s="1"/>
      <c r="C1632" s="1"/>
      <c r="D1632" s="1" t="s">
        <v>5023</v>
      </c>
      <c r="E1632" s="1" t="s">
        <v>420</v>
      </c>
      <c r="F1632" s="1"/>
      <c r="G1632" s="1"/>
      <c r="H1632" s="1"/>
      <c r="I1632" s="1" t="s">
        <v>5272</v>
      </c>
      <c r="J1632" s="1"/>
      <c r="K1632" s="1"/>
      <c r="L1632" s="1"/>
      <c r="M1632" s="1"/>
      <c r="N1632" s="1"/>
      <c r="O1632" s="1"/>
      <c r="P1632" s="1"/>
      <c r="Q1632" s="1"/>
    </row>
    <row r="1633" spans="1:17">
      <c r="A1633" s="1"/>
      <c r="B1633" s="1"/>
      <c r="C1633" s="1"/>
      <c r="D1633" s="1" t="s">
        <v>5646</v>
      </c>
      <c r="E1633" s="1" t="s">
        <v>420</v>
      </c>
      <c r="F1633" s="1"/>
      <c r="G1633" s="1"/>
      <c r="H1633" s="1"/>
      <c r="I1633" s="1" t="s">
        <v>164</v>
      </c>
      <c r="J1633" s="1"/>
      <c r="K1633" s="1"/>
      <c r="L1633" s="1"/>
      <c r="M1633" s="1"/>
      <c r="N1633" s="1"/>
      <c r="O1633" s="1"/>
      <c r="P1633" s="1"/>
      <c r="Q1633" s="1"/>
    </row>
    <row r="1634" spans="1:17">
      <c r="A1634" s="1"/>
      <c r="B1634" s="1"/>
      <c r="C1634" s="1"/>
      <c r="D1634" s="1" t="s">
        <v>5023</v>
      </c>
      <c r="E1634" s="1" t="s">
        <v>420</v>
      </c>
      <c r="F1634" s="1"/>
      <c r="G1634" s="1"/>
      <c r="H1634" s="1"/>
      <c r="I1634" s="1" t="s">
        <v>4995</v>
      </c>
      <c r="J1634" s="1"/>
      <c r="K1634" s="1"/>
      <c r="L1634" s="1"/>
      <c r="M1634" s="1"/>
      <c r="N1634" s="1"/>
      <c r="O1634" s="1"/>
      <c r="P1634" s="1"/>
      <c r="Q1634" s="1"/>
    </row>
    <row r="1635" spans="1:17">
      <c r="A1635" s="1"/>
      <c r="B1635" s="1" t="s">
        <v>4295</v>
      </c>
      <c r="C1635" s="1" t="s">
        <v>4296</v>
      </c>
      <c r="D1635" s="1" t="s">
        <v>5189</v>
      </c>
      <c r="E1635" s="1" t="s">
        <v>625</v>
      </c>
      <c r="F1635" s="1">
        <v>1</v>
      </c>
      <c r="G1635" s="1">
        <v>2.17</v>
      </c>
      <c r="H1635" s="1">
        <v>15</v>
      </c>
      <c r="J1635" s="1" t="s">
        <v>40</v>
      </c>
      <c r="K1635" s="1" t="s">
        <v>3334</v>
      </c>
      <c r="L1635" s="1">
        <v>13798150707</v>
      </c>
      <c r="M1635" s="1" t="s">
        <v>3335</v>
      </c>
      <c r="N1635" s="1" t="s">
        <v>4297</v>
      </c>
      <c r="O1635" s="1" t="s">
        <v>4298</v>
      </c>
      <c r="P1635" s="1">
        <v>13902218811</v>
      </c>
      <c r="Q1635" s="1" t="s">
        <v>4299</v>
      </c>
    </row>
    <row r="1636" spans="1:17">
      <c r="A1636" s="1"/>
      <c r="B1636" s="1"/>
      <c r="C1636" s="1"/>
      <c r="D1636" s="1" t="s">
        <v>5185</v>
      </c>
      <c r="E1636" s="1" t="s">
        <v>625</v>
      </c>
      <c r="F1636" s="1"/>
      <c r="G1636" s="1"/>
      <c r="H1636" s="1"/>
      <c r="J1636" s="1"/>
      <c r="K1636" s="1"/>
      <c r="L1636" s="1"/>
      <c r="M1636" s="1"/>
      <c r="N1636" s="1"/>
      <c r="O1636" s="1"/>
      <c r="P1636" s="1"/>
      <c r="Q1636" s="1"/>
    </row>
    <row r="1637" spans="1:17">
      <c r="A1637" s="1"/>
      <c r="B1637" s="1"/>
      <c r="C1637" s="1"/>
      <c r="D1637" s="1" t="s">
        <v>5187</v>
      </c>
      <c r="E1637" s="1" t="s">
        <v>625</v>
      </c>
      <c r="F1637" s="1"/>
      <c r="G1637" s="1"/>
      <c r="H1637" s="1"/>
      <c r="J1637" s="1"/>
      <c r="K1637" s="1"/>
      <c r="L1637" s="1"/>
      <c r="M1637" s="1"/>
      <c r="N1637" s="1"/>
      <c r="O1637" s="1"/>
      <c r="P1637" s="1"/>
      <c r="Q1637" s="1"/>
    </row>
    <row r="1638" spans="1:17">
      <c r="A1638" s="1"/>
      <c r="B1638" s="1"/>
      <c r="C1638" s="1"/>
      <c r="D1638" s="1" t="s">
        <v>5035</v>
      </c>
      <c r="E1638" s="1" t="s">
        <v>625</v>
      </c>
      <c r="F1638" s="1"/>
      <c r="G1638" s="1"/>
      <c r="H1638" s="1"/>
      <c r="J1638" s="1"/>
      <c r="K1638" s="1"/>
      <c r="L1638" s="1"/>
      <c r="M1638" s="1"/>
      <c r="N1638" s="1"/>
      <c r="O1638" s="1"/>
      <c r="P1638" s="1"/>
      <c r="Q1638" s="1"/>
    </row>
    <row r="1639" spans="1:17">
      <c r="A1639" s="1"/>
      <c r="B1639" s="1" t="s">
        <v>4301</v>
      </c>
      <c r="C1639" s="1" t="s">
        <v>4302</v>
      </c>
      <c r="D1639" s="1" t="s">
        <v>4984</v>
      </c>
      <c r="E1639" s="1" t="s">
        <v>625</v>
      </c>
      <c r="F1639" s="1">
        <v>1</v>
      </c>
      <c r="G1639" s="1">
        <v>1.72</v>
      </c>
      <c r="H1639" s="1">
        <v>15</v>
      </c>
      <c r="J1639" s="1" t="s">
        <v>40</v>
      </c>
      <c r="K1639" s="1" t="s">
        <v>203</v>
      </c>
      <c r="L1639" s="1">
        <v>13672440172</v>
      </c>
      <c r="M1639" s="1" t="s">
        <v>204</v>
      </c>
      <c r="N1639" s="1" t="s">
        <v>4303</v>
      </c>
      <c r="O1639" s="1" t="s">
        <v>204</v>
      </c>
      <c r="P1639" s="1">
        <v>13672440172</v>
      </c>
      <c r="Q1639" s="1" t="s">
        <v>4304</v>
      </c>
    </row>
    <row r="1640" spans="1:17">
      <c r="A1640" s="1"/>
      <c r="B1640" s="1"/>
      <c r="C1640" s="1"/>
      <c r="D1640" s="1" t="s">
        <v>5024</v>
      </c>
      <c r="E1640" s="1" t="s">
        <v>625</v>
      </c>
      <c r="F1640" s="1"/>
      <c r="G1640" s="1"/>
      <c r="H1640" s="1"/>
      <c r="J1640" s="1"/>
      <c r="K1640" s="1"/>
      <c r="L1640" s="1"/>
      <c r="M1640" s="1"/>
      <c r="N1640" s="1"/>
      <c r="O1640" s="1"/>
      <c r="P1640" s="1"/>
      <c r="Q1640" s="1"/>
    </row>
    <row r="1641" spans="1:17">
      <c r="A1641" s="1"/>
      <c r="B1641" s="1"/>
      <c r="C1641" s="1"/>
      <c r="D1641" s="1" t="s">
        <v>5029</v>
      </c>
      <c r="E1641" s="1" t="s">
        <v>625</v>
      </c>
      <c r="F1641" s="1"/>
      <c r="G1641" s="1"/>
      <c r="H1641" s="1"/>
      <c r="J1641" s="1"/>
      <c r="K1641" s="1"/>
      <c r="L1641" s="1"/>
      <c r="M1641" s="1"/>
      <c r="N1641" s="1"/>
      <c r="O1641" s="1"/>
      <c r="P1641" s="1"/>
      <c r="Q1641" s="1"/>
    </row>
    <row r="1642" spans="1:17">
      <c r="A1642" s="1"/>
      <c r="B1642" s="1"/>
      <c r="C1642" s="1"/>
      <c r="D1642" s="1" t="s">
        <v>5449</v>
      </c>
      <c r="E1642" s="1" t="s">
        <v>625</v>
      </c>
      <c r="F1642" s="1"/>
      <c r="G1642" s="1"/>
      <c r="H1642" s="1"/>
      <c r="J1642" s="1"/>
      <c r="K1642" s="1"/>
      <c r="L1642" s="1"/>
      <c r="M1642" s="1"/>
      <c r="N1642" s="1"/>
      <c r="O1642" s="1"/>
      <c r="P1642" s="1"/>
      <c r="Q1642" s="1"/>
    </row>
    <row r="1643" spans="1:17">
      <c r="A1643" s="1"/>
      <c r="B1643" s="1"/>
      <c r="C1643" s="1"/>
      <c r="D1643" s="1" t="s">
        <v>5187</v>
      </c>
      <c r="E1643" s="1" t="s">
        <v>625</v>
      </c>
      <c r="F1643" s="1"/>
      <c r="G1643" s="1"/>
      <c r="H1643" s="1"/>
      <c r="J1643" s="1"/>
      <c r="K1643" s="1"/>
      <c r="L1643" s="1"/>
      <c r="M1643" s="1"/>
      <c r="N1643" s="1"/>
      <c r="O1643" s="1"/>
      <c r="P1643" s="1"/>
      <c r="Q1643" s="1"/>
    </row>
    <row r="1644" spans="1:17">
      <c r="A1644" s="1"/>
      <c r="B1644" s="1" t="s">
        <v>4306</v>
      </c>
      <c r="C1644" s="1" t="s">
        <v>4307</v>
      </c>
      <c r="D1644" s="1" t="s">
        <v>4984</v>
      </c>
      <c r="E1644" s="1" t="s">
        <v>625</v>
      </c>
      <c r="F1644" s="1">
        <v>1</v>
      </c>
      <c r="G1644" s="1">
        <v>1.72</v>
      </c>
      <c r="H1644" s="1">
        <v>15</v>
      </c>
      <c r="J1644" s="1" t="s">
        <v>40</v>
      </c>
      <c r="K1644" s="1" t="s">
        <v>222</v>
      </c>
      <c r="L1644" s="1">
        <v>13527705551</v>
      </c>
      <c r="M1644" s="1" t="s">
        <v>223</v>
      </c>
      <c r="N1644" s="1" t="s">
        <v>4309</v>
      </c>
      <c r="O1644" s="1" t="s">
        <v>1661</v>
      </c>
      <c r="P1644" s="1">
        <v>15011769738</v>
      </c>
      <c r="Q1644" s="1" t="s">
        <v>4310</v>
      </c>
    </row>
    <row r="1645" spans="1:17">
      <c r="A1645" s="1"/>
      <c r="B1645" s="1"/>
      <c r="C1645" s="1"/>
      <c r="D1645" s="1" t="s">
        <v>5024</v>
      </c>
      <c r="E1645" s="1" t="s">
        <v>625</v>
      </c>
      <c r="F1645" s="1"/>
      <c r="G1645" s="1"/>
      <c r="H1645" s="1"/>
      <c r="J1645" s="1"/>
      <c r="K1645" s="1"/>
      <c r="L1645" s="1"/>
      <c r="M1645" s="1"/>
      <c r="N1645" s="1"/>
      <c r="O1645" s="1"/>
      <c r="P1645" s="1"/>
      <c r="Q1645" s="1"/>
    </row>
    <row r="1646" spans="1:17">
      <c r="A1646" s="1"/>
      <c r="B1646" s="1"/>
      <c r="C1646" s="1"/>
      <c r="D1646" s="1" t="s">
        <v>5185</v>
      </c>
      <c r="E1646" s="1" t="s">
        <v>625</v>
      </c>
      <c r="F1646" s="1"/>
      <c r="G1646" s="1"/>
      <c r="H1646" s="1"/>
      <c r="J1646" s="1"/>
      <c r="K1646" s="1"/>
      <c r="L1646" s="1"/>
      <c r="M1646" s="1"/>
      <c r="N1646" s="1"/>
      <c r="O1646" s="1"/>
      <c r="P1646" s="1"/>
      <c r="Q1646" s="1"/>
    </row>
    <row r="1647" spans="1:17">
      <c r="A1647" s="1"/>
      <c r="B1647" s="1"/>
      <c r="C1647" s="1"/>
      <c r="D1647" s="1" t="s">
        <v>5034</v>
      </c>
      <c r="E1647" s="1" t="s">
        <v>625</v>
      </c>
      <c r="F1647" s="1"/>
      <c r="G1647" s="1"/>
      <c r="H1647" s="1"/>
      <c r="J1647" s="1"/>
      <c r="K1647" s="1"/>
      <c r="L1647" s="1"/>
      <c r="M1647" s="1"/>
      <c r="N1647" s="1"/>
      <c r="O1647" s="1"/>
      <c r="P1647" s="1"/>
      <c r="Q1647" s="1"/>
    </row>
    <row r="1648" spans="1:17">
      <c r="A1648" s="1"/>
      <c r="B1648" s="1"/>
      <c r="C1648" s="1"/>
      <c r="D1648" s="1" t="s">
        <v>5353</v>
      </c>
      <c r="E1648" s="1" t="s">
        <v>625</v>
      </c>
      <c r="F1648" s="1"/>
      <c r="G1648" s="1"/>
      <c r="H1648" s="1"/>
      <c r="J1648" s="1"/>
      <c r="K1648" s="1"/>
      <c r="L1648" s="1"/>
      <c r="M1648" s="1"/>
      <c r="N1648" s="1"/>
      <c r="O1648" s="1"/>
      <c r="P1648" s="1"/>
      <c r="Q1648" s="1"/>
    </row>
    <row r="1649" spans="1:17">
      <c r="A1649" s="1"/>
      <c r="B1649" s="1"/>
      <c r="C1649" s="1"/>
      <c r="D1649" s="1" t="s">
        <v>5030</v>
      </c>
      <c r="E1649" s="1" t="s">
        <v>625</v>
      </c>
      <c r="F1649" s="1"/>
      <c r="G1649" s="1"/>
      <c r="H1649" s="1"/>
      <c r="J1649" s="1"/>
      <c r="K1649" s="1"/>
      <c r="L1649" s="1"/>
      <c r="M1649" s="1"/>
      <c r="N1649" s="1"/>
      <c r="O1649" s="1"/>
      <c r="P1649" s="1"/>
      <c r="Q1649" s="1"/>
    </row>
    <row r="1650" spans="1:17">
      <c r="A1650" s="1"/>
      <c r="B1650" s="1"/>
      <c r="C1650" s="1"/>
      <c r="D1650" s="1" t="s">
        <v>5187</v>
      </c>
      <c r="E1650" s="1" t="s">
        <v>625</v>
      </c>
      <c r="F1650" s="1"/>
      <c r="G1650" s="1"/>
      <c r="H1650" s="1"/>
      <c r="J1650" s="1"/>
      <c r="K1650" s="1"/>
      <c r="L1650" s="1"/>
      <c r="M1650" s="1"/>
      <c r="N1650" s="1"/>
      <c r="O1650" s="1"/>
      <c r="P1650" s="1"/>
      <c r="Q1650" s="1"/>
    </row>
    <row r="1651" spans="1:17">
      <c r="A1651" s="1"/>
      <c r="B1651" s="1" t="s">
        <v>4312</v>
      </c>
      <c r="C1651" s="1" t="s">
        <v>4313</v>
      </c>
      <c r="D1651" s="1" t="s">
        <v>5024</v>
      </c>
      <c r="E1651" s="1" t="s">
        <v>625</v>
      </c>
      <c r="F1651" s="1">
        <v>1</v>
      </c>
      <c r="G1651" s="1">
        <v>1.26</v>
      </c>
      <c r="H1651" s="1">
        <v>15</v>
      </c>
      <c r="J1651" s="1" t="s">
        <v>40</v>
      </c>
      <c r="K1651" s="1" t="s">
        <v>263</v>
      </c>
      <c r="L1651" s="1">
        <v>13710770402</v>
      </c>
      <c r="M1651" s="1" t="s">
        <v>264</v>
      </c>
      <c r="N1651" s="1" t="s">
        <v>4314</v>
      </c>
      <c r="O1651" s="1" t="s">
        <v>4315</v>
      </c>
      <c r="P1651" s="1">
        <v>13066328460</v>
      </c>
      <c r="Q1651" s="1" t="s">
        <v>4316</v>
      </c>
    </row>
    <row r="1652" spans="1:17">
      <c r="A1652" s="1"/>
      <c r="B1652" s="1"/>
      <c r="C1652" s="1"/>
      <c r="D1652" s="1" t="s">
        <v>5186</v>
      </c>
      <c r="E1652" s="1" t="s">
        <v>625</v>
      </c>
      <c r="F1652" s="1"/>
      <c r="G1652" s="1"/>
      <c r="H1652" s="1"/>
      <c r="J1652" s="1"/>
      <c r="K1652" s="1"/>
      <c r="L1652" s="1"/>
      <c r="M1652" s="1"/>
      <c r="N1652" s="1"/>
      <c r="O1652" s="1"/>
      <c r="P1652" s="1"/>
      <c r="Q1652" s="1"/>
    </row>
    <row r="1653" spans="1:17">
      <c r="A1653" s="1"/>
      <c r="B1653" s="1"/>
      <c r="C1653" s="1"/>
      <c r="D1653" s="1" t="s">
        <v>5190</v>
      </c>
      <c r="E1653" s="1" t="s">
        <v>625</v>
      </c>
      <c r="F1653" s="1"/>
      <c r="G1653" s="1"/>
      <c r="H1653" s="1"/>
      <c r="J1653" s="1"/>
      <c r="K1653" s="1"/>
      <c r="L1653" s="1"/>
      <c r="M1653" s="1"/>
      <c r="N1653" s="1"/>
      <c r="O1653" s="1"/>
      <c r="P1653" s="1"/>
      <c r="Q1653" s="1"/>
    </row>
    <row r="1654" spans="1:17">
      <c r="A1654" s="1"/>
      <c r="B1654" s="1"/>
      <c r="C1654" s="1"/>
      <c r="D1654" s="1" t="s">
        <v>5146</v>
      </c>
      <c r="E1654" s="1" t="s">
        <v>625</v>
      </c>
      <c r="F1654" s="1"/>
      <c r="G1654" s="1"/>
      <c r="H1654" s="1"/>
      <c r="J1654" s="1"/>
      <c r="K1654" s="1"/>
      <c r="L1654" s="1"/>
      <c r="M1654" s="1"/>
      <c r="N1654" s="1"/>
      <c r="O1654" s="1"/>
      <c r="P1654" s="1"/>
      <c r="Q1654" s="1"/>
    </row>
    <row r="1655" spans="1:17">
      <c r="A1655" s="1"/>
      <c r="B1655" s="1" t="s">
        <v>4318</v>
      </c>
      <c r="C1655" s="1" t="s">
        <v>4319</v>
      </c>
      <c r="D1655" s="1" t="s">
        <v>5236</v>
      </c>
      <c r="E1655" s="1" t="s">
        <v>625</v>
      </c>
      <c r="F1655" s="1">
        <v>1</v>
      </c>
      <c r="G1655" s="1">
        <v>1.26</v>
      </c>
      <c r="H1655" s="1">
        <v>9</v>
      </c>
      <c r="I1655" s="1" t="s">
        <v>4987</v>
      </c>
      <c r="J1655" s="1" t="s">
        <v>40</v>
      </c>
      <c r="K1655" s="1" t="s">
        <v>4322</v>
      </c>
      <c r="L1655" s="1">
        <v>15929677462</v>
      </c>
      <c r="M1655" s="1" t="s">
        <v>4323</v>
      </c>
      <c r="N1655" s="1" t="s">
        <v>4322</v>
      </c>
      <c r="O1655" s="1" t="s">
        <v>4323</v>
      </c>
      <c r="P1655" s="1">
        <v>15929677462</v>
      </c>
      <c r="Q1655" s="1" t="s">
        <v>4324</v>
      </c>
    </row>
    <row r="1656" spans="1:17">
      <c r="A1656" s="1"/>
      <c r="B1656" s="1"/>
      <c r="C1656" s="1"/>
      <c r="D1656" s="1" t="s">
        <v>5072</v>
      </c>
      <c r="E1656" s="1" t="s">
        <v>625</v>
      </c>
      <c r="F1656" s="1"/>
      <c r="G1656" s="1"/>
      <c r="H1656" s="1"/>
      <c r="I1656" s="1" t="s">
        <v>4987</v>
      </c>
      <c r="J1656" s="1"/>
      <c r="K1656" s="1"/>
      <c r="L1656" s="1"/>
      <c r="M1656" s="1"/>
      <c r="N1656" s="1"/>
      <c r="O1656" s="1"/>
      <c r="P1656" s="1"/>
      <c r="Q1656" s="1"/>
    </row>
    <row r="1657" spans="1:17">
      <c r="A1657" s="1"/>
      <c r="B1657" s="1"/>
      <c r="C1657" s="1"/>
      <c r="D1657" s="1" t="s">
        <v>5640</v>
      </c>
      <c r="E1657" s="1" t="s">
        <v>625</v>
      </c>
      <c r="F1657" s="1"/>
      <c r="G1657" s="1"/>
      <c r="H1657" s="1"/>
      <c r="I1657" s="1" t="s">
        <v>5132</v>
      </c>
      <c r="J1657" s="1"/>
      <c r="K1657" s="1"/>
      <c r="L1657" s="1"/>
      <c r="M1657" s="1"/>
      <c r="N1657" s="1"/>
      <c r="O1657" s="1"/>
      <c r="P1657" s="1"/>
      <c r="Q1657" s="1"/>
    </row>
    <row r="1658" spans="1:17">
      <c r="A1658" s="1"/>
      <c r="B1658" s="1"/>
      <c r="C1658" s="1"/>
      <c r="D1658" s="1" t="s">
        <v>5494</v>
      </c>
      <c r="E1658" s="1" t="s">
        <v>625</v>
      </c>
      <c r="F1658" s="1"/>
      <c r="G1658" s="1"/>
      <c r="H1658" s="1"/>
      <c r="I1658" s="1" t="s">
        <v>5132</v>
      </c>
      <c r="J1658" s="1"/>
      <c r="K1658" s="1"/>
      <c r="L1658" s="1"/>
      <c r="M1658" s="1"/>
      <c r="N1658" s="1"/>
      <c r="O1658" s="1"/>
      <c r="P1658" s="1"/>
      <c r="Q1658" s="1"/>
    </row>
    <row r="1659" spans="1:17">
      <c r="A1659" s="1"/>
      <c r="B1659" s="1"/>
      <c r="C1659" s="1"/>
      <c r="D1659" s="1" t="s">
        <v>5162</v>
      </c>
      <c r="E1659" s="1" t="s">
        <v>625</v>
      </c>
      <c r="F1659" s="1"/>
      <c r="G1659" s="1"/>
      <c r="H1659" s="1"/>
      <c r="I1659" s="1" t="s">
        <v>4985</v>
      </c>
      <c r="J1659" s="1"/>
      <c r="K1659" s="1"/>
      <c r="L1659" s="1"/>
      <c r="M1659" s="1"/>
      <c r="N1659" s="1"/>
      <c r="O1659" s="1"/>
      <c r="P1659" s="1"/>
      <c r="Q1659" s="1"/>
    </row>
    <row r="1660" spans="1:17">
      <c r="A1660" s="1"/>
      <c r="B1660" s="1" t="s">
        <v>4326</v>
      </c>
      <c r="C1660" s="1" t="s">
        <v>4327</v>
      </c>
      <c r="D1660" s="1" t="s">
        <v>5252</v>
      </c>
      <c r="E1660" s="1" t="s">
        <v>625</v>
      </c>
      <c r="F1660" s="1">
        <v>1</v>
      </c>
      <c r="G1660" s="1">
        <v>1.49</v>
      </c>
      <c r="H1660" s="1">
        <v>14</v>
      </c>
      <c r="J1660" s="1" t="s">
        <v>40</v>
      </c>
      <c r="K1660" s="1" t="s">
        <v>980</v>
      </c>
      <c r="L1660" s="1">
        <v>13501522178</v>
      </c>
      <c r="M1660" s="1" t="s">
        <v>981</v>
      </c>
      <c r="N1660" s="1" t="s">
        <v>980</v>
      </c>
      <c r="O1660" s="1" t="s">
        <v>981</v>
      </c>
      <c r="P1660" s="1">
        <v>13501522178</v>
      </c>
      <c r="Q1660" s="1" t="s">
        <v>4329</v>
      </c>
    </row>
    <row r="1661" spans="1:17">
      <c r="A1661" s="1"/>
      <c r="B1661" s="1"/>
      <c r="C1661" s="1"/>
      <c r="D1661" s="1" t="s">
        <v>5419</v>
      </c>
      <c r="E1661" s="1" t="s">
        <v>625</v>
      </c>
      <c r="F1661" s="1"/>
      <c r="G1661" s="1"/>
      <c r="H1661" s="1"/>
      <c r="J1661" s="1"/>
      <c r="K1661" s="1"/>
      <c r="L1661" s="1"/>
      <c r="M1661" s="1"/>
      <c r="N1661" s="1"/>
      <c r="O1661" s="1"/>
      <c r="P1661" s="1"/>
      <c r="Q1661" s="1"/>
    </row>
    <row r="1662" spans="1:17">
      <c r="A1662" s="1"/>
      <c r="B1662" s="1"/>
      <c r="C1662" s="1"/>
      <c r="D1662" s="1" t="s">
        <v>5234</v>
      </c>
      <c r="E1662" s="1" t="s">
        <v>625</v>
      </c>
      <c r="F1662" s="1"/>
      <c r="G1662" s="1"/>
      <c r="H1662" s="1"/>
      <c r="J1662" s="1"/>
      <c r="K1662" s="1"/>
      <c r="L1662" s="1"/>
      <c r="M1662" s="1"/>
      <c r="N1662" s="1"/>
      <c r="O1662" s="1"/>
      <c r="P1662" s="1"/>
      <c r="Q1662" s="1"/>
    </row>
    <row r="1663" spans="1:17">
      <c r="A1663" s="1"/>
      <c r="B1663" s="1"/>
      <c r="C1663" s="1"/>
      <c r="D1663" s="1" t="s">
        <v>5647</v>
      </c>
      <c r="E1663" s="1" t="s">
        <v>625</v>
      </c>
      <c r="F1663" s="1"/>
      <c r="G1663" s="1"/>
      <c r="H1663" s="1"/>
      <c r="J1663" s="1"/>
      <c r="K1663" s="1"/>
      <c r="L1663" s="1"/>
      <c r="M1663" s="1"/>
      <c r="N1663" s="1"/>
      <c r="O1663" s="1"/>
      <c r="P1663" s="1"/>
      <c r="Q1663" s="1"/>
    </row>
    <row r="1664" spans="1:17">
      <c r="A1664" s="1"/>
      <c r="B1664" s="1" t="s">
        <v>4331</v>
      </c>
      <c r="C1664" s="1" t="s">
        <v>4332</v>
      </c>
      <c r="D1664" s="1" t="s">
        <v>5076</v>
      </c>
      <c r="E1664" s="1" t="s">
        <v>2413</v>
      </c>
      <c r="F1664" s="1">
        <v>1</v>
      </c>
      <c r="G1664" s="1">
        <v>1.26</v>
      </c>
      <c r="H1664" s="1">
        <v>5</v>
      </c>
      <c r="I1664" s="1" t="s">
        <v>450</v>
      </c>
      <c r="J1664" s="1" t="s">
        <v>29</v>
      </c>
      <c r="K1664" s="1" t="s">
        <v>4218</v>
      </c>
      <c r="L1664" s="1">
        <v>13873653838</v>
      </c>
      <c r="M1664" s="1" t="s">
        <v>4219</v>
      </c>
      <c r="N1664" s="1" t="s">
        <v>4335</v>
      </c>
      <c r="O1664" s="1" t="s">
        <v>4219</v>
      </c>
      <c r="P1664" s="1">
        <v>13873653838</v>
      </c>
      <c r="Q1664" s="1" t="s">
        <v>4336</v>
      </c>
    </row>
    <row r="1665" spans="1:17">
      <c r="A1665" s="1"/>
      <c r="B1665" s="1"/>
      <c r="C1665" s="1"/>
      <c r="D1665" s="1" t="s">
        <v>5183</v>
      </c>
      <c r="E1665" s="1" t="s">
        <v>2413</v>
      </c>
      <c r="F1665" s="1"/>
      <c r="G1665" s="1"/>
      <c r="H1665" s="1"/>
      <c r="I1665" s="1" t="s">
        <v>1634</v>
      </c>
      <c r="J1665" s="1"/>
      <c r="K1665" s="1"/>
      <c r="L1665" s="1"/>
      <c r="M1665" s="1"/>
      <c r="N1665" s="1"/>
      <c r="O1665" s="1"/>
      <c r="P1665" s="1"/>
      <c r="Q1665" s="1"/>
    </row>
    <row r="1666" spans="1:17">
      <c r="A1666" s="1"/>
      <c r="B1666" s="1"/>
      <c r="C1666" s="1"/>
      <c r="D1666" s="1" t="s">
        <v>5078</v>
      </c>
      <c r="E1666" s="1" t="s">
        <v>2413</v>
      </c>
      <c r="F1666" s="1"/>
      <c r="G1666" s="1"/>
      <c r="H1666" s="1"/>
      <c r="I1666" s="1" t="s">
        <v>4972</v>
      </c>
      <c r="J1666" s="1"/>
      <c r="K1666" s="1"/>
      <c r="L1666" s="1"/>
      <c r="M1666" s="1"/>
      <c r="N1666" s="1"/>
      <c r="O1666" s="1"/>
      <c r="P1666" s="1"/>
      <c r="Q1666" s="1"/>
    </row>
    <row r="1667" spans="1:17">
      <c r="A1667" s="1"/>
      <c r="B1667" s="1"/>
      <c r="C1667" s="1"/>
      <c r="D1667" s="1" t="s">
        <v>5648</v>
      </c>
      <c r="E1667" s="1" t="s">
        <v>2413</v>
      </c>
      <c r="F1667" s="1"/>
      <c r="G1667" s="1"/>
      <c r="H1667" s="1"/>
      <c r="I1667" s="1" t="s">
        <v>1142</v>
      </c>
      <c r="J1667" s="1"/>
      <c r="K1667" s="1"/>
      <c r="L1667" s="1"/>
      <c r="M1667" s="1"/>
      <c r="N1667" s="1"/>
      <c r="O1667" s="1"/>
      <c r="P1667" s="1"/>
      <c r="Q1667" s="1"/>
    </row>
    <row r="1668" spans="1:17">
      <c r="A1668" s="1"/>
      <c r="B1668" s="1" t="s">
        <v>4338</v>
      </c>
      <c r="C1668" s="1" t="s">
        <v>4339</v>
      </c>
      <c r="D1668" s="1" t="s">
        <v>5649</v>
      </c>
      <c r="E1668" s="1" t="s">
        <v>5425</v>
      </c>
      <c r="F1668" s="1">
        <v>1</v>
      </c>
      <c r="G1668" s="1">
        <v>0.81</v>
      </c>
      <c r="H1668" s="1">
        <v>8</v>
      </c>
      <c r="J1668" s="1" t="s">
        <v>40</v>
      </c>
      <c r="K1668" s="1" t="s">
        <v>3069</v>
      </c>
      <c r="L1668" s="1">
        <v>17526867788</v>
      </c>
      <c r="M1668" s="1" t="s">
        <v>1230</v>
      </c>
      <c r="N1668" s="1" t="s">
        <v>4342</v>
      </c>
      <c r="O1668" s="1" t="s">
        <v>4343</v>
      </c>
      <c r="P1668" s="1">
        <v>13132295652</v>
      </c>
      <c r="Q1668" s="1" t="s">
        <v>4344</v>
      </c>
    </row>
    <row r="1669" spans="1:17">
      <c r="A1669" s="1"/>
      <c r="B1669" s="1"/>
      <c r="C1669" s="1"/>
      <c r="D1669" s="1" t="s">
        <v>5650</v>
      </c>
      <c r="E1669" s="1" t="s">
        <v>687</v>
      </c>
      <c r="F1669" s="1"/>
      <c r="G1669" s="1"/>
      <c r="H1669" s="1"/>
      <c r="J1669" s="1"/>
      <c r="K1669" s="1"/>
      <c r="L1669" s="1"/>
      <c r="M1669" s="1"/>
      <c r="N1669" s="1"/>
      <c r="O1669" s="1"/>
      <c r="P1669" s="1"/>
      <c r="Q1669" s="1"/>
    </row>
    <row r="1670" spans="1:17">
      <c r="A1670" s="1"/>
      <c r="B1670" s="1"/>
      <c r="C1670" s="1"/>
      <c r="D1670" s="1" t="s">
        <v>5651</v>
      </c>
      <c r="E1670" s="1" t="s">
        <v>687</v>
      </c>
      <c r="F1670" s="1"/>
      <c r="G1670" s="1"/>
      <c r="H1670" s="1"/>
      <c r="J1670" s="1"/>
      <c r="K1670" s="1"/>
      <c r="L1670" s="1"/>
      <c r="M1670" s="1"/>
      <c r="N1670" s="1"/>
      <c r="O1670" s="1"/>
      <c r="P1670" s="1"/>
      <c r="Q1670" s="1"/>
    </row>
    <row r="1671" spans="1:17">
      <c r="A1671" s="1"/>
      <c r="B1671" s="1" t="s">
        <v>4346</v>
      </c>
      <c r="C1671" s="1" t="s">
        <v>4347</v>
      </c>
      <c r="D1671" s="1" t="s">
        <v>5203</v>
      </c>
      <c r="E1671" s="1" t="s">
        <v>5094</v>
      </c>
      <c r="F1671" s="1">
        <v>1</v>
      </c>
      <c r="G1671" s="1">
        <v>1.72</v>
      </c>
      <c r="H1671" s="1">
        <v>9</v>
      </c>
      <c r="J1671" s="1" t="s">
        <v>293</v>
      </c>
      <c r="K1671" s="1" t="s">
        <v>3375</v>
      </c>
      <c r="L1671" s="1">
        <v>18538286679</v>
      </c>
      <c r="M1671" s="1" t="s">
        <v>3376</v>
      </c>
      <c r="N1671" s="1" t="s">
        <v>3375</v>
      </c>
      <c r="O1671" s="1" t="s">
        <v>3376</v>
      </c>
      <c r="P1671" s="1">
        <v>18538286679</v>
      </c>
      <c r="Q1671" s="1" t="s">
        <v>4351</v>
      </c>
    </row>
    <row r="1672" spans="1:17">
      <c r="A1672" s="1"/>
      <c r="B1672" s="1"/>
      <c r="C1672" s="1"/>
      <c r="D1672" s="1" t="s">
        <v>5652</v>
      </c>
      <c r="E1672" s="1" t="s">
        <v>5176</v>
      </c>
      <c r="F1672" s="1"/>
      <c r="G1672" s="1"/>
      <c r="H1672" s="1"/>
      <c r="J1672" s="1"/>
      <c r="K1672" s="1"/>
      <c r="L1672" s="1"/>
      <c r="M1672" s="1"/>
      <c r="N1672" s="1"/>
      <c r="O1672" s="1"/>
      <c r="P1672" s="1"/>
      <c r="Q1672" s="1"/>
    </row>
    <row r="1673" spans="1:17">
      <c r="A1673" s="1"/>
      <c r="B1673" s="1"/>
      <c r="C1673" s="1"/>
      <c r="D1673" s="1" t="s">
        <v>5060</v>
      </c>
      <c r="E1673" s="1" t="s">
        <v>5200</v>
      </c>
      <c r="F1673" s="1"/>
      <c r="G1673" s="1"/>
      <c r="H1673" s="1"/>
      <c r="J1673" s="1"/>
      <c r="K1673" s="1"/>
      <c r="L1673" s="1"/>
      <c r="M1673" s="1"/>
      <c r="N1673" s="1"/>
      <c r="O1673" s="1"/>
      <c r="P1673" s="1"/>
      <c r="Q1673" s="1"/>
    </row>
    <row r="1674" spans="1:17">
      <c r="A1674" s="1"/>
      <c r="B1674" s="1"/>
      <c r="C1674" s="1"/>
      <c r="D1674" s="1" t="s">
        <v>5202</v>
      </c>
      <c r="E1674" s="1" t="s">
        <v>1210</v>
      </c>
      <c r="F1674" s="1"/>
      <c r="G1674" s="1"/>
      <c r="H1674" s="1"/>
      <c r="J1674" s="1"/>
      <c r="K1674" s="1"/>
      <c r="L1674" s="1"/>
      <c r="M1674" s="1"/>
      <c r="N1674" s="1"/>
      <c r="O1674" s="1"/>
      <c r="P1674" s="1"/>
      <c r="Q1674" s="1"/>
    </row>
    <row r="1675" spans="1:17">
      <c r="A1675" s="1"/>
      <c r="B1675" s="1"/>
      <c r="C1675" s="1"/>
      <c r="D1675" s="1" t="s">
        <v>5653</v>
      </c>
      <c r="E1675" s="1" t="s">
        <v>5077</v>
      </c>
      <c r="F1675" s="1"/>
      <c r="G1675" s="1"/>
      <c r="H1675" s="1"/>
      <c r="I1675" s="1" t="s">
        <v>1634</v>
      </c>
      <c r="J1675" s="1"/>
      <c r="K1675" s="1"/>
      <c r="L1675" s="1"/>
      <c r="M1675" s="1"/>
      <c r="N1675" s="1"/>
      <c r="O1675" s="1"/>
      <c r="P1675" s="1"/>
      <c r="Q1675" s="1"/>
    </row>
    <row r="1676" spans="1:17">
      <c r="A1676" s="1"/>
      <c r="B1676" s="1" t="s">
        <v>4353</v>
      </c>
      <c r="C1676" s="1" t="s">
        <v>4354</v>
      </c>
      <c r="D1676" s="1" t="s">
        <v>5076</v>
      </c>
      <c r="E1676" s="1" t="s">
        <v>449</v>
      </c>
      <c r="F1676" s="1">
        <v>1</v>
      </c>
      <c r="G1676" s="1">
        <v>1.26</v>
      </c>
      <c r="H1676" s="1">
        <v>7</v>
      </c>
      <c r="I1676" s="1" t="s">
        <v>5212</v>
      </c>
      <c r="J1676" s="1" t="s">
        <v>29</v>
      </c>
      <c r="K1676" s="1" t="s">
        <v>4358</v>
      </c>
      <c r="L1676" s="1">
        <v>15150532069</v>
      </c>
      <c r="M1676" s="1" t="s">
        <v>4359</v>
      </c>
      <c r="N1676" s="1" t="s">
        <v>4358</v>
      </c>
      <c r="O1676" s="1" t="s">
        <v>4359</v>
      </c>
      <c r="P1676" s="1">
        <v>15150532069</v>
      </c>
      <c r="Q1676" s="1" t="s">
        <v>4360</v>
      </c>
    </row>
    <row r="1677" spans="1:17">
      <c r="A1677" s="1"/>
      <c r="B1677" s="1"/>
      <c r="C1677" s="1"/>
      <c r="D1677" s="1" t="s">
        <v>5654</v>
      </c>
      <c r="E1677" s="1" t="s">
        <v>449</v>
      </c>
      <c r="F1677" s="1"/>
      <c r="G1677" s="1"/>
      <c r="H1677" s="1"/>
      <c r="I1677" s="1" t="s">
        <v>4972</v>
      </c>
      <c r="J1677" s="1"/>
      <c r="K1677" s="1"/>
      <c r="L1677" s="1"/>
      <c r="M1677" s="1"/>
      <c r="N1677" s="1"/>
      <c r="O1677" s="1"/>
      <c r="P1677" s="1"/>
      <c r="Q1677" s="1"/>
    </row>
    <row r="1678" spans="1:17">
      <c r="A1678" s="1"/>
      <c r="B1678" s="1"/>
      <c r="C1678" s="1"/>
      <c r="D1678" s="1" t="s">
        <v>5211</v>
      </c>
      <c r="E1678" s="1" t="s">
        <v>449</v>
      </c>
      <c r="F1678" s="1"/>
      <c r="G1678" s="1"/>
      <c r="H1678" s="1"/>
      <c r="I1678" s="1" t="s">
        <v>1634</v>
      </c>
      <c r="J1678" s="1"/>
      <c r="K1678" s="1"/>
      <c r="L1678" s="1"/>
      <c r="M1678" s="1"/>
      <c r="N1678" s="1"/>
      <c r="O1678" s="1"/>
      <c r="P1678" s="1"/>
      <c r="Q1678" s="1"/>
    </row>
    <row r="1679" spans="1:17">
      <c r="A1679" s="1"/>
      <c r="B1679" s="1"/>
      <c r="C1679" s="1"/>
      <c r="D1679" s="1" t="s">
        <v>5529</v>
      </c>
      <c r="E1679" s="1" t="s">
        <v>449</v>
      </c>
      <c r="F1679" s="1"/>
      <c r="G1679" s="1"/>
      <c r="H1679" s="1"/>
      <c r="I1679" s="1" t="s">
        <v>5135</v>
      </c>
      <c r="J1679" s="1"/>
      <c r="K1679" s="1"/>
      <c r="L1679" s="1"/>
      <c r="M1679" s="1"/>
      <c r="N1679" s="1"/>
      <c r="O1679" s="1"/>
      <c r="P1679" s="1"/>
      <c r="Q1679" s="1"/>
    </row>
    <row r="1680" spans="1:17">
      <c r="A1680" s="1"/>
      <c r="B1680" s="1"/>
      <c r="C1680" s="1"/>
      <c r="D1680" s="1" t="s">
        <v>4952</v>
      </c>
      <c r="E1680" s="1" t="s">
        <v>2413</v>
      </c>
      <c r="F1680" s="1"/>
      <c r="G1680" s="1"/>
      <c r="H1680" s="1"/>
      <c r="I1680" s="1" t="s">
        <v>450</v>
      </c>
      <c r="J1680" s="1"/>
      <c r="K1680" s="1"/>
      <c r="L1680" s="1"/>
      <c r="M1680" s="1"/>
      <c r="N1680" s="1"/>
      <c r="O1680" s="1"/>
      <c r="P1680" s="1"/>
      <c r="Q1680" s="1"/>
    </row>
    <row r="1681" spans="1:17">
      <c r="A1681" s="1"/>
      <c r="B1681" s="1"/>
      <c r="C1681" s="1"/>
      <c r="D1681" s="1" t="s">
        <v>5211</v>
      </c>
      <c r="E1681" s="1" t="s">
        <v>2413</v>
      </c>
      <c r="F1681" s="1"/>
      <c r="G1681" s="1"/>
      <c r="H1681" s="1"/>
      <c r="I1681" s="1" t="s">
        <v>1634</v>
      </c>
      <c r="J1681" s="1"/>
      <c r="K1681" s="1"/>
      <c r="L1681" s="1"/>
      <c r="M1681" s="1"/>
      <c r="N1681" s="1"/>
      <c r="O1681" s="1"/>
      <c r="P1681" s="1"/>
      <c r="Q1681" s="1"/>
    </row>
    <row r="1682" spans="1:17">
      <c r="A1682" s="1"/>
      <c r="B1682" s="1"/>
      <c r="C1682" s="1"/>
      <c r="D1682" s="1" t="s">
        <v>5213</v>
      </c>
      <c r="E1682" s="1" t="s">
        <v>2413</v>
      </c>
      <c r="F1682" s="1"/>
      <c r="G1682" s="1"/>
      <c r="H1682" s="1"/>
      <c r="I1682" s="1" t="s">
        <v>4970</v>
      </c>
      <c r="J1682" s="1"/>
      <c r="K1682" s="1"/>
      <c r="L1682" s="1"/>
      <c r="M1682" s="1"/>
      <c r="N1682" s="1"/>
      <c r="O1682" s="1"/>
      <c r="P1682" s="1"/>
      <c r="Q1682" s="1"/>
    </row>
    <row r="1683" spans="1:17">
      <c r="A1683" s="1"/>
      <c r="B1683" s="1" t="s">
        <v>4362</v>
      </c>
      <c r="C1683" s="1" t="s">
        <v>4363</v>
      </c>
      <c r="D1683" s="1" t="s">
        <v>5043</v>
      </c>
      <c r="E1683" s="1" t="s">
        <v>4364</v>
      </c>
      <c r="F1683" s="1">
        <v>1</v>
      </c>
      <c r="G1683" s="1">
        <v>0.81</v>
      </c>
      <c r="H1683" s="1">
        <v>1</v>
      </c>
      <c r="J1683" s="1" t="s">
        <v>304</v>
      </c>
      <c r="K1683" s="1" t="s">
        <v>1028</v>
      </c>
      <c r="L1683" s="1">
        <v>15037170532</v>
      </c>
      <c r="M1683" s="1" t="s">
        <v>1029</v>
      </c>
      <c r="N1683" s="1" t="s">
        <v>4365</v>
      </c>
      <c r="O1683" s="1" t="s">
        <v>1029</v>
      </c>
      <c r="P1683" s="1">
        <v>15037170532</v>
      </c>
      <c r="Q1683" s="1" t="s">
        <v>4366</v>
      </c>
    </row>
    <row r="1684" spans="1:17">
      <c r="A1684" s="1"/>
      <c r="B1684" s="1" t="s">
        <v>4368</v>
      </c>
      <c r="C1684" s="1" t="s">
        <v>4369</v>
      </c>
      <c r="D1684" s="1" t="s">
        <v>5529</v>
      </c>
      <c r="E1684" s="1" t="s">
        <v>449</v>
      </c>
      <c r="F1684" s="1">
        <v>1</v>
      </c>
      <c r="G1684" s="1">
        <v>1.95</v>
      </c>
      <c r="H1684" s="1">
        <v>9</v>
      </c>
      <c r="I1684" s="1" t="s">
        <v>5173</v>
      </c>
      <c r="J1684" s="1" t="s">
        <v>29</v>
      </c>
      <c r="K1684" s="1" t="s">
        <v>4373</v>
      </c>
      <c r="L1684" s="1">
        <v>18739919170</v>
      </c>
      <c r="M1684" s="1" t="s">
        <v>4374</v>
      </c>
      <c r="N1684" s="1" t="s">
        <v>4375</v>
      </c>
      <c r="O1684" s="1" t="s">
        <v>4374</v>
      </c>
      <c r="P1684" s="1">
        <v>18739919170</v>
      </c>
      <c r="Q1684" s="1" t="s">
        <v>4376</v>
      </c>
    </row>
    <row r="1685" spans="1:17">
      <c r="A1685" s="1"/>
      <c r="B1685" s="1"/>
      <c r="C1685" s="1"/>
      <c r="D1685" s="1" t="s">
        <v>5530</v>
      </c>
      <c r="E1685" s="1" t="s">
        <v>449</v>
      </c>
      <c r="F1685" s="1"/>
      <c r="G1685" s="1"/>
      <c r="H1685" s="1"/>
      <c r="I1685" s="1" t="s">
        <v>5531</v>
      </c>
      <c r="J1685" s="1"/>
      <c r="K1685" s="1"/>
      <c r="L1685" s="1"/>
      <c r="M1685" s="1"/>
      <c r="N1685" s="1"/>
      <c r="O1685" s="1"/>
      <c r="P1685" s="1"/>
      <c r="Q1685" s="1"/>
    </row>
    <row r="1686" spans="1:17">
      <c r="A1686" s="1"/>
      <c r="B1686" s="1"/>
      <c r="C1686" s="1"/>
      <c r="D1686" s="1" t="s">
        <v>5529</v>
      </c>
      <c r="E1686" s="1" t="s">
        <v>2413</v>
      </c>
      <c r="F1686" s="1"/>
      <c r="G1686" s="1"/>
      <c r="H1686" s="1"/>
      <c r="I1686" s="1" t="s">
        <v>5173</v>
      </c>
      <c r="J1686" s="1"/>
      <c r="K1686" s="1"/>
      <c r="L1686" s="1"/>
      <c r="M1686" s="1"/>
      <c r="N1686" s="1"/>
      <c r="O1686" s="1"/>
      <c r="P1686" s="1"/>
      <c r="Q1686" s="1"/>
    </row>
    <row r="1687" spans="1:17">
      <c r="A1687" s="1"/>
      <c r="B1687" s="1"/>
      <c r="C1687" s="1"/>
      <c r="D1687" s="1" t="s">
        <v>5213</v>
      </c>
      <c r="E1687" s="1" t="s">
        <v>5340</v>
      </c>
      <c r="F1687" s="1"/>
      <c r="G1687" s="1"/>
      <c r="H1687" s="1"/>
      <c r="I1687" s="1" t="s">
        <v>5532</v>
      </c>
      <c r="J1687" s="1"/>
      <c r="K1687" s="1"/>
      <c r="L1687" s="1"/>
      <c r="M1687" s="1"/>
      <c r="N1687" s="1"/>
      <c r="O1687" s="1"/>
      <c r="P1687" s="1"/>
      <c r="Q1687" s="1"/>
    </row>
    <row r="1688" spans="1:17">
      <c r="A1688" s="1"/>
      <c r="B1688" s="1"/>
      <c r="C1688" s="1"/>
      <c r="D1688" s="1" t="s">
        <v>5213</v>
      </c>
      <c r="E1688" s="1" t="s">
        <v>1210</v>
      </c>
      <c r="F1688" s="1"/>
      <c r="G1688" s="1"/>
      <c r="H1688" s="1"/>
      <c r="I1688" s="1" t="s">
        <v>5135</v>
      </c>
      <c r="J1688" s="1"/>
      <c r="K1688" s="1"/>
      <c r="L1688" s="1"/>
      <c r="M1688" s="1"/>
      <c r="N1688" s="1"/>
      <c r="O1688" s="1"/>
      <c r="P1688" s="1"/>
      <c r="Q1688" s="1"/>
    </row>
    <row r="1689" spans="1:17">
      <c r="A1689" s="1"/>
      <c r="B1689" s="1"/>
      <c r="C1689" s="1"/>
      <c r="D1689" s="1" t="s">
        <v>5533</v>
      </c>
      <c r="E1689" s="1" t="s">
        <v>5534</v>
      </c>
      <c r="F1689" s="1"/>
      <c r="G1689" s="1"/>
      <c r="H1689" s="1"/>
      <c r="I1689" s="1" t="s">
        <v>1634</v>
      </c>
      <c r="J1689" s="1"/>
      <c r="K1689" s="1"/>
      <c r="L1689" s="1"/>
      <c r="M1689" s="1"/>
      <c r="N1689" s="1"/>
      <c r="O1689" s="1"/>
      <c r="P1689" s="1"/>
      <c r="Q1689" s="1"/>
    </row>
    <row r="1690" spans="1:17">
      <c r="A1690" s="1"/>
      <c r="B1690" s="1"/>
      <c r="C1690" s="1"/>
      <c r="D1690" s="1" t="s">
        <v>5535</v>
      </c>
      <c r="E1690" s="1" t="s">
        <v>5655</v>
      </c>
      <c r="F1690" s="1"/>
      <c r="G1690" s="1"/>
      <c r="H1690" s="1"/>
      <c r="J1690" s="1"/>
      <c r="K1690" s="1"/>
      <c r="L1690" s="1"/>
      <c r="M1690" s="1"/>
      <c r="N1690" s="1"/>
      <c r="O1690" s="1"/>
      <c r="P1690" s="1"/>
      <c r="Q1690" s="1"/>
    </row>
    <row r="1691" spans="1:17">
      <c r="A1691" s="1"/>
      <c r="B1691" s="1"/>
      <c r="C1691" s="1"/>
      <c r="D1691" s="1" t="s">
        <v>5656</v>
      </c>
      <c r="E1691" s="1" t="s">
        <v>5657</v>
      </c>
      <c r="F1691" s="1"/>
      <c r="G1691" s="1"/>
      <c r="H1691" s="1"/>
      <c r="I1691" s="1" t="s">
        <v>5135</v>
      </c>
      <c r="J1691" s="1"/>
      <c r="K1691" s="1"/>
      <c r="L1691" s="1"/>
      <c r="M1691" s="1"/>
      <c r="N1691" s="1"/>
      <c r="O1691" s="1"/>
      <c r="P1691" s="1"/>
      <c r="Q1691" s="1"/>
    </row>
    <row r="1692" spans="1:17">
      <c r="A1692" s="1"/>
      <c r="B1692" s="1"/>
      <c r="C1692" s="1"/>
      <c r="D1692" s="1" t="s">
        <v>5203</v>
      </c>
      <c r="E1692" s="1" t="s">
        <v>5094</v>
      </c>
      <c r="F1692" s="1"/>
      <c r="G1692" s="1"/>
      <c r="H1692" s="1"/>
      <c r="J1692" s="1"/>
      <c r="K1692" s="1"/>
      <c r="L1692" s="1"/>
      <c r="M1692" s="1"/>
      <c r="N1692" s="1"/>
      <c r="O1692" s="1"/>
      <c r="P1692" s="1"/>
      <c r="Q1692" s="1"/>
    </row>
    <row r="1693" spans="1:17">
      <c r="A1693" s="1"/>
      <c r="B1693" s="1" t="s">
        <v>4378</v>
      </c>
      <c r="C1693" s="1" t="s">
        <v>4379</v>
      </c>
      <c r="D1693" s="1" t="s">
        <v>5658</v>
      </c>
      <c r="E1693" s="1" t="s">
        <v>302</v>
      </c>
      <c r="F1693" s="1">
        <v>1</v>
      </c>
      <c r="G1693" s="1">
        <v>0.81</v>
      </c>
      <c r="H1693" s="1">
        <v>5</v>
      </c>
      <c r="J1693" s="1" t="s">
        <v>304</v>
      </c>
      <c r="K1693" s="1" t="s">
        <v>4383</v>
      </c>
      <c r="L1693" s="1">
        <v>13838214133</v>
      </c>
      <c r="M1693" s="1" t="s">
        <v>4384</v>
      </c>
      <c r="N1693" s="1" t="s">
        <v>4383</v>
      </c>
      <c r="O1693" s="1" t="s">
        <v>4384</v>
      </c>
      <c r="P1693" s="1">
        <v>13838214133</v>
      </c>
      <c r="Q1693" s="1" t="s">
        <v>4385</v>
      </c>
    </row>
    <row r="1694" spans="1:17">
      <c r="A1694" s="1"/>
      <c r="B1694" s="1"/>
      <c r="C1694" s="1"/>
      <c r="D1694" s="1" t="s">
        <v>5659</v>
      </c>
      <c r="E1694" s="1" t="s">
        <v>5077</v>
      </c>
      <c r="F1694" s="1"/>
      <c r="G1694" s="1"/>
      <c r="H1694" s="1"/>
      <c r="I1694" s="1" t="s">
        <v>4968</v>
      </c>
      <c r="J1694" s="1"/>
      <c r="K1694" s="1"/>
      <c r="L1694" s="1"/>
      <c r="M1694" s="1"/>
      <c r="N1694" s="1"/>
      <c r="O1694" s="1"/>
      <c r="P1694" s="1"/>
      <c r="Q1694" s="1"/>
    </row>
    <row r="1695" spans="1:17">
      <c r="A1695" s="1"/>
      <c r="B1695" s="1"/>
      <c r="C1695" s="1"/>
      <c r="D1695" s="1" t="s">
        <v>5533</v>
      </c>
      <c r="E1695" s="1" t="s">
        <v>5077</v>
      </c>
      <c r="F1695" s="1"/>
      <c r="G1695" s="1"/>
      <c r="H1695" s="1"/>
      <c r="I1695" s="1" t="s">
        <v>4968</v>
      </c>
      <c r="J1695" s="1"/>
      <c r="K1695" s="1"/>
      <c r="L1695" s="1"/>
      <c r="M1695" s="1"/>
      <c r="N1695" s="1"/>
      <c r="O1695" s="1"/>
      <c r="P1695" s="1"/>
      <c r="Q1695" s="1"/>
    </row>
    <row r="1696" spans="1:17">
      <c r="A1696" s="1"/>
      <c r="B1696" s="1"/>
      <c r="C1696" s="1"/>
      <c r="D1696" s="1" t="s">
        <v>5213</v>
      </c>
      <c r="E1696" s="1" t="s">
        <v>5077</v>
      </c>
      <c r="F1696" s="1"/>
      <c r="G1696" s="1"/>
      <c r="H1696" s="1"/>
      <c r="I1696" s="1" t="s">
        <v>1634</v>
      </c>
      <c r="J1696" s="1"/>
      <c r="K1696" s="1"/>
      <c r="L1696" s="1"/>
      <c r="M1696" s="1"/>
      <c r="N1696" s="1"/>
      <c r="O1696" s="1"/>
      <c r="P1696" s="1"/>
      <c r="Q1696" s="1"/>
    </row>
    <row r="1697" spans="1:17">
      <c r="A1697" s="1"/>
      <c r="B1697" s="1"/>
      <c r="C1697" s="1"/>
      <c r="D1697" s="1" t="s">
        <v>5076</v>
      </c>
      <c r="E1697" s="1" t="s">
        <v>696</v>
      </c>
      <c r="F1697" s="1"/>
      <c r="G1697" s="1"/>
      <c r="H1697" s="1"/>
      <c r="J1697" s="1"/>
      <c r="K1697" s="1"/>
      <c r="L1697" s="1"/>
      <c r="M1697" s="1"/>
      <c r="N1697" s="1"/>
      <c r="O1697" s="1"/>
      <c r="P1697" s="1"/>
      <c r="Q1697" s="1"/>
    </row>
    <row r="1698" spans="1:17">
      <c r="A1698" s="1"/>
      <c r="B1698" s="1" t="s">
        <v>4387</v>
      </c>
      <c r="C1698" s="1" t="s">
        <v>4388</v>
      </c>
      <c r="D1698" s="1" t="s">
        <v>5043</v>
      </c>
      <c r="E1698" s="1" t="s">
        <v>302</v>
      </c>
      <c r="F1698" s="1">
        <v>1</v>
      </c>
      <c r="G1698" s="1">
        <v>1.26</v>
      </c>
      <c r="H1698" s="1">
        <v>1</v>
      </c>
      <c r="J1698" s="1" t="s">
        <v>304</v>
      </c>
      <c r="K1698" s="1" t="s">
        <v>4389</v>
      </c>
      <c r="L1698" s="1">
        <v>16638166117</v>
      </c>
      <c r="M1698" s="1" t="s">
        <v>4390</v>
      </c>
      <c r="N1698" s="1" t="s">
        <v>4391</v>
      </c>
      <c r="O1698" s="1" t="s">
        <v>4390</v>
      </c>
      <c r="P1698" s="1">
        <v>16638166117</v>
      </c>
      <c r="Q1698" s="1" t="s">
        <v>4392</v>
      </c>
    </row>
    <row r="1699" spans="1:17">
      <c r="A1699" s="1"/>
      <c r="B1699" s="1" t="s">
        <v>4394</v>
      </c>
      <c r="C1699" s="1" t="s">
        <v>4395</v>
      </c>
      <c r="D1699" s="1" t="s">
        <v>5660</v>
      </c>
      <c r="E1699" s="1" t="s">
        <v>4994</v>
      </c>
      <c r="F1699" s="1">
        <v>1</v>
      </c>
      <c r="G1699" s="1">
        <v>0.81</v>
      </c>
      <c r="H1699" s="1">
        <v>10</v>
      </c>
      <c r="I1699" s="1">
        <v>60</v>
      </c>
      <c r="J1699" s="1" t="s">
        <v>293</v>
      </c>
      <c r="K1699" s="1" t="s">
        <v>4399</v>
      </c>
      <c r="L1699" s="1">
        <v>15975596563</v>
      </c>
      <c r="M1699" s="1" t="s">
        <v>4400</v>
      </c>
      <c r="N1699" s="1" t="s">
        <v>4399</v>
      </c>
      <c r="O1699" s="1" t="s">
        <v>4400</v>
      </c>
      <c r="P1699" s="1">
        <v>15975596563</v>
      </c>
      <c r="Q1699" s="1" t="s">
        <v>4401</v>
      </c>
    </row>
    <row r="1700" spans="1:17">
      <c r="A1700" s="1"/>
      <c r="B1700" s="1"/>
      <c r="C1700" s="1"/>
      <c r="D1700" s="1" t="s">
        <v>5661</v>
      </c>
      <c r="E1700" s="1" t="s">
        <v>4994</v>
      </c>
      <c r="F1700" s="1"/>
      <c r="G1700" s="1"/>
      <c r="H1700" s="1"/>
      <c r="I1700" s="1">
        <v>60</v>
      </c>
      <c r="J1700" s="1"/>
      <c r="K1700" s="1"/>
      <c r="L1700" s="1"/>
      <c r="M1700" s="1"/>
      <c r="N1700" s="1"/>
      <c r="O1700" s="1"/>
      <c r="P1700" s="1"/>
      <c r="Q1700" s="1"/>
    </row>
    <row r="1701" spans="1:17">
      <c r="A1701" s="1"/>
      <c r="B1701" s="1"/>
      <c r="C1701" s="1"/>
      <c r="D1701" s="1" t="s">
        <v>5662</v>
      </c>
      <c r="E1701" s="1" t="s">
        <v>5663</v>
      </c>
      <c r="F1701" s="1"/>
      <c r="G1701" s="1"/>
      <c r="H1701" s="1"/>
      <c r="I1701" s="1" t="s">
        <v>5664</v>
      </c>
      <c r="J1701" s="1"/>
      <c r="K1701" s="1"/>
      <c r="L1701" s="1"/>
      <c r="M1701" s="1"/>
      <c r="N1701" s="1"/>
      <c r="O1701" s="1"/>
      <c r="P1701" s="1"/>
      <c r="Q1701" s="1"/>
    </row>
    <row r="1702" spans="1:17">
      <c r="A1702" s="1"/>
      <c r="B1702" s="1" t="s">
        <v>4403</v>
      </c>
      <c r="C1702" s="1" t="s">
        <v>4404</v>
      </c>
      <c r="D1702" s="1" t="s">
        <v>5029</v>
      </c>
      <c r="E1702" s="1" t="s">
        <v>625</v>
      </c>
      <c r="F1702" s="1">
        <v>1</v>
      </c>
      <c r="G1702" s="1">
        <v>0.57999999999999996</v>
      </c>
      <c r="H1702" s="1">
        <v>4</v>
      </c>
      <c r="I1702" s="1" t="s">
        <v>4987</v>
      </c>
      <c r="J1702" s="1" t="s">
        <v>40</v>
      </c>
      <c r="K1702" s="1" t="s">
        <v>4406</v>
      </c>
      <c r="L1702" s="1">
        <v>18845155483</v>
      </c>
      <c r="M1702" s="1" t="s">
        <v>4407</v>
      </c>
      <c r="N1702" s="1" t="s">
        <v>4406</v>
      </c>
      <c r="O1702" s="1" t="s">
        <v>4407</v>
      </c>
      <c r="P1702" s="1">
        <v>18845155483</v>
      </c>
      <c r="Q1702" s="1" t="s">
        <v>4408</v>
      </c>
    </row>
    <row r="1703" spans="1:17">
      <c r="A1703" s="1"/>
      <c r="B1703" s="1"/>
      <c r="C1703" s="1"/>
      <c r="D1703" s="1" t="s">
        <v>5072</v>
      </c>
      <c r="E1703" s="1" t="s">
        <v>625</v>
      </c>
      <c r="F1703" s="1"/>
      <c r="G1703" s="1"/>
      <c r="H1703" s="1"/>
      <c r="I1703" s="1" t="s">
        <v>4987</v>
      </c>
      <c r="J1703" s="1"/>
      <c r="K1703" s="1"/>
      <c r="L1703" s="1"/>
      <c r="M1703" s="1"/>
      <c r="N1703" s="1"/>
      <c r="O1703" s="1"/>
      <c r="P1703" s="1"/>
      <c r="Q1703" s="1"/>
    </row>
    <row r="1704" spans="1:17">
      <c r="A1704" s="1"/>
      <c r="B1704" s="1" t="s">
        <v>4410</v>
      </c>
      <c r="C1704" s="1" t="s">
        <v>4411</v>
      </c>
      <c r="D1704" s="1" t="s">
        <v>5220</v>
      </c>
      <c r="E1704" s="1" t="s">
        <v>1084</v>
      </c>
      <c r="F1704" s="1">
        <v>1</v>
      </c>
      <c r="G1704" s="1">
        <v>1.95</v>
      </c>
      <c r="H1704" s="1">
        <v>8</v>
      </c>
      <c r="I1704" s="1" t="s">
        <v>1085</v>
      </c>
      <c r="J1704" s="1" t="s">
        <v>40</v>
      </c>
      <c r="K1704" s="1" t="s">
        <v>1086</v>
      </c>
      <c r="L1704" s="1">
        <v>13882248118</v>
      </c>
      <c r="M1704" s="1" t="s">
        <v>1087</v>
      </c>
      <c r="N1704" s="1" t="s">
        <v>4412</v>
      </c>
      <c r="O1704" s="1" t="s">
        <v>1087</v>
      </c>
      <c r="P1704" s="1">
        <v>13882248118</v>
      </c>
      <c r="Q1704" s="1" t="s">
        <v>4413</v>
      </c>
    </row>
    <row r="1705" spans="1:17">
      <c r="A1705" s="1"/>
      <c r="B1705" s="1" t="s">
        <v>4415</v>
      </c>
      <c r="C1705" s="1" t="s">
        <v>4416</v>
      </c>
      <c r="D1705" s="1" t="s">
        <v>5665</v>
      </c>
      <c r="E1705" s="1" t="s">
        <v>625</v>
      </c>
      <c r="F1705" s="1">
        <v>1</v>
      </c>
      <c r="G1705" s="1">
        <v>0.81</v>
      </c>
      <c r="H1705" s="1">
        <v>1</v>
      </c>
      <c r="I1705" s="1" t="s">
        <v>4418</v>
      </c>
      <c r="J1705" s="1" t="s">
        <v>40</v>
      </c>
      <c r="K1705" s="1" t="s">
        <v>4419</v>
      </c>
      <c r="L1705" s="1">
        <v>13660558727</v>
      </c>
      <c r="M1705" s="1" t="s">
        <v>4420</v>
      </c>
      <c r="N1705" s="1" t="s">
        <v>4419</v>
      </c>
      <c r="O1705" s="1" t="s">
        <v>4420</v>
      </c>
      <c r="P1705" s="1">
        <v>13660558727</v>
      </c>
      <c r="Q1705" s="1" t="s">
        <v>4421</v>
      </c>
    </row>
    <row r="1706" spans="1:17">
      <c r="A1706" s="1"/>
      <c r="B1706" s="1" t="s">
        <v>5666</v>
      </c>
      <c r="C1706" s="1" t="s">
        <v>5667</v>
      </c>
      <c r="D1706" s="1" t="s">
        <v>5316</v>
      </c>
      <c r="E1706" s="1" t="s">
        <v>625</v>
      </c>
      <c r="F1706" s="1">
        <v>1</v>
      </c>
      <c r="G1706" s="1">
        <v>1.04</v>
      </c>
      <c r="H1706" s="1">
        <v>12</v>
      </c>
      <c r="I1706" s="1" t="s">
        <v>4987</v>
      </c>
      <c r="J1706" s="1" t="s">
        <v>40</v>
      </c>
      <c r="K1706" s="1" t="s">
        <v>2336</v>
      </c>
      <c r="L1706" s="1">
        <v>13777129967</v>
      </c>
      <c r="M1706" s="1" t="s">
        <v>2337</v>
      </c>
      <c r="N1706" s="1" t="s">
        <v>5668</v>
      </c>
      <c r="O1706" s="1" t="s">
        <v>2337</v>
      </c>
      <c r="P1706" s="1">
        <v>13777129967</v>
      </c>
      <c r="Q1706" s="1" t="s">
        <v>5669</v>
      </c>
    </row>
    <row r="1707" spans="1:17">
      <c r="A1707" s="1"/>
      <c r="B1707" s="1"/>
      <c r="C1707" s="1"/>
      <c r="D1707" s="1" t="s">
        <v>5020</v>
      </c>
      <c r="E1707" s="1" t="s">
        <v>625</v>
      </c>
      <c r="F1707" s="1"/>
      <c r="G1707" s="1"/>
      <c r="H1707" s="1"/>
      <c r="I1707" s="1" t="s">
        <v>4985</v>
      </c>
      <c r="J1707" s="1"/>
      <c r="K1707" s="1"/>
      <c r="L1707" s="1"/>
      <c r="M1707" s="1"/>
      <c r="N1707" s="1"/>
      <c r="O1707" s="1"/>
      <c r="P1707" s="1"/>
      <c r="Q1707" s="1"/>
    </row>
    <row r="1708" spans="1:17">
      <c r="A1708" s="1"/>
      <c r="B1708" s="1"/>
      <c r="C1708" s="1"/>
      <c r="D1708" s="1" t="s">
        <v>5130</v>
      </c>
      <c r="E1708" s="1" t="s">
        <v>625</v>
      </c>
      <c r="F1708" s="1"/>
      <c r="G1708" s="1"/>
      <c r="H1708" s="1"/>
      <c r="I1708" s="1" t="s">
        <v>4983</v>
      </c>
      <c r="J1708" s="1"/>
      <c r="K1708" s="1"/>
      <c r="L1708" s="1"/>
      <c r="M1708" s="1"/>
      <c r="N1708" s="1"/>
      <c r="O1708" s="1"/>
      <c r="P1708" s="1"/>
      <c r="Q1708" s="1"/>
    </row>
    <row r="1709" spans="1:17">
      <c r="A1709" s="1"/>
      <c r="B1709" s="1"/>
      <c r="C1709" s="1"/>
      <c r="D1709" s="1" t="s">
        <v>5017</v>
      </c>
      <c r="E1709" s="1" t="s">
        <v>625</v>
      </c>
      <c r="F1709" s="1"/>
      <c r="G1709" s="1"/>
      <c r="H1709" s="1"/>
      <c r="I1709" s="1" t="s">
        <v>4987</v>
      </c>
      <c r="J1709" s="1"/>
      <c r="K1709" s="1"/>
      <c r="L1709" s="1"/>
      <c r="M1709" s="1"/>
      <c r="N1709" s="1"/>
      <c r="O1709" s="1"/>
      <c r="P1709" s="1"/>
      <c r="Q1709" s="1"/>
    </row>
    <row r="1710" spans="1:17">
      <c r="A1710" s="1"/>
      <c r="B1710" s="1"/>
      <c r="C1710" s="1"/>
      <c r="D1710" s="1" t="s">
        <v>5018</v>
      </c>
      <c r="E1710" s="1" t="s">
        <v>625</v>
      </c>
      <c r="F1710" s="1"/>
      <c r="G1710" s="1"/>
      <c r="H1710" s="1"/>
      <c r="I1710" s="1" t="s">
        <v>5101</v>
      </c>
      <c r="J1710" s="1"/>
      <c r="K1710" s="1"/>
      <c r="L1710" s="1"/>
      <c r="M1710" s="1"/>
      <c r="N1710" s="1"/>
      <c r="O1710" s="1"/>
      <c r="P1710" s="1"/>
      <c r="Q1710" s="1"/>
    </row>
    <row r="1711" spans="1:17">
      <c r="A1711" s="1"/>
      <c r="B1711" s="1"/>
      <c r="C1711" s="1"/>
      <c r="D1711" s="1" t="s">
        <v>5023</v>
      </c>
      <c r="E1711" s="1" t="s">
        <v>625</v>
      </c>
      <c r="F1711" s="1"/>
      <c r="G1711" s="1"/>
      <c r="H1711" s="1"/>
      <c r="I1711" s="1" t="s">
        <v>4985</v>
      </c>
      <c r="J1711" s="1"/>
      <c r="K1711" s="1"/>
      <c r="L1711" s="1"/>
      <c r="M1711" s="1"/>
      <c r="N1711" s="1"/>
      <c r="O1711" s="1"/>
      <c r="P1711" s="1"/>
      <c r="Q1711" s="1"/>
    </row>
    <row r="1712" spans="1:17">
      <c r="A1712" s="1"/>
      <c r="B1712" s="1"/>
      <c r="C1712" s="1"/>
      <c r="D1712" s="1" t="s">
        <v>5152</v>
      </c>
      <c r="E1712" s="1" t="s">
        <v>625</v>
      </c>
      <c r="F1712" s="1"/>
      <c r="G1712" s="1"/>
      <c r="H1712" s="1"/>
      <c r="I1712" s="1" t="s">
        <v>4987</v>
      </c>
      <c r="J1712" s="1"/>
      <c r="K1712" s="1"/>
      <c r="L1712" s="1"/>
      <c r="M1712" s="1"/>
      <c r="N1712" s="1"/>
      <c r="O1712" s="1"/>
      <c r="P1712" s="1"/>
      <c r="Q1712" s="1"/>
    </row>
    <row r="1713" spans="1:17">
      <c r="A1713" s="1"/>
      <c r="B1713" s="1" t="s">
        <v>4423</v>
      </c>
      <c r="C1713" s="1" t="s">
        <v>4424</v>
      </c>
      <c r="D1713" s="1" t="s">
        <v>5325</v>
      </c>
      <c r="E1713" s="1" t="s">
        <v>420</v>
      </c>
      <c r="F1713" s="1">
        <v>1</v>
      </c>
      <c r="G1713" s="1">
        <v>1.95</v>
      </c>
      <c r="H1713" s="1">
        <v>11</v>
      </c>
      <c r="I1713" s="1" t="s">
        <v>5013</v>
      </c>
      <c r="J1713" s="1" t="s">
        <v>29</v>
      </c>
      <c r="K1713" s="1" t="s">
        <v>1105</v>
      </c>
      <c r="L1713" s="1">
        <v>13923489399</v>
      </c>
      <c r="M1713" s="1" t="s">
        <v>1106</v>
      </c>
      <c r="N1713" s="1" t="s">
        <v>4427</v>
      </c>
      <c r="O1713" s="1" t="s">
        <v>4428</v>
      </c>
      <c r="P1713" s="1">
        <v>13662619440</v>
      </c>
      <c r="Q1713" s="1" t="s">
        <v>4429</v>
      </c>
    </row>
    <row r="1714" spans="1:17">
      <c r="A1714" s="1"/>
      <c r="B1714" s="1"/>
      <c r="C1714" s="1"/>
      <c r="D1714" s="1" t="s">
        <v>5670</v>
      </c>
      <c r="E1714" s="1" t="s">
        <v>420</v>
      </c>
      <c r="F1714" s="1"/>
      <c r="G1714" s="1"/>
      <c r="H1714" s="1"/>
      <c r="I1714" s="1" t="s">
        <v>1142</v>
      </c>
      <c r="J1714" s="1"/>
      <c r="K1714" s="1"/>
      <c r="L1714" s="1"/>
      <c r="M1714" s="1"/>
      <c r="N1714" s="1"/>
      <c r="O1714" s="1"/>
      <c r="P1714" s="1"/>
      <c r="Q1714" s="1"/>
    </row>
    <row r="1715" spans="1:17">
      <c r="A1715" s="1"/>
      <c r="B1715" s="1"/>
      <c r="C1715" s="1"/>
      <c r="D1715" s="1" t="s">
        <v>5000</v>
      </c>
      <c r="E1715" s="1" t="s">
        <v>420</v>
      </c>
      <c r="F1715" s="1"/>
      <c r="G1715" s="1"/>
      <c r="H1715" s="1"/>
      <c r="I1715" s="1" t="s">
        <v>1142</v>
      </c>
      <c r="J1715" s="1"/>
      <c r="K1715" s="1"/>
      <c r="L1715" s="1"/>
      <c r="M1715" s="1"/>
      <c r="N1715" s="1"/>
      <c r="O1715" s="1"/>
      <c r="P1715" s="1"/>
      <c r="Q1715" s="1"/>
    </row>
    <row r="1716" spans="1:17">
      <c r="A1716" s="1"/>
      <c r="B1716" s="1"/>
      <c r="C1716" s="1"/>
      <c r="D1716" s="1" t="s">
        <v>5326</v>
      </c>
      <c r="E1716" s="1" t="s">
        <v>420</v>
      </c>
      <c r="F1716" s="1"/>
      <c r="G1716" s="1"/>
      <c r="H1716" s="1"/>
      <c r="I1716" s="1" t="s">
        <v>4956</v>
      </c>
      <c r="J1716" s="1"/>
      <c r="K1716" s="1"/>
      <c r="L1716" s="1"/>
      <c r="M1716" s="1"/>
      <c r="N1716" s="1"/>
      <c r="O1716" s="1"/>
      <c r="P1716" s="1"/>
      <c r="Q1716" s="1"/>
    </row>
    <row r="1717" spans="1:17">
      <c r="A1717" s="1"/>
      <c r="B1717" s="1"/>
      <c r="C1717" s="1"/>
      <c r="D1717" s="1" t="s">
        <v>4996</v>
      </c>
      <c r="E1717" s="1" t="s">
        <v>420</v>
      </c>
      <c r="F1717" s="1"/>
      <c r="G1717" s="1"/>
      <c r="H1717" s="1"/>
      <c r="I1717" s="1" t="s">
        <v>5671</v>
      </c>
      <c r="J1717" s="1"/>
      <c r="K1717" s="1"/>
      <c r="L1717" s="1"/>
      <c r="M1717" s="1"/>
      <c r="N1717" s="1"/>
      <c r="O1717" s="1"/>
      <c r="P1717" s="1"/>
      <c r="Q1717" s="1"/>
    </row>
    <row r="1718" spans="1:17">
      <c r="A1718" s="1"/>
      <c r="B1718" s="1" t="s">
        <v>4431</v>
      </c>
      <c r="C1718" s="1" t="s">
        <v>4432</v>
      </c>
      <c r="D1718" s="1" t="s">
        <v>5113</v>
      </c>
      <c r="E1718" s="1" t="s">
        <v>625</v>
      </c>
      <c r="F1718" s="1">
        <v>1</v>
      </c>
      <c r="G1718" s="1">
        <v>1.95</v>
      </c>
      <c r="H1718" s="1">
        <v>10</v>
      </c>
      <c r="I1718" s="1" t="s">
        <v>4985</v>
      </c>
      <c r="J1718" s="1" t="s">
        <v>40</v>
      </c>
      <c r="K1718" s="1" t="s">
        <v>1122</v>
      </c>
      <c r="L1718" s="1">
        <v>13817013878</v>
      </c>
      <c r="M1718" s="1" t="s">
        <v>1123</v>
      </c>
      <c r="N1718" s="1" t="s">
        <v>4435</v>
      </c>
      <c r="O1718" s="1" t="s">
        <v>1123</v>
      </c>
      <c r="P1718" s="1">
        <v>13817013878</v>
      </c>
      <c r="Q1718" s="1" t="s">
        <v>4436</v>
      </c>
    </row>
    <row r="1719" spans="1:17">
      <c r="A1719" s="1"/>
      <c r="B1719" s="1"/>
      <c r="C1719" s="1"/>
      <c r="D1719" s="1" t="s">
        <v>5099</v>
      </c>
      <c r="E1719" s="1" t="s">
        <v>625</v>
      </c>
      <c r="F1719" s="1"/>
      <c r="G1719" s="1"/>
      <c r="H1719" s="1"/>
      <c r="I1719" s="1" t="s">
        <v>4987</v>
      </c>
      <c r="J1719" s="1"/>
      <c r="K1719" s="1"/>
      <c r="L1719" s="1"/>
      <c r="M1719" s="1"/>
      <c r="N1719" s="1"/>
      <c r="O1719" s="1"/>
      <c r="P1719" s="1"/>
      <c r="Q1719" s="1"/>
    </row>
    <row r="1720" spans="1:17">
      <c r="A1720" s="1"/>
      <c r="B1720" s="1"/>
      <c r="C1720" s="1"/>
      <c r="D1720" s="1" t="s">
        <v>5029</v>
      </c>
      <c r="E1720" s="1" t="s">
        <v>625</v>
      </c>
      <c r="F1720" s="1"/>
      <c r="G1720" s="1"/>
      <c r="H1720" s="1"/>
      <c r="I1720" s="1" t="s">
        <v>4987</v>
      </c>
      <c r="J1720" s="1"/>
      <c r="K1720" s="1"/>
      <c r="L1720" s="1"/>
      <c r="M1720" s="1"/>
      <c r="N1720" s="1"/>
      <c r="O1720" s="1"/>
      <c r="P1720" s="1"/>
      <c r="Q1720" s="1"/>
    </row>
    <row r="1721" spans="1:17">
      <c r="A1721" s="1"/>
      <c r="B1721" s="1"/>
      <c r="C1721" s="1"/>
      <c r="D1721" s="1" t="s">
        <v>5070</v>
      </c>
      <c r="E1721" s="1" t="s">
        <v>625</v>
      </c>
      <c r="F1721" s="1"/>
      <c r="G1721" s="1"/>
      <c r="H1721" s="1"/>
      <c r="I1721" s="1" t="s">
        <v>4987</v>
      </c>
      <c r="J1721" s="1"/>
      <c r="K1721" s="1"/>
      <c r="L1721" s="1"/>
      <c r="M1721" s="1"/>
      <c r="N1721" s="1"/>
      <c r="O1721" s="1"/>
      <c r="P1721" s="1"/>
      <c r="Q1721" s="1"/>
    </row>
    <row r="1722" spans="1:17">
      <c r="A1722" s="1"/>
      <c r="B1722" s="1"/>
      <c r="C1722" s="1"/>
      <c r="D1722" s="1" t="s">
        <v>5550</v>
      </c>
      <c r="E1722" s="1" t="s">
        <v>625</v>
      </c>
      <c r="F1722" s="1"/>
      <c r="G1722" s="1"/>
      <c r="H1722" s="1"/>
      <c r="I1722" s="1" t="s">
        <v>4241</v>
      </c>
      <c r="J1722" s="1"/>
      <c r="K1722" s="1"/>
      <c r="L1722" s="1"/>
      <c r="M1722" s="1"/>
      <c r="N1722" s="1"/>
      <c r="O1722" s="1"/>
      <c r="P1722" s="1"/>
      <c r="Q1722" s="1"/>
    </row>
    <row r="1723" spans="1:17">
      <c r="A1723" s="1"/>
      <c r="B1723" s="1"/>
      <c r="C1723" s="1"/>
      <c r="D1723" s="1" t="s">
        <v>5672</v>
      </c>
      <c r="E1723" s="1" t="s">
        <v>625</v>
      </c>
      <c r="F1723" s="1"/>
      <c r="G1723" s="1"/>
      <c r="H1723" s="1"/>
      <c r="I1723" s="1" t="s">
        <v>4418</v>
      </c>
      <c r="J1723" s="1"/>
      <c r="K1723" s="1"/>
      <c r="L1723" s="1"/>
      <c r="M1723" s="1"/>
      <c r="N1723" s="1"/>
      <c r="O1723" s="1"/>
      <c r="P1723" s="1"/>
      <c r="Q1723" s="1"/>
    </row>
    <row r="1724" spans="1:17">
      <c r="A1724" s="1"/>
      <c r="B1724" s="1" t="s">
        <v>4438</v>
      </c>
      <c r="C1724" s="1" t="s">
        <v>4439</v>
      </c>
      <c r="D1724" s="1" t="s">
        <v>5673</v>
      </c>
      <c r="E1724" s="1" t="s">
        <v>5340</v>
      </c>
      <c r="F1724" s="1">
        <v>1</v>
      </c>
      <c r="G1724" s="1">
        <v>1.72</v>
      </c>
      <c r="H1724" s="1">
        <v>7</v>
      </c>
      <c r="J1724" s="1" t="s">
        <v>29</v>
      </c>
      <c r="K1724" s="1" t="s">
        <v>1191</v>
      </c>
      <c r="L1724" s="1">
        <v>18382618053</v>
      </c>
      <c r="M1724" s="1" t="s">
        <v>1192</v>
      </c>
      <c r="N1724" s="1" t="s">
        <v>4442</v>
      </c>
      <c r="O1724" s="1" t="s">
        <v>1192</v>
      </c>
      <c r="P1724" s="1">
        <v>18382618053</v>
      </c>
      <c r="Q1724" s="1" t="s">
        <v>4443</v>
      </c>
    </row>
    <row r="1725" spans="1:17">
      <c r="A1725" s="1"/>
      <c r="B1725" s="1"/>
      <c r="C1725" s="1"/>
      <c r="D1725" s="1" t="s">
        <v>5674</v>
      </c>
      <c r="E1725" s="1" t="s">
        <v>5209</v>
      </c>
      <c r="F1725" s="1"/>
      <c r="G1725" s="1"/>
      <c r="H1725" s="1"/>
      <c r="J1725" s="1"/>
      <c r="K1725" s="1"/>
      <c r="L1725" s="1"/>
      <c r="M1725" s="1"/>
      <c r="N1725" s="1"/>
      <c r="O1725" s="1"/>
      <c r="P1725" s="1"/>
      <c r="Q1725" s="1"/>
    </row>
    <row r="1726" spans="1:17">
      <c r="A1726" s="1"/>
      <c r="B1726" s="1" t="s">
        <v>4445</v>
      </c>
      <c r="C1726" s="1" t="s">
        <v>4446</v>
      </c>
      <c r="D1726" s="1" t="s">
        <v>5309</v>
      </c>
      <c r="E1726" s="1" t="s">
        <v>625</v>
      </c>
      <c r="F1726" s="1">
        <v>1</v>
      </c>
      <c r="G1726" s="1">
        <v>1.26</v>
      </c>
      <c r="H1726" s="1">
        <v>12</v>
      </c>
      <c r="I1726" s="1" t="s">
        <v>4983</v>
      </c>
      <c r="J1726" s="1" t="s">
        <v>40</v>
      </c>
      <c r="K1726" s="1" t="s">
        <v>1201</v>
      </c>
      <c r="L1726" s="1">
        <v>13805356723</v>
      </c>
      <c r="M1726" s="1" t="s">
        <v>1202</v>
      </c>
      <c r="N1726" s="1" t="s">
        <v>4449</v>
      </c>
      <c r="O1726" s="1" t="s">
        <v>1202</v>
      </c>
      <c r="P1726" s="1">
        <v>13805356723</v>
      </c>
      <c r="Q1726" s="1" t="s">
        <v>4450</v>
      </c>
    </row>
    <row r="1727" spans="1:17">
      <c r="A1727" s="1"/>
      <c r="B1727" s="1"/>
      <c r="C1727" s="1"/>
      <c r="D1727" s="1" t="s">
        <v>5128</v>
      </c>
      <c r="E1727" s="1" t="s">
        <v>625</v>
      </c>
      <c r="F1727" s="1"/>
      <c r="G1727" s="1"/>
      <c r="H1727" s="1"/>
      <c r="I1727" s="1" t="s">
        <v>4987</v>
      </c>
      <c r="J1727" s="1"/>
      <c r="K1727" s="1"/>
      <c r="L1727" s="1"/>
      <c r="M1727" s="1"/>
      <c r="N1727" s="1"/>
      <c r="O1727" s="1"/>
      <c r="P1727" s="1"/>
      <c r="Q1727" s="1"/>
    </row>
    <row r="1728" spans="1:17">
      <c r="A1728" s="1"/>
      <c r="B1728" s="1"/>
      <c r="C1728" s="1"/>
      <c r="D1728" s="1" t="s">
        <v>5251</v>
      </c>
      <c r="E1728" s="1" t="s">
        <v>625</v>
      </c>
      <c r="F1728" s="1"/>
      <c r="G1728" s="1"/>
      <c r="H1728" s="1"/>
      <c r="I1728" s="1" t="s">
        <v>4987</v>
      </c>
      <c r="J1728" s="1"/>
      <c r="K1728" s="1"/>
      <c r="L1728" s="1"/>
      <c r="M1728" s="1"/>
      <c r="N1728" s="1"/>
      <c r="O1728" s="1"/>
      <c r="P1728" s="1"/>
      <c r="Q1728" s="1"/>
    </row>
    <row r="1729" spans="1:17">
      <c r="A1729" s="1"/>
      <c r="B1729" s="1"/>
      <c r="C1729" s="1"/>
      <c r="D1729" s="1" t="s">
        <v>5025</v>
      </c>
      <c r="E1729" s="1" t="s">
        <v>625</v>
      </c>
      <c r="F1729" s="1"/>
      <c r="G1729" s="1"/>
      <c r="H1729" s="1"/>
      <c r="I1729" s="1" t="s">
        <v>5050</v>
      </c>
      <c r="J1729" s="1"/>
      <c r="K1729" s="1"/>
      <c r="L1729" s="1"/>
      <c r="M1729" s="1"/>
      <c r="N1729" s="1"/>
      <c r="O1729" s="1"/>
      <c r="P1729" s="1"/>
      <c r="Q1729" s="1"/>
    </row>
    <row r="1730" spans="1:17">
      <c r="A1730" s="1"/>
      <c r="B1730" s="1" t="s">
        <v>4452</v>
      </c>
      <c r="C1730" s="1" t="s">
        <v>4453</v>
      </c>
      <c r="D1730" s="1" t="s">
        <v>5675</v>
      </c>
      <c r="E1730" s="1" t="s">
        <v>5676</v>
      </c>
      <c r="F1730" s="1">
        <v>1</v>
      </c>
      <c r="G1730" s="1">
        <v>1.72</v>
      </c>
      <c r="H1730" s="1">
        <v>12</v>
      </c>
      <c r="J1730" s="1" t="s">
        <v>293</v>
      </c>
      <c r="K1730" s="1" t="s">
        <v>1211</v>
      </c>
      <c r="L1730" s="1">
        <v>17695963119</v>
      </c>
      <c r="M1730" s="1" t="s">
        <v>992</v>
      </c>
      <c r="N1730" s="1" t="s">
        <v>4456</v>
      </c>
      <c r="O1730" s="1" t="s">
        <v>992</v>
      </c>
      <c r="P1730" s="1">
        <v>17695963119</v>
      </c>
      <c r="Q1730" s="1" t="s">
        <v>4457</v>
      </c>
    </row>
    <row r="1731" spans="1:17">
      <c r="A1731" s="1"/>
      <c r="B1731" s="1"/>
      <c r="C1731" s="1"/>
      <c r="D1731" s="1" t="s">
        <v>5261</v>
      </c>
      <c r="E1731" s="1" t="s">
        <v>5205</v>
      </c>
      <c r="F1731" s="1"/>
      <c r="G1731" s="1"/>
      <c r="H1731" s="1"/>
      <c r="J1731" s="1"/>
      <c r="K1731" s="1"/>
      <c r="L1731" s="1"/>
      <c r="M1731" s="1"/>
      <c r="N1731" s="1"/>
      <c r="O1731" s="1"/>
      <c r="P1731" s="1"/>
      <c r="Q1731" s="1"/>
    </row>
    <row r="1732" spans="1:17">
      <c r="A1732" s="1"/>
      <c r="B1732" s="1" t="s">
        <v>4459</v>
      </c>
      <c r="C1732" s="1" t="s">
        <v>4460</v>
      </c>
      <c r="D1732" s="1" t="s">
        <v>5379</v>
      </c>
      <c r="E1732" s="1" t="s">
        <v>5176</v>
      </c>
      <c r="F1732" s="1">
        <v>1</v>
      </c>
      <c r="G1732" s="1">
        <v>1.72</v>
      </c>
      <c r="H1732" s="1">
        <v>12</v>
      </c>
      <c r="J1732" s="1" t="s">
        <v>29</v>
      </c>
      <c r="K1732" s="1" t="s">
        <v>1220</v>
      </c>
      <c r="L1732" s="1">
        <v>17694885170</v>
      </c>
      <c r="M1732" s="1" t="s">
        <v>1221</v>
      </c>
      <c r="N1732" s="1" t="s">
        <v>1220</v>
      </c>
      <c r="O1732" s="1" t="s">
        <v>4464</v>
      </c>
      <c r="P1732" s="1">
        <v>15022308112</v>
      </c>
      <c r="Q1732" s="1" t="s">
        <v>4465</v>
      </c>
    </row>
    <row r="1733" spans="1:17">
      <c r="A1733" s="1"/>
      <c r="B1733" s="1"/>
      <c r="C1733" s="1"/>
      <c r="D1733" s="1" t="s">
        <v>5677</v>
      </c>
      <c r="E1733" s="1" t="s">
        <v>5366</v>
      </c>
      <c r="F1733" s="1"/>
      <c r="G1733" s="1"/>
      <c r="H1733" s="1"/>
      <c r="I1733" s="1" t="s">
        <v>5111</v>
      </c>
      <c r="J1733" s="1"/>
      <c r="K1733" s="1"/>
      <c r="L1733" s="1"/>
      <c r="M1733" s="1"/>
      <c r="N1733" s="1"/>
      <c r="O1733" s="1"/>
      <c r="P1733" s="1"/>
      <c r="Q1733" s="1"/>
    </row>
    <row r="1734" spans="1:17">
      <c r="A1734" s="1"/>
      <c r="B1734" s="1"/>
      <c r="C1734" s="1"/>
      <c r="D1734" s="1" t="s">
        <v>5678</v>
      </c>
      <c r="E1734" s="1" t="s">
        <v>5366</v>
      </c>
      <c r="F1734" s="1"/>
      <c r="G1734" s="1"/>
      <c r="H1734" s="1"/>
      <c r="I1734" s="1" t="s">
        <v>5013</v>
      </c>
      <c r="J1734" s="1"/>
      <c r="K1734" s="1"/>
      <c r="L1734" s="1"/>
      <c r="M1734" s="1"/>
      <c r="N1734" s="1"/>
      <c r="O1734" s="1"/>
      <c r="P1734" s="1"/>
      <c r="Q1734" s="1"/>
    </row>
    <row r="1735" spans="1:17">
      <c r="A1735" s="1"/>
      <c r="B1735" s="1"/>
      <c r="C1735" s="1"/>
      <c r="D1735" s="1" t="s">
        <v>5085</v>
      </c>
      <c r="E1735" s="1" t="s">
        <v>5366</v>
      </c>
      <c r="F1735" s="1"/>
      <c r="G1735" s="1"/>
      <c r="H1735" s="1"/>
      <c r="I1735" s="1" t="s">
        <v>450</v>
      </c>
      <c r="J1735" s="1"/>
      <c r="K1735" s="1"/>
      <c r="L1735" s="1"/>
      <c r="M1735" s="1"/>
      <c r="N1735" s="1"/>
      <c r="O1735" s="1"/>
      <c r="P1735" s="1"/>
      <c r="Q1735" s="1"/>
    </row>
    <row r="1736" spans="1:17">
      <c r="A1736" s="1"/>
      <c r="B1736" s="1"/>
      <c r="C1736" s="1"/>
      <c r="D1736" s="1" t="s">
        <v>5679</v>
      </c>
      <c r="E1736" s="1" t="s">
        <v>5366</v>
      </c>
      <c r="F1736" s="1"/>
      <c r="G1736" s="1"/>
      <c r="H1736" s="1"/>
      <c r="I1736" s="1" t="s">
        <v>450</v>
      </c>
      <c r="J1736" s="1"/>
      <c r="K1736" s="1"/>
      <c r="L1736" s="1"/>
      <c r="M1736" s="1"/>
      <c r="N1736" s="1"/>
      <c r="O1736" s="1"/>
      <c r="P1736" s="1"/>
      <c r="Q1736" s="1"/>
    </row>
    <row r="1737" spans="1:17">
      <c r="A1737" s="1"/>
      <c r="B1737" s="1" t="s">
        <v>4467</v>
      </c>
      <c r="C1737" s="1" t="s">
        <v>4468</v>
      </c>
      <c r="D1737" s="1" t="s">
        <v>5680</v>
      </c>
      <c r="E1737" s="1" t="s">
        <v>465</v>
      </c>
      <c r="F1737" s="1">
        <v>1</v>
      </c>
      <c r="G1737" s="1">
        <v>0.81</v>
      </c>
      <c r="H1737" s="1">
        <v>2</v>
      </c>
      <c r="J1737" s="1" t="s">
        <v>304</v>
      </c>
      <c r="K1737" s="1" t="s">
        <v>1229</v>
      </c>
      <c r="L1737" s="1">
        <v>18722622602</v>
      </c>
      <c r="M1737" s="1" t="s">
        <v>1230</v>
      </c>
      <c r="N1737" s="1" t="s">
        <v>4470</v>
      </c>
      <c r="O1737" s="1" t="s">
        <v>4471</v>
      </c>
      <c r="P1737" s="1">
        <v>13132205652</v>
      </c>
      <c r="Q1737" s="1" t="s">
        <v>4472</v>
      </c>
    </row>
    <row r="1738" spans="1:17">
      <c r="A1738" s="1"/>
      <c r="B1738" s="1" t="s">
        <v>4474</v>
      </c>
      <c r="C1738" s="1" t="s">
        <v>4475</v>
      </c>
      <c r="D1738" s="1" t="s">
        <v>5259</v>
      </c>
      <c r="E1738" s="1" t="s">
        <v>5260</v>
      </c>
      <c r="F1738" s="1">
        <v>1</v>
      </c>
      <c r="G1738" s="1">
        <v>0.81</v>
      </c>
      <c r="H1738" s="1">
        <v>5</v>
      </c>
      <c r="J1738" s="1" t="s">
        <v>29</v>
      </c>
      <c r="K1738" s="1" t="s">
        <v>1239</v>
      </c>
      <c r="L1738" s="1">
        <v>17694885170</v>
      </c>
      <c r="M1738" s="1" t="s">
        <v>1230</v>
      </c>
      <c r="N1738" s="1" t="s">
        <v>4478</v>
      </c>
      <c r="O1738" s="1" t="s">
        <v>4479</v>
      </c>
      <c r="P1738" s="1">
        <v>13516251777</v>
      </c>
      <c r="Q1738" s="1" t="s">
        <v>4480</v>
      </c>
    </row>
    <row r="1739" spans="1:17">
      <c r="A1739" s="1"/>
      <c r="B1739" s="1"/>
      <c r="C1739" s="1"/>
      <c r="D1739" s="1" t="s">
        <v>5379</v>
      </c>
      <c r="E1739" s="1" t="s">
        <v>5205</v>
      </c>
      <c r="F1739" s="1"/>
      <c r="G1739" s="1"/>
      <c r="H1739" s="1"/>
      <c r="J1739" s="1"/>
      <c r="K1739" s="1"/>
      <c r="L1739" s="1"/>
      <c r="M1739" s="1"/>
      <c r="N1739" s="1"/>
      <c r="O1739" s="1"/>
      <c r="P1739" s="1"/>
      <c r="Q1739" s="1"/>
    </row>
    <row r="1740" spans="1:17">
      <c r="A1740" s="1"/>
      <c r="B1740" s="1"/>
      <c r="C1740" s="1"/>
      <c r="D1740" s="1" t="s">
        <v>5204</v>
      </c>
      <c r="E1740" s="1" t="s">
        <v>5205</v>
      </c>
      <c r="F1740" s="1"/>
      <c r="G1740" s="1"/>
      <c r="H1740" s="1"/>
      <c r="J1740" s="1"/>
      <c r="K1740" s="1"/>
      <c r="L1740" s="1"/>
      <c r="M1740" s="1"/>
      <c r="N1740" s="1"/>
      <c r="O1740" s="1"/>
      <c r="P1740" s="1"/>
      <c r="Q1740" s="1"/>
    </row>
    <row r="1741" spans="1:17">
      <c r="A1741" s="1"/>
      <c r="B1741" s="1" t="s">
        <v>4482</v>
      </c>
      <c r="C1741" s="1" t="s">
        <v>4483</v>
      </c>
      <c r="D1741" s="1" t="s">
        <v>5104</v>
      </c>
      <c r="E1741" s="1" t="s">
        <v>420</v>
      </c>
      <c r="F1741" s="1">
        <v>1</v>
      </c>
      <c r="G1741" s="1">
        <v>1.72</v>
      </c>
      <c r="H1741" s="1">
        <v>11</v>
      </c>
      <c r="I1741" s="1" t="s">
        <v>5105</v>
      </c>
      <c r="J1741" s="1" t="s">
        <v>40</v>
      </c>
      <c r="K1741" s="1" t="s">
        <v>1257</v>
      </c>
      <c r="L1741" s="1">
        <v>18820285826</v>
      </c>
      <c r="M1741" s="1" t="s">
        <v>1258</v>
      </c>
      <c r="N1741" s="1" t="s">
        <v>4484</v>
      </c>
      <c r="O1741" s="1" t="s">
        <v>4485</v>
      </c>
      <c r="P1741" s="1">
        <v>15012676080</v>
      </c>
      <c r="Q1741" s="1" t="s">
        <v>4486</v>
      </c>
    </row>
    <row r="1742" spans="1:17">
      <c r="A1742" s="1"/>
      <c r="B1742" s="1"/>
      <c r="C1742" s="1"/>
      <c r="D1742" s="1" t="s">
        <v>5266</v>
      </c>
      <c r="E1742" s="1" t="s">
        <v>420</v>
      </c>
      <c r="F1742" s="1"/>
      <c r="G1742" s="1"/>
      <c r="H1742" s="1"/>
      <c r="I1742" s="1" t="s">
        <v>164</v>
      </c>
      <c r="J1742" s="1"/>
      <c r="K1742" s="1"/>
      <c r="L1742" s="1"/>
      <c r="M1742" s="1"/>
      <c r="N1742" s="1"/>
      <c r="O1742" s="1"/>
      <c r="P1742" s="1"/>
      <c r="Q1742" s="1"/>
    </row>
    <row r="1743" spans="1:17">
      <c r="A1743" s="1"/>
      <c r="B1743" s="1"/>
      <c r="C1743" s="1"/>
      <c r="D1743" s="1" t="s">
        <v>5149</v>
      </c>
      <c r="E1743" s="1" t="s">
        <v>420</v>
      </c>
      <c r="F1743" s="1"/>
      <c r="G1743" s="1"/>
      <c r="H1743" s="1"/>
      <c r="I1743" s="1" t="s">
        <v>1142</v>
      </c>
      <c r="J1743" s="1"/>
      <c r="K1743" s="1"/>
      <c r="L1743" s="1"/>
      <c r="M1743" s="1"/>
      <c r="N1743" s="1"/>
      <c r="O1743" s="1"/>
      <c r="P1743" s="1"/>
      <c r="Q1743" s="1"/>
    </row>
    <row r="1744" spans="1:17">
      <c r="A1744" s="1"/>
      <c r="B1744" s="1"/>
      <c r="C1744" s="1"/>
      <c r="D1744" s="1" t="s">
        <v>5267</v>
      </c>
      <c r="E1744" s="1" t="s">
        <v>420</v>
      </c>
      <c r="F1744" s="1"/>
      <c r="G1744" s="1"/>
      <c r="H1744" s="1"/>
      <c r="I1744" s="1" t="s">
        <v>5111</v>
      </c>
      <c r="J1744" s="1"/>
      <c r="K1744" s="1"/>
      <c r="L1744" s="1"/>
      <c r="M1744" s="1"/>
      <c r="N1744" s="1"/>
      <c r="O1744" s="1"/>
      <c r="P1744" s="1"/>
      <c r="Q1744" s="1"/>
    </row>
    <row r="1745" spans="1:17">
      <c r="A1745" s="1"/>
      <c r="B1745" s="1" t="s">
        <v>4488</v>
      </c>
      <c r="C1745" s="1" t="s">
        <v>4489</v>
      </c>
      <c r="D1745" s="1" t="s">
        <v>5266</v>
      </c>
      <c r="E1745" s="1" t="s">
        <v>420</v>
      </c>
      <c r="F1745" s="1">
        <v>1</v>
      </c>
      <c r="G1745" s="1">
        <v>1.2636363636363599</v>
      </c>
      <c r="H1745" s="1">
        <v>10</v>
      </c>
      <c r="I1745" s="1" t="s">
        <v>164</v>
      </c>
      <c r="J1745" s="1" t="s">
        <v>29</v>
      </c>
      <c r="K1745" s="1" t="s">
        <v>1266</v>
      </c>
      <c r="L1745" s="1">
        <v>13611066495</v>
      </c>
      <c r="M1745" s="1" t="s">
        <v>1267</v>
      </c>
      <c r="N1745" s="1" t="s">
        <v>4490</v>
      </c>
      <c r="O1745" s="1" t="s">
        <v>1267</v>
      </c>
      <c r="P1745" s="1">
        <v>13611066495</v>
      </c>
      <c r="Q1745" s="1" t="s">
        <v>4491</v>
      </c>
    </row>
    <row r="1746" spans="1:17">
      <c r="A1746" s="1"/>
      <c r="B1746" s="1"/>
      <c r="C1746" s="1"/>
      <c r="D1746" s="1" t="s">
        <v>5268</v>
      </c>
      <c r="E1746" s="1" t="s">
        <v>420</v>
      </c>
      <c r="F1746" s="1"/>
      <c r="G1746" s="1"/>
      <c r="H1746" s="1"/>
      <c r="I1746" s="1" t="s">
        <v>5269</v>
      </c>
      <c r="J1746" s="1"/>
      <c r="K1746" s="1"/>
      <c r="L1746" s="1"/>
      <c r="M1746" s="1"/>
      <c r="N1746" s="1"/>
      <c r="O1746" s="1"/>
      <c r="P1746" s="1"/>
      <c r="Q1746" s="1"/>
    </row>
    <row r="1747" spans="1:17">
      <c r="A1747" s="1"/>
      <c r="B1747" s="1"/>
      <c r="C1747" s="1"/>
      <c r="D1747" s="1" t="s">
        <v>5270</v>
      </c>
      <c r="E1747" s="1" t="s">
        <v>420</v>
      </c>
      <c r="F1747" s="1"/>
      <c r="G1747" s="1"/>
      <c r="H1747" s="1"/>
      <c r="I1747" s="1" t="s">
        <v>4963</v>
      </c>
      <c r="J1747" s="1"/>
      <c r="K1747" s="1"/>
      <c r="L1747" s="1"/>
      <c r="M1747" s="1"/>
      <c r="N1747" s="1"/>
      <c r="O1747" s="1"/>
      <c r="P1747" s="1"/>
      <c r="Q1747" s="1"/>
    </row>
    <row r="1748" spans="1:17">
      <c r="A1748" s="1"/>
      <c r="B1748" s="1"/>
      <c r="C1748" s="1"/>
      <c r="D1748" s="1" t="s">
        <v>5271</v>
      </c>
      <c r="E1748" s="1" t="s">
        <v>420</v>
      </c>
      <c r="F1748" s="1"/>
      <c r="G1748" s="1"/>
      <c r="H1748" s="1"/>
      <c r="I1748" s="1" t="s">
        <v>5272</v>
      </c>
      <c r="J1748" s="1"/>
      <c r="K1748" s="1"/>
      <c r="L1748" s="1"/>
      <c r="M1748" s="1"/>
      <c r="N1748" s="1"/>
      <c r="O1748" s="1"/>
      <c r="P1748" s="1"/>
      <c r="Q1748" s="1"/>
    </row>
    <row r="1749" spans="1:17">
      <c r="A1749" s="1"/>
      <c r="B1749" s="1" t="s">
        <v>4493</v>
      </c>
      <c r="C1749" s="1" t="s">
        <v>4494</v>
      </c>
      <c r="D1749" s="1" t="s">
        <v>1274</v>
      </c>
      <c r="E1749" s="1" t="s">
        <v>420</v>
      </c>
      <c r="F1749" s="1">
        <v>1</v>
      </c>
      <c r="G1749" s="1">
        <v>0.81</v>
      </c>
      <c r="H1749" s="1">
        <v>2</v>
      </c>
      <c r="J1749" s="1" t="s">
        <v>40</v>
      </c>
      <c r="K1749" s="1" t="s">
        <v>1332</v>
      </c>
      <c r="L1749" s="1">
        <v>18926220287</v>
      </c>
      <c r="M1749" s="1" t="s">
        <v>1333</v>
      </c>
      <c r="N1749" s="1" t="s">
        <v>4495</v>
      </c>
      <c r="O1749" s="1" t="s">
        <v>1333</v>
      </c>
      <c r="P1749" s="1">
        <v>18926220287</v>
      </c>
      <c r="Q1749" s="1" t="s">
        <v>4496</v>
      </c>
    </row>
    <row r="1750" spans="1:17">
      <c r="A1750" s="1"/>
      <c r="B1750" s="1" t="s">
        <v>4498</v>
      </c>
      <c r="C1750" s="1" t="s">
        <v>4499</v>
      </c>
      <c r="D1750" s="1" t="s">
        <v>1274</v>
      </c>
      <c r="E1750" s="1" t="s">
        <v>420</v>
      </c>
      <c r="F1750" s="1">
        <v>1</v>
      </c>
      <c r="G1750" s="1">
        <v>0.81</v>
      </c>
      <c r="H1750" s="1">
        <v>2</v>
      </c>
      <c r="J1750" s="1" t="s">
        <v>40</v>
      </c>
      <c r="K1750" s="1" t="s">
        <v>1341</v>
      </c>
      <c r="L1750" s="1">
        <v>13922769996</v>
      </c>
      <c r="M1750" s="1" t="s">
        <v>1342</v>
      </c>
      <c r="N1750" s="1" t="s">
        <v>4500</v>
      </c>
      <c r="O1750" s="1" t="s">
        <v>1342</v>
      </c>
      <c r="P1750" s="1">
        <v>13922769996</v>
      </c>
      <c r="Q1750" s="1" t="s">
        <v>4501</v>
      </c>
    </row>
    <row r="1751" spans="1:17">
      <c r="A1751" s="1"/>
      <c r="B1751" s="1" t="s">
        <v>4503</v>
      </c>
      <c r="C1751" s="1" t="s">
        <v>4504</v>
      </c>
      <c r="D1751" s="1" t="s">
        <v>1274</v>
      </c>
      <c r="E1751" s="1" t="s">
        <v>420</v>
      </c>
      <c r="F1751" s="1">
        <v>1</v>
      </c>
      <c r="G1751" s="1">
        <v>0.81</v>
      </c>
      <c r="H1751" s="1">
        <v>2</v>
      </c>
      <c r="J1751" s="1" t="s">
        <v>40</v>
      </c>
      <c r="K1751" s="1" t="s">
        <v>1349</v>
      </c>
      <c r="L1751" s="1">
        <v>18571938601</v>
      </c>
      <c r="M1751" s="1" t="s">
        <v>1350</v>
      </c>
      <c r="N1751" s="1" t="s">
        <v>1349</v>
      </c>
      <c r="O1751" s="1" t="s">
        <v>1350</v>
      </c>
      <c r="P1751" s="1">
        <v>18571938601</v>
      </c>
      <c r="Q1751" s="1" t="s">
        <v>4505</v>
      </c>
    </row>
    <row r="1752" spans="1:17">
      <c r="A1752" s="1"/>
      <c r="B1752" s="1" t="s">
        <v>4507</v>
      </c>
      <c r="C1752" s="1" t="s">
        <v>4508</v>
      </c>
      <c r="D1752" s="1" t="s">
        <v>5232</v>
      </c>
      <c r="E1752" s="1" t="s">
        <v>1131</v>
      </c>
      <c r="F1752" s="1">
        <v>1</v>
      </c>
      <c r="G1752" s="1">
        <v>2.85</v>
      </c>
      <c r="H1752" s="1">
        <v>6</v>
      </c>
      <c r="I1752" s="1" t="s">
        <v>1132</v>
      </c>
      <c r="J1752" s="1" t="s">
        <v>293</v>
      </c>
      <c r="K1752" s="1" t="s">
        <v>1133</v>
      </c>
      <c r="L1752" s="1">
        <v>18722628063</v>
      </c>
      <c r="M1752" s="1" t="s">
        <v>1134</v>
      </c>
      <c r="N1752" s="1" t="s">
        <v>4509</v>
      </c>
      <c r="O1752" s="1" t="s">
        <v>1134</v>
      </c>
      <c r="P1752" s="1">
        <v>18722628063</v>
      </c>
      <c r="Q1752" s="1" t="s">
        <v>4510</v>
      </c>
    </row>
    <row r="1753" spans="1:17">
      <c r="A1753" s="1"/>
      <c r="B1753" s="1" t="s">
        <v>4512</v>
      </c>
      <c r="C1753" s="1" t="s">
        <v>4513</v>
      </c>
      <c r="D1753" s="1" t="s">
        <v>5233</v>
      </c>
      <c r="E1753" s="1" t="s">
        <v>420</v>
      </c>
      <c r="F1753" s="1">
        <v>1</v>
      </c>
      <c r="G1753" s="1">
        <v>1.72</v>
      </c>
      <c r="H1753" s="1">
        <v>14</v>
      </c>
      <c r="I1753" s="1" t="s">
        <v>1142</v>
      </c>
      <c r="J1753" s="1" t="s">
        <v>29</v>
      </c>
      <c r="K1753" s="1" t="s">
        <v>1143</v>
      </c>
      <c r="L1753" s="1">
        <v>13266533076</v>
      </c>
      <c r="M1753" s="1" t="s">
        <v>1144</v>
      </c>
      <c r="N1753" s="1" t="s">
        <v>4514</v>
      </c>
      <c r="O1753" s="1" t="s">
        <v>4515</v>
      </c>
      <c r="P1753" s="1">
        <v>13922877716</v>
      </c>
      <c r="Q1753" s="1" t="s">
        <v>4516</v>
      </c>
    </row>
    <row r="1754" spans="1:17">
      <c r="A1754" s="1"/>
      <c r="B1754" s="1" t="s">
        <v>4518</v>
      </c>
      <c r="C1754" s="1" t="s">
        <v>4519</v>
      </c>
      <c r="D1754" s="1" t="s">
        <v>5103</v>
      </c>
      <c r="E1754" s="1" t="s">
        <v>625</v>
      </c>
      <c r="F1754" s="1">
        <v>1</v>
      </c>
      <c r="G1754" s="1">
        <v>0.81</v>
      </c>
      <c r="H1754" s="1">
        <v>12</v>
      </c>
      <c r="I1754" s="1" t="s">
        <v>4987</v>
      </c>
      <c r="J1754" s="1" t="s">
        <v>40</v>
      </c>
      <c r="K1754" s="1" t="s">
        <v>1153</v>
      </c>
      <c r="L1754" s="1">
        <v>13313625098</v>
      </c>
      <c r="M1754" s="1" t="s">
        <v>1154</v>
      </c>
      <c r="N1754" s="1" t="s">
        <v>4522</v>
      </c>
      <c r="O1754" s="1" t="s">
        <v>1154</v>
      </c>
      <c r="P1754" s="1">
        <v>13313625098</v>
      </c>
      <c r="Q1754" s="1" t="s">
        <v>4523</v>
      </c>
    </row>
    <row r="1755" spans="1:17">
      <c r="A1755" s="1"/>
      <c r="B1755" s="1"/>
      <c r="C1755" s="1"/>
      <c r="D1755" s="1" t="s">
        <v>5236</v>
      </c>
      <c r="E1755" s="1" t="s">
        <v>625</v>
      </c>
      <c r="F1755" s="1"/>
      <c r="G1755" s="1"/>
      <c r="H1755" s="1"/>
      <c r="I1755" s="1" t="s">
        <v>4983</v>
      </c>
      <c r="J1755" s="1"/>
      <c r="K1755" s="1"/>
      <c r="L1755" s="1"/>
      <c r="M1755" s="1"/>
      <c r="N1755" s="1"/>
      <c r="O1755" s="1"/>
      <c r="P1755" s="1"/>
      <c r="Q1755" s="1"/>
    </row>
    <row r="1756" spans="1:17">
      <c r="A1756" s="1"/>
      <c r="B1756" s="1"/>
      <c r="C1756" s="1"/>
      <c r="D1756" s="1" t="s">
        <v>5681</v>
      </c>
      <c r="E1756" s="1" t="s">
        <v>625</v>
      </c>
      <c r="F1756" s="1"/>
      <c r="G1756" s="1"/>
      <c r="H1756" s="1"/>
      <c r="I1756" s="1" t="s">
        <v>4987</v>
      </c>
      <c r="J1756" s="1"/>
      <c r="K1756" s="1"/>
      <c r="L1756" s="1"/>
      <c r="M1756" s="1"/>
      <c r="N1756" s="1"/>
      <c r="O1756" s="1"/>
      <c r="P1756" s="1"/>
      <c r="Q1756" s="1"/>
    </row>
    <row r="1757" spans="1:17">
      <c r="A1757" s="1"/>
      <c r="B1757" s="1"/>
      <c r="C1757" s="1"/>
      <c r="D1757" s="1" t="s">
        <v>5556</v>
      </c>
      <c r="E1757" s="1" t="s">
        <v>625</v>
      </c>
      <c r="F1757" s="1"/>
      <c r="G1757" s="1"/>
      <c r="H1757" s="1"/>
      <c r="I1757" s="1" t="s">
        <v>5050</v>
      </c>
      <c r="J1757" s="1"/>
      <c r="K1757" s="1"/>
      <c r="L1757" s="1"/>
      <c r="M1757" s="1"/>
      <c r="N1757" s="1"/>
      <c r="O1757" s="1"/>
      <c r="P1757" s="1"/>
      <c r="Q1757" s="1"/>
    </row>
    <row r="1758" spans="1:17">
      <c r="A1758" s="1"/>
      <c r="B1758" s="1"/>
      <c r="C1758" s="1"/>
      <c r="D1758" s="1" t="s">
        <v>5682</v>
      </c>
      <c r="E1758" s="1" t="s">
        <v>625</v>
      </c>
      <c r="F1758" s="1"/>
      <c r="G1758" s="1"/>
      <c r="H1758" s="1"/>
      <c r="I1758" s="1" t="s">
        <v>4987</v>
      </c>
      <c r="J1758" s="1"/>
      <c r="K1758" s="1"/>
      <c r="L1758" s="1"/>
      <c r="M1758" s="1"/>
      <c r="N1758" s="1"/>
      <c r="O1758" s="1"/>
      <c r="P1758" s="1"/>
      <c r="Q1758" s="1"/>
    </row>
    <row r="1759" spans="1:17">
      <c r="A1759" s="1"/>
      <c r="B1759" s="1"/>
      <c r="C1759" s="1"/>
      <c r="D1759" s="1" t="s">
        <v>5023</v>
      </c>
      <c r="E1759" s="1" t="s">
        <v>625</v>
      </c>
      <c r="F1759" s="1"/>
      <c r="G1759" s="1"/>
      <c r="H1759" s="1"/>
      <c r="I1759" s="1" t="s">
        <v>5235</v>
      </c>
      <c r="J1759" s="1"/>
      <c r="K1759" s="1"/>
      <c r="L1759" s="1"/>
      <c r="M1759" s="1"/>
      <c r="N1759" s="1"/>
      <c r="O1759" s="1"/>
      <c r="P1759" s="1"/>
      <c r="Q1759" s="1"/>
    </row>
    <row r="1760" spans="1:17">
      <c r="A1760" s="1"/>
      <c r="B1760" s="1" t="s">
        <v>4525</v>
      </c>
      <c r="C1760" s="1" t="s">
        <v>4526</v>
      </c>
      <c r="D1760" s="1" t="s">
        <v>5289</v>
      </c>
      <c r="E1760" s="1" t="s">
        <v>1552</v>
      </c>
      <c r="F1760" s="1">
        <v>1</v>
      </c>
      <c r="G1760" s="1">
        <v>1.49</v>
      </c>
      <c r="H1760" s="1">
        <v>15</v>
      </c>
      <c r="I1760" s="1" t="s">
        <v>4995</v>
      </c>
      <c r="J1760" s="1" t="s">
        <v>40</v>
      </c>
      <c r="K1760" s="1" t="s">
        <v>2956</v>
      </c>
      <c r="L1760" s="1">
        <v>13050379788</v>
      </c>
      <c r="M1760" s="1" t="s">
        <v>2957</v>
      </c>
      <c r="N1760" s="1" t="s">
        <v>4527</v>
      </c>
      <c r="O1760" s="1" t="s">
        <v>4528</v>
      </c>
      <c r="P1760" s="1">
        <v>18741560808</v>
      </c>
      <c r="Q1760" s="1" t="s">
        <v>4529</v>
      </c>
    </row>
    <row r="1761" spans="1:17">
      <c r="A1761" s="1"/>
      <c r="B1761" s="1"/>
      <c r="C1761" s="1"/>
      <c r="D1761" s="1" t="s">
        <v>5290</v>
      </c>
      <c r="E1761" s="1" t="s">
        <v>1552</v>
      </c>
      <c r="F1761" s="1"/>
      <c r="G1761" s="1"/>
      <c r="H1761" s="1"/>
      <c r="I1761" s="1" t="s">
        <v>5055</v>
      </c>
      <c r="J1761" s="1"/>
      <c r="K1761" s="1"/>
      <c r="L1761" s="1"/>
      <c r="M1761" s="1"/>
      <c r="N1761" s="1"/>
      <c r="O1761" s="1"/>
      <c r="P1761" s="1"/>
      <c r="Q1761" s="1"/>
    </row>
    <row r="1762" spans="1:17">
      <c r="A1762" s="1"/>
      <c r="B1762" s="1" t="s">
        <v>4531</v>
      </c>
      <c r="C1762" s="1" t="s">
        <v>4532</v>
      </c>
      <c r="D1762" s="1" t="s">
        <v>5289</v>
      </c>
      <c r="E1762" s="1" t="s">
        <v>1552</v>
      </c>
      <c r="F1762" s="1">
        <v>1</v>
      </c>
      <c r="G1762" s="1">
        <v>1.49</v>
      </c>
      <c r="H1762" s="1">
        <v>15</v>
      </c>
      <c r="I1762" s="1" t="s">
        <v>4995</v>
      </c>
      <c r="J1762" s="1" t="s">
        <v>40</v>
      </c>
      <c r="K1762" s="1" t="s">
        <v>2956</v>
      </c>
      <c r="L1762" s="1">
        <v>13050379788</v>
      </c>
      <c r="M1762" s="1" t="s">
        <v>2957</v>
      </c>
      <c r="N1762" s="1" t="s">
        <v>4533</v>
      </c>
      <c r="O1762" s="1" t="s">
        <v>2957</v>
      </c>
      <c r="P1762" s="1">
        <v>13050379788</v>
      </c>
      <c r="Q1762" s="1" t="s">
        <v>4534</v>
      </c>
    </row>
    <row r="1763" spans="1:17">
      <c r="A1763" s="1"/>
      <c r="B1763" s="1"/>
      <c r="C1763" s="1"/>
      <c r="D1763" s="1" t="s">
        <v>5291</v>
      </c>
      <c r="E1763" s="1" t="s">
        <v>1552</v>
      </c>
      <c r="F1763" s="1"/>
      <c r="G1763" s="1"/>
      <c r="H1763" s="1"/>
      <c r="I1763" s="1" t="s">
        <v>5055</v>
      </c>
      <c r="J1763" s="1"/>
      <c r="K1763" s="1"/>
      <c r="L1763" s="1"/>
      <c r="M1763" s="1"/>
      <c r="N1763" s="1"/>
      <c r="O1763" s="1"/>
      <c r="P1763" s="1"/>
      <c r="Q1763" s="1"/>
    </row>
    <row r="1764" spans="1:17">
      <c r="A1764" s="1"/>
      <c r="B1764" s="1" t="s">
        <v>4536</v>
      </c>
      <c r="C1764" s="1" t="s">
        <v>4537</v>
      </c>
      <c r="D1764" s="1" t="s">
        <v>1551</v>
      </c>
      <c r="E1764" s="1" t="s">
        <v>1552</v>
      </c>
      <c r="F1764" s="1">
        <v>1</v>
      </c>
      <c r="G1764" s="1">
        <v>1.95</v>
      </c>
      <c r="H1764" s="1">
        <v>15</v>
      </c>
      <c r="I1764" s="1" t="s">
        <v>5055</v>
      </c>
      <c r="J1764" s="1" t="s">
        <v>40</v>
      </c>
      <c r="K1764" s="1" t="s">
        <v>2642</v>
      </c>
      <c r="L1764" s="1">
        <v>13050323110</v>
      </c>
      <c r="M1764" s="1" t="s">
        <v>2643</v>
      </c>
      <c r="N1764" s="1" t="s">
        <v>4538</v>
      </c>
      <c r="O1764" s="1" t="s">
        <v>2643</v>
      </c>
      <c r="P1764" s="1">
        <v>13050323110</v>
      </c>
      <c r="Q1764" s="1" t="s">
        <v>4539</v>
      </c>
    </row>
    <row r="1765" spans="1:17">
      <c r="A1765" s="1"/>
      <c r="B1765" s="1" t="s">
        <v>4541</v>
      </c>
      <c r="C1765" s="1" t="s">
        <v>4542</v>
      </c>
      <c r="D1765" s="1" t="s">
        <v>5044</v>
      </c>
      <c r="E1765" s="1" t="s">
        <v>625</v>
      </c>
      <c r="F1765" s="1">
        <v>1</v>
      </c>
      <c r="G1765" s="1">
        <v>1.49</v>
      </c>
      <c r="H1765" s="1">
        <v>10</v>
      </c>
      <c r="J1765" s="1" t="s">
        <v>40</v>
      </c>
      <c r="K1765" s="1" t="s">
        <v>321</v>
      </c>
      <c r="L1765" s="1">
        <v>13701078667</v>
      </c>
      <c r="M1765" s="1" t="s">
        <v>322</v>
      </c>
      <c r="N1765" s="1" t="s">
        <v>4544</v>
      </c>
      <c r="O1765" s="1" t="s">
        <v>4545</v>
      </c>
      <c r="P1765" s="1">
        <v>18911776231</v>
      </c>
      <c r="Q1765" s="1" t="s">
        <v>4546</v>
      </c>
    </row>
    <row r="1766" spans="1:17">
      <c r="A1766" s="1"/>
      <c r="B1766" s="1"/>
      <c r="C1766" s="1"/>
      <c r="D1766" s="1" t="s">
        <v>5320</v>
      </c>
      <c r="E1766" s="1" t="s">
        <v>625</v>
      </c>
      <c r="F1766" s="1"/>
      <c r="G1766" s="1"/>
      <c r="H1766" s="1"/>
      <c r="J1766" s="1"/>
      <c r="K1766" s="1"/>
      <c r="L1766" s="1"/>
      <c r="M1766" s="1"/>
      <c r="N1766" s="1"/>
      <c r="O1766" s="1"/>
      <c r="P1766" s="1"/>
      <c r="Q1766" s="1"/>
    </row>
    <row r="1767" spans="1:17">
      <c r="A1767" s="1"/>
      <c r="B1767" s="1"/>
      <c r="C1767" s="1"/>
      <c r="D1767" s="1" t="s">
        <v>5321</v>
      </c>
      <c r="E1767" s="1" t="s">
        <v>625</v>
      </c>
      <c r="F1767" s="1"/>
      <c r="G1767" s="1"/>
      <c r="H1767" s="1"/>
      <c r="J1767" s="1"/>
      <c r="K1767" s="1"/>
      <c r="L1767" s="1"/>
      <c r="M1767" s="1"/>
      <c r="N1767" s="1"/>
      <c r="O1767" s="1"/>
      <c r="P1767" s="1"/>
      <c r="Q1767" s="1"/>
    </row>
    <row r="1768" spans="1:17">
      <c r="A1768" s="1"/>
      <c r="B1768" s="1"/>
      <c r="C1768" s="1"/>
      <c r="D1768" s="1" t="s">
        <v>5103</v>
      </c>
      <c r="E1768" s="1" t="s">
        <v>625</v>
      </c>
      <c r="F1768" s="1"/>
      <c r="G1768" s="1"/>
      <c r="H1768" s="1"/>
      <c r="J1768" s="1"/>
      <c r="K1768" s="1"/>
      <c r="L1768" s="1"/>
      <c r="M1768" s="1"/>
      <c r="N1768" s="1"/>
      <c r="O1768" s="1"/>
      <c r="P1768" s="1"/>
      <c r="Q1768" s="1"/>
    </row>
    <row r="1769" spans="1:17">
      <c r="A1769" s="1"/>
      <c r="B1769" s="1"/>
      <c r="C1769" s="1"/>
      <c r="D1769" s="1" t="s">
        <v>5163</v>
      </c>
      <c r="E1769" s="1" t="s">
        <v>625</v>
      </c>
      <c r="F1769" s="1"/>
      <c r="G1769" s="1"/>
      <c r="H1769" s="1"/>
      <c r="J1769" s="1"/>
      <c r="K1769" s="1"/>
      <c r="L1769" s="1"/>
      <c r="M1769" s="1"/>
      <c r="N1769" s="1"/>
      <c r="O1769" s="1"/>
      <c r="P1769" s="1"/>
      <c r="Q1769" s="1"/>
    </row>
    <row r="1770" spans="1:17">
      <c r="A1770" s="1"/>
      <c r="B1770" s="1" t="s">
        <v>4548</v>
      </c>
      <c r="C1770" s="1" t="s">
        <v>4549</v>
      </c>
      <c r="D1770" s="1" t="s">
        <v>5683</v>
      </c>
      <c r="E1770" s="1" t="s">
        <v>625</v>
      </c>
      <c r="F1770" s="1">
        <v>1</v>
      </c>
      <c r="G1770" s="1">
        <v>1.49</v>
      </c>
      <c r="H1770" s="1">
        <v>10</v>
      </c>
      <c r="I1770" s="1" t="s">
        <v>5684</v>
      </c>
      <c r="J1770" s="1" t="s">
        <v>40</v>
      </c>
      <c r="K1770" s="1" t="s">
        <v>1171</v>
      </c>
      <c r="L1770" s="1">
        <v>13689911637</v>
      </c>
      <c r="M1770" s="1" t="s">
        <v>1172</v>
      </c>
      <c r="N1770" s="1" t="s">
        <v>1171</v>
      </c>
      <c r="O1770" s="1" t="s">
        <v>1172</v>
      </c>
      <c r="P1770" s="1">
        <v>13689911637</v>
      </c>
      <c r="Q1770" s="1" t="s">
        <v>4552</v>
      </c>
    </row>
    <row r="1771" spans="1:17">
      <c r="A1771" s="1"/>
      <c r="B1771" s="1"/>
      <c r="C1771" s="1"/>
      <c r="D1771" s="1" t="s">
        <v>5072</v>
      </c>
      <c r="E1771" s="1" t="s">
        <v>625</v>
      </c>
      <c r="F1771" s="1"/>
      <c r="G1771" s="1"/>
      <c r="H1771" s="1"/>
      <c r="I1771" s="1" t="s">
        <v>4987</v>
      </c>
      <c r="J1771" s="1"/>
      <c r="K1771" s="1"/>
      <c r="L1771" s="1"/>
      <c r="M1771" s="1"/>
      <c r="N1771" s="1"/>
      <c r="O1771" s="1"/>
      <c r="P1771" s="1"/>
      <c r="Q1771" s="1"/>
    </row>
    <row r="1772" spans="1:17">
      <c r="A1772" s="1"/>
      <c r="B1772" s="1"/>
      <c r="C1772" s="1"/>
      <c r="D1772" s="1" t="s">
        <v>5685</v>
      </c>
      <c r="E1772" s="1" t="s">
        <v>625</v>
      </c>
      <c r="F1772" s="1"/>
      <c r="G1772" s="1"/>
      <c r="H1772" s="1"/>
      <c r="I1772" s="1" t="s">
        <v>4985</v>
      </c>
      <c r="J1772" s="1"/>
      <c r="K1772" s="1"/>
      <c r="L1772" s="1"/>
      <c r="M1772" s="1"/>
      <c r="N1772" s="1"/>
      <c r="O1772" s="1"/>
      <c r="P1772" s="1"/>
      <c r="Q1772" s="1"/>
    </row>
    <row r="1773" spans="1:17">
      <c r="A1773" s="1"/>
      <c r="B1773" s="1" t="s">
        <v>4554</v>
      </c>
      <c r="C1773" s="1" t="s">
        <v>4555</v>
      </c>
      <c r="D1773" s="1" t="s">
        <v>5353</v>
      </c>
      <c r="E1773" s="1" t="s">
        <v>625</v>
      </c>
      <c r="F1773" s="1">
        <v>1</v>
      </c>
      <c r="G1773" s="1">
        <v>1.26</v>
      </c>
      <c r="H1773" s="1">
        <v>13</v>
      </c>
      <c r="J1773" s="1" t="s">
        <v>40</v>
      </c>
      <c r="K1773" s="1" t="s">
        <v>3513</v>
      </c>
      <c r="L1773" s="1">
        <v>13999205305</v>
      </c>
      <c r="M1773" s="1" t="s">
        <v>3514</v>
      </c>
      <c r="N1773" s="1" t="s">
        <v>4557</v>
      </c>
      <c r="O1773" s="1" t="s">
        <v>3514</v>
      </c>
      <c r="P1773" s="1">
        <v>13999205305</v>
      </c>
      <c r="Q1773" s="1" t="s">
        <v>4558</v>
      </c>
    </row>
    <row r="1774" spans="1:17">
      <c r="A1774" s="1"/>
      <c r="B1774" s="1"/>
      <c r="C1774" s="1"/>
      <c r="D1774" s="1" t="s">
        <v>5046</v>
      </c>
      <c r="E1774" s="1" t="s">
        <v>625</v>
      </c>
      <c r="F1774" s="1"/>
      <c r="G1774" s="1"/>
      <c r="H1774" s="1"/>
      <c r="J1774" s="1"/>
      <c r="K1774" s="1"/>
      <c r="L1774" s="1"/>
      <c r="M1774" s="1"/>
      <c r="N1774" s="1"/>
      <c r="O1774" s="1"/>
      <c r="P1774" s="1"/>
      <c r="Q1774" s="1"/>
    </row>
    <row r="1775" spans="1:17">
      <c r="A1775" s="1"/>
      <c r="B1775" s="1"/>
      <c r="C1775" s="1"/>
      <c r="D1775" s="1" t="s">
        <v>5686</v>
      </c>
      <c r="E1775" s="1" t="s">
        <v>625</v>
      </c>
      <c r="F1775" s="1"/>
      <c r="G1775" s="1"/>
      <c r="H1775" s="1"/>
      <c r="J1775" s="1"/>
      <c r="K1775" s="1"/>
      <c r="L1775" s="1"/>
      <c r="M1775" s="1"/>
      <c r="N1775" s="1"/>
      <c r="O1775" s="1"/>
      <c r="P1775" s="1"/>
      <c r="Q1775" s="1"/>
    </row>
    <row r="1776" spans="1:17">
      <c r="A1776" s="1"/>
      <c r="B1776" s="1" t="s">
        <v>4560</v>
      </c>
      <c r="C1776" s="1" t="s">
        <v>4561</v>
      </c>
      <c r="D1776" s="1" t="s">
        <v>5072</v>
      </c>
      <c r="E1776" s="1" t="s">
        <v>625</v>
      </c>
      <c r="F1776" s="1">
        <v>1</v>
      </c>
      <c r="G1776" s="1">
        <v>1.04</v>
      </c>
      <c r="H1776" s="1">
        <v>10</v>
      </c>
      <c r="J1776" s="1" t="s">
        <v>40</v>
      </c>
      <c r="K1776" s="1" t="s">
        <v>1181</v>
      </c>
      <c r="L1776" s="1">
        <v>13321152741</v>
      </c>
      <c r="M1776" s="1" t="s">
        <v>1182</v>
      </c>
      <c r="N1776" s="1" t="s">
        <v>4563</v>
      </c>
      <c r="O1776" s="1" t="s">
        <v>1182</v>
      </c>
      <c r="P1776" s="1">
        <v>13321152741</v>
      </c>
      <c r="Q1776" s="1" t="s">
        <v>4564</v>
      </c>
    </row>
    <row r="1777" spans="1:17">
      <c r="A1777" s="1"/>
      <c r="B1777" s="1"/>
      <c r="C1777" s="1"/>
      <c r="D1777" s="1" t="s">
        <v>5263</v>
      </c>
      <c r="E1777" s="1" t="s">
        <v>625</v>
      </c>
      <c r="F1777" s="1"/>
      <c r="G1777" s="1"/>
      <c r="H1777" s="1"/>
      <c r="J1777" s="1"/>
      <c r="K1777" s="1"/>
      <c r="L1777" s="1"/>
      <c r="M1777" s="1"/>
      <c r="N1777" s="1"/>
      <c r="O1777" s="1"/>
      <c r="P1777" s="1"/>
      <c r="Q1777" s="1"/>
    </row>
    <row r="1778" spans="1:17">
      <c r="A1778" s="1"/>
      <c r="B1778" s="1"/>
      <c r="C1778" s="1"/>
      <c r="D1778" s="1" t="s">
        <v>5020</v>
      </c>
      <c r="E1778" s="1" t="s">
        <v>625</v>
      </c>
      <c r="F1778" s="1"/>
      <c r="G1778" s="1"/>
      <c r="H1778" s="1"/>
      <c r="J1778" s="1"/>
      <c r="K1778" s="1"/>
      <c r="L1778" s="1"/>
      <c r="M1778" s="1"/>
      <c r="N1778" s="1"/>
      <c r="O1778" s="1"/>
      <c r="P1778" s="1"/>
      <c r="Q1778" s="1"/>
    </row>
    <row r="1779" spans="1:17">
      <c r="A1779" s="1"/>
      <c r="B1779" s="1"/>
      <c r="C1779" s="1"/>
      <c r="D1779" s="1" t="s">
        <v>5191</v>
      </c>
      <c r="E1779" s="1" t="s">
        <v>625</v>
      </c>
      <c r="F1779" s="1"/>
      <c r="G1779" s="1"/>
      <c r="H1779" s="1"/>
      <c r="J1779" s="1"/>
      <c r="K1779" s="1"/>
      <c r="L1779" s="1"/>
      <c r="M1779" s="1"/>
      <c r="N1779" s="1"/>
      <c r="O1779" s="1"/>
      <c r="P1779" s="1"/>
      <c r="Q1779" s="1"/>
    </row>
    <row r="1780" spans="1:17">
      <c r="A1780" s="1"/>
      <c r="B1780" s="1"/>
      <c r="C1780" s="1"/>
      <c r="D1780" s="1" t="s">
        <v>5383</v>
      </c>
      <c r="E1780" s="1" t="s">
        <v>625</v>
      </c>
      <c r="F1780" s="1"/>
      <c r="G1780" s="1"/>
      <c r="H1780" s="1"/>
      <c r="J1780" s="1"/>
      <c r="K1780" s="1"/>
      <c r="L1780" s="1"/>
      <c r="M1780" s="1"/>
      <c r="N1780" s="1"/>
      <c r="O1780" s="1"/>
      <c r="P1780" s="1"/>
      <c r="Q1780" s="1"/>
    </row>
    <row r="1781" spans="1:17">
      <c r="A1781" s="1"/>
      <c r="B1781" s="1" t="s">
        <v>4566</v>
      </c>
      <c r="C1781" s="1" t="s">
        <v>4567</v>
      </c>
      <c r="D1781" s="1" t="s">
        <v>1274</v>
      </c>
      <c r="E1781" s="1" t="s">
        <v>420</v>
      </c>
      <c r="F1781" s="1">
        <v>1</v>
      </c>
      <c r="G1781" s="1">
        <v>0.81</v>
      </c>
      <c r="H1781" s="1">
        <v>2</v>
      </c>
      <c r="J1781" s="1" t="s">
        <v>40</v>
      </c>
      <c r="K1781" s="1" t="s">
        <v>1429</v>
      </c>
      <c r="L1781" s="1">
        <v>17180669418</v>
      </c>
      <c r="M1781" s="1" t="s">
        <v>1430</v>
      </c>
      <c r="N1781" s="1" t="s">
        <v>4568</v>
      </c>
      <c r="O1781" s="1" t="s">
        <v>4569</v>
      </c>
      <c r="P1781" s="1">
        <v>13827101733</v>
      </c>
      <c r="Q1781" s="1" t="s">
        <v>4570</v>
      </c>
    </row>
    <row r="1782" spans="1:17">
      <c r="A1782" s="1"/>
      <c r="B1782" s="1" t="s">
        <v>4572</v>
      </c>
      <c r="C1782" s="1" t="s">
        <v>4573</v>
      </c>
      <c r="D1782" s="1" t="s">
        <v>1274</v>
      </c>
      <c r="E1782" s="1" t="s">
        <v>420</v>
      </c>
      <c r="F1782" s="1">
        <v>1</v>
      </c>
      <c r="G1782" s="1">
        <v>0.81</v>
      </c>
      <c r="H1782" s="1">
        <v>2</v>
      </c>
      <c r="J1782" s="1" t="s">
        <v>40</v>
      </c>
      <c r="K1782" s="1" t="s">
        <v>1357</v>
      </c>
      <c r="L1782" s="1">
        <v>18928770178</v>
      </c>
      <c r="M1782" s="1" t="s">
        <v>1437</v>
      </c>
      <c r="N1782" s="1" t="s">
        <v>4574</v>
      </c>
      <c r="O1782" s="1" t="s">
        <v>1437</v>
      </c>
      <c r="P1782" s="1">
        <v>18928770178</v>
      </c>
      <c r="Q1782" s="1" t="s">
        <v>4575</v>
      </c>
    </row>
    <row r="1783" spans="1:17">
      <c r="A1783" s="1"/>
      <c r="B1783" s="1" t="s">
        <v>4577</v>
      </c>
      <c r="C1783" s="1" t="s">
        <v>4578</v>
      </c>
      <c r="D1783" s="1" t="s">
        <v>5276</v>
      </c>
      <c r="E1783" s="1" t="s">
        <v>420</v>
      </c>
      <c r="F1783" s="1">
        <v>1</v>
      </c>
      <c r="G1783" s="1">
        <v>1.49</v>
      </c>
      <c r="H1783" s="1">
        <v>10</v>
      </c>
      <c r="J1783" s="1" t="s">
        <v>29</v>
      </c>
      <c r="K1783" s="1" t="s">
        <v>1325</v>
      </c>
      <c r="L1783" s="1">
        <v>17098899489</v>
      </c>
      <c r="M1783" s="1" t="s">
        <v>1326</v>
      </c>
      <c r="N1783" s="1" t="s">
        <v>4579</v>
      </c>
      <c r="O1783" s="1" t="s">
        <v>4580</v>
      </c>
      <c r="P1783" s="1">
        <v>13652892275</v>
      </c>
      <c r="Q1783" s="1" t="s">
        <v>4581</v>
      </c>
    </row>
    <row r="1784" spans="1:17">
      <c r="A1784" s="1"/>
      <c r="B1784" s="1"/>
      <c r="C1784" s="1"/>
      <c r="D1784" s="1" t="s">
        <v>5277</v>
      </c>
      <c r="E1784" s="1" t="s">
        <v>420</v>
      </c>
      <c r="F1784" s="1"/>
      <c r="G1784" s="1"/>
      <c r="H1784" s="1"/>
      <c r="J1784" s="1"/>
      <c r="K1784" s="1"/>
      <c r="L1784" s="1"/>
      <c r="M1784" s="1"/>
      <c r="N1784" s="1"/>
      <c r="O1784" s="1"/>
      <c r="P1784" s="1"/>
      <c r="Q1784" s="1"/>
    </row>
    <row r="1785" spans="1:17">
      <c r="A1785" s="1"/>
      <c r="B1785" s="1" t="s">
        <v>4583</v>
      </c>
      <c r="C1785" s="1" t="s">
        <v>4584</v>
      </c>
      <c r="D1785" s="1" t="s">
        <v>5276</v>
      </c>
      <c r="E1785" s="1" t="s">
        <v>420</v>
      </c>
      <c r="F1785" s="1">
        <v>1</v>
      </c>
      <c r="G1785" s="1">
        <v>1.49</v>
      </c>
      <c r="H1785" s="1">
        <v>10</v>
      </c>
      <c r="J1785" s="1" t="s">
        <v>29</v>
      </c>
      <c r="K1785" s="1" t="s">
        <v>3598</v>
      </c>
      <c r="L1785" s="1">
        <v>18926224407</v>
      </c>
      <c r="M1785" s="1" t="s">
        <v>3599</v>
      </c>
      <c r="N1785" s="1" t="s">
        <v>4585</v>
      </c>
      <c r="O1785" s="1" t="s">
        <v>4586</v>
      </c>
      <c r="P1785" s="1">
        <v>15917566134</v>
      </c>
      <c r="Q1785" s="1" t="s">
        <v>4587</v>
      </c>
    </row>
    <row r="1786" spans="1:17">
      <c r="A1786" s="1"/>
      <c r="B1786" s="1"/>
      <c r="C1786" s="1"/>
      <c r="D1786" s="1" t="s">
        <v>5277</v>
      </c>
      <c r="E1786" s="1" t="s">
        <v>420</v>
      </c>
      <c r="F1786" s="1"/>
      <c r="G1786" s="1"/>
      <c r="H1786" s="1"/>
      <c r="J1786" s="1"/>
      <c r="K1786" s="1"/>
      <c r="L1786" s="1"/>
      <c r="M1786" s="1"/>
      <c r="N1786" s="1"/>
      <c r="O1786" s="1"/>
      <c r="P1786" s="1"/>
      <c r="Q1786" s="1"/>
    </row>
    <row r="1787" spans="1:17">
      <c r="A1787" s="1"/>
      <c r="B1787" s="1" t="s">
        <v>4589</v>
      </c>
      <c r="C1787" s="1" t="s">
        <v>4590</v>
      </c>
      <c r="D1787" s="1" t="s">
        <v>5687</v>
      </c>
      <c r="E1787" s="1" t="s">
        <v>625</v>
      </c>
      <c r="F1787" s="1">
        <v>1</v>
      </c>
      <c r="G1787" s="1">
        <v>2.17</v>
      </c>
      <c r="H1787" s="1">
        <v>11</v>
      </c>
      <c r="J1787" s="1" t="s">
        <v>40</v>
      </c>
      <c r="K1787" s="1" t="s">
        <v>660</v>
      </c>
      <c r="L1787" s="1">
        <v>13135347968</v>
      </c>
      <c r="M1787" s="1" t="s">
        <v>661</v>
      </c>
      <c r="N1787" s="1" t="s">
        <v>4592</v>
      </c>
      <c r="O1787" s="1" t="s">
        <v>661</v>
      </c>
      <c r="P1787" s="1">
        <v>13135347968</v>
      </c>
      <c r="Q1787" s="1" t="s">
        <v>4593</v>
      </c>
    </row>
    <row r="1788" spans="1:17">
      <c r="A1788" s="1"/>
      <c r="B1788" s="1"/>
      <c r="C1788" s="1"/>
      <c r="D1788" s="1" t="s">
        <v>5084</v>
      </c>
      <c r="E1788" s="1" t="s">
        <v>625</v>
      </c>
      <c r="F1788" s="1"/>
      <c r="G1788" s="1"/>
      <c r="H1788" s="1"/>
      <c r="J1788" s="1"/>
      <c r="K1788" s="1"/>
      <c r="L1788" s="1"/>
      <c r="M1788" s="1"/>
      <c r="N1788" s="1"/>
      <c r="O1788" s="1"/>
      <c r="P1788" s="1"/>
      <c r="Q1788" s="1"/>
    </row>
    <row r="1789" spans="1:17">
      <c r="A1789" s="1"/>
      <c r="B1789" s="1" t="s">
        <v>4595</v>
      </c>
      <c r="C1789" s="1" t="s">
        <v>4596</v>
      </c>
      <c r="D1789" s="1" t="s">
        <v>5085</v>
      </c>
      <c r="E1789" s="1" t="s">
        <v>5366</v>
      </c>
      <c r="F1789" s="1">
        <v>1</v>
      </c>
      <c r="G1789" s="1">
        <v>1.49</v>
      </c>
      <c r="H1789" s="1">
        <v>10</v>
      </c>
      <c r="J1789" s="1" t="s">
        <v>29</v>
      </c>
      <c r="K1789" s="1" t="s">
        <v>2043</v>
      </c>
      <c r="L1789" s="1">
        <v>13824680321</v>
      </c>
      <c r="M1789" s="1" t="s">
        <v>2044</v>
      </c>
      <c r="N1789" s="1" t="s">
        <v>4599</v>
      </c>
      <c r="O1789" s="1" t="s">
        <v>4600</v>
      </c>
      <c r="P1789" s="1">
        <v>13822732280</v>
      </c>
      <c r="Q1789" s="1" t="s">
        <v>4601</v>
      </c>
    </row>
    <row r="1790" spans="1:17">
      <c r="A1790" s="1"/>
      <c r="B1790" s="1"/>
      <c r="C1790" s="1"/>
      <c r="D1790" s="1" t="s">
        <v>5688</v>
      </c>
      <c r="E1790" s="1" t="s">
        <v>5176</v>
      </c>
      <c r="F1790" s="1"/>
      <c r="G1790" s="1"/>
      <c r="H1790" s="1"/>
      <c r="J1790" s="1"/>
      <c r="K1790" s="1"/>
      <c r="L1790" s="1"/>
      <c r="M1790" s="1"/>
      <c r="N1790" s="1"/>
      <c r="O1790" s="1"/>
      <c r="P1790" s="1"/>
      <c r="Q1790" s="1"/>
    </row>
    <row r="1791" spans="1:17">
      <c r="A1791" s="1"/>
      <c r="B1791" s="1"/>
      <c r="C1791" s="1"/>
      <c r="D1791" s="1" t="s">
        <v>5201</v>
      </c>
      <c r="E1791" s="1" t="s">
        <v>2413</v>
      </c>
      <c r="F1791" s="1"/>
      <c r="G1791" s="1"/>
      <c r="H1791" s="1"/>
      <c r="J1791" s="1"/>
      <c r="K1791" s="1"/>
      <c r="L1791" s="1"/>
      <c r="M1791" s="1"/>
      <c r="N1791" s="1"/>
      <c r="O1791" s="1"/>
      <c r="P1791" s="1"/>
      <c r="Q1791" s="1"/>
    </row>
    <row r="1792" spans="1:17">
      <c r="A1792" s="1"/>
      <c r="B1792" s="1"/>
      <c r="C1792" s="1"/>
      <c r="D1792" s="1" t="s">
        <v>5364</v>
      </c>
      <c r="E1792" s="1" t="s">
        <v>2413</v>
      </c>
      <c r="F1792" s="1"/>
      <c r="G1792" s="1"/>
      <c r="H1792" s="1"/>
      <c r="J1792" s="1"/>
      <c r="K1792" s="1"/>
      <c r="L1792" s="1"/>
      <c r="M1792" s="1"/>
      <c r="N1792" s="1"/>
      <c r="O1792" s="1"/>
      <c r="P1792" s="1"/>
      <c r="Q1792" s="1"/>
    </row>
    <row r="1793" spans="1:17">
      <c r="A1793" s="1"/>
      <c r="B1793" s="1"/>
      <c r="C1793" s="1"/>
      <c r="D1793" s="1" t="s">
        <v>5689</v>
      </c>
      <c r="E1793" s="1" t="s">
        <v>5690</v>
      </c>
      <c r="F1793" s="1"/>
      <c r="G1793" s="1"/>
      <c r="H1793" s="1"/>
      <c r="J1793" s="1"/>
      <c r="K1793" s="1"/>
      <c r="L1793" s="1"/>
      <c r="M1793" s="1"/>
      <c r="N1793" s="1"/>
      <c r="O1793" s="1"/>
      <c r="P1793" s="1"/>
      <c r="Q1793" s="1"/>
    </row>
    <row r="1794" spans="1:17">
      <c r="A1794" s="1"/>
      <c r="B1794" s="1"/>
      <c r="C1794" s="1"/>
      <c r="D1794" s="1" t="s">
        <v>5365</v>
      </c>
      <c r="E1794" s="1" t="s">
        <v>2413</v>
      </c>
      <c r="F1794" s="1"/>
      <c r="G1794" s="1"/>
      <c r="H1794" s="1"/>
      <c r="J1794" s="1"/>
      <c r="K1794" s="1"/>
      <c r="L1794" s="1"/>
      <c r="M1794" s="1"/>
      <c r="N1794" s="1"/>
      <c r="O1794" s="1"/>
      <c r="P1794" s="1"/>
      <c r="Q1794" s="1"/>
    </row>
    <row r="1795" spans="1:17">
      <c r="A1795" s="1"/>
      <c r="B1795" s="1" t="s">
        <v>4603</v>
      </c>
      <c r="C1795" s="1" t="s">
        <v>4604</v>
      </c>
      <c r="D1795" s="1" t="s">
        <v>5085</v>
      </c>
      <c r="E1795" s="1" t="s">
        <v>5057</v>
      </c>
      <c r="F1795" s="1">
        <v>1</v>
      </c>
      <c r="G1795" s="1">
        <v>0.81</v>
      </c>
      <c r="H1795" s="1">
        <v>4</v>
      </c>
      <c r="I1795" s="1" t="s">
        <v>450</v>
      </c>
      <c r="J1795" s="1" t="s">
        <v>29</v>
      </c>
      <c r="K1795" s="1" t="s">
        <v>4608</v>
      </c>
      <c r="L1795" s="1">
        <v>13978328608</v>
      </c>
      <c r="M1795" s="1" t="s">
        <v>4609</v>
      </c>
      <c r="N1795" s="1" t="s">
        <v>4608</v>
      </c>
      <c r="O1795" s="1" t="s">
        <v>4609</v>
      </c>
      <c r="P1795" s="1">
        <v>13978328608</v>
      </c>
      <c r="Q1795" s="1" t="s">
        <v>4610</v>
      </c>
    </row>
    <row r="1796" spans="1:17">
      <c r="A1796" s="1"/>
      <c r="B1796" s="1"/>
      <c r="C1796" s="1"/>
      <c r="D1796" s="1" t="s">
        <v>5009</v>
      </c>
      <c r="E1796" s="1" t="s">
        <v>5206</v>
      </c>
      <c r="F1796" s="1"/>
      <c r="G1796" s="1"/>
      <c r="H1796" s="1"/>
      <c r="I1796" s="1" t="s">
        <v>5443</v>
      </c>
      <c r="J1796" s="1"/>
      <c r="K1796" s="1"/>
      <c r="L1796" s="1"/>
      <c r="M1796" s="1"/>
      <c r="N1796" s="1"/>
      <c r="O1796" s="1"/>
      <c r="P1796" s="1"/>
      <c r="Q1796" s="1"/>
    </row>
    <row r="1797" spans="1:17">
      <c r="A1797" s="1"/>
      <c r="B1797" s="1"/>
      <c r="C1797" s="1"/>
      <c r="D1797" s="1" t="s">
        <v>5329</v>
      </c>
      <c r="E1797" s="1" t="s">
        <v>5206</v>
      </c>
      <c r="F1797" s="1"/>
      <c r="G1797" s="1"/>
      <c r="H1797" s="1"/>
      <c r="J1797" s="1"/>
      <c r="K1797" s="1"/>
      <c r="L1797" s="1"/>
      <c r="M1797" s="1"/>
      <c r="N1797" s="1"/>
      <c r="O1797" s="1"/>
      <c r="P1797" s="1"/>
      <c r="Q1797" s="1"/>
    </row>
    <row r="1798" spans="1:17">
      <c r="A1798" s="1"/>
      <c r="B1798" s="1" t="s">
        <v>4612</v>
      </c>
      <c r="C1798" s="1" t="s">
        <v>4613</v>
      </c>
      <c r="D1798" s="1" t="s">
        <v>5075</v>
      </c>
      <c r="E1798" s="1" t="s">
        <v>2920</v>
      </c>
      <c r="F1798" s="1">
        <v>1</v>
      </c>
      <c r="G1798" s="1">
        <v>0.81</v>
      </c>
      <c r="H1798" s="1">
        <v>2</v>
      </c>
      <c r="J1798" s="1" t="s">
        <v>103</v>
      </c>
      <c r="K1798" s="1" t="s">
        <v>4615</v>
      </c>
      <c r="L1798" s="1">
        <v>13802672268</v>
      </c>
      <c r="M1798" s="1" t="s">
        <v>4616</v>
      </c>
      <c r="N1798" s="1" t="s">
        <v>4615</v>
      </c>
      <c r="O1798" s="1" t="s">
        <v>4616</v>
      </c>
      <c r="P1798" s="1">
        <v>13802672268</v>
      </c>
      <c r="Q1798" s="1" t="s">
        <v>4617</v>
      </c>
    </row>
    <row r="1799" spans="1:17">
      <c r="A1799" s="1"/>
      <c r="B1799" s="1" t="s">
        <v>4619</v>
      </c>
      <c r="C1799" s="1" t="s">
        <v>4620</v>
      </c>
      <c r="D1799" s="1" t="s">
        <v>4977</v>
      </c>
      <c r="E1799" s="1" t="s">
        <v>5691</v>
      </c>
      <c r="F1799" s="1">
        <v>1</v>
      </c>
      <c r="G1799" s="1">
        <v>0.81</v>
      </c>
      <c r="H1799" s="1">
        <v>4</v>
      </c>
      <c r="I1799" s="1" t="s">
        <v>5692</v>
      </c>
      <c r="J1799" s="1" t="s">
        <v>103</v>
      </c>
      <c r="K1799" s="1" t="s">
        <v>4624</v>
      </c>
      <c r="L1799" s="1">
        <v>13730810067</v>
      </c>
      <c r="M1799" s="1" t="s">
        <v>4625</v>
      </c>
      <c r="N1799" s="1" t="s">
        <v>4626</v>
      </c>
      <c r="O1799" s="1" t="s">
        <v>4625</v>
      </c>
      <c r="P1799" s="1">
        <v>13730810067</v>
      </c>
      <c r="Q1799" s="1" t="s">
        <v>4627</v>
      </c>
    </row>
    <row r="1800" spans="1:17">
      <c r="A1800" s="1"/>
      <c r="B1800" s="1"/>
      <c r="C1800" s="1"/>
      <c r="D1800" s="1" t="s">
        <v>5693</v>
      </c>
      <c r="E1800" s="1" t="s">
        <v>1210</v>
      </c>
      <c r="F1800" s="1"/>
      <c r="G1800" s="1"/>
      <c r="H1800" s="1"/>
      <c r="I1800" s="1" t="s">
        <v>1634</v>
      </c>
      <c r="J1800" s="1"/>
      <c r="K1800" s="1"/>
      <c r="L1800" s="1"/>
      <c r="M1800" s="1"/>
      <c r="N1800" s="1"/>
      <c r="O1800" s="1"/>
      <c r="P1800" s="1"/>
      <c r="Q1800" s="1"/>
    </row>
    <row r="1801" spans="1:17">
      <c r="A1801" s="1"/>
      <c r="B1801" s="1"/>
      <c r="C1801" s="1"/>
      <c r="D1801" s="1" t="s">
        <v>5694</v>
      </c>
      <c r="E1801" s="1" t="s">
        <v>687</v>
      </c>
      <c r="F1801" s="1"/>
      <c r="G1801" s="1"/>
      <c r="H1801" s="1"/>
      <c r="J1801" s="1"/>
      <c r="K1801" s="1"/>
      <c r="L1801" s="1"/>
      <c r="M1801" s="1"/>
      <c r="N1801" s="1"/>
      <c r="O1801" s="1"/>
      <c r="P1801" s="1"/>
      <c r="Q1801" s="1"/>
    </row>
    <row r="1802" spans="1:17">
      <c r="A1802" s="1"/>
      <c r="B1802" s="1" t="s">
        <v>4629</v>
      </c>
      <c r="C1802" s="1" t="s">
        <v>4630</v>
      </c>
      <c r="D1802" s="1" t="s">
        <v>5201</v>
      </c>
      <c r="E1802" s="1" t="s">
        <v>696</v>
      </c>
      <c r="F1802" s="1">
        <v>1</v>
      </c>
      <c r="G1802" s="1">
        <v>0.81</v>
      </c>
      <c r="H1802" s="1">
        <v>13</v>
      </c>
      <c r="J1802" s="1" t="s">
        <v>29</v>
      </c>
      <c r="K1802" s="1" t="s">
        <v>4634</v>
      </c>
      <c r="L1802" s="1">
        <v>18695618599</v>
      </c>
      <c r="M1802" s="1" t="s">
        <v>4635</v>
      </c>
      <c r="N1802" s="1" t="s">
        <v>4634</v>
      </c>
      <c r="O1802" s="1" t="s">
        <v>4636</v>
      </c>
      <c r="P1802" s="1">
        <v>18650360515</v>
      </c>
      <c r="Q1802" s="1" t="s">
        <v>4637</v>
      </c>
    </row>
    <row r="1803" spans="1:17">
      <c r="A1803" s="1"/>
      <c r="B1803" s="1"/>
      <c r="C1803" s="1"/>
      <c r="D1803" s="1" t="s">
        <v>5695</v>
      </c>
      <c r="E1803" s="1" t="s">
        <v>5340</v>
      </c>
      <c r="F1803" s="1"/>
      <c r="G1803" s="1"/>
      <c r="H1803" s="1"/>
      <c r="J1803" s="1"/>
      <c r="K1803" s="1"/>
      <c r="L1803" s="1"/>
      <c r="M1803" s="1"/>
      <c r="N1803" s="1"/>
      <c r="O1803" s="1"/>
      <c r="P1803" s="1"/>
      <c r="Q1803" s="1"/>
    </row>
    <row r="1804" spans="1:17">
      <c r="A1804" s="1"/>
      <c r="B1804" s="1"/>
      <c r="C1804" s="1"/>
      <c r="D1804" s="1" t="s">
        <v>4954</v>
      </c>
      <c r="E1804" s="1" t="s">
        <v>5340</v>
      </c>
      <c r="F1804" s="1"/>
      <c r="G1804" s="1"/>
      <c r="H1804" s="1"/>
      <c r="J1804" s="1"/>
      <c r="K1804" s="1"/>
      <c r="L1804" s="1"/>
      <c r="M1804" s="1"/>
      <c r="N1804" s="1"/>
      <c r="O1804" s="1"/>
      <c r="P1804" s="1"/>
      <c r="Q1804" s="1"/>
    </row>
    <row r="1805" spans="1:17">
      <c r="A1805" s="1"/>
      <c r="B1805" s="1"/>
      <c r="C1805" s="1"/>
      <c r="D1805" s="1" t="s">
        <v>5696</v>
      </c>
      <c r="E1805" s="1" t="s">
        <v>5697</v>
      </c>
      <c r="F1805" s="1"/>
      <c r="G1805" s="1"/>
      <c r="H1805" s="1"/>
      <c r="J1805" s="1"/>
      <c r="K1805" s="1"/>
      <c r="L1805" s="1"/>
      <c r="M1805" s="1"/>
      <c r="N1805" s="1"/>
      <c r="O1805" s="1"/>
      <c r="P1805" s="1"/>
      <c r="Q1805" s="1"/>
    </row>
    <row r="1806" spans="1:17">
      <c r="A1806" s="1"/>
      <c r="B1806" s="1"/>
      <c r="C1806" s="1"/>
      <c r="D1806" s="1" t="s">
        <v>5698</v>
      </c>
      <c r="E1806" s="1" t="s">
        <v>5340</v>
      </c>
      <c r="F1806" s="1"/>
      <c r="G1806" s="1"/>
      <c r="H1806" s="1"/>
      <c r="I1806" s="1" t="s">
        <v>5699</v>
      </c>
      <c r="J1806" s="1"/>
      <c r="K1806" s="1"/>
      <c r="L1806" s="1"/>
      <c r="M1806" s="1"/>
      <c r="N1806" s="1"/>
      <c r="O1806" s="1"/>
      <c r="P1806" s="1"/>
      <c r="Q1806" s="1"/>
    </row>
    <row r="1807" spans="1:17">
      <c r="A1807" s="1"/>
      <c r="B1807" s="1" t="s">
        <v>4639</v>
      </c>
      <c r="C1807" s="1" t="s">
        <v>4640</v>
      </c>
      <c r="D1807" s="1" t="s">
        <v>5700</v>
      </c>
      <c r="E1807" s="1" t="s">
        <v>4054</v>
      </c>
      <c r="F1807" s="1">
        <v>1</v>
      </c>
      <c r="G1807" s="1">
        <v>1.49</v>
      </c>
      <c r="H1807" s="1">
        <v>6</v>
      </c>
      <c r="I1807" s="1" t="s">
        <v>5701</v>
      </c>
      <c r="J1807" s="1" t="s">
        <v>103</v>
      </c>
      <c r="K1807" s="1" t="s">
        <v>3086</v>
      </c>
      <c r="L1807" s="1">
        <v>15080609972</v>
      </c>
      <c r="M1807" s="1" t="s">
        <v>3087</v>
      </c>
      <c r="N1807" s="1" t="s">
        <v>4644</v>
      </c>
      <c r="O1807" s="1" t="s">
        <v>3087</v>
      </c>
      <c r="P1807" s="1">
        <v>15080609972</v>
      </c>
      <c r="Q1807" s="1" t="s">
        <v>4645</v>
      </c>
    </row>
    <row r="1808" spans="1:17">
      <c r="A1808" s="1"/>
      <c r="B1808" s="1"/>
      <c r="C1808" s="1"/>
      <c r="D1808" s="1" t="s">
        <v>5702</v>
      </c>
      <c r="E1808" s="1" t="s">
        <v>5511</v>
      </c>
      <c r="F1808" s="1"/>
      <c r="G1808" s="1"/>
      <c r="H1808" s="1"/>
      <c r="J1808" s="1"/>
      <c r="K1808" s="1"/>
      <c r="L1808" s="1"/>
      <c r="M1808" s="1"/>
      <c r="N1808" s="1"/>
      <c r="O1808" s="1"/>
      <c r="P1808" s="1"/>
      <c r="Q1808" s="1"/>
    </row>
    <row r="1809" spans="1:17">
      <c r="A1809" s="1"/>
      <c r="B1809" s="1"/>
      <c r="C1809" s="1"/>
      <c r="D1809" s="1" t="s">
        <v>5703</v>
      </c>
      <c r="E1809" s="1" t="s">
        <v>5065</v>
      </c>
      <c r="F1809" s="1"/>
      <c r="G1809" s="1"/>
      <c r="H1809" s="1"/>
      <c r="J1809" s="1"/>
      <c r="K1809" s="1"/>
      <c r="L1809" s="1"/>
      <c r="M1809" s="1"/>
      <c r="N1809" s="1"/>
      <c r="O1809" s="1"/>
      <c r="P1809" s="1"/>
      <c r="Q1809" s="1"/>
    </row>
    <row r="1810" spans="1:17">
      <c r="A1810" s="1"/>
      <c r="B1810" s="1" t="s">
        <v>4647</v>
      </c>
      <c r="C1810" s="1" t="s">
        <v>4648</v>
      </c>
      <c r="D1810" s="1" t="s">
        <v>5704</v>
      </c>
      <c r="E1810" s="1" t="s">
        <v>625</v>
      </c>
      <c r="F1810" s="1">
        <v>1</v>
      </c>
      <c r="G1810" s="1">
        <v>0.81</v>
      </c>
      <c r="H1810" s="1">
        <v>10</v>
      </c>
      <c r="I1810" s="1" t="s">
        <v>4983</v>
      </c>
      <c r="J1810" s="1" t="s">
        <v>40</v>
      </c>
      <c r="K1810" s="1" t="s">
        <v>752</v>
      </c>
      <c r="L1810" s="1">
        <v>18958811267</v>
      </c>
      <c r="M1810" s="1" t="s">
        <v>753</v>
      </c>
      <c r="N1810" s="1" t="s">
        <v>4651</v>
      </c>
      <c r="O1810" s="1" t="s">
        <v>753</v>
      </c>
      <c r="P1810" s="1">
        <v>18958811267</v>
      </c>
      <c r="Q1810" s="1" t="s">
        <v>4652</v>
      </c>
    </row>
    <row r="1811" spans="1:17">
      <c r="A1811" s="1"/>
      <c r="B1811" s="1"/>
      <c r="C1811" s="1"/>
      <c r="D1811" s="1" t="s">
        <v>5181</v>
      </c>
      <c r="E1811" s="1" t="s">
        <v>625</v>
      </c>
      <c r="F1811" s="1"/>
      <c r="G1811" s="1"/>
      <c r="H1811" s="1"/>
      <c r="I1811" s="1" t="s">
        <v>5101</v>
      </c>
      <c r="J1811" s="1"/>
      <c r="K1811" s="1"/>
      <c r="L1811" s="1"/>
      <c r="M1811" s="1"/>
      <c r="N1811" s="1"/>
      <c r="O1811" s="1"/>
      <c r="P1811" s="1"/>
      <c r="Q1811" s="1"/>
    </row>
    <row r="1812" spans="1:17">
      <c r="A1812" s="1"/>
      <c r="B1812" s="1" t="s">
        <v>4654</v>
      </c>
      <c r="C1812" s="1" t="s">
        <v>4655</v>
      </c>
      <c r="D1812" s="1" t="s">
        <v>5493</v>
      </c>
      <c r="E1812" s="1" t="s">
        <v>1633</v>
      </c>
      <c r="F1812" s="1">
        <v>1</v>
      </c>
      <c r="G1812" s="1">
        <v>0.35</v>
      </c>
      <c r="H1812" s="1">
        <v>3</v>
      </c>
      <c r="I1812" s="1" t="s">
        <v>4968</v>
      </c>
      <c r="J1812" s="1" t="s">
        <v>29</v>
      </c>
      <c r="K1812" s="1" t="s">
        <v>3184</v>
      </c>
      <c r="L1812" s="1">
        <v>13903460303</v>
      </c>
      <c r="M1812" s="1" t="s">
        <v>3185</v>
      </c>
      <c r="N1812" s="1" t="s">
        <v>4658</v>
      </c>
      <c r="O1812" s="1" t="s">
        <v>3185</v>
      </c>
      <c r="P1812" s="1">
        <v>13903460303</v>
      </c>
      <c r="Q1812" s="1" t="s">
        <v>4659</v>
      </c>
    </row>
    <row r="1813" spans="1:17">
      <c r="A1813" s="1"/>
      <c r="B1813" s="1"/>
      <c r="C1813" s="1"/>
      <c r="D1813" s="1" t="s">
        <v>5705</v>
      </c>
      <c r="E1813" s="1" t="s">
        <v>1633</v>
      </c>
      <c r="F1813" s="1"/>
      <c r="G1813" s="1"/>
      <c r="H1813" s="1"/>
      <c r="I1813" s="1" t="s">
        <v>5013</v>
      </c>
      <c r="J1813" s="1"/>
      <c r="K1813" s="1"/>
      <c r="L1813" s="1"/>
      <c r="M1813" s="1"/>
      <c r="N1813" s="1"/>
      <c r="O1813" s="1"/>
      <c r="P1813" s="1"/>
      <c r="Q1813" s="1"/>
    </row>
    <row r="1814" spans="1:17">
      <c r="A1814" s="1"/>
      <c r="B1814" s="1" t="s">
        <v>4661</v>
      </c>
      <c r="C1814" s="1" t="s">
        <v>4662</v>
      </c>
      <c r="D1814" s="1" t="s">
        <v>5276</v>
      </c>
      <c r="E1814" s="1" t="s">
        <v>420</v>
      </c>
      <c r="F1814" s="1">
        <v>1</v>
      </c>
      <c r="G1814" s="1">
        <v>1.49</v>
      </c>
      <c r="H1814" s="1">
        <v>10</v>
      </c>
      <c r="J1814" s="1" t="s">
        <v>29</v>
      </c>
      <c r="K1814" s="1" t="s">
        <v>4663</v>
      </c>
      <c r="L1814" s="1">
        <v>13922769996</v>
      </c>
      <c r="M1814" s="1" t="s">
        <v>4664</v>
      </c>
      <c r="N1814" s="1" t="s">
        <v>4663</v>
      </c>
      <c r="O1814" s="1" t="s">
        <v>4665</v>
      </c>
      <c r="P1814" s="1">
        <v>18320738856</v>
      </c>
      <c r="Q1814" s="1" t="s">
        <v>4666</v>
      </c>
    </row>
    <row r="1815" spans="1:17">
      <c r="A1815" s="1"/>
      <c r="B1815" s="1"/>
      <c r="C1815" s="1"/>
      <c r="D1815" s="1" t="s">
        <v>5277</v>
      </c>
      <c r="E1815" s="1" t="s">
        <v>420</v>
      </c>
      <c r="F1815" s="1"/>
      <c r="G1815" s="1"/>
      <c r="H1815" s="1"/>
      <c r="J1815" s="1"/>
      <c r="K1815" s="1"/>
      <c r="L1815" s="1"/>
      <c r="M1815" s="1"/>
      <c r="N1815" s="1"/>
      <c r="O1815" s="1"/>
      <c r="P1815" s="1"/>
      <c r="Q1815" s="1"/>
    </row>
    <row r="1816" spans="1:17">
      <c r="A1816" s="1"/>
      <c r="B1816" s="1" t="s">
        <v>4668</v>
      </c>
      <c r="C1816" s="1" t="s">
        <v>4669</v>
      </c>
      <c r="D1816" s="1" t="s">
        <v>5276</v>
      </c>
      <c r="E1816" s="1" t="s">
        <v>420</v>
      </c>
      <c r="F1816" s="1">
        <v>1</v>
      </c>
      <c r="G1816" s="1">
        <v>1.49</v>
      </c>
      <c r="H1816" s="1">
        <v>10</v>
      </c>
      <c r="J1816" s="1" t="s">
        <v>29</v>
      </c>
      <c r="K1816" s="1" t="s">
        <v>1275</v>
      </c>
      <c r="L1816" s="1">
        <v>18926220287</v>
      </c>
      <c r="M1816" s="1" t="s">
        <v>2492</v>
      </c>
      <c r="N1816" s="1" t="s">
        <v>4670</v>
      </c>
      <c r="O1816" s="1" t="s">
        <v>4671</v>
      </c>
      <c r="P1816" s="1">
        <v>13509977738</v>
      </c>
      <c r="Q1816" s="1" t="s">
        <v>4672</v>
      </c>
    </row>
    <row r="1817" spans="1:17">
      <c r="A1817" s="1"/>
      <c r="B1817" s="1"/>
      <c r="C1817" s="1"/>
      <c r="D1817" s="1" t="s">
        <v>5277</v>
      </c>
      <c r="E1817" s="1" t="s">
        <v>420</v>
      </c>
      <c r="F1817" s="1"/>
      <c r="G1817" s="1"/>
      <c r="H1817" s="1"/>
      <c r="J1817" s="1"/>
      <c r="K1817" s="1"/>
      <c r="L1817" s="1"/>
      <c r="M1817" s="1"/>
      <c r="N1817" s="1"/>
      <c r="O1817" s="1"/>
      <c r="P1817" s="1"/>
      <c r="Q1817" s="1"/>
    </row>
    <row r="1818" spans="1:17">
      <c r="A1818" s="1"/>
      <c r="B1818" s="1" t="s">
        <v>4674</v>
      </c>
      <c r="C1818" s="1" t="s">
        <v>4675</v>
      </c>
      <c r="D1818" s="1" t="s">
        <v>1274</v>
      </c>
      <c r="E1818" s="1" t="s">
        <v>420</v>
      </c>
      <c r="F1818" s="1">
        <v>1</v>
      </c>
      <c r="G1818" s="1">
        <v>1.26</v>
      </c>
      <c r="H1818" s="1">
        <v>2</v>
      </c>
      <c r="J1818" s="1" t="s">
        <v>40</v>
      </c>
      <c r="K1818" s="1" t="s">
        <v>1325</v>
      </c>
      <c r="L1818" s="1">
        <v>17098899489</v>
      </c>
      <c r="M1818" s="1" t="s">
        <v>1326</v>
      </c>
      <c r="N1818" s="1" t="s">
        <v>4676</v>
      </c>
      <c r="O1818" s="1" t="s">
        <v>4677</v>
      </c>
      <c r="P1818" s="1">
        <v>13763084022</v>
      </c>
      <c r="Q1818" s="1" t="s">
        <v>4678</v>
      </c>
    </row>
    <row r="1819" spans="1:17">
      <c r="A1819" s="1"/>
      <c r="B1819" s="1" t="s">
        <v>4680</v>
      </c>
      <c r="C1819" s="1" t="s">
        <v>4681</v>
      </c>
      <c r="D1819" s="1" t="s">
        <v>5141</v>
      </c>
      <c r="E1819" s="1" t="s">
        <v>420</v>
      </c>
      <c r="F1819" s="1">
        <v>1</v>
      </c>
      <c r="G1819" s="1">
        <v>1.95</v>
      </c>
      <c r="H1819" s="1">
        <v>14</v>
      </c>
      <c r="J1819" s="1" t="s">
        <v>29</v>
      </c>
      <c r="K1819" s="1" t="s">
        <v>1365</v>
      </c>
      <c r="L1819" s="1">
        <v>18766077610</v>
      </c>
      <c r="M1819" s="1" t="s">
        <v>1366</v>
      </c>
      <c r="N1819" s="1" t="s">
        <v>4682</v>
      </c>
      <c r="O1819" s="1" t="s">
        <v>4683</v>
      </c>
      <c r="P1819" s="1">
        <v>13600828862</v>
      </c>
      <c r="Q1819" s="1" t="s">
        <v>4684</v>
      </c>
    </row>
    <row r="1820" spans="1:17">
      <c r="A1820" s="1"/>
      <c r="B1820" s="1"/>
      <c r="C1820" s="1"/>
      <c r="D1820" s="1" t="s">
        <v>5142</v>
      </c>
      <c r="E1820" s="1" t="s">
        <v>420</v>
      </c>
      <c r="F1820" s="1"/>
      <c r="G1820" s="1"/>
      <c r="H1820" s="1"/>
      <c r="J1820" s="1"/>
      <c r="K1820" s="1"/>
      <c r="L1820" s="1"/>
      <c r="M1820" s="1"/>
      <c r="N1820" s="1"/>
      <c r="O1820" s="1"/>
      <c r="P1820" s="1"/>
      <c r="Q1820" s="1"/>
    </row>
    <row r="1821" spans="1:17">
      <c r="A1821" s="1"/>
      <c r="B1821" s="1" t="s">
        <v>4686</v>
      </c>
      <c r="C1821" s="1" t="s">
        <v>4687</v>
      </c>
      <c r="D1821" s="1" t="s">
        <v>5141</v>
      </c>
      <c r="E1821" s="1" t="s">
        <v>420</v>
      </c>
      <c r="F1821" s="1">
        <v>1</v>
      </c>
      <c r="G1821" s="1">
        <v>1.95</v>
      </c>
      <c r="H1821" s="1">
        <v>14</v>
      </c>
      <c r="J1821" s="1" t="s">
        <v>29</v>
      </c>
      <c r="K1821" s="1" t="s">
        <v>363</v>
      </c>
      <c r="L1821" s="1">
        <v>18105042053</v>
      </c>
      <c r="M1821" s="1" t="s">
        <v>364</v>
      </c>
      <c r="N1821" s="1" t="s">
        <v>4688</v>
      </c>
      <c r="O1821" s="1" t="s">
        <v>4689</v>
      </c>
      <c r="P1821" s="1">
        <v>18763310511</v>
      </c>
      <c r="Q1821" s="1" t="s">
        <v>4690</v>
      </c>
    </row>
    <row r="1822" spans="1:17">
      <c r="A1822" s="1"/>
      <c r="B1822" s="1"/>
      <c r="C1822" s="1"/>
      <c r="D1822" s="1" t="s">
        <v>5142</v>
      </c>
      <c r="E1822" s="1" t="s">
        <v>420</v>
      </c>
      <c r="F1822" s="1"/>
      <c r="G1822" s="1"/>
      <c r="H1822" s="1"/>
      <c r="J1822" s="1"/>
      <c r="K1822" s="1"/>
      <c r="L1822" s="1"/>
      <c r="M1822" s="1"/>
      <c r="N1822" s="1"/>
      <c r="O1822" s="1"/>
      <c r="P1822" s="1"/>
      <c r="Q1822" s="1"/>
    </row>
    <row r="1823" spans="1:17">
      <c r="A1823" s="1"/>
      <c r="B1823" s="1" t="s">
        <v>4692</v>
      </c>
      <c r="C1823" s="1" t="s">
        <v>4693</v>
      </c>
      <c r="D1823" s="1" t="s">
        <v>5004</v>
      </c>
      <c r="E1823" s="1" t="s">
        <v>163</v>
      </c>
      <c r="F1823" s="1">
        <v>1</v>
      </c>
      <c r="G1823" s="1">
        <v>1.2636363636363599</v>
      </c>
      <c r="H1823" s="1">
        <v>3</v>
      </c>
      <c r="J1823" s="1" t="s">
        <v>29</v>
      </c>
      <c r="K1823" s="1" t="s">
        <v>1452</v>
      </c>
      <c r="L1823" s="1">
        <v>13247860122</v>
      </c>
      <c r="M1823" s="1" t="s">
        <v>1453</v>
      </c>
      <c r="N1823" s="1" t="s">
        <v>1452</v>
      </c>
      <c r="O1823" s="1" t="s">
        <v>1453</v>
      </c>
      <c r="P1823" s="1">
        <v>13247860122</v>
      </c>
      <c r="Q1823" s="1" t="s">
        <v>4694</v>
      </c>
    </row>
    <row r="1824" spans="1:17">
      <c r="A1824" s="1"/>
      <c r="B1824" s="1" t="s">
        <v>4696</v>
      </c>
      <c r="C1824" s="1" t="s">
        <v>4697</v>
      </c>
      <c r="D1824" s="1" t="s">
        <v>5003</v>
      </c>
      <c r="E1824" s="1" t="s">
        <v>163</v>
      </c>
      <c r="F1824" s="1">
        <v>1</v>
      </c>
      <c r="G1824" s="1">
        <v>2.1727272727272702</v>
      </c>
      <c r="H1824" s="1">
        <v>5</v>
      </c>
      <c r="I1824" s="1" t="s">
        <v>164</v>
      </c>
      <c r="J1824" s="1" t="s">
        <v>29</v>
      </c>
      <c r="K1824" s="1" t="s">
        <v>1461</v>
      </c>
      <c r="L1824" s="1">
        <v>13003229793</v>
      </c>
      <c r="M1824" s="1" t="s">
        <v>1462</v>
      </c>
      <c r="N1824" s="1" t="s">
        <v>4698</v>
      </c>
      <c r="O1824" s="1" t="s">
        <v>1462</v>
      </c>
      <c r="P1824" s="1">
        <v>13003229793</v>
      </c>
      <c r="Q1824" s="1" t="s">
        <v>4699</v>
      </c>
    </row>
    <row r="1825" spans="1:17">
      <c r="A1825" s="1"/>
      <c r="B1825" s="1" t="s">
        <v>4701</v>
      </c>
      <c r="C1825" s="1" t="s">
        <v>4702</v>
      </c>
      <c r="D1825" s="1" t="s">
        <v>5706</v>
      </c>
      <c r="E1825" s="1" t="s">
        <v>163</v>
      </c>
      <c r="F1825" s="1">
        <v>1</v>
      </c>
      <c r="G1825" s="1">
        <v>3.0818181818181798</v>
      </c>
      <c r="H1825" s="1">
        <v>4</v>
      </c>
      <c r="J1825" s="1" t="s">
        <v>29</v>
      </c>
      <c r="K1825" s="1" t="s">
        <v>4704</v>
      </c>
      <c r="L1825" s="1">
        <v>13873683768</v>
      </c>
      <c r="M1825" s="1" t="s">
        <v>4705</v>
      </c>
      <c r="N1825" s="1" t="s">
        <v>4704</v>
      </c>
      <c r="O1825" s="1" t="s">
        <v>4705</v>
      </c>
      <c r="P1825" s="1">
        <v>13873683768</v>
      </c>
      <c r="Q1825" s="1" t="s">
        <v>4706</v>
      </c>
    </row>
    <row r="1826" spans="1:17">
      <c r="A1826" s="1"/>
      <c r="B1826" s="1" t="s">
        <v>4708</v>
      </c>
      <c r="C1826" s="1" t="s">
        <v>4709</v>
      </c>
      <c r="D1826" s="1" t="s">
        <v>5707</v>
      </c>
      <c r="E1826" s="1" t="s">
        <v>163</v>
      </c>
      <c r="F1826" s="1">
        <v>1</v>
      </c>
      <c r="G1826" s="1">
        <v>1.2636363636363599</v>
      </c>
      <c r="H1826" s="1">
        <v>3</v>
      </c>
      <c r="J1826" s="1" t="s">
        <v>29</v>
      </c>
      <c r="K1826" s="1" t="s">
        <v>4711</v>
      </c>
      <c r="L1826" s="1">
        <v>18797887263</v>
      </c>
      <c r="M1826" s="1" t="s">
        <v>4712</v>
      </c>
      <c r="N1826" s="1" t="s">
        <v>4711</v>
      </c>
      <c r="O1826" s="1" t="s">
        <v>4712</v>
      </c>
      <c r="P1826" s="1">
        <v>18797887263</v>
      </c>
      <c r="Q1826" s="1" t="s">
        <v>4713</v>
      </c>
    </row>
    <row r="1827" spans="1:17">
      <c r="A1827" s="1"/>
      <c r="B1827" s="1"/>
      <c r="C1827" s="1"/>
      <c r="D1827" s="1" t="s">
        <v>5437</v>
      </c>
      <c r="E1827" s="1" t="s">
        <v>163</v>
      </c>
      <c r="F1827" s="1"/>
      <c r="G1827" s="1"/>
      <c r="H1827" s="1"/>
      <c r="J1827" s="1"/>
      <c r="K1827" s="1"/>
      <c r="L1827" s="1"/>
      <c r="M1827" s="1"/>
      <c r="N1827" s="1"/>
      <c r="O1827" s="1"/>
      <c r="P1827" s="1"/>
      <c r="Q1827" s="1"/>
    </row>
    <row r="1828" spans="1:17">
      <c r="A1828" s="1"/>
      <c r="B1828" s="1" t="s">
        <v>4715</v>
      </c>
      <c r="C1828" s="1" t="s">
        <v>4716</v>
      </c>
      <c r="D1828" s="1" t="s">
        <v>5645</v>
      </c>
      <c r="E1828" s="1" t="s">
        <v>2069</v>
      </c>
      <c r="F1828" s="1">
        <v>1</v>
      </c>
      <c r="G1828" s="1">
        <v>1.04</v>
      </c>
      <c r="H1828" s="1">
        <v>5</v>
      </c>
      <c r="J1828" s="1" t="s">
        <v>103</v>
      </c>
      <c r="K1828" s="1" t="s">
        <v>4720</v>
      </c>
      <c r="L1828" s="1">
        <v>18550099980</v>
      </c>
      <c r="M1828" s="1" t="s">
        <v>4721</v>
      </c>
      <c r="N1828" s="1" t="s">
        <v>4722</v>
      </c>
      <c r="O1828" s="1" t="s">
        <v>4721</v>
      </c>
      <c r="P1828" s="1">
        <v>18550099980</v>
      </c>
      <c r="Q1828" s="1" t="s">
        <v>4723</v>
      </c>
    </row>
    <row r="1829" spans="1:17">
      <c r="A1829" s="1"/>
      <c r="B1829" s="1"/>
      <c r="C1829" s="1"/>
      <c r="D1829" s="1" t="s">
        <v>5708</v>
      </c>
      <c r="E1829" s="1" t="s">
        <v>61</v>
      </c>
      <c r="F1829" s="1"/>
      <c r="G1829" s="1"/>
      <c r="H1829" s="1"/>
      <c r="I1829" s="1" t="s">
        <v>5709</v>
      </c>
      <c r="J1829" s="1"/>
      <c r="K1829" s="1"/>
      <c r="L1829" s="1"/>
      <c r="M1829" s="1"/>
      <c r="N1829" s="1"/>
      <c r="O1829" s="1"/>
      <c r="P1829" s="1"/>
      <c r="Q1829" s="1"/>
    </row>
    <row r="1830" spans="1:17">
      <c r="A1830" s="1"/>
      <c r="B1830" s="1" t="s">
        <v>4725</v>
      </c>
      <c r="C1830" s="1" t="s">
        <v>4726</v>
      </c>
      <c r="D1830" s="1" t="s">
        <v>5032</v>
      </c>
      <c r="E1830" s="1" t="s">
        <v>625</v>
      </c>
      <c r="F1830" s="1">
        <v>1</v>
      </c>
      <c r="G1830" s="1">
        <v>1.04</v>
      </c>
      <c r="H1830" s="1">
        <v>13</v>
      </c>
      <c r="I1830" s="1" t="s">
        <v>5101</v>
      </c>
      <c r="J1830" s="1" t="s">
        <v>40</v>
      </c>
      <c r="K1830" s="1" t="s">
        <v>803</v>
      </c>
      <c r="L1830" s="1">
        <v>13905157909</v>
      </c>
      <c r="M1830" s="1" t="s">
        <v>804</v>
      </c>
      <c r="N1830" s="1" t="s">
        <v>4729</v>
      </c>
      <c r="O1830" s="1" t="s">
        <v>4730</v>
      </c>
      <c r="P1830" s="1">
        <v>18651877236</v>
      </c>
      <c r="Q1830" s="1" t="s">
        <v>4731</v>
      </c>
    </row>
    <row r="1831" spans="1:17">
      <c r="A1831" s="1"/>
      <c r="B1831" s="1"/>
      <c r="C1831" s="1"/>
      <c r="D1831" s="1" t="s">
        <v>5710</v>
      </c>
      <c r="E1831" s="1" t="s">
        <v>625</v>
      </c>
      <c r="F1831" s="1"/>
      <c r="G1831" s="1"/>
      <c r="H1831" s="1"/>
      <c r="I1831" s="1" t="s">
        <v>4983</v>
      </c>
      <c r="J1831" s="1"/>
      <c r="K1831" s="1"/>
      <c r="L1831" s="1"/>
      <c r="M1831" s="1"/>
      <c r="N1831" s="1"/>
      <c r="O1831" s="1"/>
      <c r="P1831" s="1"/>
      <c r="Q1831" s="1"/>
    </row>
    <row r="1832" spans="1:17">
      <c r="A1832" s="1"/>
      <c r="B1832" s="1"/>
      <c r="C1832" s="1"/>
      <c r="D1832" s="1" t="s">
        <v>5251</v>
      </c>
      <c r="E1832" s="1" t="s">
        <v>625</v>
      </c>
      <c r="F1832" s="1"/>
      <c r="G1832" s="1"/>
      <c r="H1832" s="1"/>
      <c r="I1832" s="1" t="s">
        <v>4987</v>
      </c>
      <c r="J1832" s="1"/>
      <c r="K1832" s="1"/>
      <c r="L1832" s="1"/>
      <c r="M1832" s="1"/>
      <c r="N1832" s="1"/>
      <c r="O1832" s="1"/>
      <c r="P1832" s="1"/>
      <c r="Q1832" s="1"/>
    </row>
    <row r="1833" spans="1:17">
      <c r="A1833" s="1"/>
      <c r="B1833" s="1"/>
      <c r="C1833" s="1"/>
      <c r="D1833" s="1" t="s">
        <v>5030</v>
      </c>
      <c r="E1833" s="1" t="s">
        <v>625</v>
      </c>
      <c r="F1833" s="1"/>
      <c r="G1833" s="1"/>
      <c r="H1833" s="1"/>
      <c r="I1833" s="1" t="s">
        <v>4987</v>
      </c>
      <c r="J1833" s="1"/>
      <c r="K1833" s="1"/>
      <c r="L1833" s="1"/>
      <c r="M1833" s="1"/>
      <c r="N1833" s="1"/>
      <c r="O1833" s="1"/>
      <c r="P1833" s="1"/>
      <c r="Q1833" s="1"/>
    </row>
    <row r="1834" spans="1:17">
      <c r="A1834" s="1"/>
      <c r="B1834" s="1" t="s">
        <v>4733</v>
      </c>
      <c r="C1834" s="1" t="s">
        <v>4734</v>
      </c>
      <c r="D1834" s="1" t="s">
        <v>5014</v>
      </c>
      <c r="E1834" s="1" t="s">
        <v>625</v>
      </c>
      <c r="F1834" s="1">
        <v>1</v>
      </c>
      <c r="G1834" s="1">
        <v>1.04</v>
      </c>
      <c r="H1834" s="1">
        <v>2</v>
      </c>
      <c r="I1834" s="1" t="s">
        <v>5265</v>
      </c>
      <c r="J1834" s="1" t="s">
        <v>40</v>
      </c>
      <c r="K1834" s="1" t="s">
        <v>812</v>
      </c>
      <c r="L1834" s="1">
        <v>13601026293</v>
      </c>
      <c r="M1834" s="1" t="s">
        <v>813</v>
      </c>
      <c r="N1834" s="1" t="s">
        <v>4736</v>
      </c>
      <c r="O1834" s="1" t="s">
        <v>813</v>
      </c>
      <c r="P1834" s="1">
        <v>13601026293</v>
      </c>
      <c r="Q1834" s="1" t="s">
        <v>4737</v>
      </c>
    </row>
    <row r="1835" spans="1:17">
      <c r="A1835" s="1"/>
      <c r="B1835" s="1" t="s">
        <v>4739</v>
      </c>
      <c r="C1835" s="1" t="s">
        <v>4740</v>
      </c>
      <c r="D1835" s="1" t="s">
        <v>5481</v>
      </c>
      <c r="E1835" s="1" t="s">
        <v>625</v>
      </c>
      <c r="F1835" s="1">
        <v>1</v>
      </c>
      <c r="G1835" s="1">
        <v>1.04</v>
      </c>
      <c r="H1835" s="1">
        <v>10</v>
      </c>
      <c r="I1835" s="1" t="s">
        <v>4987</v>
      </c>
      <c r="J1835" s="1" t="s">
        <v>40</v>
      </c>
      <c r="K1835" s="1" t="s">
        <v>4742</v>
      </c>
      <c r="L1835" s="1">
        <v>18906398821</v>
      </c>
      <c r="M1835" s="1" t="s">
        <v>4743</v>
      </c>
      <c r="N1835" s="1" t="s">
        <v>4742</v>
      </c>
      <c r="O1835" s="1" t="s">
        <v>4743</v>
      </c>
      <c r="P1835" s="1">
        <v>18906398821</v>
      </c>
      <c r="Q1835" s="1" t="s">
        <v>4744</v>
      </c>
    </row>
    <row r="1836" spans="1:17">
      <c r="A1836" s="1"/>
      <c r="B1836" s="1"/>
      <c r="C1836" s="1"/>
      <c r="D1836" s="1" t="s">
        <v>5704</v>
      </c>
      <c r="E1836" s="1" t="s">
        <v>625</v>
      </c>
      <c r="F1836" s="1"/>
      <c r="G1836" s="1"/>
      <c r="H1836" s="1"/>
      <c r="I1836" s="1" t="s">
        <v>4987</v>
      </c>
      <c r="J1836" s="1"/>
      <c r="K1836" s="1"/>
      <c r="L1836" s="1"/>
      <c r="M1836" s="1"/>
      <c r="N1836" s="1"/>
      <c r="O1836" s="1"/>
      <c r="P1836" s="1"/>
      <c r="Q1836" s="1"/>
    </row>
    <row r="1837" spans="1:17">
      <c r="A1837" s="1"/>
      <c r="B1837" s="1" t="s">
        <v>4746</v>
      </c>
      <c r="C1837" s="1" t="s">
        <v>4747</v>
      </c>
      <c r="D1837" s="1" t="s">
        <v>5044</v>
      </c>
      <c r="E1837" s="1" t="s">
        <v>625</v>
      </c>
      <c r="F1837" s="1">
        <v>1</v>
      </c>
      <c r="G1837" s="1">
        <v>1.26</v>
      </c>
      <c r="H1837" s="1">
        <v>12</v>
      </c>
      <c r="I1837" s="1" t="s">
        <v>5048</v>
      </c>
      <c r="J1837" s="1" t="s">
        <v>40</v>
      </c>
      <c r="K1837" s="1" t="s">
        <v>331</v>
      </c>
      <c r="L1837" s="1">
        <v>13906685749</v>
      </c>
      <c r="M1837" s="1" t="s">
        <v>332</v>
      </c>
      <c r="N1837" s="1" t="s">
        <v>4750</v>
      </c>
      <c r="O1837" s="1" t="s">
        <v>332</v>
      </c>
      <c r="P1837" s="1">
        <v>13906685749</v>
      </c>
      <c r="Q1837" s="1" t="s">
        <v>4751</v>
      </c>
    </row>
    <row r="1838" spans="1:17">
      <c r="A1838" s="1"/>
      <c r="B1838" s="1"/>
      <c r="C1838" s="1"/>
      <c r="D1838" s="1" t="s">
        <v>5317</v>
      </c>
      <c r="E1838" s="1" t="s">
        <v>625</v>
      </c>
      <c r="F1838" s="1"/>
      <c r="G1838" s="1"/>
      <c r="H1838" s="1"/>
      <c r="I1838" s="1" t="s">
        <v>4987</v>
      </c>
      <c r="J1838" s="1"/>
      <c r="K1838" s="1"/>
      <c r="L1838" s="1"/>
      <c r="M1838" s="1"/>
      <c r="N1838" s="1"/>
      <c r="O1838" s="1"/>
      <c r="P1838" s="1"/>
      <c r="Q1838" s="1"/>
    </row>
    <row r="1839" spans="1:17">
      <c r="A1839" s="1"/>
      <c r="B1839" s="1"/>
      <c r="C1839" s="1"/>
      <c r="D1839" s="1" t="s">
        <v>5711</v>
      </c>
      <c r="E1839" s="1" t="s">
        <v>625</v>
      </c>
      <c r="F1839" s="1"/>
      <c r="G1839" s="1"/>
      <c r="H1839" s="1"/>
      <c r="I1839" s="1" t="s">
        <v>4987</v>
      </c>
      <c r="J1839" s="1"/>
      <c r="K1839" s="1"/>
      <c r="L1839" s="1"/>
      <c r="M1839" s="1"/>
      <c r="N1839" s="1"/>
      <c r="O1839" s="1"/>
      <c r="P1839" s="1"/>
      <c r="Q1839" s="1"/>
    </row>
    <row r="1840" spans="1:17">
      <c r="A1840" s="1"/>
      <c r="B1840" s="1" t="s">
        <v>4753</v>
      </c>
      <c r="C1840" s="1" t="s">
        <v>4754</v>
      </c>
      <c r="D1840" s="1" t="s">
        <v>5071</v>
      </c>
      <c r="E1840" s="1" t="s">
        <v>625</v>
      </c>
      <c r="F1840" s="1">
        <v>1</v>
      </c>
      <c r="G1840" s="1">
        <v>1.04</v>
      </c>
      <c r="H1840" s="1">
        <v>11</v>
      </c>
      <c r="I1840" s="1" t="s">
        <v>4983</v>
      </c>
      <c r="J1840" s="1" t="s">
        <v>40</v>
      </c>
      <c r="K1840" s="1" t="s">
        <v>841</v>
      </c>
      <c r="L1840" s="1">
        <v>13857400062</v>
      </c>
      <c r="M1840" s="1" t="s">
        <v>842</v>
      </c>
      <c r="N1840" s="1" t="s">
        <v>4757</v>
      </c>
      <c r="O1840" s="1" t="s">
        <v>842</v>
      </c>
      <c r="P1840" s="1">
        <v>13857400062</v>
      </c>
      <c r="Q1840" s="1" t="s">
        <v>4758</v>
      </c>
    </row>
    <row r="1841" spans="1:17">
      <c r="A1841" s="1"/>
      <c r="B1841" s="1"/>
      <c r="C1841" s="1"/>
      <c r="D1841" s="1" t="s">
        <v>5023</v>
      </c>
      <c r="E1841" s="1" t="s">
        <v>625</v>
      </c>
      <c r="F1841" s="1"/>
      <c r="G1841" s="1"/>
      <c r="H1841" s="1"/>
      <c r="I1841" s="1" t="s">
        <v>4987</v>
      </c>
      <c r="J1841" s="1"/>
      <c r="K1841" s="1"/>
      <c r="L1841" s="1"/>
      <c r="M1841" s="1"/>
      <c r="N1841" s="1"/>
      <c r="O1841" s="1"/>
      <c r="P1841" s="1"/>
      <c r="Q1841" s="1"/>
    </row>
    <row r="1842" spans="1:17">
      <c r="A1842" s="1"/>
      <c r="B1842" s="1"/>
      <c r="C1842" s="1"/>
      <c r="D1842" s="1" t="s">
        <v>5072</v>
      </c>
      <c r="E1842" s="1" t="s">
        <v>625</v>
      </c>
      <c r="F1842" s="1"/>
      <c r="G1842" s="1"/>
      <c r="H1842" s="1"/>
      <c r="I1842" s="1" t="s">
        <v>4987</v>
      </c>
      <c r="J1842" s="1"/>
      <c r="K1842" s="1"/>
      <c r="L1842" s="1"/>
      <c r="M1842" s="1"/>
      <c r="N1842" s="1"/>
      <c r="O1842" s="1"/>
      <c r="P1842" s="1"/>
      <c r="Q1842" s="1"/>
    </row>
    <row r="1843" spans="1:17">
      <c r="A1843" s="1"/>
      <c r="B1843" s="1"/>
      <c r="C1843" s="1"/>
      <c r="D1843" s="1" t="s">
        <v>5019</v>
      </c>
      <c r="E1843" s="1" t="s">
        <v>625</v>
      </c>
      <c r="F1843" s="1"/>
      <c r="G1843" s="1"/>
      <c r="H1843" s="1"/>
      <c r="I1843" s="1" t="s">
        <v>4983</v>
      </c>
      <c r="J1843" s="1"/>
      <c r="K1843" s="1"/>
      <c r="L1843" s="1"/>
      <c r="M1843" s="1"/>
      <c r="N1843" s="1"/>
      <c r="O1843" s="1"/>
      <c r="P1843" s="1"/>
      <c r="Q1843" s="1"/>
    </row>
    <row r="1844" spans="1:17">
      <c r="A1844" s="1"/>
      <c r="B1844" s="1"/>
      <c r="C1844" s="1"/>
      <c r="D1844" s="1" t="s">
        <v>5018</v>
      </c>
      <c r="E1844" s="1" t="s">
        <v>625</v>
      </c>
      <c r="F1844" s="1"/>
      <c r="G1844" s="1"/>
      <c r="H1844" s="1"/>
      <c r="I1844" s="1" t="s">
        <v>5101</v>
      </c>
      <c r="J1844" s="1"/>
      <c r="K1844" s="1"/>
      <c r="L1844" s="1"/>
      <c r="M1844" s="1"/>
      <c r="N1844" s="1"/>
      <c r="O1844" s="1"/>
      <c r="P1844" s="1"/>
      <c r="Q1844" s="1"/>
    </row>
    <row r="1845" spans="1:17">
      <c r="A1845" s="1"/>
      <c r="B1845" s="1"/>
      <c r="C1845" s="1"/>
      <c r="D1845" s="1" t="s">
        <v>5103</v>
      </c>
      <c r="E1845" s="1" t="s">
        <v>625</v>
      </c>
      <c r="F1845" s="1"/>
      <c r="G1845" s="1"/>
      <c r="H1845" s="1"/>
      <c r="I1845" s="1" t="s">
        <v>4987</v>
      </c>
      <c r="J1845" s="1"/>
      <c r="K1845" s="1"/>
      <c r="L1845" s="1"/>
      <c r="M1845" s="1"/>
      <c r="N1845" s="1"/>
      <c r="O1845" s="1"/>
      <c r="P1845" s="1"/>
      <c r="Q1845" s="1"/>
    </row>
    <row r="1846" spans="1:17">
      <c r="A1846" s="1"/>
      <c r="B1846" s="1" t="s">
        <v>4760</v>
      </c>
      <c r="C1846" s="1" t="s">
        <v>4761</v>
      </c>
      <c r="D1846" s="1" t="s">
        <v>4984</v>
      </c>
      <c r="E1846" s="1" t="s">
        <v>625</v>
      </c>
      <c r="F1846" s="1">
        <v>1</v>
      </c>
      <c r="G1846" s="1">
        <v>1.49</v>
      </c>
      <c r="H1846" s="1">
        <v>12</v>
      </c>
      <c r="I1846" s="1" t="s">
        <v>4985</v>
      </c>
      <c r="J1846" s="1" t="s">
        <v>40</v>
      </c>
      <c r="K1846" s="1" t="s">
        <v>2109</v>
      </c>
      <c r="L1846" s="1">
        <v>13555827588</v>
      </c>
      <c r="M1846" s="1" t="s">
        <v>2110</v>
      </c>
      <c r="N1846" s="1" t="s">
        <v>2109</v>
      </c>
      <c r="O1846" s="1" t="s">
        <v>2110</v>
      </c>
      <c r="P1846" s="1">
        <v>13555827588</v>
      </c>
      <c r="Q1846" s="1" t="s">
        <v>4763</v>
      </c>
    </row>
    <row r="1847" spans="1:17">
      <c r="A1847" s="1"/>
      <c r="B1847" s="1"/>
      <c r="C1847" s="1"/>
      <c r="D1847" s="1" t="s">
        <v>5186</v>
      </c>
      <c r="E1847" s="1" t="s">
        <v>625</v>
      </c>
      <c r="F1847" s="1"/>
      <c r="G1847" s="1"/>
      <c r="H1847" s="1"/>
      <c r="I1847" s="1" t="s">
        <v>4987</v>
      </c>
      <c r="J1847" s="1"/>
      <c r="K1847" s="1"/>
      <c r="L1847" s="1"/>
      <c r="M1847" s="1"/>
      <c r="N1847" s="1"/>
      <c r="O1847" s="1"/>
      <c r="P1847" s="1"/>
      <c r="Q1847" s="1"/>
    </row>
    <row r="1848" spans="1:17">
      <c r="A1848" s="1"/>
      <c r="B1848" s="1"/>
      <c r="C1848" s="1"/>
      <c r="D1848" s="1" t="s">
        <v>5072</v>
      </c>
      <c r="E1848" s="1" t="s">
        <v>625</v>
      </c>
      <c r="F1848" s="1"/>
      <c r="G1848" s="1"/>
      <c r="H1848" s="1"/>
      <c r="I1848" s="1" t="s">
        <v>4987</v>
      </c>
      <c r="J1848" s="1"/>
      <c r="K1848" s="1"/>
      <c r="L1848" s="1"/>
      <c r="M1848" s="1"/>
      <c r="N1848" s="1"/>
      <c r="O1848" s="1"/>
      <c r="P1848" s="1"/>
      <c r="Q1848" s="1"/>
    </row>
    <row r="1849" spans="1:17">
      <c r="A1849" s="1"/>
      <c r="B1849" s="1" t="s">
        <v>4765</v>
      </c>
      <c r="C1849" s="1" t="s">
        <v>4766</v>
      </c>
      <c r="D1849" s="1" t="s">
        <v>5712</v>
      </c>
      <c r="E1849" s="1" t="s">
        <v>625</v>
      </c>
      <c r="F1849" s="1">
        <v>1</v>
      </c>
      <c r="G1849" s="1">
        <v>1.49</v>
      </c>
      <c r="H1849" s="1">
        <v>3</v>
      </c>
      <c r="J1849" s="1" t="s">
        <v>40</v>
      </c>
      <c r="K1849" s="1" t="s">
        <v>860</v>
      </c>
      <c r="L1849" s="1">
        <v>15941753117</v>
      </c>
      <c r="M1849" s="1" t="s">
        <v>861</v>
      </c>
      <c r="N1849" s="1" t="s">
        <v>860</v>
      </c>
      <c r="O1849" s="1" t="s">
        <v>4768</v>
      </c>
      <c r="P1849" s="1">
        <v>18642797706</v>
      </c>
      <c r="Q1849" s="1" t="s">
        <v>4769</v>
      </c>
    </row>
    <row r="1850" spans="1:17">
      <c r="A1850" s="1"/>
      <c r="B1850" s="1"/>
      <c r="C1850" s="1"/>
      <c r="D1850" s="1" t="s">
        <v>5044</v>
      </c>
      <c r="E1850" s="1" t="s">
        <v>625</v>
      </c>
      <c r="F1850" s="1"/>
      <c r="G1850" s="1"/>
      <c r="H1850" s="1"/>
      <c r="J1850" s="1"/>
      <c r="K1850" s="1"/>
      <c r="L1850" s="1"/>
      <c r="M1850" s="1"/>
      <c r="N1850" s="1"/>
      <c r="O1850" s="1"/>
      <c r="P1850" s="1"/>
      <c r="Q1850" s="1"/>
    </row>
    <row r="1851" spans="1:17">
      <c r="A1851" s="1"/>
      <c r="B1851" s="1" t="s">
        <v>4771</v>
      </c>
      <c r="C1851" s="1" t="s">
        <v>4772</v>
      </c>
      <c r="D1851" s="1" t="s">
        <v>5112</v>
      </c>
      <c r="E1851" s="1" t="s">
        <v>449</v>
      </c>
      <c r="F1851" s="1">
        <v>1</v>
      </c>
      <c r="G1851" s="1">
        <v>0.81</v>
      </c>
      <c r="H1851" s="1">
        <v>8</v>
      </c>
      <c r="I1851" s="1" t="s">
        <v>4972</v>
      </c>
      <c r="J1851" s="1" t="s">
        <v>29</v>
      </c>
      <c r="K1851" s="1" t="s">
        <v>870</v>
      </c>
      <c r="L1851" s="1">
        <v>15652037350</v>
      </c>
      <c r="M1851" s="1" t="s">
        <v>871</v>
      </c>
      <c r="N1851" s="1" t="s">
        <v>4776</v>
      </c>
      <c r="O1851" s="1" t="s">
        <v>4777</v>
      </c>
      <c r="P1851" s="1">
        <v>18000354196</v>
      </c>
      <c r="Q1851" s="1" t="s">
        <v>4778</v>
      </c>
    </row>
    <row r="1852" spans="1:17">
      <c r="A1852" s="1"/>
      <c r="B1852" s="1"/>
      <c r="C1852" s="1"/>
      <c r="D1852" s="1" t="s">
        <v>5713</v>
      </c>
      <c r="E1852" s="1" t="s">
        <v>449</v>
      </c>
      <c r="F1852" s="1"/>
      <c r="G1852" s="1"/>
      <c r="H1852" s="1"/>
      <c r="I1852" s="1" t="s">
        <v>4968</v>
      </c>
      <c r="J1852" s="1"/>
      <c r="K1852" s="1"/>
      <c r="L1852" s="1"/>
      <c r="M1852" s="1"/>
      <c r="N1852" s="1"/>
      <c r="O1852" s="1"/>
      <c r="P1852" s="1"/>
      <c r="Q1852" s="1"/>
    </row>
    <row r="1853" spans="1:17">
      <c r="A1853" s="1"/>
      <c r="B1853" s="1"/>
      <c r="C1853" s="1"/>
      <c r="D1853" s="1" t="s">
        <v>5172</v>
      </c>
      <c r="E1853" s="1" t="s">
        <v>2413</v>
      </c>
      <c r="F1853" s="1"/>
      <c r="G1853" s="1"/>
      <c r="H1853" s="1"/>
      <c r="I1853" s="1" t="s">
        <v>4970</v>
      </c>
      <c r="J1853" s="1"/>
      <c r="K1853" s="1"/>
      <c r="L1853" s="1"/>
      <c r="M1853" s="1"/>
      <c r="N1853" s="1"/>
      <c r="O1853" s="1"/>
      <c r="P1853" s="1"/>
      <c r="Q1853" s="1"/>
    </row>
    <row r="1854" spans="1:17">
      <c r="A1854" s="1"/>
      <c r="B1854" s="1"/>
      <c r="C1854" s="1"/>
      <c r="D1854" s="1" t="s">
        <v>5336</v>
      </c>
      <c r="E1854" s="1" t="s">
        <v>2413</v>
      </c>
      <c r="F1854" s="1"/>
      <c r="G1854" s="1"/>
      <c r="H1854" s="1"/>
      <c r="I1854" s="1" t="s">
        <v>1634</v>
      </c>
      <c r="J1854" s="1"/>
      <c r="K1854" s="1"/>
      <c r="L1854" s="1"/>
      <c r="M1854" s="1"/>
      <c r="N1854" s="1"/>
      <c r="O1854" s="1"/>
      <c r="P1854" s="1"/>
      <c r="Q1854" s="1"/>
    </row>
    <row r="1855" spans="1:17">
      <c r="A1855" s="1"/>
      <c r="B1855" s="1" t="s">
        <v>4780</v>
      </c>
      <c r="C1855" s="1" t="s">
        <v>4781</v>
      </c>
      <c r="D1855" s="1" t="s">
        <v>5281</v>
      </c>
      <c r="E1855" s="1" t="s">
        <v>420</v>
      </c>
      <c r="F1855" s="1">
        <v>1</v>
      </c>
      <c r="G1855" s="1">
        <v>1.49</v>
      </c>
      <c r="H1855" s="1">
        <v>14</v>
      </c>
      <c r="I1855" s="1" t="s">
        <v>1142</v>
      </c>
      <c r="J1855" s="1" t="s">
        <v>29</v>
      </c>
      <c r="K1855" s="1" t="s">
        <v>1487</v>
      </c>
      <c r="L1855" s="1">
        <v>13455405061</v>
      </c>
      <c r="M1855" s="1" t="s">
        <v>364</v>
      </c>
      <c r="N1855" s="1" t="s">
        <v>4782</v>
      </c>
      <c r="O1855" s="1" t="s">
        <v>4783</v>
      </c>
      <c r="P1855" s="1">
        <v>15001873060</v>
      </c>
      <c r="Q1855" s="1" t="s">
        <v>4784</v>
      </c>
    </row>
    <row r="1856" spans="1:17">
      <c r="A1856" s="1"/>
      <c r="B1856" s="1"/>
      <c r="C1856" s="1"/>
      <c r="D1856" s="1" t="s">
        <v>5282</v>
      </c>
      <c r="E1856" s="1" t="s">
        <v>420</v>
      </c>
      <c r="F1856" s="1"/>
      <c r="G1856" s="1"/>
      <c r="H1856" s="1"/>
      <c r="I1856" s="1" t="s">
        <v>4968</v>
      </c>
      <c r="J1856" s="1"/>
      <c r="K1856" s="1"/>
      <c r="L1856" s="1"/>
      <c r="M1856" s="1"/>
      <c r="N1856" s="1"/>
      <c r="O1856" s="1"/>
      <c r="P1856" s="1"/>
      <c r="Q1856" s="1"/>
    </row>
    <row r="1857" spans="1:17">
      <c r="A1857" s="1"/>
      <c r="B1857" s="1"/>
      <c r="C1857" s="1"/>
      <c r="D1857" s="1" t="s">
        <v>5081</v>
      </c>
      <c r="E1857" s="1" t="s">
        <v>420</v>
      </c>
      <c r="F1857" s="1"/>
      <c r="G1857" s="1"/>
      <c r="H1857" s="1"/>
      <c r="I1857" s="1" t="s">
        <v>4995</v>
      </c>
      <c r="J1857" s="1"/>
      <c r="K1857" s="1"/>
      <c r="L1857" s="1"/>
      <c r="M1857" s="1"/>
      <c r="N1857" s="1"/>
      <c r="O1857" s="1"/>
      <c r="P1857" s="1"/>
      <c r="Q1857" s="1"/>
    </row>
    <row r="1858" spans="1:17">
      <c r="A1858" s="1"/>
      <c r="B1858" s="1"/>
      <c r="C1858" s="1"/>
      <c r="D1858" s="1" t="s">
        <v>5283</v>
      </c>
      <c r="E1858" s="1" t="s">
        <v>420</v>
      </c>
      <c r="F1858" s="1"/>
      <c r="G1858" s="1"/>
      <c r="H1858" s="1"/>
      <c r="I1858" s="1" t="s">
        <v>5111</v>
      </c>
      <c r="J1858" s="1"/>
      <c r="K1858" s="1"/>
      <c r="L1858" s="1"/>
      <c r="M1858" s="1"/>
      <c r="N1858" s="1"/>
      <c r="O1858" s="1"/>
      <c r="P1858" s="1"/>
      <c r="Q1858" s="1"/>
    </row>
    <row r="1859" spans="1:17">
      <c r="A1859" s="1"/>
      <c r="B1859" s="1" t="s">
        <v>4786</v>
      </c>
      <c r="C1859" s="1" t="s">
        <v>4787</v>
      </c>
      <c r="D1859" s="1" t="s">
        <v>5284</v>
      </c>
      <c r="E1859" s="1" t="s">
        <v>420</v>
      </c>
      <c r="F1859" s="1">
        <v>1</v>
      </c>
      <c r="G1859" s="1">
        <v>1.49</v>
      </c>
      <c r="H1859" s="1">
        <v>16</v>
      </c>
      <c r="I1859" s="1" t="s">
        <v>1142</v>
      </c>
      <c r="J1859" s="1" t="s">
        <v>29</v>
      </c>
      <c r="K1859" s="1" t="s">
        <v>1496</v>
      </c>
      <c r="L1859" s="1">
        <v>13635279948</v>
      </c>
      <c r="M1859" s="1" t="s">
        <v>1497</v>
      </c>
      <c r="N1859" s="1" t="s">
        <v>4788</v>
      </c>
      <c r="O1859" s="1" t="s">
        <v>4789</v>
      </c>
      <c r="P1859" s="1">
        <v>13563320636</v>
      </c>
      <c r="Q1859" s="1" t="s">
        <v>4790</v>
      </c>
    </row>
    <row r="1860" spans="1:17">
      <c r="A1860" s="1"/>
      <c r="B1860" s="1"/>
      <c r="C1860" s="1"/>
      <c r="D1860" s="1" t="s">
        <v>5285</v>
      </c>
      <c r="E1860" s="1" t="s">
        <v>420</v>
      </c>
      <c r="F1860" s="1"/>
      <c r="G1860" s="1"/>
      <c r="H1860" s="1"/>
      <c r="I1860" s="1" t="s">
        <v>4968</v>
      </c>
      <c r="J1860" s="1"/>
      <c r="K1860" s="1"/>
      <c r="L1860" s="1"/>
      <c r="M1860" s="1"/>
      <c r="N1860" s="1"/>
      <c r="O1860" s="1"/>
      <c r="P1860" s="1"/>
      <c r="Q1860" s="1"/>
    </row>
    <row r="1861" spans="1:17">
      <c r="A1861" s="1"/>
      <c r="B1861" s="1" t="s">
        <v>4792</v>
      </c>
      <c r="C1861" s="1" t="s">
        <v>4793</v>
      </c>
      <c r="D1861" s="1" t="s">
        <v>5117</v>
      </c>
      <c r="E1861" s="1" t="s">
        <v>420</v>
      </c>
      <c r="F1861" s="1">
        <v>1</v>
      </c>
      <c r="G1861" s="1">
        <v>1.26</v>
      </c>
      <c r="H1861" s="1">
        <v>11</v>
      </c>
      <c r="I1861" s="1" t="s">
        <v>1142</v>
      </c>
      <c r="J1861" s="1" t="s">
        <v>29</v>
      </c>
      <c r="K1861" s="1" t="s">
        <v>1506</v>
      </c>
      <c r="L1861" s="1">
        <v>17098714030</v>
      </c>
      <c r="M1861" s="1" t="s">
        <v>713</v>
      </c>
      <c r="N1861" s="1" t="s">
        <v>4794</v>
      </c>
      <c r="O1861" s="1" t="s">
        <v>4795</v>
      </c>
      <c r="P1861" s="1">
        <v>15166992889</v>
      </c>
      <c r="Q1861" s="1" t="s">
        <v>4796</v>
      </c>
    </row>
    <row r="1862" spans="1:17">
      <c r="A1862" s="1"/>
      <c r="B1862" s="1"/>
      <c r="C1862" s="1"/>
      <c r="D1862" s="1" t="s">
        <v>5286</v>
      </c>
      <c r="E1862" s="1" t="s">
        <v>420</v>
      </c>
      <c r="F1862" s="1"/>
      <c r="G1862" s="1"/>
      <c r="H1862" s="1"/>
      <c r="I1862" s="1" t="s">
        <v>4968</v>
      </c>
      <c r="J1862" s="1"/>
      <c r="K1862" s="1"/>
      <c r="L1862" s="1"/>
      <c r="M1862" s="1"/>
      <c r="N1862" s="1"/>
      <c r="O1862" s="1"/>
      <c r="P1862" s="1"/>
      <c r="Q1862" s="1"/>
    </row>
    <row r="1863" spans="1:17">
      <c r="A1863" s="1"/>
      <c r="B1863" s="1"/>
      <c r="C1863" s="1"/>
      <c r="D1863" s="1" t="s">
        <v>5287</v>
      </c>
      <c r="E1863" s="1" t="s">
        <v>420</v>
      </c>
      <c r="F1863" s="1"/>
      <c r="G1863" s="1"/>
      <c r="H1863" s="1"/>
      <c r="I1863" s="1" t="s">
        <v>5111</v>
      </c>
      <c r="J1863" s="1"/>
      <c r="K1863" s="1"/>
      <c r="L1863" s="1"/>
      <c r="M1863" s="1"/>
      <c r="N1863" s="1"/>
      <c r="O1863" s="1"/>
      <c r="P1863" s="1"/>
      <c r="Q1863" s="1"/>
    </row>
    <row r="1864" spans="1:17">
      <c r="A1864" s="1"/>
      <c r="B1864" s="1"/>
      <c r="C1864" s="1"/>
      <c r="D1864" s="1" t="s">
        <v>5085</v>
      </c>
      <c r="E1864" s="1" t="s">
        <v>420</v>
      </c>
      <c r="F1864" s="1"/>
      <c r="G1864" s="1"/>
      <c r="H1864" s="1"/>
      <c r="I1864" s="1" t="s">
        <v>450</v>
      </c>
      <c r="J1864" s="1"/>
      <c r="K1864" s="1"/>
      <c r="L1864" s="1"/>
      <c r="M1864" s="1"/>
      <c r="N1864" s="1"/>
      <c r="O1864" s="1"/>
      <c r="P1864" s="1"/>
      <c r="Q1864" s="1"/>
    </row>
    <row r="1865" spans="1:17">
      <c r="A1865" s="1"/>
      <c r="B1865" s="1" t="s">
        <v>4798</v>
      </c>
      <c r="C1865" s="1" t="s">
        <v>4799</v>
      </c>
      <c r="D1865" s="1" t="s">
        <v>5288</v>
      </c>
      <c r="E1865" s="1" t="s">
        <v>1514</v>
      </c>
      <c r="F1865" s="1">
        <v>1</v>
      </c>
      <c r="G1865" s="1">
        <v>3.08</v>
      </c>
      <c r="H1865" s="1">
        <v>6</v>
      </c>
      <c r="J1865" s="1" t="s">
        <v>293</v>
      </c>
      <c r="K1865" s="1" t="s">
        <v>1523</v>
      </c>
      <c r="L1865" s="1" t="s">
        <v>1524</v>
      </c>
      <c r="M1865" s="1" t="s">
        <v>1525</v>
      </c>
      <c r="N1865" s="1" t="s">
        <v>1523</v>
      </c>
      <c r="O1865" s="1" t="s">
        <v>4800</v>
      </c>
      <c r="P1865" s="1">
        <v>17331733833</v>
      </c>
      <c r="Q1865" s="1" t="s">
        <v>4801</v>
      </c>
    </row>
    <row r="1866" spans="1:17">
      <c r="A1866" s="1"/>
      <c r="B1866" s="1" t="s">
        <v>4803</v>
      </c>
      <c r="C1866" s="1" t="s">
        <v>4804</v>
      </c>
      <c r="D1866" s="1" t="s">
        <v>5288</v>
      </c>
      <c r="E1866" s="1" t="s">
        <v>1514</v>
      </c>
      <c r="F1866" s="1">
        <v>1</v>
      </c>
      <c r="G1866" s="1">
        <v>3.08</v>
      </c>
      <c r="H1866" s="1">
        <v>6</v>
      </c>
      <c r="J1866" s="1" t="s">
        <v>293</v>
      </c>
      <c r="K1866" s="1" t="s">
        <v>2634</v>
      </c>
      <c r="L1866" s="1">
        <v>15032852111</v>
      </c>
      <c r="M1866" s="1" t="s">
        <v>2635</v>
      </c>
      <c r="N1866" s="1" t="s">
        <v>4805</v>
      </c>
      <c r="O1866" s="1" t="s">
        <v>4806</v>
      </c>
      <c r="P1866" s="1">
        <v>15833777808</v>
      </c>
      <c r="Q1866" s="1" t="s">
        <v>4807</v>
      </c>
    </row>
    <row r="1867" spans="1:17">
      <c r="A1867" s="1"/>
      <c r="B1867" s="1" t="s">
        <v>4809</v>
      </c>
      <c r="C1867" s="1" t="s">
        <v>4810</v>
      </c>
      <c r="D1867" s="1" t="s">
        <v>1551</v>
      </c>
      <c r="E1867" s="1" t="s">
        <v>1552</v>
      </c>
      <c r="F1867" s="1">
        <v>1</v>
      </c>
      <c r="G1867" s="1">
        <v>1.95</v>
      </c>
      <c r="H1867" s="1">
        <v>15</v>
      </c>
      <c r="I1867" s="1" t="s">
        <v>5055</v>
      </c>
      <c r="J1867" s="1" t="s">
        <v>40</v>
      </c>
      <c r="K1867" s="1" t="s">
        <v>2650</v>
      </c>
      <c r="L1867" s="1">
        <v>18341271487</v>
      </c>
      <c r="M1867" s="1" t="s">
        <v>2651</v>
      </c>
      <c r="N1867" s="1" t="s">
        <v>4811</v>
      </c>
      <c r="O1867" s="1" t="s">
        <v>4812</v>
      </c>
      <c r="P1867" s="1">
        <v>15042543156</v>
      </c>
      <c r="Q1867" s="1" t="s">
        <v>4813</v>
      </c>
    </row>
    <row r="1868" spans="1:17">
      <c r="A1868" s="1"/>
      <c r="B1868" s="1" t="s">
        <v>4815</v>
      </c>
      <c r="C1868" s="1" t="s">
        <v>4816</v>
      </c>
      <c r="D1868" s="1" t="s">
        <v>5714</v>
      </c>
      <c r="E1868" s="1" t="s">
        <v>4818</v>
      </c>
      <c r="F1868" s="1">
        <v>1</v>
      </c>
      <c r="G1868" s="1">
        <v>0.81</v>
      </c>
      <c r="H1868" s="1">
        <v>3</v>
      </c>
      <c r="I1868" s="1" t="s">
        <v>5715</v>
      </c>
      <c r="J1868" s="1" t="s">
        <v>293</v>
      </c>
      <c r="K1868" s="1" t="s">
        <v>4820</v>
      </c>
      <c r="L1868" s="1">
        <v>13514224533</v>
      </c>
      <c r="M1868" s="1" t="s">
        <v>4821</v>
      </c>
      <c r="N1868" s="1" t="s">
        <v>4820</v>
      </c>
      <c r="O1868" s="1" t="s">
        <v>4821</v>
      </c>
      <c r="P1868" s="1">
        <v>13514224533</v>
      </c>
      <c r="Q1868" s="1" t="s">
        <v>4822</v>
      </c>
    </row>
    <row r="1869" spans="1:17">
      <c r="A1869" s="1"/>
      <c r="B1869" s="1" t="s">
        <v>4824</v>
      </c>
      <c r="C1869" s="1" t="s">
        <v>4825</v>
      </c>
      <c r="D1869" s="1" t="s">
        <v>5716</v>
      </c>
      <c r="E1869" s="1" t="s">
        <v>4818</v>
      </c>
      <c r="F1869" s="1">
        <v>1</v>
      </c>
      <c r="G1869" s="1">
        <v>0.81</v>
      </c>
      <c r="H1869" s="1">
        <v>3</v>
      </c>
      <c r="I1869" s="1" t="s">
        <v>5717</v>
      </c>
      <c r="J1869" s="1" t="s">
        <v>293</v>
      </c>
      <c r="K1869" s="1" t="s">
        <v>4828</v>
      </c>
      <c r="L1869" s="1">
        <v>13009368998</v>
      </c>
      <c r="M1869" s="1" t="s">
        <v>4829</v>
      </c>
      <c r="N1869" s="1" t="s">
        <v>4830</v>
      </c>
      <c r="O1869" s="1" t="s">
        <v>4829</v>
      </c>
      <c r="P1869" s="1">
        <v>13009368998</v>
      </c>
      <c r="Q1869" s="1" t="s">
        <v>4831</v>
      </c>
    </row>
    <row r="1870" spans="1:17">
      <c r="A1870" s="1"/>
      <c r="B1870" s="1" t="s">
        <v>4833</v>
      </c>
      <c r="C1870" s="1" t="s">
        <v>4834</v>
      </c>
      <c r="D1870" s="1" t="s">
        <v>5718</v>
      </c>
      <c r="E1870" s="1" t="s">
        <v>1210</v>
      </c>
      <c r="F1870" s="1">
        <v>1</v>
      </c>
      <c r="G1870" s="1">
        <v>1.04</v>
      </c>
      <c r="H1870" s="1">
        <v>3</v>
      </c>
      <c r="J1870" s="1" t="s">
        <v>29</v>
      </c>
      <c r="K1870" s="1" t="s">
        <v>3069</v>
      </c>
      <c r="L1870" s="1">
        <v>17526867788</v>
      </c>
      <c r="M1870" s="1" t="s">
        <v>1230</v>
      </c>
      <c r="N1870" s="1" t="s">
        <v>4836</v>
      </c>
      <c r="O1870" s="1" t="s">
        <v>4837</v>
      </c>
      <c r="P1870" s="1">
        <v>18622200563</v>
      </c>
      <c r="Q1870" s="1" t="s">
        <v>4838</v>
      </c>
    </row>
    <row r="1871" spans="1:17">
      <c r="A1871" s="1"/>
      <c r="B1871" s="1" t="s">
        <v>4840</v>
      </c>
      <c r="C1871" s="1" t="s">
        <v>4841</v>
      </c>
      <c r="D1871" s="1" t="s">
        <v>5118</v>
      </c>
      <c r="E1871" s="1" t="s">
        <v>1210</v>
      </c>
      <c r="F1871" s="1">
        <v>1</v>
      </c>
      <c r="G1871" s="1">
        <v>0.81</v>
      </c>
      <c r="H1871" s="1">
        <v>1</v>
      </c>
      <c r="J1871" s="1" t="s">
        <v>29</v>
      </c>
      <c r="K1871" s="1" t="s">
        <v>4843</v>
      </c>
      <c r="L1871" s="1">
        <v>13803059096</v>
      </c>
      <c r="M1871" s="1" t="s">
        <v>4844</v>
      </c>
      <c r="N1871" s="1" t="s">
        <v>4845</v>
      </c>
      <c r="O1871" s="1" t="s">
        <v>4844</v>
      </c>
      <c r="P1871" s="1">
        <v>13803059096</v>
      </c>
      <c r="Q1871" s="1" t="s">
        <v>4846</v>
      </c>
    </row>
    <row r="1872" spans="1:17">
      <c r="A1872" s="1"/>
      <c r="B1872" s="1" t="s">
        <v>4848</v>
      </c>
      <c r="C1872" s="1" t="s">
        <v>4849</v>
      </c>
      <c r="D1872" s="1" t="s">
        <v>5118</v>
      </c>
      <c r="E1872" s="1" t="s">
        <v>1210</v>
      </c>
      <c r="F1872" s="1">
        <v>1</v>
      </c>
      <c r="G1872" s="1">
        <v>0.81</v>
      </c>
      <c r="H1872" s="1">
        <v>1</v>
      </c>
      <c r="J1872" s="1" t="s">
        <v>29</v>
      </c>
      <c r="K1872" s="1" t="s">
        <v>4850</v>
      </c>
      <c r="L1872" s="1">
        <v>18602698557</v>
      </c>
      <c r="M1872" s="1" t="s">
        <v>4851</v>
      </c>
      <c r="N1872" s="1" t="s">
        <v>4852</v>
      </c>
      <c r="O1872" s="1" t="s">
        <v>4851</v>
      </c>
      <c r="P1872" s="1">
        <v>18602698557</v>
      </c>
      <c r="Q1872" s="1" t="s">
        <v>4853</v>
      </c>
    </row>
    <row r="1873" spans="1:17">
      <c r="A1873" s="1"/>
      <c r="B1873" s="1" t="s">
        <v>4855</v>
      </c>
      <c r="C1873" s="1" t="s">
        <v>4856</v>
      </c>
      <c r="D1873" s="1" t="s">
        <v>5118</v>
      </c>
      <c r="E1873" s="1" t="s">
        <v>1210</v>
      </c>
      <c r="F1873" s="1">
        <v>1</v>
      </c>
      <c r="G1873" s="1">
        <v>0.81</v>
      </c>
      <c r="H1873" s="1">
        <v>1</v>
      </c>
      <c r="J1873" s="1" t="s">
        <v>29</v>
      </c>
      <c r="K1873" s="1" t="s">
        <v>4857</v>
      </c>
      <c r="L1873" s="1">
        <v>13212277182</v>
      </c>
      <c r="M1873" s="1" t="s">
        <v>4858</v>
      </c>
      <c r="N1873" s="1" t="s">
        <v>4859</v>
      </c>
      <c r="O1873" s="1" t="s">
        <v>4858</v>
      </c>
      <c r="P1873" s="1">
        <v>13212277182</v>
      </c>
      <c r="Q1873" s="1" t="s">
        <v>4860</v>
      </c>
    </row>
    <row r="1874" spans="1:17">
      <c r="A1874" s="1"/>
      <c r="B1874" s="1" t="s">
        <v>4862</v>
      </c>
      <c r="C1874" s="1" t="s">
        <v>4863</v>
      </c>
      <c r="D1874" s="1" t="s">
        <v>5118</v>
      </c>
      <c r="E1874" s="1" t="s">
        <v>1210</v>
      </c>
      <c r="F1874" s="1">
        <v>1</v>
      </c>
      <c r="G1874" s="1">
        <v>0.81</v>
      </c>
      <c r="H1874" s="1">
        <v>1</v>
      </c>
      <c r="J1874" s="1" t="s">
        <v>29</v>
      </c>
      <c r="K1874" s="1" t="s">
        <v>1974</v>
      </c>
      <c r="L1874" s="1">
        <v>18722697608</v>
      </c>
      <c r="M1874" s="1" t="s">
        <v>4864</v>
      </c>
      <c r="N1874" s="1" t="s">
        <v>4865</v>
      </c>
      <c r="O1874" s="1" t="s">
        <v>4864</v>
      </c>
      <c r="P1874" s="1">
        <v>18722697608</v>
      </c>
      <c r="Q1874" s="1" t="s">
        <v>4866</v>
      </c>
    </row>
    <row r="1875" spans="1:17">
      <c r="A1875" s="1"/>
      <c r="B1875" s="1" t="s">
        <v>4868</v>
      </c>
      <c r="C1875" s="1" t="s">
        <v>4869</v>
      </c>
      <c r="D1875" s="1" t="s">
        <v>5118</v>
      </c>
      <c r="E1875" s="1" t="s">
        <v>1210</v>
      </c>
      <c r="F1875" s="1">
        <v>1</v>
      </c>
      <c r="G1875" s="1">
        <v>0.38</v>
      </c>
      <c r="H1875" s="1">
        <v>1</v>
      </c>
      <c r="J1875" s="1" t="s">
        <v>29</v>
      </c>
      <c r="K1875" s="1" t="s">
        <v>4870</v>
      </c>
      <c r="L1875" s="1">
        <v>18168973399</v>
      </c>
      <c r="M1875" s="1" t="s">
        <v>4871</v>
      </c>
      <c r="N1875" s="1" t="s">
        <v>4870</v>
      </c>
      <c r="O1875" s="1" t="s">
        <v>4871</v>
      </c>
      <c r="P1875" s="1">
        <v>18168973399</v>
      </c>
      <c r="Q1875" s="1" t="s">
        <v>4872</v>
      </c>
    </row>
  </sheetData>
  <phoneticPr fontId="47"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DataEntry</vt:lpstr>
      <vt:lpstr>Input</vt:lpstr>
      <vt:lpstr>tj DAORU</vt:lpstr>
      <vt:lpstr>YC daoru</vt:lpstr>
      <vt:lpstr>GZ daoru</vt:lpstr>
      <vt:lpstr>scan</vt:lpstr>
      <vt:lpstr>QD EMS</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用户</dc:creator>
  <cp:lastModifiedBy>User</cp:lastModifiedBy>
  <cp:lastPrinted>2016-03-31T21:49:00Z</cp:lastPrinted>
  <dcterms:created xsi:type="dcterms:W3CDTF">2014-10-03T07:54:00Z</dcterms:created>
  <dcterms:modified xsi:type="dcterms:W3CDTF">2020-05-24T22:04:37Z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1033-11.2.0.9281</vt:lpwstr>
  </property>
  <property fmtid="{D5CDD505-2E9C-101B-9397-08002B2CF9AE}" pid="3" name="TBCO_ScreenResolution">
    <vt:lpwstr>96 96 1920 1080</vt:lpwstr>
  </property>
</Properties>
</file>